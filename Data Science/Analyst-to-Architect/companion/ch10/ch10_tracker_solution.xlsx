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er" sheetId="1" state="visible" r:id="rId1"/>
    <sheet xmlns:r="http://schemas.openxmlformats.org/officeDocument/2006/relationships" name="Reps" sheetId="2" state="visible" r:id="rId2"/>
    <sheet xmlns:r="http://schemas.openxmlformats.org/officeDocument/2006/relationships" name="Data" sheetId="3" state="visible" r:id="rId3"/>
    <sheet xmlns:r="http://schemas.openxmlformats.org/officeDocument/2006/relationships" name="Customers" sheetId="4" state="visible" r:id="rId4"/>
    <sheet xmlns:r="http://schemas.openxmlformats.org/officeDocument/2006/relationships" name="Products" sheetId="5" state="visible" r:id="rId5"/>
    <sheet xmlns:r="http://schemas.openxmlformats.org/officeDocument/2006/relationships" name="Targe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mmm yyyy"/>
    <numFmt numFmtId="166" formatCode="0.0%"/>
    <numFmt numFmtId="167" formatCode="+0.0%;-0.0%"/>
  </numFmts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  <sz val="14"/>
    </font>
    <font>
      <name val="Arial"/>
      <i val="1"/>
      <color rgb="005B6475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0F5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0" fontId="4" fillId="0" borderId="0" pivotButton="0" quotePrefix="0" xfId="0"/>
    <xf numFmtId="3" fontId="4" fillId="0" borderId="0" pivotButton="0" quotePrefix="0" xfId="0"/>
    <xf numFmtId="166" fontId="4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49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dxfs count="2">
    <dxf>
      <font>
        <b val="1"/>
        <color rgb="002F7D6D"/>
      </font>
      <fill>
        <patternFill patternType="solid">
          <fgColor rgb="00E2F3EE"/>
        </patternFill>
      </fill>
    </dxf>
    <dxf>
      <font>
        <b val="1"/>
        <color rgb="00B23B3B"/>
      </font>
      <fill>
        <patternFill patternType="solid">
          <fgColor rgb="00F8E1E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Net revenue vs target, 2025 (₹)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'Tracker'!D4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'Tracker'!$A$5:$A$16</f>
            </numRef>
          </cat>
          <val>
            <numRef>
              <f>'Tracker'!$D$5:$D$16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'Tracker'!B4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'Tracker'!$B$5:$B$16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3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9" customWidth="1" min="3" max="3"/>
    <col width="14" customWidth="1" min="4" max="4"/>
    <col width="14" customWidth="1" min="5" max="5"/>
    <col width="15" customWidth="1" min="6" max="6"/>
    <col width="14" customWidth="1" min="7" max="7"/>
  </cols>
  <sheetData>
    <row r="1">
      <c r="A1" s="1" t="inlineStr">
        <is>
          <t>Riverstone Supplies — Monthly sales tracker, 2025</t>
        </is>
      </c>
    </row>
    <row r="2">
      <c r="A2" s="2" t="inlineStr">
        <is>
          <t>Net revenue = quantity × unit price × (1 − discount %). Cancelled orders excluded. Source: ERP export.</t>
        </is>
      </c>
    </row>
    <row r="4">
      <c r="A4" s="3" t="inlineStr">
        <is>
          <t>month</t>
        </is>
      </c>
      <c r="B4" s="3" t="inlineStr">
        <is>
          <t>target</t>
        </is>
      </c>
      <c r="C4" s="3" t="inlineStr">
        <is>
          <t>orders</t>
        </is>
      </c>
      <c r="D4" s="3" t="inlineStr">
        <is>
          <t>net_revenue</t>
        </is>
      </c>
      <c r="E4" s="3" t="inlineStr">
        <is>
          <t>pct_of_target</t>
        </is>
      </c>
      <c r="F4" s="3" t="inlineStr">
        <is>
          <t>vs_prev_month</t>
        </is>
      </c>
      <c r="G4" s="3" t="inlineStr">
        <is>
          <t>status</t>
        </is>
      </c>
    </row>
    <row r="5">
      <c r="A5" s="4">
        <f>Targets!A2</f>
        <v/>
      </c>
      <c r="B5" s="5">
        <f>Targets!B2</f>
        <v/>
      </c>
      <c r="C5">
        <f>SUMIFS(Data!$L$2:$L$331,Data!$K$2:$K$331,A5,Data!$H$2:$H$331,"&lt;&gt;Cancelled")</f>
        <v/>
      </c>
      <c r="D5" s="5">
        <f>SUMIFS(Data!$J$2:$J$331,Data!$B$2:$B$331,"&gt;="&amp;A5,Data!$B$2:$B$331,"&lt;="&amp;EOMONTH(A5,0),Data!$H$2:$H$331,"&lt;&gt;Cancelled")</f>
        <v/>
      </c>
      <c r="E5" s="6">
        <f>D5/B5</f>
        <v/>
      </c>
      <c r="F5" t="inlineStr"/>
      <c r="G5">
        <f>IF(D5&gt;=B5,"On target","Below target")</f>
        <v/>
      </c>
    </row>
    <row r="6">
      <c r="A6" s="4">
        <f>Targets!A3</f>
        <v/>
      </c>
      <c r="B6" s="5">
        <f>Targets!B3</f>
        <v/>
      </c>
      <c r="C6">
        <f>SUMIFS(Data!$L$2:$L$331,Data!$K$2:$K$331,A6,Data!$H$2:$H$331,"&lt;&gt;Cancelled")</f>
        <v/>
      </c>
      <c r="D6" s="5">
        <f>SUMIFS(Data!$J$2:$J$331,Data!$B$2:$B$331,"&gt;="&amp;A6,Data!$B$2:$B$331,"&lt;="&amp;EOMONTH(A6,0),Data!$H$2:$H$331,"&lt;&gt;Cancelled")</f>
        <v/>
      </c>
      <c r="E6" s="6">
        <f>D6/B6</f>
        <v/>
      </c>
      <c r="F6" s="7">
        <f>D6/D5-1</f>
        <v/>
      </c>
      <c r="G6">
        <f>IF(D6&gt;=B6,"On target","Below target")</f>
        <v/>
      </c>
    </row>
    <row r="7">
      <c r="A7" s="4">
        <f>Targets!A4</f>
        <v/>
      </c>
      <c r="B7" s="5">
        <f>Targets!B4</f>
        <v/>
      </c>
      <c r="C7">
        <f>SUMIFS(Data!$L$2:$L$331,Data!$K$2:$K$331,A7,Data!$H$2:$H$331,"&lt;&gt;Cancelled")</f>
        <v/>
      </c>
      <c r="D7" s="5">
        <f>SUMIFS(Data!$J$2:$J$331,Data!$B$2:$B$331,"&gt;="&amp;A7,Data!$B$2:$B$331,"&lt;="&amp;EOMONTH(A7,0),Data!$H$2:$H$331,"&lt;&gt;Cancelled")</f>
        <v/>
      </c>
      <c r="E7" s="6">
        <f>D7/B7</f>
        <v/>
      </c>
      <c r="F7" s="7">
        <f>D7/D6-1</f>
        <v/>
      </c>
      <c r="G7">
        <f>IF(D7&gt;=B7,"On target","Below target")</f>
        <v/>
      </c>
    </row>
    <row r="8">
      <c r="A8" s="4">
        <f>Targets!A5</f>
        <v/>
      </c>
      <c r="B8" s="5">
        <f>Targets!B5</f>
        <v/>
      </c>
      <c r="C8">
        <f>SUMIFS(Data!$L$2:$L$331,Data!$K$2:$K$331,A8,Data!$H$2:$H$331,"&lt;&gt;Cancelled")</f>
        <v/>
      </c>
      <c r="D8" s="5">
        <f>SUMIFS(Data!$J$2:$J$331,Data!$B$2:$B$331,"&gt;="&amp;A8,Data!$B$2:$B$331,"&lt;="&amp;EOMONTH(A8,0),Data!$H$2:$H$331,"&lt;&gt;Cancelled")</f>
        <v/>
      </c>
      <c r="E8" s="6">
        <f>D8/B8</f>
        <v/>
      </c>
      <c r="F8" s="7">
        <f>D8/D7-1</f>
        <v/>
      </c>
      <c r="G8">
        <f>IF(D8&gt;=B8,"On target","Below target")</f>
        <v/>
      </c>
    </row>
    <row r="9">
      <c r="A9" s="4">
        <f>Targets!A6</f>
        <v/>
      </c>
      <c r="B9" s="5">
        <f>Targets!B6</f>
        <v/>
      </c>
      <c r="C9">
        <f>SUMIFS(Data!$L$2:$L$331,Data!$K$2:$K$331,A9,Data!$H$2:$H$331,"&lt;&gt;Cancelled")</f>
        <v/>
      </c>
      <c r="D9" s="5">
        <f>SUMIFS(Data!$J$2:$J$331,Data!$B$2:$B$331,"&gt;="&amp;A9,Data!$B$2:$B$331,"&lt;="&amp;EOMONTH(A9,0),Data!$H$2:$H$331,"&lt;&gt;Cancelled")</f>
        <v/>
      </c>
      <c r="E9" s="6">
        <f>D9/B9</f>
        <v/>
      </c>
      <c r="F9" s="7">
        <f>D9/D8-1</f>
        <v/>
      </c>
      <c r="G9">
        <f>IF(D9&gt;=B9,"On target","Below target")</f>
        <v/>
      </c>
    </row>
    <row r="10">
      <c r="A10" s="4">
        <f>Targets!A7</f>
        <v/>
      </c>
      <c r="B10" s="5">
        <f>Targets!B7</f>
        <v/>
      </c>
      <c r="C10">
        <f>SUMIFS(Data!$L$2:$L$331,Data!$K$2:$K$331,A10,Data!$H$2:$H$331,"&lt;&gt;Cancelled")</f>
        <v/>
      </c>
      <c r="D10" s="5">
        <f>SUMIFS(Data!$J$2:$J$331,Data!$B$2:$B$331,"&gt;="&amp;A10,Data!$B$2:$B$331,"&lt;="&amp;EOMONTH(A10,0),Data!$H$2:$H$331,"&lt;&gt;Cancelled")</f>
        <v/>
      </c>
      <c r="E10" s="6">
        <f>D10/B10</f>
        <v/>
      </c>
      <c r="F10" s="7">
        <f>D10/D9-1</f>
        <v/>
      </c>
      <c r="G10">
        <f>IF(D10&gt;=B10,"On target","Below target")</f>
        <v/>
      </c>
    </row>
    <row r="11">
      <c r="A11" s="4">
        <f>Targets!A8</f>
        <v/>
      </c>
      <c r="B11" s="5">
        <f>Targets!B8</f>
        <v/>
      </c>
      <c r="C11">
        <f>SUMIFS(Data!$L$2:$L$331,Data!$K$2:$K$331,A11,Data!$H$2:$H$331,"&lt;&gt;Cancelled")</f>
        <v/>
      </c>
      <c r="D11" s="5">
        <f>SUMIFS(Data!$J$2:$J$331,Data!$B$2:$B$331,"&gt;="&amp;A11,Data!$B$2:$B$331,"&lt;="&amp;EOMONTH(A11,0),Data!$H$2:$H$331,"&lt;&gt;Cancelled")</f>
        <v/>
      </c>
      <c r="E11" s="6">
        <f>D11/B11</f>
        <v/>
      </c>
      <c r="F11" s="7">
        <f>D11/D10-1</f>
        <v/>
      </c>
      <c r="G11">
        <f>IF(D11&gt;=B11,"On target","Below target")</f>
        <v/>
      </c>
    </row>
    <row r="12">
      <c r="A12" s="4">
        <f>Targets!A9</f>
        <v/>
      </c>
      <c r="B12" s="5">
        <f>Targets!B9</f>
        <v/>
      </c>
      <c r="C12">
        <f>SUMIFS(Data!$L$2:$L$331,Data!$K$2:$K$331,A12,Data!$H$2:$H$331,"&lt;&gt;Cancelled")</f>
        <v/>
      </c>
      <c r="D12" s="5">
        <f>SUMIFS(Data!$J$2:$J$331,Data!$B$2:$B$331,"&gt;="&amp;A12,Data!$B$2:$B$331,"&lt;="&amp;EOMONTH(A12,0),Data!$H$2:$H$331,"&lt;&gt;Cancelled")</f>
        <v/>
      </c>
      <c r="E12" s="6">
        <f>D12/B12</f>
        <v/>
      </c>
      <c r="F12" s="7">
        <f>D12/D11-1</f>
        <v/>
      </c>
      <c r="G12">
        <f>IF(D12&gt;=B12,"On target","Below target")</f>
        <v/>
      </c>
    </row>
    <row r="13">
      <c r="A13" s="4">
        <f>Targets!A10</f>
        <v/>
      </c>
      <c r="B13" s="5">
        <f>Targets!B10</f>
        <v/>
      </c>
      <c r="C13">
        <f>SUMIFS(Data!$L$2:$L$331,Data!$K$2:$K$331,A13,Data!$H$2:$H$331,"&lt;&gt;Cancelled")</f>
        <v/>
      </c>
      <c r="D13" s="5">
        <f>SUMIFS(Data!$J$2:$J$331,Data!$B$2:$B$331,"&gt;="&amp;A13,Data!$B$2:$B$331,"&lt;="&amp;EOMONTH(A13,0),Data!$H$2:$H$331,"&lt;&gt;Cancelled")</f>
        <v/>
      </c>
      <c r="E13" s="6">
        <f>D13/B13</f>
        <v/>
      </c>
      <c r="F13" s="7">
        <f>D13/D12-1</f>
        <v/>
      </c>
      <c r="G13">
        <f>IF(D13&gt;=B13,"On target","Below target")</f>
        <v/>
      </c>
    </row>
    <row r="14">
      <c r="A14" s="4">
        <f>Targets!A11</f>
        <v/>
      </c>
      <c r="B14" s="5">
        <f>Targets!B11</f>
        <v/>
      </c>
      <c r="C14">
        <f>SUMIFS(Data!$L$2:$L$331,Data!$K$2:$K$331,A14,Data!$H$2:$H$331,"&lt;&gt;Cancelled")</f>
        <v/>
      </c>
      <c r="D14" s="5">
        <f>SUMIFS(Data!$J$2:$J$331,Data!$B$2:$B$331,"&gt;="&amp;A14,Data!$B$2:$B$331,"&lt;="&amp;EOMONTH(A14,0),Data!$H$2:$H$331,"&lt;&gt;Cancelled")</f>
        <v/>
      </c>
      <c r="E14" s="6">
        <f>D14/B14</f>
        <v/>
      </c>
      <c r="F14" s="7">
        <f>D14/D13-1</f>
        <v/>
      </c>
      <c r="G14">
        <f>IF(D14&gt;=B14,"On target","Below target")</f>
        <v/>
      </c>
    </row>
    <row r="15">
      <c r="A15" s="4">
        <f>Targets!A12</f>
        <v/>
      </c>
      <c r="B15" s="5">
        <f>Targets!B12</f>
        <v/>
      </c>
      <c r="C15">
        <f>SUMIFS(Data!$L$2:$L$331,Data!$K$2:$K$331,A15,Data!$H$2:$H$331,"&lt;&gt;Cancelled")</f>
        <v/>
      </c>
      <c r="D15" s="5">
        <f>SUMIFS(Data!$J$2:$J$331,Data!$B$2:$B$331,"&gt;="&amp;A15,Data!$B$2:$B$331,"&lt;="&amp;EOMONTH(A15,0),Data!$H$2:$H$331,"&lt;&gt;Cancelled")</f>
        <v/>
      </c>
      <c r="E15" s="6">
        <f>D15/B15</f>
        <v/>
      </c>
      <c r="F15" s="7">
        <f>D15/D14-1</f>
        <v/>
      </c>
      <c r="G15">
        <f>IF(D15&gt;=B15,"On target","Below target")</f>
        <v/>
      </c>
    </row>
    <row r="16">
      <c r="A16" s="4">
        <f>Targets!A13</f>
        <v/>
      </c>
      <c r="B16" s="5">
        <f>Targets!B13</f>
        <v/>
      </c>
      <c r="C16">
        <f>SUMIFS(Data!$L$2:$L$331,Data!$K$2:$K$331,A16,Data!$H$2:$H$331,"&lt;&gt;Cancelled")</f>
        <v/>
      </c>
      <c r="D16" s="5">
        <f>SUMIFS(Data!$J$2:$J$331,Data!$B$2:$B$331,"&gt;="&amp;A16,Data!$B$2:$B$331,"&lt;="&amp;EOMONTH(A16,0),Data!$H$2:$H$331,"&lt;&gt;Cancelled")</f>
        <v/>
      </c>
      <c r="E16" s="6">
        <f>D16/B16</f>
        <v/>
      </c>
      <c r="F16" s="7">
        <f>D16/D15-1</f>
        <v/>
      </c>
      <c r="G16">
        <f>IF(D16&gt;=B16,"On target","Below target")</f>
        <v/>
      </c>
    </row>
    <row r="17">
      <c r="A17" s="8" t="inlineStr">
        <is>
          <t>Total</t>
        </is>
      </c>
      <c r="B17" s="9">
        <f>SUM(B5:B16)</f>
        <v/>
      </c>
      <c r="C17" s="9">
        <f>SUM(C5:C16)</f>
        <v/>
      </c>
      <c r="D17" s="9">
        <f>SUM(D5:D16)</f>
        <v/>
      </c>
      <c r="E17" s="10">
        <f>D17/B17</f>
        <v/>
      </c>
    </row>
    <row r="19">
      <c r="A19" t="inlineStr">
        <is>
          <t>Check: total net revenue on the Data sheet (non-cancelled)</t>
        </is>
      </c>
      <c r="D19" s="5">
        <f>SUMIFS(Data!$J$2:$J$331,Data!$H$2:$H$331,"&lt;&gt;Cancelled")</f>
        <v/>
      </c>
    </row>
    <row r="20">
      <c r="A20" t="inlineStr">
        <is>
          <t>Check: difference (must be 0)</t>
        </is>
      </c>
      <c r="D20" s="5">
        <f>D17-D19</f>
        <v/>
      </c>
    </row>
  </sheetData>
  <conditionalFormatting sqref="E5:E16">
    <cfRule type="cellIs" priority="1" operator="greaterThanOrEqual" dxfId="0">
      <formula>1</formula>
    </cfRule>
    <cfRule type="cellIs" priority="2" operator="lessThan" dxfId="1">
      <formula>0.8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6" customWidth="1" min="1" max="1"/>
    <col width="9" customWidth="1" min="2" max="2"/>
    <col width="14" customWidth="1" min="3" max="3"/>
    <col width="15" customWidth="1" min="4" max="4"/>
    <col width="13" customWidth="1" min="6" max="6"/>
    <col width="16" customWidth="1" min="7" max="7"/>
  </cols>
  <sheetData>
    <row r="1">
      <c r="A1" s="3" t="inlineStr">
        <is>
          <t>sales_rep</t>
        </is>
      </c>
      <c r="B1" s="3" t="inlineStr">
        <is>
          <t>orders</t>
        </is>
      </c>
      <c r="C1" s="3" t="inlineStr">
        <is>
          <t>net_revenue</t>
        </is>
      </c>
      <c r="D1" s="3" t="inlineStr">
        <is>
          <t>share_of_total</t>
        </is>
      </c>
      <c r="F1" t="inlineStr">
        <is>
          <t>Pick a rep:</t>
        </is>
      </c>
      <c r="G1" t="inlineStr">
        <is>
          <t>Neha Kulkarni</t>
        </is>
      </c>
    </row>
    <row r="2">
      <c r="A2" t="inlineStr">
        <is>
          <t>Neha Kulkarni</t>
        </is>
      </c>
      <c r="B2">
        <f>SUMIFS(Data!$L$2:$L$331,Data!$I$2:$I$331,A2,Data!$H$2:$H$331,"&lt;&gt;Cancelled")</f>
        <v/>
      </c>
      <c r="C2" s="5">
        <f>SUMIFS(Data!$J$2:$J$331,Data!$I$2:$I$331,A2,Data!$H$2:$H$331,"&lt;&gt;Cancelled")</f>
        <v/>
      </c>
      <c r="D2" s="6">
        <f>C2/$C$6</f>
        <v/>
      </c>
      <c r="F2" t="inlineStr">
        <is>
          <t>Net revenue:</t>
        </is>
      </c>
      <c r="G2" s="5">
        <f>SUMIFS(Data!$J$2:$J$331,Data!$I$2:$I$331,G1,Data!$H$2:$H$331,"&lt;&gt;Cancelled")</f>
        <v/>
      </c>
    </row>
    <row r="3">
      <c r="A3" t="inlineStr">
        <is>
          <t>Rahul Mehta</t>
        </is>
      </c>
      <c r="B3">
        <f>SUMIFS(Data!$L$2:$L$331,Data!$I$2:$I$331,A3,Data!$H$2:$H$331,"&lt;&gt;Cancelled")</f>
        <v/>
      </c>
      <c r="C3" s="5">
        <f>SUMIFS(Data!$J$2:$J$331,Data!$I$2:$I$331,A3,Data!$H$2:$H$331,"&lt;&gt;Cancelled")</f>
        <v/>
      </c>
      <c r="D3" s="6">
        <f>C3/$C$6</f>
        <v/>
      </c>
    </row>
    <row r="4">
      <c r="A4" t="inlineStr">
        <is>
          <t>Farah Khan</t>
        </is>
      </c>
      <c r="B4">
        <f>SUMIFS(Data!$L$2:$L$331,Data!$I$2:$I$331,A4,Data!$H$2:$H$331,"&lt;&gt;Cancelled")</f>
        <v/>
      </c>
      <c r="C4" s="5">
        <f>SUMIFS(Data!$J$2:$J$331,Data!$I$2:$I$331,A4,Data!$H$2:$H$331,"&lt;&gt;Cancelled")</f>
        <v/>
      </c>
      <c r="D4" s="6">
        <f>C4/$C$6</f>
        <v/>
      </c>
    </row>
    <row r="5">
      <c r="A5" t="inlineStr">
        <is>
          <t>(no rep)</t>
        </is>
      </c>
      <c r="B5">
        <f>SUMIFS(Data!$L$2:$L$331,Data!$I$2:$I$331,"",Data!$H$2:$H$331,"&lt;&gt;Cancelled")</f>
        <v/>
      </c>
      <c r="C5" s="5">
        <f>SUMIFS(Data!$J$2:$J$331,Data!$I$2:$I$331,"",Data!$H$2:$H$331,"&lt;&gt;Cancelled")</f>
        <v/>
      </c>
      <c r="D5" s="6">
        <f>C5/$C$6</f>
        <v/>
      </c>
    </row>
    <row r="6">
      <c r="A6" t="inlineStr">
        <is>
          <t>Total</t>
        </is>
      </c>
      <c r="B6">
        <f>SUM(B2:B5)</f>
        <v/>
      </c>
      <c r="C6" s="5">
        <f>SUM(C2:C5)</f>
        <v/>
      </c>
      <c r="D6" s="6">
        <f>SUM(D2:D5)</f>
        <v/>
      </c>
    </row>
    <row r="9">
      <c r="A9" s="3" t="inlineStr">
        <is>
          <t>segment</t>
        </is>
      </c>
      <c r="B9" s="3" t="inlineStr">
        <is>
          <t>orders</t>
        </is>
      </c>
      <c r="C9" s="3" t="inlineStr">
        <is>
          <t>net_revenue</t>
        </is>
      </c>
      <c r="D9" s="3" t="inlineStr">
        <is>
          <t>share_of_total</t>
        </is>
      </c>
    </row>
    <row r="10">
      <c r="A10" t="inlineStr">
        <is>
          <t>Retail</t>
        </is>
      </c>
      <c r="B10">
        <f>SUMIFS(Data!$L$2:$L$331,Data!$N$2:$N$331,A10,Data!$H$2:$H$331,"&lt;&gt;Cancelled")</f>
        <v/>
      </c>
      <c r="C10" s="5">
        <f>SUMIFS(Data!$J$2:$J$331,Data!$N$2:$N$331,A10,Data!$H$2:$H$331,"&lt;&gt;Cancelled")</f>
        <v/>
      </c>
      <c r="D10" s="6">
        <f>C10/SUM($C$10:$C$12)</f>
        <v/>
      </c>
    </row>
    <row r="11">
      <c r="A11" t="inlineStr">
        <is>
          <t>Hospitality</t>
        </is>
      </c>
      <c r="B11">
        <f>SUMIFS(Data!$L$2:$L$331,Data!$N$2:$N$331,A11,Data!$H$2:$H$331,"&lt;&gt;Cancelled")</f>
        <v/>
      </c>
      <c r="C11" s="5">
        <f>SUMIFS(Data!$J$2:$J$331,Data!$N$2:$N$331,A11,Data!$H$2:$H$331,"&lt;&gt;Cancelled")</f>
        <v/>
      </c>
      <c r="D11" s="6">
        <f>C11/SUM($C$10:$C$12)</f>
        <v/>
      </c>
    </row>
    <row r="12">
      <c r="A12" t="inlineStr">
        <is>
          <t>Wholesale</t>
        </is>
      </c>
      <c r="B12">
        <f>SUMIFS(Data!$L$2:$L$331,Data!$N$2:$N$331,A12,Data!$H$2:$H$331,"&lt;&gt;Cancelled")</f>
        <v/>
      </c>
      <c r="C12" s="5">
        <f>SUMIFS(Data!$J$2:$J$331,Data!$N$2:$N$331,A12,Data!$H$2:$H$331,"&lt;&gt;Cancelled")</f>
        <v/>
      </c>
      <c r="D12" s="6">
        <f>C12/SUM($C$10:$C$12)</f>
        <v/>
      </c>
    </row>
  </sheetData>
  <dataValidations count="1">
    <dataValidation sqref="G1" showDropDown="0" showInputMessage="0" showErrorMessage="0" allowBlank="0" type="list">
      <formula1>"Neha Kulkarni,Rahul Mehta,Farah Khan"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1" customWidth="1" min="4" max="4"/>
    <col width="10" customWidth="1" min="5" max="5"/>
    <col width="11" customWidth="1" min="6" max="6"/>
    <col width="13" customWidth="1" min="7" max="7"/>
    <col width="11" customWidth="1" min="8" max="8"/>
    <col width="16" customWidth="1" min="9" max="9"/>
    <col width="13" customWidth="1" min="10" max="10"/>
    <col width="12" customWidth="1" min="11" max="11"/>
    <col width="18" customWidth="1" min="12" max="12"/>
    <col width="24" customWidth="1" min="13" max="13"/>
    <col width="13" customWidth="1" min="14" max="14"/>
  </cols>
  <sheetData>
    <row r="1">
      <c r="A1" s="3" t="inlineStr">
        <is>
          <t>order_id</t>
        </is>
      </c>
      <c r="B1" s="3" t="inlineStr">
        <is>
          <t>order_date</t>
        </is>
      </c>
      <c r="C1" s="3" t="inlineStr">
        <is>
          <t>customer_code</t>
        </is>
      </c>
      <c r="D1" s="3" t="inlineStr">
        <is>
          <t>product_id</t>
        </is>
      </c>
      <c r="E1" s="3" t="inlineStr">
        <is>
          <t>quantity</t>
        </is>
      </c>
      <c r="F1" s="3" t="inlineStr">
        <is>
          <t>unit_price</t>
        </is>
      </c>
      <c r="G1" s="3" t="inlineStr">
        <is>
          <t>discount_pct</t>
        </is>
      </c>
      <c r="H1" s="3" t="inlineStr">
        <is>
          <t>status</t>
        </is>
      </c>
      <c r="I1" s="3" t="inlineStr">
        <is>
          <t>sales_rep</t>
        </is>
      </c>
      <c r="J1" s="11" t="inlineStr">
        <is>
          <t>net_revenue</t>
        </is>
      </c>
      <c r="K1" s="11" t="inlineStr">
        <is>
          <t>month_start</t>
        </is>
      </c>
      <c r="L1" s="11" t="inlineStr">
        <is>
          <t>first_line_of_order</t>
        </is>
      </c>
      <c r="M1" s="11" t="inlineStr">
        <is>
          <t>customer_name</t>
        </is>
      </c>
      <c r="N1" s="11" t="inlineStr">
        <is>
          <t>segment</t>
        </is>
      </c>
    </row>
    <row r="2">
      <c r="A2" t="n">
        <v>10001</v>
      </c>
      <c r="B2" s="12" t="n">
        <v>45659</v>
      </c>
      <c r="C2" s="13" t="inlineStr">
        <is>
          <t>0002</t>
        </is>
      </c>
      <c r="D2" t="n">
        <v>108</v>
      </c>
      <c r="E2" t="n">
        <v>10</v>
      </c>
      <c r="F2" t="n">
        <v>290</v>
      </c>
      <c r="G2" t="n">
        <v>0</v>
      </c>
      <c r="H2" t="inlineStr">
        <is>
          <t>Delivered</t>
        </is>
      </c>
      <c r="I2" t="inlineStr">
        <is>
          <t>Neha Kulkarni</t>
        </is>
      </c>
      <c r="J2" s="14">
        <f>E2*F2*(1-G2/100)</f>
        <v/>
      </c>
      <c r="K2" s="12">
        <f>DATE(YEAR(B2),MONTH(B2),1)</f>
        <v/>
      </c>
      <c r="L2">
        <f>IF(COUNTIF($A$2:A2,A2)=1,1,0)</f>
        <v/>
      </c>
      <c r="M2">
        <f>_xlfn.XLOOKUP(C2,Customers!$A$2:$A$25,Customers!$B$2:$B$25,"not found")</f>
        <v/>
      </c>
      <c r="N2">
        <f>_xlfn.XLOOKUP(C2,Customers!$A$2:$A$25,Customers!$D$2:$D$25,"not found")</f>
        <v/>
      </c>
    </row>
    <row r="3">
      <c r="A3" t="n">
        <v>10002</v>
      </c>
      <c r="B3" s="12" t="n">
        <v>45662</v>
      </c>
      <c r="C3" s="13" t="inlineStr">
        <is>
          <t>0003</t>
        </is>
      </c>
      <c r="D3" t="n">
        <v>107</v>
      </c>
      <c r="E3" t="n">
        <v>55</v>
      </c>
      <c r="F3" t="n">
        <v>380</v>
      </c>
      <c r="G3" t="n">
        <v>0</v>
      </c>
      <c r="H3" t="inlineStr">
        <is>
          <t>Delivered</t>
        </is>
      </c>
      <c r="I3" t="inlineStr">
        <is>
          <t>Farah Khan</t>
        </is>
      </c>
      <c r="J3" s="14">
        <f>E3*F3*(1-G3/100)</f>
        <v/>
      </c>
      <c r="K3" s="12">
        <f>DATE(YEAR(B3),MONTH(B3),1)</f>
        <v/>
      </c>
      <c r="L3">
        <f>IF(COUNTIF($A$2:A3,A3)=1,1,0)</f>
        <v/>
      </c>
      <c r="M3">
        <f>_xlfn.XLOOKUP(C3,Customers!$A$2:$A$25,Customers!$B$2:$B$25,"not found")</f>
        <v/>
      </c>
      <c r="N3">
        <f>_xlfn.XLOOKUP(C3,Customers!$A$2:$A$25,Customers!$D$2:$D$25,"not found")</f>
        <v/>
      </c>
    </row>
    <row r="4">
      <c r="A4" t="n">
        <v>10003</v>
      </c>
      <c r="B4" s="12" t="n">
        <v>45669</v>
      </c>
      <c r="C4" s="13" t="inlineStr">
        <is>
          <t>0005</t>
        </is>
      </c>
      <c r="D4" t="n">
        <v>101</v>
      </c>
      <c r="E4" t="n">
        <v>25</v>
      </c>
      <c r="F4" t="n">
        <v>430</v>
      </c>
      <c r="G4" t="n">
        <v>0</v>
      </c>
      <c r="H4" t="inlineStr">
        <is>
          <t>Delivered</t>
        </is>
      </c>
      <c r="I4" t="inlineStr">
        <is>
          <t>Rahul Mehta</t>
        </is>
      </c>
      <c r="J4" s="14">
        <f>E4*F4*(1-G4/100)</f>
        <v/>
      </c>
      <c r="K4" s="12">
        <f>DATE(YEAR(B4),MONTH(B4),1)</f>
        <v/>
      </c>
      <c r="L4">
        <f>IF(COUNTIF($A$2:A4,A4)=1,1,0)</f>
        <v/>
      </c>
      <c r="M4">
        <f>_xlfn.XLOOKUP(C4,Customers!$A$2:$A$25,Customers!$B$2:$B$25,"not found")</f>
        <v/>
      </c>
      <c r="N4">
        <f>_xlfn.XLOOKUP(C4,Customers!$A$2:$A$25,Customers!$D$2:$D$25,"not found")</f>
        <v/>
      </c>
    </row>
    <row r="5">
      <c r="A5" t="n">
        <v>10003</v>
      </c>
      <c r="B5" s="12" t="n">
        <v>45669</v>
      </c>
      <c r="C5" s="13" t="inlineStr">
        <is>
          <t>0005</t>
        </is>
      </c>
      <c r="D5" t="n">
        <v>102</v>
      </c>
      <c r="E5" t="n">
        <v>45</v>
      </c>
      <c r="F5" t="n">
        <v>750</v>
      </c>
      <c r="G5" t="n">
        <v>5</v>
      </c>
      <c r="H5" t="inlineStr">
        <is>
          <t>Delivered</t>
        </is>
      </c>
      <c r="I5" t="inlineStr">
        <is>
          <t>Rahul Mehta</t>
        </is>
      </c>
      <c r="J5" s="14">
        <f>E5*F5*(1-G5/100)</f>
        <v/>
      </c>
      <c r="K5" s="12">
        <f>DATE(YEAR(B5),MONTH(B5),1)</f>
        <v/>
      </c>
      <c r="L5">
        <f>IF(COUNTIF($A$2:A5,A5)=1,1,0)</f>
        <v/>
      </c>
      <c r="M5">
        <f>_xlfn.XLOOKUP(C5,Customers!$A$2:$A$25,Customers!$B$2:$B$25,"not found")</f>
        <v/>
      </c>
      <c r="N5">
        <f>_xlfn.XLOOKUP(C5,Customers!$A$2:$A$25,Customers!$D$2:$D$25,"not found")</f>
        <v/>
      </c>
    </row>
    <row r="6">
      <c r="A6" t="n">
        <v>10003</v>
      </c>
      <c r="B6" s="12" t="n">
        <v>45669</v>
      </c>
      <c r="C6" s="13" t="inlineStr">
        <is>
          <t>0005</t>
        </is>
      </c>
      <c r="D6" t="n">
        <v>108</v>
      </c>
      <c r="E6" t="n">
        <v>10</v>
      </c>
      <c r="F6" t="n">
        <v>290</v>
      </c>
      <c r="G6" t="n">
        <v>0</v>
      </c>
      <c r="H6" t="inlineStr">
        <is>
          <t>Delivered</t>
        </is>
      </c>
      <c r="I6" t="inlineStr">
        <is>
          <t>Rahul Mehta</t>
        </is>
      </c>
      <c r="J6" s="14">
        <f>E6*F6*(1-G6/100)</f>
        <v/>
      </c>
      <c r="K6" s="12">
        <f>DATE(YEAR(B6),MONTH(B6),1)</f>
        <v/>
      </c>
      <c r="L6">
        <f>IF(COUNTIF($A$2:A6,A6)=1,1,0)</f>
        <v/>
      </c>
      <c r="M6">
        <f>_xlfn.XLOOKUP(C6,Customers!$A$2:$A$25,Customers!$B$2:$B$25,"not found")</f>
        <v/>
      </c>
      <c r="N6">
        <f>_xlfn.XLOOKUP(C6,Customers!$A$2:$A$25,Customers!$D$2:$D$25,"not found")</f>
        <v/>
      </c>
    </row>
    <row r="7">
      <c r="A7" t="n">
        <v>10004</v>
      </c>
      <c r="B7" s="12" t="n">
        <v>45670</v>
      </c>
      <c r="C7" s="13" t="inlineStr">
        <is>
          <t>0005</t>
        </is>
      </c>
      <c r="D7" t="n">
        <v>101</v>
      </c>
      <c r="E7" t="n">
        <v>40</v>
      </c>
      <c r="F7" t="n">
        <v>430</v>
      </c>
      <c r="G7" t="n">
        <v>0</v>
      </c>
      <c r="H7" t="inlineStr">
        <is>
          <t>Delivered</t>
        </is>
      </c>
      <c r="I7" t="inlineStr">
        <is>
          <t>Rahul Mehta</t>
        </is>
      </c>
      <c r="J7" s="14">
        <f>E7*F7*(1-G7/100)</f>
        <v/>
      </c>
      <c r="K7" s="12">
        <f>DATE(YEAR(B7),MONTH(B7),1)</f>
        <v/>
      </c>
      <c r="L7">
        <f>IF(COUNTIF($A$2:A7,A7)=1,1,0)</f>
        <v/>
      </c>
      <c r="M7">
        <f>_xlfn.XLOOKUP(C7,Customers!$A$2:$A$25,Customers!$B$2:$B$25,"not found")</f>
        <v/>
      </c>
      <c r="N7">
        <f>_xlfn.XLOOKUP(C7,Customers!$A$2:$A$25,Customers!$D$2:$D$25,"not found")</f>
        <v/>
      </c>
    </row>
    <row r="8">
      <c r="A8" t="n">
        <v>10004</v>
      </c>
      <c r="B8" s="12" t="n">
        <v>45670</v>
      </c>
      <c r="C8" s="13" t="inlineStr">
        <is>
          <t>0005</t>
        </is>
      </c>
      <c r="D8" t="n">
        <v>102</v>
      </c>
      <c r="E8" t="n">
        <v>15</v>
      </c>
      <c r="F8" t="n">
        <v>750</v>
      </c>
      <c r="G8" t="n">
        <v>5</v>
      </c>
      <c r="H8" t="inlineStr">
        <is>
          <t>Delivered</t>
        </is>
      </c>
      <c r="I8" t="inlineStr">
        <is>
          <t>Rahul Mehta</t>
        </is>
      </c>
      <c r="J8" s="14">
        <f>E8*F8*(1-G8/100)</f>
        <v/>
      </c>
      <c r="K8" s="12">
        <f>DATE(YEAR(B8),MONTH(B8),1)</f>
        <v/>
      </c>
      <c r="L8">
        <f>IF(COUNTIF($A$2:A8,A8)=1,1,0)</f>
        <v/>
      </c>
      <c r="M8">
        <f>_xlfn.XLOOKUP(C8,Customers!$A$2:$A$25,Customers!$B$2:$B$25,"not found")</f>
        <v/>
      </c>
      <c r="N8">
        <f>_xlfn.XLOOKUP(C8,Customers!$A$2:$A$25,Customers!$D$2:$D$25,"not found")</f>
        <v/>
      </c>
    </row>
    <row r="9">
      <c r="A9" t="n">
        <v>10005</v>
      </c>
      <c r="B9" s="12" t="n">
        <v>45677</v>
      </c>
      <c r="C9" s="13" t="inlineStr">
        <is>
          <t>0003</t>
        </is>
      </c>
      <c r="D9" t="n">
        <v>101</v>
      </c>
      <c r="E9" t="n">
        <v>15</v>
      </c>
      <c r="F9" t="n">
        <v>430</v>
      </c>
      <c r="G9" t="n">
        <v>5</v>
      </c>
      <c r="H9" t="inlineStr">
        <is>
          <t>Delivered</t>
        </is>
      </c>
      <c r="I9" t="inlineStr">
        <is>
          <t>Farah Khan</t>
        </is>
      </c>
      <c r="J9" s="14">
        <f>E9*F9*(1-G9/100)</f>
        <v/>
      </c>
      <c r="K9" s="12">
        <f>DATE(YEAR(B9),MONTH(B9),1)</f>
        <v/>
      </c>
      <c r="L9">
        <f>IF(COUNTIF($A$2:A9,A9)=1,1,0)</f>
        <v/>
      </c>
      <c r="M9">
        <f>_xlfn.XLOOKUP(C9,Customers!$A$2:$A$25,Customers!$B$2:$B$25,"not found")</f>
        <v/>
      </c>
      <c r="N9">
        <f>_xlfn.XLOOKUP(C9,Customers!$A$2:$A$25,Customers!$D$2:$D$25,"not found")</f>
        <v/>
      </c>
    </row>
    <row r="10">
      <c r="A10" t="n">
        <v>10006</v>
      </c>
      <c r="B10" s="12" t="n">
        <v>45678</v>
      </c>
      <c r="C10" s="13" t="inlineStr">
        <is>
          <t>0004</t>
        </is>
      </c>
      <c r="D10" t="n">
        <v>102</v>
      </c>
      <c r="E10" t="n">
        <v>25</v>
      </c>
      <c r="F10" t="n">
        <v>750</v>
      </c>
      <c r="G10" t="n">
        <v>5</v>
      </c>
      <c r="H10" t="inlineStr">
        <is>
          <t>Delivered</t>
        </is>
      </c>
      <c r="I10" t="inlineStr">
        <is>
          <t>Rahul Mehta</t>
        </is>
      </c>
      <c r="J10" s="14">
        <f>E10*F10*(1-G10/100)</f>
        <v/>
      </c>
      <c r="K10" s="12">
        <f>DATE(YEAR(B10),MONTH(B10),1)</f>
        <v/>
      </c>
      <c r="L10">
        <f>IF(COUNTIF($A$2:A10,A10)=1,1,0)</f>
        <v/>
      </c>
      <c r="M10">
        <f>_xlfn.XLOOKUP(C10,Customers!$A$2:$A$25,Customers!$B$2:$B$25,"not found")</f>
        <v/>
      </c>
      <c r="N10">
        <f>_xlfn.XLOOKUP(C10,Customers!$A$2:$A$25,Customers!$D$2:$D$25,"not found")</f>
        <v/>
      </c>
    </row>
    <row r="11">
      <c r="A11" t="n">
        <v>10007</v>
      </c>
      <c r="B11" s="12" t="n">
        <v>45681</v>
      </c>
      <c r="C11" s="13" t="inlineStr">
        <is>
          <t>0001</t>
        </is>
      </c>
      <c r="D11" t="n">
        <v>101</v>
      </c>
      <c r="E11" t="n">
        <v>45</v>
      </c>
      <c r="F11" t="n">
        <v>430</v>
      </c>
      <c r="G11" t="n">
        <v>0</v>
      </c>
      <c r="H11" t="inlineStr">
        <is>
          <t>Delivered</t>
        </is>
      </c>
      <c r="I11" t="inlineStr">
        <is>
          <t>Neha Kulkarni</t>
        </is>
      </c>
      <c r="J11" s="14">
        <f>E11*F11*(1-G11/100)</f>
        <v/>
      </c>
      <c r="K11" s="12">
        <f>DATE(YEAR(B11),MONTH(B11),1)</f>
        <v/>
      </c>
      <c r="L11">
        <f>IF(COUNTIF($A$2:A11,A11)=1,1,0)</f>
        <v/>
      </c>
      <c r="M11">
        <f>_xlfn.XLOOKUP(C11,Customers!$A$2:$A$25,Customers!$B$2:$B$25,"not found")</f>
        <v/>
      </c>
      <c r="N11">
        <f>_xlfn.XLOOKUP(C11,Customers!$A$2:$A$25,Customers!$D$2:$D$25,"not found")</f>
        <v/>
      </c>
    </row>
    <row r="12">
      <c r="A12" t="n">
        <v>10007</v>
      </c>
      <c r="B12" s="12" t="n">
        <v>45681</v>
      </c>
      <c r="C12" s="13" t="inlineStr">
        <is>
          <t>0001</t>
        </is>
      </c>
      <c r="D12" t="n">
        <v>102</v>
      </c>
      <c r="E12" t="n">
        <v>20</v>
      </c>
      <c r="F12" t="n">
        <v>750</v>
      </c>
      <c r="G12" t="n">
        <v>0</v>
      </c>
      <c r="H12" t="inlineStr">
        <is>
          <t>Delivered</t>
        </is>
      </c>
      <c r="I12" t="inlineStr">
        <is>
          <t>Neha Kulkarni</t>
        </is>
      </c>
      <c r="J12" s="14">
        <f>E12*F12*(1-G12/100)</f>
        <v/>
      </c>
      <c r="K12" s="12">
        <f>DATE(YEAR(B12),MONTH(B12),1)</f>
        <v/>
      </c>
      <c r="L12">
        <f>IF(COUNTIF($A$2:A12,A12)=1,1,0)</f>
        <v/>
      </c>
      <c r="M12">
        <f>_xlfn.XLOOKUP(C12,Customers!$A$2:$A$25,Customers!$B$2:$B$25,"not found")</f>
        <v/>
      </c>
      <c r="N12">
        <f>_xlfn.XLOOKUP(C12,Customers!$A$2:$A$25,Customers!$D$2:$D$25,"not found")</f>
        <v/>
      </c>
    </row>
    <row r="13">
      <c r="A13" t="n">
        <v>10007</v>
      </c>
      <c r="B13" s="12" t="n">
        <v>45681</v>
      </c>
      <c r="C13" s="13" t="inlineStr">
        <is>
          <t>0001</t>
        </is>
      </c>
      <c r="D13" t="n">
        <v>108</v>
      </c>
      <c r="E13" t="n">
        <v>20</v>
      </c>
      <c r="F13" t="n">
        <v>290</v>
      </c>
      <c r="G13" t="n">
        <v>0</v>
      </c>
      <c r="H13" t="inlineStr">
        <is>
          <t>Delivered</t>
        </is>
      </c>
      <c r="I13" t="inlineStr">
        <is>
          <t>Neha Kulkarni</t>
        </is>
      </c>
      <c r="J13" s="14">
        <f>E13*F13*(1-G13/100)</f>
        <v/>
      </c>
      <c r="K13" s="12">
        <f>DATE(YEAR(B13),MONTH(B13),1)</f>
        <v/>
      </c>
      <c r="L13">
        <f>IF(COUNTIF($A$2:A13,A13)=1,1,0)</f>
        <v/>
      </c>
      <c r="M13">
        <f>_xlfn.XLOOKUP(C13,Customers!$A$2:$A$25,Customers!$B$2:$B$25,"not found")</f>
        <v/>
      </c>
      <c r="N13">
        <f>_xlfn.XLOOKUP(C13,Customers!$A$2:$A$25,Customers!$D$2:$D$25,"not found")</f>
        <v/>
      </c>
    </row>
    <row r="14">
      <c r="A14" t="n">
        <v>10008</v>
      </c>
      <c r="B14" s="12" t="n">
        <v>45683</v>
      </c>
      <c r="C14" s="13" t="inlineStr">
        <is>
          <t>0001</t>
        </is>
      </c>
      <c r="D14" t="n">
        <v>101</v>
      </c>
      <c r="E14" t="n">
        <v>30</v>
      </c>
      <c r="F14" t="n">
        <v>430</v>
      </c>
      <c r="G14" t="n">
        <v>0</v>
      </c>
      <c r="H14" t="inlineStr">
        <is>
          <t>Delivered</t>
        </is>
      </c>
      <c r="I14" t="inlineStr">
        <is>
          <t>Neha Kulkarni</t>
        </is>
      </c>
      <c r="J14" s="14">
        <f>E14*F14*(1-G14/100)</f>
        <v/>
      </c>
      <c r="K14" s="12">
        <f>DATE(YEAR(B14),MONTH(B14),1)</f>
        <v/>
      </c>
      <c r="L14">
        <f>IF(COUNTIF($A$2:A14,A14)=1,1,0)</f>
        <v/>
      </c>
      <c r="M14">
        <f>_xlfn.XLOOKUP(C14,Customers!$A$2:$A$25,Customers!$B$2:$B$25,"not found")</f>
        <v/>
      </c>
      <c r="N14">
        <f>_xlfn.XLOOKUP(C14,Customers!$A$2:$A$25,Customers!$D$2:$D$25,"not found")</f>
        <v/>
      </c>
    </row>
    <row r="15">
      <c r="A15" t="n">
        <v>10008</v>
      </c>
      <c r="B15" s="12" t="n">
        <v>45683</v>
      </c>
      <c r="C15" s="13" t="inlineStr">
        <is>
          <t>0001</t>
        </is>
      </c>
      <c r="D15" t="n">
        <v>102</v>
      </c>
      <c r="E15" t="n">
        <v>25</v>
      </c>
      <c r="F15" t="n">
        <v>750</v>
      </c>
      <c r="G15" t="n">
        <v>0</v>
      </c>
      <c r="H15" t="inlineStr">
        <is>
          <t>Delivered</t>
        </is>
      </c>
      <c r="I15" t="inlineStr">
        <is>
          <t>Neha Kulkarni</t>
        </is>
      </c>
      <c r="J15" s="14">
        <f>E15*F15*(1-G15/100)</f>
        <v/>
      </c>
      <c r="K15" s="12">
        <f>DATE(YEAR(B15),MONTH(B15),1)</f>
        <v/>
      </c>
      <c r="L15">
        <f>IF(COUNTIF($A$2:A15,A15)=1,1,0)</f>
        <v/>
      </c>
      <c r="M15">
        <f>_xlfn.XLOOKUP(C15,Customers!$A$2:$A$25,Customers!$B$2:$B$25,"not found")</f>
        <v/>
      </c>
      <c r="N15">
        <f>_xlfn.XLOOKUP(C15,Customers!$A$2:$A$25,Customers!$D$2:$D$25,"not found")</f>
        <v/>
      </c>
    </row>
    <row r="16">
      <c r="A16" t="n">
        <v>10008</v>
      </c>
      <c r="B16" s="12" t="n">
        <v>45683</v>
      </c>
      <c r="C16" s="13" t="inlineStr">
        <is>
          <t>0001</t>
        </is>
      </c>
      <c r="D16" t="n">
        <v>107</v>
      </c>
      <c r="E16" t="n">
        <v>25</v>
      </c>
      <c r="F16" t="n">
        <v>380</v>
      </c>
      <c r="G16" t="n">
        <v>0</v>
      </c>
      <c r="H16" t="inlineStr">
        <is>
          <t>Delivered</t>
        </is>
      </c>
      <c r="I16" t="inlineStr">
        <is>
          <t>Neha Kulkarni</t>
        </is>
      </c>
      <c r="J16" s="14">
        <f>E16*F16*(1-G16/100)</f>
        <v/>
      </c>
      <c r="K16" s="12">
        <f>DATE(YEAR(B16),MONTH(B16),1)</f>
        <v/>
      </c>
      <c r="L16">
        <f>IF(COUNTIF($A$2:A16,A16)=1,1,0)</f>
        <v/>
      </c>
      <c r="M16">
        <f>_xlfn.XLOOKUP(C16,Customers!$A$2:$A$25,Customers!$B$2:$B$25,"not found")</f>
        <v/>
      </c>
      <c r="N16">
        <f>_xlfn.XLOOKUP(C16,Customers!$A$2:$A$25,Customers!$D$2:$D$25,"not found")</f>
        <v/>
      </c>
    </row>
    <row r="17">
      <c r="A17" t="n">
        <v>10009</v>
      </c>
      <c r="B17" s="12" t="n">
        <v>45690</v>
      </c>
      <c r="C17" s="13" t="inlineStr">
        <is>
          <t>0010</t>
        </is>
      </c>
      <c r="D17" t="n">
        <v>101</v>
      </c>
      <c r="E17" t="n">
        <v>30</v>
      </c>
      <c r="F17" t="n">
        <v>430</v>
      </c>
      <c r="G17" t="n">
        <v>0</v>
      </c>
      <c r="H17" t="inlineStr">
        <is>
          <t>Delivered</t>
        </is>
      </c>
      <c r="I17" t="inlineStr">
        <is>
          <t>Rahul Mehta</t>
        </is>
      </c>
      <c r="J17" s="14">
        <f>E17*F17*(1-G17/100)</f>
        <v/>
      </c>
      <c r="K17" s="12">
        <f>DATE(YEAR(B17),MONTH(B17),1)</f>
        <v/>
      </c>
      <c r="L17">
        <f>IF(COUNTIF($A$2:A17,A17)=1,1,0)</f>
        <v/>
      </c>
      <c r="M17">
        <f>_xlfn.XLOOKUP(C17,Customers!$A$2:$A$25,Customers!$B$2:$B$25,"not found")</f>
        <v/>
      </c>
      <c r="N17">
        <f>_xlfn.XLOOKUP(C17,Customers!$A$2:$A$25,Customers!$D$2:$D$25,"not found")</f>
        <v/>
      </c>
    </row>
    <row r="18">
      <c r="A18" t="n">
        <v>10009</v>
      </c>
      <c r="B18" s="12" t="n">
        <v>45690</v>
      </c>
      <c r="C18" s="13" t="inlineStr">
        <is>
          <t>0010</t>
        </is>
      </c>
      <c r="D18" t="n">
        <v>102</v>
      </c>
      <c r="E18" t="n">
        <v>30</v>
      </c>
      <c r="F18" t="n">
        <v>750</v>
      </c>
      <c r="G18" t="n">
        <v>5</v>
      </c>
      <c r="H18" t="inlineStr">
        <is>
          <t>Delivered</t>
        </is>
      </c>
      <c r="I18" t="inlineStr">
        <is>
          <t>Rahul Mehta</t>
        </is>
      </c>
      <c r="J18" s="14">
        <f>E18*F18*(1-G18/100)</f>
        <v/>
      </c>
      <c r="K18" s="12">
        <f>DATE(YEAR(B18),MONTH(B18),1)</f>
        <v/>
      </c>
      <c r="L18">
        <f>IF(COUNTIF($A$2:A18,A18)=1,1,0)</f>
        <v/>
      </c>
      <c r="M18">
        <f>_xlfn.XLOOKUP(C18,Customers!$A$2:$A$25,Customers!$B$2:$B$25,"not found")</f>
        <v/>
      </c>
      <c r="N18">
        <f>_xlfn.XLOOKUP(C18,Customers!$A$2:$A$25,Customers!$D$2:$D$25,"not found")</f>
        <v/>
      </c>
    </row>
    <row r="19">
      <c r="A19" t="n">
        <v>10010</v>
      </c>
      <c r="B19" s="12" t="n">
        <v>45693</v>
      </c>
      <c r="C19" s="13" t="inlineStr">
        <is>
          <t>0001</t>
        </is>
      </c>
      <c r="D19" t="n">
        <v>101</v>
      </c>
      <c r="E19" t="n">
        <v>20</v>
      </c>
      <c r="F19" t="n">
        <v>430</v>
      </c>
      <c r="G19" t="n">
        <v>0</v>
      </c>
      <c r="H19" t="inlineStr">
        <is>
          <t>Delivered</t>
        </is>
      </c>
      <c r="I19" t="inlineStr">
        <is>
          <t>Neha Kulkarni</t>
        </is>
      </c>
      <c r="J19" s="14">
        <f>E19*F19*(1-G19/100)</f>
        <v/>
      </c>
      <c r="K19" s="12">
        <f>DATE(YEAR(B19),MONTH(B19),1)</f>
        <v/>
      </c>
      <c r="L19">
        <f>IF(COUNTIF($A$2:A19,A19)=1,1,0)</f>
        <v/>
      </c>
      <c r="M19">
        <f>_xlfn.XLOOKUP(C19,Customers!$A$2:$A$25,Customers!$B$2:$B$25,"not found")</f>
        <v/>
      </c>
      <c r="N19">
        <f>_xlfn.XLOOKUP(C19,Customers!$A$2:$A$25,Customers!$D$2:$D$25,"not found")</f>
        <v/>
      </c>
    </row>
    <row r="20">
      <c r="A20" t="n">
        <v>10010</v>
      </c>
      <c r="B20" s="12" t="n">
        <v>45693</v>
      </c>
      <c r="C20" s="13" t="inlineStr">
        <is>
          <t>0001</t>
        </is>
      </c>
      <c r="D20" t="n">
        <v>103</v>
      </c>
      <c r="E20" t="n">
        <v>10</v>
      </c>
      <c r="F20" t="n">
        <v>115</v>
      </c>
      <c r="G20" t="n">
        <v>0</v>
      </c>
      <c r="H20" t="inlineStr">
        <is>
          <t>Delivered</t>
        </is>
      </c>
      <c r="I20" t="inlineStr">
        <is>
          <t>Neha Kulkarni</t>
        </is>
      </c>
      <c r="J20" s="14">
        <f>E20*F20*(1-G20/100)</f>
        <v/>
      </c>
      <c r="K20" s="12">
        <f>DATE(YEAR(B20),MONTH(B20),1)</f>
        <v/>
      </c>
      <c r="L20">
        <f>IF(COUNTIF($A$2:A20,A20)=1,1,0)</f>
        <v/>
      </c>
      <c r="M20">
        <f>_xlfn.XLOOKUP(C20,Customers!$A$2:$A$25,Customers!$B$2:$B$25,"not found")</f>
        <v/>
      </c>
      <c r="N20">
        <f>_xlfn.XLOOKUP(C20,Customers!$A$2:$A$25,Customers!$D$2:$D$25,"not found")</f>
        <v/>
      </c>
    </row>
    <row r="21">
      <c r="A21" t="n">
        <v>10010</v>
      </c>
      <c r="B21" s="12" t="n">
        <v>45693</v>
      </c>
      <c r="C21" s="13" t="inlineStr">
        <is>
          <t>0001</t>
        </is>
      </c>
      <c r="D21" t="n">
        <v>104</v>
      </c>
      <c r="E21" t="n">
        <v>35</v>
      </c>
      <c r="F21" t="n">
        <v>620</v>
      </c>
      <c r="G21" t="n">
        <v>0</v>
      </c>
      <c r="H21" t="inlineStr">
        <is>
          <t>Delivered</t>
        </is>
      </c>
      <c r="I21" t="inlineStr">
        <is>
          <t>Neha Kulkarni</t>
        </is>
      </c>
      <c r="J21" s="14">
        <f>E21*F21*(1-G21/100)</f>
        <v/>
      </c>
      <c r="K21" s="12">
        <f>DATE(YEAR(B21),MONTH(B21),1)</f>
        <v/>
      </c>
      <c r="L21">
        <f>IF(COUNTIF($A$2:A21,A21)=1,1,0)</f>
        <v/>
      </c>
      <c r="M21">
        <f>_xlfn.XLOOKUP(C21,Customers!$A$2:$A$25,Customers!$B$2:$B$25,"not found")</f>
        <v/>
      </c>
      <c r="N21">
        <f>_xlfn.XLOOKUP(C21,Customers!$A$2:$A$25,Customers!$D$2:$D$25,"not found")</f>
        <v/>
      </c>
    </row>
    <row r="22">
      <c r="A22" t="n">
        <v>10011</v>
      </c>
      <c r="B22" s="12" t="n">
        <v>45704</v>
      </c>
      <c r="C22" s="13" t="inlineStr">
        <is>
          <t>0003</t>
        </is>
      </c>
      <c r="D22" t="n">
        <v>101</v>
      </c>
      <c r="E22" t="n">
        <v>25</v>
      </c>
      <c r="F22" t="n">
        <v>430</v>
      </c>
      <c r="G22" t="n">
        <v>0</v>
      </c>
      <c r="H22" t="inlineStr">
        <is>
          <t>Delivered</t>
        </is>
      </c>
      <c r="I22" t="inlineStr">
        <is>
          <t>Farah Khan</t>
        </is>
      </c>
      <c r="J22" s="14">
        <f>E22*F22*(1-G22/100)</f>
        <v/>
      </c>
      <c r="K22" s="12">
        <f>DATE(YEAR(B22),MONTH(B22),1)</f>
        <v/>
      </c>
      <c r="L22">
        <f>IF(COUNTIF($A$2:A22,A22)=1,1,0)</f>
        <v/>
      </c>
      <c r="M22">
        <f>_xlfn.XLOOKUP(C22,Customers!$A$2:$A$25,Customers!$B$2:$B$25,"not found")</f>
        <v/>
      </c>
      <c r="N22">
        <f>_xlfn.XLOOKUP(C22,Customers!$A$2:$A$25,Customers!$D$2:$D$25,"not found")</f>
        <v/>
      </c>
    </row>
    <row r="23">
      <c r="A23" t="n">
        <v>10011</v>
      </c>
      <c r="B23" s="12" t="n">
        <v>45704</v>
      </c>
      <c r="C23" s="13" t="inlineStr">
        <is>
          <t>0003</t>
        </is>
      </c>
      <c r="D23" t="n">
        <v>107</v>
      </c>
      <c r="E23" t="n">
        <v>30</v>
      </c>
      <c r="F23" t="n">
        <v>380</v>
      </c>
      <c r="G23" t="n">
        <v>0</v>
      </c>
      <c r="H23" t="inlineStr">
        <is>
          <t>Delivered</t>
        </is>
      </c>
      <c r="I23" t="inlineStr">
        <is>
          <t>Farah Khan</t>
        </is>
      </c>
      <c r="J23" s="14">
        <f>E23*F23*(1-G23/100)</f>
        <v/>
      </c>
      <c r="K23" s="12">
        <f>DATE(YEAR(B23),MONTH(B23),1)</f>
        <v/>
      </c>
      <c r="L23">
        <f>IF(COUNTIF($A$2:A23,A23)=1,1,0)</f>
        <v/>
      </c>
      <c r="M23">
        <f>_xlfn.XLOOKUP(C23,Customers!$A$2:$A$25,Customers!$B$2:$B$25,"not found")</f>
        <v/>
      </c>
      <c r="N23">
        <f>_xlfn.XLOOKUP(C23,Customers!$A$2:$A$25,Customers!$D$2:$D$25,"not found")</f>
        <v/>
      </c>
    </row>
    <row r="24">
      <c r="A24" t="n">
        <v>10011</v>
      </c>
      <c r="B24" s="12" t="n">
        <v>45704</v>
      </c>
      <c r="C24" s="13" t="inlineStr">
        <is>
          <t>0003</t>
        </is>
      </c>
      <c r="D24" t="n">
        <v>108</v>
      </c>
      <c r="E24" t="n">
        <v>30</v>
      </c>
      <c r="F24" t="n">
        <v>290</v>
      </c>
      <c r="G24" t="n">
        <v>5</v>
      </c>
      <c r="H24" t="inlineStr">
        <is>
          <t>Delivered</t>
        </is>
      </c>
      <c r="I24" t="inlineStr">
        <is>
          <t>Farah Khan</t>
        </is>
      </c>
      <c r="J24" s="14">
        <f>E24*F24*(1-G24/100)</f>
        <v/>
      </c>
      <c r="K24" s="12">
        <f>DATE(YEAR(B24),MONTH(B24),1)</f>
        <v/>
      </c>
      <c r="L24">
        <f>IF(COUNTIF($A$2:A24,A24)=1,1,0)</f>
        <v/>
      </c>
      <c r="M24">
        <f>_xlfn.XLOOKUP(C24,Customers!$A$2:$A$25,Customers!$B$2:$B$25,"not found")</f>
        <v/>
      </c>
      <c r="N24">
        <f>_xlfn.XLOOKUP(C24,Customers!$A$2:$A$25,Customers!$D$2:$D$25,"not found")</f>
        <v/>
      </c>
    </row>
    <row r="25">
      <c r="A25" t="n">
        <v>10012</v>
      </c>
      <c r="B25" s="12" t="n">
        <v>45704</v>
      </c>
      <c r="C25" s="13" t="inlineStr">
        <is>
          <t>0004</t>
        </is>
      </c>
      <c r="D25" t="n">
        <v>105</v>
      </c>
      <c r="E25" t="n">
        <v>40</v>
      </c>
      <c r="F25" t="n">
        <v>1400</v>
      </c>
      <c r="G25" t="n">
        <v>12</v>
      </c>
      <c r="H25" t="inlineStr">
        <is>
          <t>Delivered</t>
        </is>
      </c>
      <c r="I25" t="inlineStr">
        <is>
          <t>Rahul Mehta</t>
        </is>
      </c>
      <c r="J25" s="14">
        <f>E25*F25*(1-G25/100)</f>
        <v/>
      </c>
      <c r="K25" s="12">
        <f>DATE(YEAR(B25),MONTH(B25),1)</f>
        <v/>
      </c>
      <c r="L25">
        <f>IF(COUNTIF($A$2:A25,A25)=1,1,0)</f>
        <v/>
      </c>
      <c r="M25">
        <f>_xlfn.XLOOKUP(C25,Customers!$A$2:$A$25,Customers!$B$2:$B$25,"not found")</f>
        <v/>
      </c>
      <c r="N25">
        <f>_xlfn.XLOOKUP(C25,Customers!$A$2:$A$25,Customers!$D$2:$D$25,"not found")</f>
        <v/>
      </c>
    </row>
    <row r="26">
      <c r="A26" t="n">
        <v>10012</v>
      </c>
      <c r="B26" s="12" t="n">
        <v>45704</v>
      </c>
      <c r="C26" s="13" t="inlineStr">
        <is>
          <t>0004</t>
        </is>
      </c>
      <c r="D26" t="n">
        <v>108</v>
      </c>
      <c r="E26" t="n">
        <v>40</v>
      </c>
      <c r="F26" t="n">
        <v>290</v>
      </c>
      <c r="G26" t="n">
        <v>5</v>
      </c>
      <c r="H26" t="inlineStr">
        <is>
          <t>Delivered</t>
        </is>
      </c>
      <c r="I26" t="inlineStr">
        <is>
          <t>Rahul Mehta</t>
        </is>
      </c>
      <c r="J26" s="14">
        <f>E26*F26*(1-G26/100)</f>
        <v/>
      </c>
      <c r="K26" s="12">
        <f>DATE(YEAR(B26),MONTH(B26),1)</f>
        <v/>
      </c>
      <c r="L26">
        <f>IF(COUNTIF($A$2:A26,A26)=1,1,0)</f>
        <v/>
      </c>
      <c r="M26">
        <f>_xlfn.XLOOKUP(C26,Customers!$A$2:$A$25,Customers!$B$2:$B$25,"not found")</f>
        <v/>
      </c>
      <c r="N26">
        <f>_xlfn.XLOOKUP(C26,Customers!$A$2:$A$25,Customers!$D$2:$D$25,"not found")</f>
        <v/>
      </c>
    </row>
    <row r="27">
      <c r="A27" t="n">
        <v>10013</v>
      </c>
      <c r="B27" s="12" t="n">
        <v>45705</v>
      </c>
      <c r="C27" s="13" t="inlineStr">
        <is>
          <t>0007</t>
        </is>
      </c>
      <c r="D27" t="n">
        <v>101</v>
      </c>
      <c r="E27" t="n">
        <v>30</v>
      </c>
      <c r="F27" t="n">
        <v>430</v>
      </c>
      <c r="G27" t="n">
        <v>5</v>
      </c>
      <c r="H27" t="inlineStr">
        <is>
          <t>Delivered</t>
        </is>
      </c>
      <c r="I27" t="inlineStr">
        <is>
          <t>Farah Khan</t>
        </is>
      </c>
      <c r="J27" s="14">
        <f>E27*F27*(1-G27/100)</f>
        <v/>
      </c>
      <c r="K27" s="12">
        <f>DATE(YEAR(B27),MONTH(B27),1)</f>
        <v/>
      </c>
      <c r="L27">
        <f>IF(COUNTIF($A$2:A27,A27)=1,1,0)</f>
        <v/>
      </c>
      <c r="M27">
        <f>_xlfn.XLOOKUP(C27,Customers!$A$2:$A$25,Customers!$B$2:$B$25,"not found")</f>
        <v/>
      </c>
      <c r="N27">
        <f>_xlfn.XLOOKUP(C27,Customers!$A$2:$A$25,Customers!$D$2:$D$25,"not found")</f>
        <v/>
      </c>
    </row>
    <row r="28">
      <c r="A28" t="n">
        <v>10013</v>
      </c>
      <c r="B28" s="12" t="n">
        <v>45705</v>
      </c>
      <c r="C28" s="13" t="inlineStr">
        <is>
          <t>0007</t>
        </is>
      </c>
      <c r="D28" t="n">
        <v>108</v>
      </c>
      <c r="E28" t="n">
        <v>30</v>
      </c>
      <c r="F28" t="n">
        <v>290</v>
      </c>
      <c r="G28" t="n">
        <v>8</v>
      </c>
      <c r="H28" t="inlineStr">
        <is>
          <t>Delivered</t>
        </is>
      </c>
      <c r="I28" t="inlineStr">
        <is>
          <t>Farah Khan</t>
        </is>
      </c>
      <c r="J28" s="14">
        <f>E28*F28*(1-G28/100)</f>
        <v/>
      </c>
      <c r="K28" s="12">
        <f>DATE(YEAR(B28),MONTH(B28),1)</f>
        <v/>
      </c>
      <c r="L28">
        <f>IF(COUNTIF($A$2:A28,A28)=1,1,0)</f>
        <v/>
      </c>
      <c r="M28">
        <f>_xlfn.XLOOKUP(C28,Customers!$A$2:$A$25,Customers!$B$2:$B$25,"not found")</f>
        <v/>
      </c>
      <c r="N28">
        <f>_xlfn.XLOOKUP(C28,Customers!$A$2:$A$25,Customers!$D$2:$D$25,"not found")</f>
        <v/>
      </c>
    </row>
    <row r="29">
      <c r="A29" t="n">
        <v>10014</v>
      </c>
      <c r="B29" s="12" t="n">
        <v>45705</v>
      </c>
      <c r="C29" s="13" t="inlineStr">
        <is>
          <t>0007</t>
        </is>
      </c>
      <c r="D29" t="n">
        <v>102</v>
      </c>
      <c r="E29" t="n">
        <v>25</v>
      </c>
      <c r="F29" t="n">
        <v>750</v>
      </c>
      <c r="G29" t="n">
        <v>8</v>
      </c>
      <c r="H29" t="inlineStr">
        <is>
          <t>Delivered</t>
        </is>
      </c>
      <c r="I29" t="inlineStr">
        <is>
          <t>Farah Khan</t>
        </is>
      </c>
      <c r="J29" s="14">
        <f>E29*F29*(1-G29/100)</f>
        <v/>
      </c>
      <c r="K29" s="12">
        <f>DATE(YEAR(B29),MONTH(B29),1)</f>
        <v/>
      </c>
      <c r="L29">
        <f>IF(COUNTIF($A$2:A29,A29)=1,1,0)</f>
        <v/>
      </c>
      <c r="M29">
        <f>_xlfn.XLOOKUP(C29,Customers!$A$2:$A$25,Customers!$B$2:$B$25,"not found")</f>
        <v/>
      </c>
      <c r="N29">
        <f>_xlfn.XLOOKUP(C29,Customers!$A$2:$A$25,Customers!$D$2:$D$25,"not found")</f>
        <v/>
      </c>
    </row>
    <row r="30">
      <c r="A30" t="n">
        <v>10015</v>
      </c>
      <c r="B30" s="12" t="n">
        <v>45708</v>
      </c>
      <c r="C30" s="13" t="inlineStr">
        <is>
          <t>0006</t>
        </is>
      </c>
      <c r="D30" t="n">
        <v>108</v>
      </c>
      <c r="E30" t="n">
        <v>20</v>
      </c>
      <c r="F30" t="n">
        <v>290</v>
      </c>
      <c r="G30" t="n">
        <v>0</v>
      </c>
      <c r="H30" t="inlineStr">
        <is>
          <t>Delivered</t>
        </is>
      </c>
      <c r="I30" t="inlineStr"/>
      <c r="J30" s="14">
        <f>E30*F30*(1-G30/100)</f>
        <v/>
      </c>
      <c r="K30" s="12">
        <f>DATE(YEAR(B30),MONTH(B30),1)</f>
        <v/>
      </c>
      <c r="L30">
        <f>IF(COUNTIF($A$2:A30,A30)=1,1,0)</f>
        <v/>
      </c>
      <c r="M30">
        <f>_xlfn.XLOOKUP(C30,Customers!$A$2:$A$25,Customers!$B$2:$B$25,"not found")</f>
        <v/>
      </c>
      <c r="N30">
        <f>_xlfn.XLOOKUP(C30,Customers!$A$2:$A$25,Customers!$D$2:$D$25,"not found")</f>
        <v/>
      </c>
    </row>
    <row r="31">
      <c r="A31" t="n">
        <v>10016</v>
      </c>
      <c r="B31" s="12" t="n">
        <v>45708</v>
      </c>
      <c r="C31" s="13" t="inlineStr">
        <is>
          <t>0012</t>
        </is>
      </c>
      <c r="D31" t="n">
        <v>101</v>
      </c>
      <c r="E31" t="n">
        <v>25</v>
      </c>
      <c r="F31" t="n">
        <v>430</v>
      </c>
      <c r="G31" t="n">
        <v>0</v>
      </c>
      <c r="H31" t="inlineStr">
        <is>
          <t>Delivered</t>
        </is>
      </c>
      <c r="I31" t="inlineStr">
        <is>
          <t>Neha Kulkarni</t>
        </is>
      </c>
      <c r="J31" s="14">
        <f>E31*F31*(1-G31/100)</f>
        <v/>
      </c>
      <c r="K31" s="12">
        <f>DATE(YEAR(B31),MONTH(B31),1)</f>
        <v/>
      </c>
      <c r="L31">
        <f>IF(COUNTIF($A$2:A31,A31)=1,1,0)</f>
        <v/>
      </c>
      <c r="M31">
        <f>_xlfn.XLOOKUP(C31,Customers!$A$2:$A$25,Customers!$B$2:$B$25,"not found")</f>
        <v/>
      </c>
      <c r="N31">
        <f>_xlfn.XLOOKUP(C31,Customers!$A$2:$A$25,Customers!$D$2:$D$25,"not found")</f>
        <v/>
      </c>
    </row>
    <row r="32">
      <c r="A32" t="n">
        <v>10016</v>
      </c>
      <c r="B32" s="12" t="n">
        <v>45708</v>
      </c>
      <c r="C32" s="13" t="inlineStr">
        <is>
          <t>0012</t>
        </is>
      </c>
      <c r="D32" t="n">
        <v>103</v>
      </c>
      <c r="E32" t="n">
        <v>50</v>
      </c>
      <c r="F32" t="n">
        <v>115</v>
      </c>
      <c r="G32" t="n">
        <v>5</v>
      </c>
      <c r="H32" t="inlineStr">
        <is>
          <t>Delivered</t>
        </is>
      </c>
      <c r="I32" t="inlineStr">
        <is>
          <t>Neha Kulkarni</t>
        </is>
      </c>
      <c r="J32" s="14">
        <f>E32*F32*(1-G32/100)</f>
        <v/>
      </c>
      <c r="K32" s="12">
        <f>DATE(YEAR(B32),MONTH(B32),1)</f>
        <v/>
      </c>
      <c r="L32">
        <f>IF(COUNTIF($A$2:A32,A32)=1,1,0)</f>
        <v/>
      </c>
      <c r="M32">
        <f>_xlfn.XLOOKUP(C32,Customers!$A$2:$A$25,Customers!$B$2:$B$25,"not found")</f>
        <v/>
      </c>
      <c r="N32">
        <f>_xlfn.XLOOKUP(C32,Customers!$A$2:$A$25,Customers!$D$2:$D$25,"not found")</f>
        <v/>
      </c>
    </row>
    <row r="33">
      <c r="A33" t="n">
        <v>10016</v>
      </c>
      <c r="B33" s="12" t="n">
        <v>45708</v>
      </c>
      <c r="C33" s="13" t="inlineStr">
        <is>
          <t>0012</t>
        </is>
      </c>
      <c r="D33" t="n">
        <v>108</v>
      </c>
      <c r="E33" t="n">
        <v>30</v>
      </c>
      <c r="F33" t="n">
        <v>290</v>
      </c>
      <c r="G33" t="n">
        <v>0</v>
      </c>
      <c r="H33" t="inlineStr">
        <is>
          <t>Delivered</t>
        </is>
      </c>
      <c r="I33" t="inlineStr">
        <is>
          <t>Neha Kulkarni</t>
        </is>
      </c>
      <c r="J33" s="14">
        <f>E33*F33*(1-G33/100)</f>
        <v/>
      </c>
      <c r="K33" s="12">
        <f>DATE(YEAR(B33),MONTH(B33),1)</f>
        <v/>
      </c>
      <c r="L33">
        <f>IF(COUNTIF($A$2:A33,A33)=1,1,0)</f>
        <v/>
      </c>
      <c r="M33">
        <f>_xlfn.XLOOKUP(C33,Customers!$A$2:$A$25,Customers!$B$2:$B$25,"not found")</f>
        <v/>
      </c>
      <c r="N33">
        <f>_xlfn.XLOOKUP(C33,Customers!$A$2:$A$25,Customers!$D$2:$D$25,"not found")</f>
        <v/>
      </c>
    </row>
    <row r="34">
      <c r="A34" t="n">
        <v>10017</v>
      </c>
      <c r="B34" s="12" t="n">
        <v>45713</v>
      </c>
      <c r="C34" s="13" t="inlineStr">
        <is>
          <t>0005</t>
        </is>
      </c>
      <c r="D34" t="n">
        <v>107</v>
      </c>
      <c r="E34" t="n">
        <v>40</v>
      </c>
      <c r="F34" t="n">
        <v>380</v>
      </c>
      <c r="G34" t="n">
        <v>5</v>
      </c>
      <c r="H34" t="inlineStr">
        <is>
          <t>Delivered</t>
        </is>
      </c>
      <c r="I34" t="inlineStr">
        <is>
          <t>Rahul Mehta</t>
        </is>
      </c>
      <c r="J34" s="14">
        <f>E34*F34*(1-G34/100)</f>
        <v/>
      </c>
      <c r="K34" s="12">
        <f>DATE(YEAR(B34),MONTH(B34),1)</f>
        <v/>
      </c>
      <c r="L34">
        <f>IF(COUNTIF($A$2:A34,A34)=1,1,0)</f>
        <v/>
      </c>
      <c r="M34">
        <f>_xlfn.XLOOKUP(C34,Customers!$A$2:$A$25,Customers!$B$2:$B$25,"not found")</f>
        <v/>
      </c>
      <c r="N34">
        <f>_xlfn.XLOOKUP(C34,Customers!$A$2:$A$25,Customers!$D$2:$D$25,"not found")</f>
        <v/>
      </c>
    </row>
    <row r="35">
      <c r="A35" t="n">
        <v>10018</v>
      </c>
      <c r="B35" s="12" t="n">
        <v>45716</v>
      </c>
      <c r="C35" s="13" t="inlineStr">
        <is>
          <t>0001</t>
        </is>
      </c>
      <c r="D35" t="n">
        <v>101</v>
      </c>
      <c r="E35" t="n">
        <v>25</v>
      </c>
      <c r="F35" t="n">
        <v>430</v>
      </c>
      <c r="G35" t="n">
        <v>5</v>
      </c>
      <c r="H35" t="inlineStr">
        <is>
          <t>Delivered</t>
        </is>
      </c>
      <c r="I35" t="inlineStr">
        <is>
          <t>Neha Kulkarni</t>
        </is>
      </c>
      <c r="J35" s="14">
        <f>E35*F35*(1-G35/100)</f>
        <v/>
      </c>
      <c r="K35" s="12">
        <f>DATE(YEAR(B35),MONTH(B35),1)</f>
        <v/>
      </c>
      <c r="L35">
        <f>IF(COUNTIF($A$2:A35,A35)=1,1,0)</f>
        <v/>
      </c>
      <c r="M35">
        <f>_xlfn.XLOOKUP(C35,Customers!$A$2:$A$25,Customers!$B$2:$B$25,"not found")</f>
        <v/>
      </c>
      <c r="N35">
        <f>_xlfn.XLOOKUP(C35,Customers!$A$2:$A$25,Customers!$D$2:$D$25,"not found")</f>
        <v/>
      </c>
    </row>
    <row r="36">
      <c r="A36" t="n">
        <v>10018</v>
      </c>
      <c r="B36" s="12" t="n">
        <v>45716</v>
      </c>
      <c r="C36" s="13" t="inlineStr">
        <is>
          <t>0001</t>
        </is>
      </c>
      <c r="D36" t="n">
        <v>108</v>
      </c>
      <c r="E36" t="n">
        <v>15</v>
      </c>
      <c r="F36" t="n">
        <v>290</v>
      </c>
      <c r="G36" t="n">
        <v>0</v>
      </c>
      <c r="H36" t="inlineStr">
        <is>
          <t>Delivered</t>
        </is>
      </c>
      <c r="I36" t="inlineStr">
        <is>
          <t>Neha Kulkarni</t>
        </is>
      </c>
      <c r="J36" s="14">
        <f>E36*F36*(1-G36/100)</f>
        <v/>
      </c>
      <c r="K36" s="12">
        <f>DATE(YEAR(B36),MONTH(B36),1)</f>
        <v/>
      </c>
      <c r="L36">
        <f>IF(COUNTIF($A$2:A36,A36)=1,1,0)</f>
        <v/>
      </c>
      <c r="M36">
        <f>_xlfn.XLOOKUP(C36,Customers!$A$2:$A$25,Customers!$B$2:$B$25,"not found")</f>
        <v/>
      </c>
      <c r="N36">
        <f>_xlfn.XLOOKUP(C36,Customers!$A$2:$A$25,Customers!$D$2:$D$25,"not found")</f>
        <v/>
      </c>
    </row>
    <row r="37">
      <c r="A37" t="n">
        <v>10019</v>
      </c>
      <c r="B37" s="12" t="n">
        <v>45720</v>
      </c>
      <c r="C37" s="13" t="inlineStr">
        <is>
          <t>0003</t>
        </is>
      </c>
      <c r="D37" t="n">
        <v>103</v>
      </c>
      <c r="E37" t="n">
        <v>40</v>
      </c>
      <c r="F37" t="n">
        <v>115</v>
      </c>
      <c r="G37" t="n">
        <v>0</v>
      </c>
      <c r="H37" t="inlineStr">
        <is>
          <t>Delivered</t>
        </is>
      </c>
      <c r="I37" t="inlineStr">
        <is>
          <t>Farah Khan</t>
        </is>
      </c>
      <c r="J37" s="14">
        <f>E37*F37*(1-G37/100)</f>
        <v/>
      </c>
      <c r="K37" s="12">
        <f>DATE(YEAR(B37),MONTH(B37),1)</f>
        <v/>
      </c>
      <c r="L37">
        <f>IF(COUNTIF($A$2:A37,A37)=1,1,0)</f>
        <v/>
      </c>
      <c r="M37">
        <f>_xlfn.XLOOKUP(C37,Customers!$A$2:$A$25,Customers!$B$2:$B$25,"not found")</f>
        <v/>
      </c>
      <c r="N37">
        <f>_xlfn.XLOOKUP(C37,Customers!$A$2:$A$25,Customers!$D$2:$D$25,"not found")</f>
        <v/>
      </c>
    </row>
    <row r="38">
      <c r="A38" t="n">
        <v>10019</v>
      </c>
      <c r="B38" s="12" t="n">
        <v>45720</v>
      </c>
      <c r="C38" s="13" t="inlineStr">
        <is>
          <t>0003</t>
        </is>
      </c>
      <c r="D38" t="n">
        <v>107</v>
      </c>
      <c r="E38" t="n">
        <v>35</v>
      </c>
      <c r="F38" t="n">
        <v>380</v>
      </c>
      <c r="G38" t="n">
        <v>5</v>
      </c>
      <c r="H38" t="inlineStr">
        <is>
          <t>Delivered</t>
        </is>
      </c>
      <c r="I38" t="inlineStr">
        <is>
          <t>Farah Khan</t>
        </is>
      </c>
      <c r="J38" s="14">
        <f>E38*F38*(1-G38/100)</f>
        <v/>
      </c>
      <c r="K38" s="12">
        <f>DATE(YEAR(B38),MONTH(B38),1)</f>
        <v/>
      </c>
      <c r="L38">
        <f>IF(COUNTIF($A$2:A38,A38)=1,1,0)</f>
        <v/>
      </c>
      <c r="M38">
        <f>_xlfn.XLOOKUP(C38,Customers!$A$2:$A$25,Customers!$B$2:$B$25,"not found")</f>
        <v/>
      </c>
      <c r="N38">
        <f>_xlfn.XLOOKUP(C38,Customers!$A$2:$A$25,Customers!$D$2:$D$25,"not found")</f>
        <v/>
      </c>
    </row>
    <row r="39">
      <c r="A39" t="n">
        <v>10020</v>
      </c>
      <c r="B39" s="12" t="n">
        <v>45726</v>
      </c>
      <c r="C39" s="13" t="inlineStr">
        <is>
          <t>0004</t>
        </is>
      </c>
      <c r="D39" t="n">
        <v>101</v>
      </c>
      <c r="E39" t="n">
        <v>15</v>
      </c>
      <c r="F39" t="n">
        <v>430</v>
      </c>
      <c r="G39" t="n">
        <v>5</v>
      </c>
      <c r="H39" t="inlineStr">
        <is>
          <t>Delivered</t>
        </is>
      </c>
      <c r="I39" t="inlineStr">
        <is>
          <t>Rahul Mehta</t>
        </is>
      </c>
      <c r="J39" s="14">
        <f>E39*F39*(1-G39/100)</f>
        <v/>
      </c>
      <c r="K39" s="12">
        <f>DATE(YEAR(B39),MONTH(B39),1)</f>
        <v/>
      </c>
      <c r="L39">
        <f>IF(COUNTIF($A$2:A39,A39)=1,1,0)</f>
        <v/>
      </c>
      <c r="M39">
        <f>_xlfn.XLOOKUP(C39,Customers!$A$2:$A$25,Customers!$B$2:$B$25,"not found")</f>
        <v/>
      </c>
      <c r="N39">
        <f>_xlfn.XLOOKUP(C39,Customers!$A$2:$A$25,Customers!$D$2:$D$25,"not found")</f>
        <v/>
      </c>
    </row>
    <row r="40">
      <c r="A40" t="n">
        <v>10020</v>
      </c>
      <c r="B40" s="12" t="n">
        <v>45726</v>
      </c>
      <c r="C40" s="13" t="inlineStr">
        <is>
          <t>0004</t>
        </is>
      </c>
      <c r="D40" t="n">
        <v>102</v>
      </c>
      <c r="E40" t="n">
        <v>15</v>
      </c>
      <c r="F40" t="n">
        <v>750</v>
      </c>
      <c r="G40" t="n">
        <v>12</v>
      </c>
      <c r="H40" t="inlineStr">
        <is>
          <t>Delivered</t>
        </is>
      </c>
      <c r="I40" t="inlineStr">
        <is>
          <t>Rahul Mehta</t>
        </is>
      </c>
      <c r="J40" s="14">
        <f>E40*F40*(1-G40/100)</f>
        <v/>
      </c>
      <c r="K40" s="12">
        <f>DATE(YEAR(B40),MONTH(B40),1)</f>
        <v/>
      </c>
      <c r="L40">
        <f>IF(COUNTIF($A$2:A40,A40)=1,1,0)</f>
        <v/>
      </c>
      <c r="M40">
        <f>_xlfn.XLOOKUP(C40,Customers!$A$2:$A$25,Customers!$B$2:$B$25,"not found")</f>
        <v/>
      </c>
      <c r="N40">
        <f>_xlfn.XLOOKUP(C40,Customers!$A$2:$A$25,Customers!$D$2:$D$25,"not found")</f>
        <v/>
      </c>
    </row>
    <row r="41">
      <c r="A41" t="n">
        <v>10020</v>
      </c>
      <c r="B41" s="12" t="n">
        <v>45726</v>
      </c>
      <c r="C41" s="13" t="inlineStr">
        <is>
          <t>0004</t>
        </is>
      </c>
      <c r="D41" t="n">
        <v>105</v>
      </c>
      <c r="E41" t="n">
        <v>25</v>
      </c>
      <c r="F41" t="n">
        <v>1400</v>
      </c>
      <c r="G41" t="n">
        <v>10</v>
      </c>
      <c r="H41" t="inlineStr">
        <is>
          <t>Delivered</t>
        </is>
      </c>
      <c r="I41" t="inlineStr">
        <is>
          <t>Rahul Mehta</t>
        </is>
      </c>
      <c r="J41" s="14">
        <f>E41*F41*(1-G41/100)</f>
        <v/>
      </c>
      <c r="K41" s="12">
        <f>DATE(YEAR(B41),MONTH(B41),1)</f>
        <v/>
      </c>
      <c r="L41">
        <f>IF(COUNTIF($A$2:A41,A41)=1,1,0)</f>
        <v/>
      </c>
      <c r="M41">
        <f>_xlfn.XLOOKUP(C41,Customers!$A$2:$A$25,Customers!$B$2:$B$25,"not found")</f>
        <v/>
      </c>
      <c r="N41">
        <f>_xlfn.XLOOKUP(C41,Customers!$A$2:$A$25,Customers!$D$2:$D$25,"not found")</f>
        <v/>
      </c>
    </row>
    <row r="42">
      <c r="A42" t="n">
        <v>10021</v>
      </c>
      <c r="B42" s="12" t="n">
        <v>45734</v>
      </c>
      <c r="C42" s="13" t="inlineStr">
        <is>
          <t>0005</t>
        </is>
      </c>
      <c r="D42" t="n">
        <v>104</v>
      </c>
      <c r="E42" t="n">
        <v>15</v>
      </c>
      <c r="F42" t="n">
        <v>620</v>
      </c>
      <c r="G42" t="n">
        <v>0</v>
      </c>
      <c r="H42" t="inlineStr">
        <is>
          <t>Delivered</t>
        </is>
      </c>
      <c r="I42" t="inlineStr">
        <is>
          <t>Rahul Mehta</t>
        </is>
      </c>
      <c r="J42" s="14">
        <f>E42*F42*(1-G42/100)</f>
        <v/>
      </c>
      <c r="K42" s="12">
        <f>DATE(YEAR(B42),MONTH(B42),1)</f>
        <v/>
      </c>
      <c r="L42">
        <f>IF(COUNTIF($A$2:A42,A42)=1,1,0)</f>
        <v/>
      </c>
      <c r="M42">
        <f>_xlfn.XLOOKUP(C42,Customers!$A$2:$A$25,Customers!$B$2:$B$25,"not found")</f>
        <v/>
      </c>
      <c r="N42">
        <f>_xlfn.XLOOKUP(C42,Customers!$A$2:$A$25,Customers!$D$2:$D$25,"not found")</f>
        <v/>
      </c>
    </row>
    <row r="43">
      <c r="A43" t="n">
        <v>10022</v>
      </c>
      <c r="B43" s="12" t="n">
        <v>45737</v>
      </c>
      <c r="C43" s="13" t="inlineStr">
        <is>
          <t>0001</t>
        </is>
      </c>
      <c r="D43" t="n">
        <v>102</v>
      </c>
      <c r="E43" t="n">
        <v>45</v>
      </c>
      <c r="F43" t="n">
        <v>750</v>
      </c>
      <c r="G43" t="n">
        <v>0</v>
      </c>
      <c r="H43" t="inlineStr">
        <is>
          <t>Delivered</t>
        </is>
      </c>
      <c r="I43" t="inlineStr">
        <is>
          <t>Neha Kulkarni</t>
        </is>
      </c>
      <c r="J43" s="14">
        <f>E43*F43*(1-G43/100)</f>
        <v/>
      </c>
      <c r="K43" s="12">
        <f>DATE(YEAR(B43),MONTH(B43),1)</f>
        <v/>
      </c>
      <c r="L43">
        <f>IF(COUNTIF($A$2:A43,A43)=1,1,0)</f>
        <v/>
      </c>
      <c r="M43">
        <f>_xlfn.XLOOKUP(C43,Customers!$A$2:$A$25,Customers!$B$2:$B$25,"not found")</f>
        <v/>
      </c>
      <c r="N43">
        <f>_xlfn.XLOOKUP(C43,Customers!$A$2:$A$25,Customers!$D$2:$D$25,"not found")</f>
        <v/>
      </c>
    </row>
    <row r="44">
      <c r="A44" t="n">
        <v>10022</v>
      </c>
      <c r="B44" s="12" t="n">
        <v>45737</v>
      </c>
      <c r="C44" s="13" t="inlineStr">
        <is>
          <t>0001</t>
        </is>
      </c>
      <c r="D44" t="n">
        <v>107</v>
      </c>
      <c r="E44" t="n">
        <v>15</v>
      </c>
      <c r="F44" t="n">
        <v>380</v>
      </c>
      <c r="G44" t="n">
        <v>0</v>
      </c>
      <c r="H44" t="inlineStr">
        <is>
          <t>Delivered</t>
        </is>
      </c>
      <c r="I44" t="inlineStr">
        <is>
          <t>Neha Kulkarni</t>
        </is>
      </c>
      <c r="J44" s="14">
        <f>E44*F44*(1-G44/100)</f>
        <v/>
      </c>
      <c r="K44" s="12">
        <f>DATE(YEAR(B44),MONTH(B44),1)</f>
        <v/>
      </c>
      <c r="L44">
        <f>IF(COUNTIF($A$2:A44,A44)=1,1,0)</f>
        <v/>
      </c>
      <c r="M44">
        <f>_xlfn.XLOOKUP(C44,Customers!$A$2:$A$25,Customers!$B$2:$B$25,"not found")</f>
        <v/>
      </c>
      <c r="N44">
        <f>_xlfn.XLOOKUP(C44,Customers!$A$2:$A$25,Customers!$D$2:$D$25,"not found")</f>
        <v/>
      </c>
    </row>
    <row r="45">
      <c r="A45" t="n">
        <v>10023</v>
      </c>
      <c r="B45" s="12" t="n">
        <v>45737</v>
      </c>
      <c r="C45" s="13" t="inlineStr">
        <is>
          <t>0008</t>
        </is>
      </c>
      <c r="D45" t="n">
        <v>108</v>
      </c>
      <c r="E45" t="n">
        <v>10</v>
      </c>
      <c r="F45" t="n">
        <v>290</v>
      </c>
      <c r="G45" t="n">
        <v>0</v>
      </c>
      <c r="H45" t="inlineStr">
        <is>
          <t>Delivered</t>
        </is>
      </c>
      <c r="I45" t="inlineStr">
        <is>
          <t>Neha Kulkarni</t>
        </is>
      </c>
      <c r="J45" s="14">
        <f>E45*F45*(1-G45/100)</f>
        <v/>
      </c>
      <c r="K45" s="12">
        <f>DATE(YEAR(B45),MONTH(B45),1)</f>
        <v/>
      </c>
      <c r="L45">
        <f>IF(COUNTIF($A$2:A45,A45)=1,1,0)</f>
        <v/>
      </c>
      <c r="M45">
        <f>_xlfn.XLOOKUP(C45,Customers!$A$2:$A$25,Customers!$B$2:$B$25,"not found")</f>
        <v/>
      </c>
      <c r="N45">
        <f>_xlfn.XLOOKUP(C45,Customers!$A$2:$A$25,Customers!$D$2:$D$25,"not found")</f>
        <v/>
      </c>
    </row>
    <row r="46">
      <c r="A46" t="n">
        <v>10024</v>
      </c>
      <c r="B46" s="12" t="n">
        <v>45738</v>
      </c>
      <c r="C46" s="13" t="inlineStr">
        <is>
          <t>0007</t>
        </is>
      </c>
      <c r="D46" t="n">
        <v>101</v>
      </c>
      <c r="E46" t="n">
        <v>35</v>
      </c>
      <c r="F46" t="n">
        <v>430</v>
      </c>
      <c r="G46" t="n">
        <v>10</v>
      </c>
      <c r="H46" t="inlineStr">
        <is>
          <t>Delivered</t>
        </is>
      </c>
      <c r="I46" t="inlineStr">
        <is>
          <t>Farah Khan</t>
        </is>
      </c>
      <c r="J46" s="14">
        <f>E46*F46*(1-G46/100)</f>
        <v/>
      </c>
      <c r="K46" s="12">
        <f>DATE(YEAR(B46),MONTH(B46),1)</f>
        <v/>
      </c>
      <c r="L46">
        <f>IF(COUNTIF($A$2:A46,A46)=1,1,0)</f>
        <v/>
      </c>
      <c r="M46">
        <f>_xlfn.XLOOKUP(C46,Customers!$A$2:$A$25,Customers!$B$2:$B$25,"not found")</f>
        <v/>
      </c>
      <c r="N46">
        <f>_xlfn.XLOOKUP(C46,Customers!$A$2:$A$25,Customers!$D$2:$D$25,"not found")</f>
        <v/>
      </c>
    </row>
    <row r="47">
      <c r="A47" t="n">
        <v>10024</v>
      </c>
      <c r="B47" s="12" t="n">
        <v>45738</v>
      </c>
      <c r="C47" s="13" t="inlineStr">
        <is>
          <t>0007</t>
        </is>
      </c>
      <c r="D47" t="n">
        <v>102</v>
      </c>
      <c r="E47" t="n">
        <v>20</v>
      </c>
      <c r="F47" t="n">
        <v>750</v>
      </c>
      <c r="G47" t="n">
        <v>5</v>
      </c>
      <c r="H47" t="inlineStr">
        <is>
          <t>Delivered</t>
        </is>
      </c>
      <c r="I47" t="inlineStr">
        <is>
          <t>Farah Khan</t>
        </is>
      </c>
      <c r="J47" s="14">
        <f>E47*F47*(1-G47/100)</f>
        <v/>
      </c>
      <c r="K47" s="12">
        <f>DATE(YEAR(B47),MONTH(B47),1)</f>
        <v/>
      </c>
      <c r="L47">
        <f>IF(COUNTIF($A$2:A47,A47)=1,1,0)</f>
        <v/>
      </c>
      <c r="M47">
        <f>_xlfn.XLOOKUP(C47,Customers!$A$2:$A$25,Customers!$B$2:$B$25,"not found")</f>
        <v/>
      </c>
      <c r="N47">
        <f>_xlfn.XLOOKUP(C47,Customers!$A$2:$A$25,Customers!$D$2:$D$25,"not found")</f>
        <v/>
      </c>
    </row>
    <row r="48">
      <c r="A48" t="n">
        <v>10025</v>
      </c>
      <c r="B48" s="12" t="n">
        <v>45738</v>
      </c>
      <c r="C48" s="13" t="inlineStr">
        <is>
          <t>0010</t>
        </is>
      </c>
      <c r="D48" t="n">
        <v>102</v>
      </c>
      <c r="E48" t="n">
        <v>30</v>
      </c>
      <c r="F48" t="n">
        <v>750</v>
      </c>
      <c r="G48" t="n">
        <v>5</v>
      </c>
      <c r="H48" t="inlineStr">
        <is>
          <t>Delivered</t>
        </is>
      </c>
      <c r="I48" t="inlineStr">
        <is>
          <t>Rahul Mehta</t>
        </is>
      </c>
      <c r="J48" s="14">
        <f>E48*F48*(1-G48/100)</f>
        <v/>
      </c>
      <c r="K48" s="12">
        <f>DATE(YEAR(B48),MONTH(B48),1)</f>
        <v/>
      </c>
      <c r="L48">
        <f>IF(COUNTIF($A$2:A48,A48)=1,1,0)</f>
        <v/>
      </c>
      <c r="M48">
        <f>_xlfn.XLOOKUP(C48,Customers!$A$2:$A$25,Customers!$B$2:$B$25,"not found")</f>
        <v/>
      </c>
      <c r="N48">
        <f>_xlfn.XLOOKUP(C48,Customers!$A$2:$A$25,Customers!$D$2:$D$25,"not found")</f>
        <v/>
      </c>
    </row>
    <row r="49">
      <c r="A49" t="n">
        <v>10026</v>
      </c>
      <c r="B49" s="12" t="n">
        <v>45742</v>
      </c>
      <c r="C49" s="13" t="inlineStr">
        <is>
          <t>0012</t>
        </is>
      </c>
      <c r="D49" t="n">
        <v>101</v>
      </c>
      <c r="E49" t="n">
        <v>55</v>
      </c>
      <c r="F49" t="n">
        <v>430</v>
      </c>
      <c r="G49" t="n">
        <v>0</v>
      </c>
      <c r="H49" t="inlineStr">
        <is>
          <t>Delivered</t>
        </is>
      </c>
      <c r="I49" t="inlineStr">
        <is>
          <t>Neha Kulkarni</t>
        </is>
      </c>
      <c r="J49" s="14">
        <f>E49*F49*(1-G49/100)</f>
        <v/>
      </c>
      <c r="K49" s="12">
        <f>DATE(YEAR(B49),MONTH(B49),1)</f>
        <v/>
      </c>
      <c r="L49">
        <f>IF(COUNTIF($A$2:A49,A49)=1,1,0)</f>
        <v/>
      </c>
      <c r="M49">
        <f>_xlfn.XLOOKUP(C49,Customers!$A$2:$A$25,Customers!$B$2:$B$25,"not found")</f>
        <v/>
      </c>
      <c r="N49">
        <f>_xlfn.XLOOKUP(C49,Customers!$A$2:$A$25,Customers!$D$2:$D$25,"not found")</f>
        <v/>
      </c>
    </row>
    <row r="50">
      <c r="A50" t="n">
        <v>10026</v>
      </c>
      <c r="B50" s="12" t="n">
        <v>45742</v>
      </c>
      <c r="C50" s="13" t="inlineStr">
        <is>
          <t>0012</t>
        </is>
      </c>
      <c r="D50" t="n">
        <v>107</v>
      </c>
      <c r="E50" t="n">
        <v>45</v>
      </c>
      <c r="F50" t="n">
        <v>380</v>
      </c>
      <c r="G50" t="n">
        <v>0</v>
      </c>
      <c r="H50" t="inlineStr">
        <is>
          <t>Delivered</t>
        </is>
      </c>
      <c r="I50" t="inlineStr">
        <is>
          <t>Neha Kulkarni</t>
        </is>
      </c>
      <c r="J50" s="14">
        <f>E50*F50*(1-G50/100)</f>
        <v/>
      </c>
      <c r="K50" s="12">
        <f>DATE(YEAR(B50),MONTH(B50),1)</f>
        <v/>
      </c>
      <c r="L50">
        <f>IF(COUNTIF($A$2:A50,A50)=1,1,0)</f>
        <v/>
      </c>
      <c r="M50">
        <f>_xlfn.XLOOKUP(C50,Customers!$A$2:$A$25,Customers!$B$2:$B$25,"not found")</f>
        <v/>
      </c>
      <c r="N50">
        <f>_xlfn.XLOOKUP(C50,Customers!$A$2:$A$25,Customers!$D$2:$D$25,"not found")</f>
        <v/>
      </c>
    </row>
    <row r="51">
      <c r="A51" t="n">
        <v>10027</v>
      </c>
      <c r="B51" s="12" t="n">
        <v>45743</v>
      </c>
      <c r="C51" s="13" t="inlineStr">
        <is>
          <t>0013</t>
        </is>
      </c>
      <c r="D51" t="n">
        <v>108</v>
      </c>
      <c r="E51" t="n">
        <v>40</v>
      </c>
      <c r="F51" t="n">
        <v>290</v>
      </c>
      <c r="G51" t="n">
        <v>0</v>
      </c>
      <c r="H51" t="inlineStr">
        <is>
          <t>Delivered</t>
        </is>
      </c>
      <c r="I51" t="inlineStr">
        <is>
          <t>Neha Kulkarni</t>
        </is>
      </c>
      <c r="J51" s="14">
        <f>E51*F51*(1-G51/100)</f>
        <v/>
      </c>
      <c r="K51" s="12">
        <f>DATE(YEAR(B51),MONTH(B51),1)</f>
        <v/>
      </c>
      <c r="L51">
        <f>IF(COUNTIF($A$2:A51,A51)=1,1,0)</f>
        <v/>
      </c>
      <c r="M51">
        <f>_xlfn.XLOOKUP(C51,Customers!$A$2:$A$25,Customers!$B$2:$B$25,"not found")</f>
        <v/>
      </c>
      <c r="N51">
        <f>_xlfn.XLOOKUP(C51,Customers!$A$2:$A$25,Customers!$D$2:$D$25,"not found")</f>
        <v/>
      </c>
    </row>
    <row r="52">
      <c r="A52" t="n">
        <v>10028</v>
      </c>
      <c r="B52" s="12" t="n">
        <v>45744</v>
      </c>
      <c r="C52" s="13" t="inlineStr">
        <is>
          <t>0001</t>
        </is>
      </c>
      <c r="D52" t="n">
        <v>102</v>
      </c>
      <c r="E52" t="n">
        <v>35</v>
      </c>
      <c r="F52" t="n">
        <v>750</v>
      </c>
      <c r="G52" t="n">
        <v>5</v>
      </c>
      <c r="H52" t="inlineStr">
        <is>
          <t>Delivered</t>
        </is>
      </c>
      <c r="I52" t="inlineStr">
        <is>
          <t>Neha Kulkarni</t>
        </is>
      </c>
      <c r="J52" s="14">
        <f>E52*F52*(1-G52/100)</f>
        <v/>
      </c>
      <c r="K52" s="12">
        <f>DATE(YEAR(B52),MONTH(B52),1)</f>
        <v/>
      </c>
      <c r="L52">
        <f>IF(COUNTIF($A$2:A52,A52)=1,1,0)</f>
        <v/>
      </c>
      <c r="M52">
        <f>_xlfn.XLOOKUP(C52,Customers!$A$2:$A$25,Customers!$B$2:$B$25,"not found")</f>
        <v/>
      </c>
      <c r="N52">
        <f>_xlfn.XLOOKUP(C52,Customers!$A$2:$A$25,Customers!$D$2:$D$25,"not found")</f>
        <v/>
      </c>
    </row>
    <row r="53">
      <c r="A53" t="n">
        <v>10029</v>
      </c>
      <c r="B53" s="12" t="n">
        <v>45744</v>
      </c>
      <c r="C53" s="13" t="inlineStr">
        <is>
          <t>0002</t>
        </is>
      </c>
      <c r="D53" t="n">
        <v>102</v>
      </c>
      <c r="E53" t="n">
        <v>25</v>
      </c>
      <c r="F53" t="n">
        <v>750</v>
      </c>
      <c r="G53" t="n">
        <v>0</v>
      </c>
      <c r="H53" t="inlineStr">
        <is>
          <t>Delivered</t>
        </is>
      </c>
      <c r="I53" t="inlineStr">
        <is>
          <t>Neha Kulkarni</t>
        </is>
      </c>
      <c r="J53" s="14">
        <f>E53*F53*(1-G53/100)</f>
        <v/>
      </c>
      <c r="K53" s="12">
        <f>DATE(YEAR(B53),MONTH(B53),1)</f>
        <v/>
      </c>
      <c r="L53">
        <f>IF(COUNTIF($A$2:A53,A53)=1,1,0)</f>
        <v/>
      </c>
      <c r="M53">
        <f>_xlfn.XLOOKUP(C53,Customers!$A$2:$A$25,Customers!$B$2:$B$25,"not found")</f>
        <v/>
      </c>
      <c r="N53">
        <f>_xlfn.XLOOKUP(C53,Customers!$A$2:$A$25,Customers!$D$2:$D$25,"not found")</f>
        <v/>
      </c>
    </row>
    <row r="54">
      <c r="A54" t="n">
        <v>10029</v>
      </c>
      <c r="B54" s="12" t="n">
        <v>45744</v>
      </c>
      <c r="C54" s="13" t="inlineStr">
        <is>
          <t>0002</t>
        </is>
      </c>
      <c r="D54" t="n">
        <v>106</v>
      </c>
      <c r="E54" t="n">
        <v>15</v>
      </c>
      <c r="F54" t="n">
        <v>1150</v>
      </c>
      <c r="G54" t="n">
        <v>5</v>
      </c>
      <c r="H54" t="inlineStr">
        <is>
          <t>Delivered</t>
        </is>
      </c>
      <c r="I54" t="inlineStr">
        <is>
          <t>Neha Kulkarni</t>
        </is>
      </c>
      <c r="J54" s="14">
        <f>E54*F54*(1-G54/100)</f>
        <v/>
      </c>
      <c r="K54" s="12">
        <f>DATE(YEAR(B54),MONTH(B54),1)</f>
        <v/>
      </c>
      <c r="L54">
        <f>IF(COUNTIF($A$2:A54,A54)=1,1,0)</f>
        <v/>
      </c>
      <c r="M54">
        <f>_xlfn.XLOOKUP(C54,Customers!$A$2:$A$25,Customers!$B$2:$B$25,"not found")</f>
        <v/>
      </c>
      <c r="N54">
        <f>_xlfn.XLOOKUP(C54,Customers!$A$2:$A$25,Customers!$D$2:$D$25,"not found")</f>
        <v/>
      </c>
    </row>
    <row r="55">
      <c r="A55" t="n">
        <v>10030</v>
      </c>
      <c r="B55" s="12" t="n">
        <v>45755</v>
      </c>
      <c r="C55" s="13" t="inlineStr">
        <is>
          <t>0005</t>
        </is>
      </c>
      <c r="D55" t="n">
        <v>107</v>
      </c>
      <c r="E55" t="n">
        <v>35</v>
      </c>
      <c r="F55" t="n">
        <v>380</v>
      </c>
      <c r="G55" t="n">
        <v>5</v>
      </c>
      <c r="H55" t="inlineStr">
        <is>
          <t>Delivered</t>
        </is>
      </c>
      <c r="I55" t="inlineStr">
        <is>
          <t>Rahul Mehta</t>
        </is>
      </c>
      <c r="J55" s="14">
        <f>E55*F55*(1-G55/100)</f>
        <v/>
      </c>
      <c r="K55" s="12">
        <f>DATE(YEAR(B55),MONTH(B55),1)</f>
        <v/>
      </c>
      <c r="L55">
        <f>IF(COUNTIF($A$2:A55,A55)=1,1,0)</f>
        <v/>
      </c>
      <c r="M55">
        <f>_xlfn.XLOOKUP(C55,Customers!$A$2:$A$25,Customers!$B$2:$B$25,"not found")</f>
        <v/>
      </c>
      <c r="N55">
        <f>_xlfn.XLOOKUP(C55,Customers!$A$2:$A$25,Customers!$D$2:$D$25,"not found")</f>
        <v/>
      </c>
    </row>
    <row r="56">
      <c r="A56" t="n">
        <v>10031</v>
      </c>
      <c r="B56" s="12" t="n">
        <v>45756</v>
      </c>
      <c r="C56" s="13" t="inlineStr">
        <is>
          <t>0011</t>
        </is>
      </c>
      <c r="D56" t="n">
        <v>101</v>
      </c>
      <c r="E56" t="n">
        <v>15</v>
      </c>
      <c r="F56" t="n">
        <v>430</v>
      </c>
      <c r="G56" t="n">
        <v>8</v>
      </c>
      <c r="H56" t="inlineStr">
        <is>
          <t>Delivered</t>
        </is>
      </c>
      <c r="I56" t="inlineStr">
        <is>
          <t>Rahul Mehta</t>
        </is>
      </c>
      <c r="J56" s="14">
        <f>E56*F56*(1-G56/100)</f>
        <v/>
      </c>
      <c r="K56" s="12">
        <f>DATE(YEAR(B56),MONTH(B56),1)</f>
        <v/>
      </c>
      <c r="L56">
        <f>IF(COUNTIF($A$2:A56,A56)=1,1,0)</f>
        <v/>
      </c>
      <c r="M56">
        <f>_xlfn.XLOOKUP(C56,Customers!$A$2:$A$25,Customers!$B$2:$B$25,"not found")</f>
        <v/>
      </c>
      <c r="N56">
        <f>_xlfn.XLOOKUP(C56,Customers!$A$2:$A$25,Customers!$D$2:$D$25,"not found")</f>
        <v/>
      </c>
    </row>
    <row r="57">
      <c r="A57" t="n">
        <v>10032</v>
      </c>
      <c r="B57" s="12" t="n">
        <v>45758</v>
      </c>
      <c r="C57" s="13" t="inlineStr">
        <is>
          <t>0002</t>
        </is>
      </c>
      <c r="D57" t="n">
        <v>101</v>
      </c>
      <c r="E57" t="n">
        <v>30</v>
      </c>
      <c r="F57" t="n">
        <v>430</v>
      </c>
      <c r="G57" t="n">
        <v>0</v>
      </c>
      <c r="H57" t="inlineStr">
        <is>
          <t>Delivered</t>
        </is>
      </c>
      <c r="I57" t="inlineStr">
        <is>
          <t>Neha Kulkarni</t>
        </is>
      </c>
      <c r="J57" s="14">
        <f>E57*F57*(1-G57/100)</f>
        <v/>
      </c>
      <c r="K57" s="12">
        <f>DATE(YEAR(B57),MONTH(B57),1)</f>
        <v/>
      </c>
      <c r="L57">
        <f>IF(COUNTIF($A$2:A57,A57)=1,1,0)</f>
        <v/>
      </c>
      <c r="M57">
        <f>_xlfn.XLOOKUP(C57,Customers!$A$2:$A$25,Customers!$B$2:$B$25,"not found")</f>
        <v/>
      </c>
      <c r="N57">
        <f>_xlfn.XLOOKUP(C57,Customers!$A$2:$A$25,Customers!$D$2:$D$25,"not found")</f>
        <v/>
      </c>
    </row>
    <row r="58">
      <c r="A58" t="n">
        <v>10032</v>
      </c>
      <c r="B58" s="12" t="n">
        <v>45758</v>
      </c>
      <c r="C58" s="13" t="inlineStr">
        <is>
          <t>0002</t>
        </is>
      </c>
      <c r="D58" t="n">
        <v>103</v>
      </c>
      <c r="E58" t="n">
        <v>35</v>
      </c>
      <c r="F58" t="n">
        <v>115</v>
      </c>
      <c r="G58" t="n">
        <v>0</v>
      </c>
      <c r="H58" t="inlineStr">
        <is>
          <t>Delivered</t>
        </is>
      </c>
      <c r="I58" t="inlineStr">
        <is>
          <t>Neha Kulkarni</t>
        </is>
      </c>
      <c r="J58" s="14">
        <f>E58*F58*(1-G58/100)</f>
        <v/>
      </c>
      <c r="K58" s="12">
        <f>DATE(YEAR(B58),MONTH(B58),1)</f>
        <v/>
      </c>
      <c r="L58">
        <f>IF(COUNTIF($A$2:A58,A58)=1,1,0)</f>
        <v/>
      </c>
      <c r="M58">
        <f>_xlfn.XLOOKUP(C58,Customers!$A$2:$A$25,Customers!$B$2:$B$25,"not found")</f>
        <v/>
      </c>
      <c r="N58">
        <f>_xlfn.XLOOKUP(C58,Customers!$A$2:$A$25,Customers!$D$2:$D$25,"not found")</f>
        <v/>
      </c>
    </row>
    <row r="59">
      <c r="A59" t="n">
        <v>10032</v>
      </c>
      <c r="B59" s="12" t="n">
        <v>45758</v>
      </c>
      <c r="C59" s="13" t="inlineStr">
        <is>
          <t>0002</t>
        </is>
      </c>
      <c r="D59" t="n">
        <v>108</v>
      </c>
      <c r="E59" t="n">
        <v>10</v>
      </c>
      <c r="F59" t="n">
        <v>290</v>
      </c>
      <c r="G59" t="n">
        <v>0</v>
      </c>
      <c r="H59" t="inlineStr">
        <is>
          <t>Delivered</t>
        </is>
      </c>
      <c r="I59" t="inlineStr">
        <is>
          <t>Neha Kulkarni</t>
        </is>
      </c>
      <c r="J59" s="14">
        <f>E59*F59*(1-G59/100)</f>
        <v/>
      </c>
      <c r="K59" s="12">
        <f>DATE(YEAR(B59),MONTH(B59),1)</f>
        <v/>
      </c>
      <c r="L59">
        <f>IF(COUNTIF($A$2:A59,A59)=1,1,0)</f>
        <v/>
      </c>
      <c r="M59">
        <f>_xlfn.XLOOKUP(C59,Customers!$A$2:$A$25,Customers!$B$2:$B$25,"not found")</f>
        <v/>
      </c>
      <c r="N59">
        <f>_xlfn.XLOOKUP(C59,Customers!$A$2:$A$25,Customers!$D$2:$D$25,"not found")</f>
        <v/>
      </c>
    </row>
    <row r="60">
      <c r="A60" t="n">
        <v>10033</v>
      </c>
      <c r="B60" s="12" t="n">
        <v>45758</v>
      </c>
      <c r="C60" s="13" t="inlineStr">
        <is>
          <t>0003</t>
        </is>
      </c>
      <c r="D60" t="n">
        <v>104</v>
      </c>
      <c r="E60" t="n">
        <v>10</v>
      </c>
      <c r="F60" t="n">
        <v>620</v>
      </c>
      <c r="G60" t="n">
        <v>5</v>
      </c>
      <c r="H60" t="inlineStr">
        <is>
          <t>Delivered</t>
        </is>
      </c>
      <c r="I60" t="inlineStr">
        <is>
          <t>Farah Khan</t>
        </is>
      </c>
      <c r="J60" s="14">
        <f>E60*F60*(1-G60/100)</f>
        <v/>
      </c>
      <c r="K60" s="12">
        <f>DATE(YEAR(B60),MONTH(B60),1)</f>
        <v/>
      </c>
      <c r="L60">
        <f>IF(COUNTIF($A$2:A60,A60)=1,1,0)</f>
        <v/>
      </c>
      <c r="M60">
        <f>_xlfn.XLOOKUP(C60,Customers!$A$2:$A$25,Customers!$B$2:$B$25,"not found")</f>
        <v/>
      </c>
      <c r="N60">
        <f>_xlfn.XLOOKUP(C60,Customers!$A$2:$A$25,Customers!$D$2:$D$25,"not found")</f>
        <v/>
      </c>
    </row>
    <row r="61">
      <c r="A61" t="n">
        <v>10033</v>
      </c>
      <c r="B61" s="12" t="n">
        <v>45758</v>
      </c>
      <c r="C61" s="13" t="inlineStr">
        <is>
          <t>0003</t>
        </is>
      </c>
      <c r="D61" t="n">
        <v>107</v>
      </c>
      <c r="E61" t="n">
        <v>20</v>
      </c>
      <c r="F61" t="n">
        <v>380</v>
      </c>
      <c r="G61" t="n">
        <v>5</v>
      </c>
      <c r="H61" t="inlineStr">
        <is>
          <t>Delivered</t>
        </is>
      </c>
      <c r="I61" t="inlineStr">
        <is>
          <t>Farah Khan</t>
        </is>
      </c>
      <c r="J61" s="14">
        <f>E61*F61*(1-G61/100)</f>
        <v/>
      </c>
      <c r="K61" s="12">
        <f>DATE(YEAR(B61),MONTH(B61),1)</f>
        <v/>
      </c>
      <c r="L61">
        <f>IF(COUNTIF($A$2:A61,A61)=1,1,0)</f>
        <v/>
      </c>
      <c r="M61">
        <f>_xlfn.XLOOKUP(C61,Customers!$A$2:$A$25,Customers!$B$2:$B$25,"not found")</f>
        <v/>
      </c>
      <c r="N61">
        <f>_xlfn.XLOOKUP(C61,Customers!$A$2:$A$25,Customers!$D$2:$D$25,"not found")</f>
        <v/>
      </c>
    </row>
    <row r="62">
      <c r="A62" t="n">
        <v>10034</v>
      </c>
      <c r="B62" s="12" t="n">
        <v>45760</v>
      </c>
      <c r="C62" s="13" t="inlineStr">
        <is>
          <t>0010</t>
        </is>
      </c>
      <c r="D62" t="n">
        <v>104</v>
      </c>
      <c r="E62" t="n">
        <v>40</v>
      </c>
      <c r="F62" t="n">
        <v>620</v>
      </c>
      <c r="G62" t="n">
        <v>0</v>
      </c>
      <c r="H62" t="inlineStr">
        <is>
          <t>Cancelled</t>
        </is>
      </c>
      <c r="I62" t="inlineStr">
        <is>
          <t>Rahul Mehta</t>
        </is>
      </c>
      <c r="J62" s="14">
        <f>E62*F62*(1-G62/100)</f>
        <v/>
      </c>
      <c r="K62" s="12">
        <f>DATE(YEAR(B62),MONTH(B62),1)</f>
        <v/>
      </c>
      <c r="L62">
        <f>IF(COUNTIF($A$2:A62,A62)=1,1,0)</f>
        <v/>
      </c>
      <c r="M62">
        <f>_xlfn.XLOOKUP(C62,Customers!$A$2:$A$25,Customers!$B$2:$B$25,"not found")</f>
        <v/>
      </c>
      <c r="N62">
        <f>_xlfn.XLOOKUP(C62,Customers!$A$2:$A$25,Customers!$D$2:$D$25,"not found")</f>
        <v/>
      </c>
    </row>
    <row r="63">
      <c r="A63" t="n">
        <v>10035</v>
      </c>
      <c r="B63" s="12" t="n">
        <v>45761</v>
      </c>
      <c r="C63" s="13" t="inlineStr">
        <is>
          <t>0003</t>
        </is>
      </c>
      <c r="D63" t="n">
        <v>101</v>
      </c>
      <c r="E63" t="n">
        <v>25</v>
      </c>
      <c r="F63" t="n">
        <v>430</v>
      </c>
      <c r="G63" t="n">
        <v>5</v>
      </c>
      <c r="H63" t="inlineStr">
        <is>
          <t>Delivered</t>
        </is>
      </c>
      <c r="I63" t="inlineStr">
        <is>
          <t>Farah Khan</t>
        </is>
      </c>
      <c r="J63" s="14">
        <f>E63*F63*(1-G63/100)</f>
        <v/>
      </c>
      <c r="K63" s="12">
        <f>DATE(YEAR(B63),MONTH(B63),1)</f>
        <v/>
      </c>
      <c r="L63">
        <f>IF(COUNTIF($A$2:A63,A63)=1,1,0)</f>
        <v/>
      </c>
      <c r="M63">
        <f>_xlfn.XLOOKUP(C63,Customers!$A$2:$A$25,Customers!$B$2:$B$25,"not found")</f>
        <v/>
      </c>
      <c r="N63">
        <f>_xlfn.XLOOKUP(C63,Customers!$A$2:$A$25,Customers!$D$2:$D$25,"not found")</f>
        <v/>
      </c>
    </row>
    <row r="64">
      <c r="A64" t="n">
        <v>10036</v>
      </c>
      <c r="B64" s="12" t="n">
        <v>45762</v>
      </c>
      <c r="C64" s="13" t="inlineStr">
        <is>
          <t>0012</t>
        </is>
      </c>
      <c r="D64" t="n">
        <v>103</v>
      </c>
      <c r="E64" t="n">
        <v>35</v>
      </c>
      <c r="F64" t="n">
        <v>115</v>
      </c>
      <c r="G64" t="n">
        <v>0</v>
      </c>
      <c r="H64" t="inlineStr">
        <is>
          <t>Delivered</t>
        </is>
      </c>
      <c r="I64" t="inlineStr"/>
      <c r="J64" s="14">
        <f>E64*F64*(1-G64/100)</f>
        <v/>
      </c>
      <c r="K64" s="12">
        <f>DATE(YEAR(B64),MONTH(B64),1)</f>
        <v/>
      </c>
      <c r="L64">
        <f>IF(COUNTIF($A$2:A64,A64)=1,1,0)</f>
        <v/>
      </c>
      <c r="M64">
        <f>_xlfn.XLOOKUP(C64,Customers!$A$2:$A$25,Customers!$B$2:$B$25,"not found")</f>
        <v/>
      </c>
      <c r="N64">
        <f>_xlfn.XLOOKUP(C64,Customers!$A$2:$A$25,Customers!$D$2:$D$25,"not found")</f>
        <v/>
      </c>
    </row>
    <row r="65">
      <c r="A65" t="n">
        <v>10036</v>
      </c>
      <c r="B65" s="12" t="n">
        <v>45762</v>
      </c>
      <c r="C65" s="13" t="inlineStr">
        <is>
          <t>0012</t>
        </is>
      </c>
      <c r="D65" t="n">
        <v>104</v>
      </c>
      <c r="E65" t="n">
        <v>30</v>
      </c>
      <c r="F65" t="n">
        <v>620</v>
      </c>
      <c r="G65" t="n">
        <v>5</v>
      </c>
      <c r="H65" t="inlineStr">
        <is>
          <t>Delivered</t>
        </is>
      </c>
      <c r="I65" t="inlineStr"/>
      <c r="J65" s="14">
        <f>E65*F65*(1-G65/100)</f>
        <v/>
      </c>
      <c r="K65" s="12">
        <f>DATE(YEAR(B65),MONTH(B65),1)</f>
        <v/>
      </c>
      <c r="L65">
        <f>IF(COUNTIF($A$2:A65,A65)=1,1,0)</f>
        <v/>
      </c>
      <c r="M65">
        <f>_xlfn.XLOOKUP(C65,Customers!$A$2:$A$25,Customers!$B$2:$B$25,"not found")</f>
        <v/>
      </c>
      <c r="N65">
        <f>_xlfn.XLOOKUP(C65,Customers!$A$2:$A$25,Customers!$D$2:$D$25,"not found")</f>
        <v/>
      </c>
    </row>
    <row r="66">
      <c r="A66" t="n">
        <v>10036</v>
      </c>
      <c r="B66" s="12" t="n">
        <v>45762</v>
      </c>
      <c r="C66" s="13" t="inlineStr">
        <is>
          <t>0012</t>
        </is>
      </c>
      <c r="D66" t="n">
        <v>107</v>
      </c>
      <c r="E66" t="n">
        <v>35</v>
      </c>
      <c r="F66" t="n">
        <v>380</v>
      </c>
      <c r="G66" t="n">
        <v>0</v>
      </c>
      <c r="H66" t="inlineStr">
        <is>
          <t>Delivered</t>
        </is>
      </c>
      <c r="I66" t="inlineStr"/>
      <c r="J66" s="14">
        <f>E66*F66*(1-G66/100)</f>
        <v/>
      </c>
      <c r="K66" s="12">
        <f>DATE(YEAR(B66),MONTH(B66),1)</f>
        <v/>
      </c>
      <c r="L66">
        <f>IF(COUNTIF($A$2:A66,A66)=1,1,0)</f>
        <v/>
      </c>
      <c r="M66">
        <f>_xlfn.XLOOKUP(C66,Customers!$A$2:$A$25,Customers!$B$2:$B$25,"not found")</f>
        <v/>
      </c>
      <c r="N66">
        <f>_xlfn.XLOOKUP(C66,Customers!$A$2:$A$25,Customers!$D$2:$D$25,"not found")</f>
        <v/>
      </c>
    </row>
    <row r="67">
      <c r="A67" t="n">
        <v>10037</v>
      </c>
      <c r="B67" s="12" t="n">
        <v>45767</v>
      </c>
      <c r="C67" s="13" t="inlineStr">
        <is>
          <t>0005</t>
        </is>
      </c>
      <c r="D67" t="n">
        <v>101</v>
      </c>
      <c r="E67" t="n">
        <v>45</v>
      </c>
      <c r="F67" t="n">
        <v>430</v>
      </c>
      <c r="G67" t="n">
        <v>0</v>
      </c>
      <c r="H67" t="inlineStr">
        <is>
          <t>Delivered</t>
        </is>
      </c>
      <c r="I67" t="inlineStr">
        <is>
          <t>Rahul Mehta</t>
        </is>
      </c>
      <c r="J67" s="14">
        <f>E67*F67*(1-G67/100)</f>
        <v/>
      </c>
      <c r="K67" s="12">
        <f>DATE(YEAR(B67),MONTH(B67),1)</f>
        <v/>
      </c>
      <c r="L67">
        <f>IF(COUNTIF($A$2:A67,A67)=1,1,0)</f>
        <v/>
      </c>
      <c r="M67">
        <f>_xlfn.XLOOKUP(C67,Customers!$A$2:$A$25,Customers!$B$2:$B$25,"not found")</f>
        <v/>
      </c>
      <c r="N67">
        <f>_xlfn.XLOOKUP(C67,Customers!$A$2:$A$25,Customers!$D$2:$D$25,"not found")</f>
        <v/>
      </c>
    </row>
    <row r="68">
      <c r="A68" t="n">
        <v>10037</v>
      </c>
      <c r="B68" s="12" t="n">
        <v>45767</v>
      </c>
      <c r="C68" s="13" t="inlineStr">
        <is>
          <t>0005</t>
        </is>
      </c>
      <c r="D68" t="n">
        <v>108</v>
      </c>
      <c r="E68" t="n">
        <v>30</v>
      </c>
      <c r="F68" t="n">
        <v>290</v>
      </c>
      <c r="G68" t="n">
        <v>5</v>
      </c>
      <c r="H68" t="inlineStr">
        <is>
          <t>Delivered</t>
        </is>
      </c>
      <c r="I68" t="inlineStr">
        <is>
          <t>Rahul Mehta</t>
        </is>
      </c>
      <c r="J68" s="14">
        <f>E68*F68*(1-G68/100)</f>
        <v/>
      </c>
      <c r="K68" s="12">
        <f>DATE(YEAR(B68),MONTH(B68),1)</f>
        <v/>
      </c>
      <c r="L68">
        <f>IF(COUNTIF($A$2:A68,A68)=1,1,0)</f>
        <v/>
      </c>
      <c r="M68">
        <f>_xlfn.XLOOKUP(C68,Customers!$A$2:$A$25,Customers!$B$2:$B$25,"not found")</f>
        <v/>
      </c>
      <c r="N68">
        <f>_xlfn.XLOOKUP(C68,Customers!$A$2:$A$25,Customers!$D$2:$D$25,"not found")</f>
        <v/>
      </c>
    </row>
    <row r="69">
      <c r="A69" t="n">
        <v>10038</v>
      </c>
      <c r="B69" s="12" t="n">
        <v>45768</v>
      </c>
      <c r="C69" s="13" t="inlineStr">
        <is>
          <t>0006</t>
        </is>
      </c>
      <c r="D69" t="n">
        <v>107</v>
      </c>
      <c r="E69" t="n">
        <v>50</v>
      </c>
      <c r="F69" t="n">
        <v>380</v>
      </c>
      <c r="G69" t="n">
        <v>0</v>
      </c>
      <c r="H69" t="inlineStr">
        <is>
          <t>Delivered</t>
        </is>
      </c>
      <c r="I69" t="inlineStr"/>
      <c r="J69" s="14">
        <f>E69*F69*(1-G69/100)</f>
        <v/>
      </c>
      <c r="K69" s="12">
        <f>DATE(YEAR(B69),MONTH(B69),1)</f>
        <v/>
      </c>
      <c r="L69">
        <f>IF(COUNTIF($A$2:A69,A69)=1,1,0)</f>
        <v/>
      </c>
      <c r="M69">
        <f>_xlfn.XLOOKUP(C69,Customers!$A$2:$A$25,Customers!$B$2:$B$25,"not found")</f>
        <v/>
      </c>
      <c r="N69">
        <f>_xlfn.XLOOKUP(C69,Customers!$A$2:$A$25,Customers!$D$2:$D$25,"not found")</f>
        <v/>
      </c>
    </row>
    <row r="70">
      <c r="A70" t="n">
        <v>10039</v>
      </c>
      <c r="B70" s="12" t="n">
        <v>45769</v>
      </c>
      <c r="C70" s="13" t="inlineStr">
        <is>
          <t>0001</t>
        </is>
      </c>
      <c r="D70" t="n">
        <v>102</v>
      </c>
      <c r="E70" t="n">
        <v>15</v>
      </c>
      <c r="F70" t="n">
        <v>750</v>
      </c>
      <c r="G70" t="n">
        <v>5</v>
      </c>
      <c r="H70" t="inlineStr">
        <is>
          <t>Delivered</t>
        </is>
      </c>
      <c r="I70" t="inlineStr">
        <is>
          <t>Neha Kulkarni</t>
        </is>
      </c>
      <c r="J70" s="14">
        <f>E70*F70*(1-G70/100)</f>
        <v/>
      </c>
      <c r="K70" s="12">
        <f>DATE(YEAR(B70),MONTH(B70),1)</f>
        <v/>
      </c>
      <c r="L70">
        <f>IF(COUNTIF($A$2:A70,A70)=1,1,0)</f>
        <v/>
      </c>
      <c r="M70">
        <f>_xlfn.XLOOKUP(C70,Customers!$A$2:$A$25,Customers!$B$2:$B$25,"not found")</f>
        <v/>
      </c>
      <c r="N70">
        <f>_xlfn.XLOOKUP(C70,Customers!$A$2:$A$25,Customers!$D$2:$D$25,"not found")</f>
        <v/>
      </c>
    </row>
    <row r="71">
      <c r="A71" t="n">
        <v>10039</v>
      </c>
      <c r="B71" s="12" t="n">
        <v>45769</v>
      </c>
      <c r="C71" s="13" t="inlineStr">
        <is>
          <t>0001</t>
        </is>
      </c>
      <c r="D71" t="n">
        <v>104</v>
      </c>
      <c r="E71" t="n">
        <v>35</v>
      </c>
      <c r="F71" t="n">
        <v>620</v>
      </c>
      <c r="G71" t="n">
        <v>0</v>
      </c>
      <c r="H71" t="inlineStr">
        <is>
          <t>Delivered</t>
        </is>
      </c>
      <c r="I71" t="inlineStr">
        <is>
          <t>Neha Kulkarni</t>
        </is>
      </c>
      <c r="J71" s="14">
        <f>E71*F71*(1-G71/100)</f>
        <v/>
      </c>
      <c r="K71" s="12">
        <f>DATE(YEAR(B71),MONTH(B71),1)</f>
        <v/>
      </c>
      <c r="L71">
        <f>IF(COUNTIF($A$2:A71,A71)=1,1,0)</f>
        <v/>
      </c>
      <c r="M71">
        <f>_xlfn.XLOOKUP(C71,Customers!$A$2:$A$25,Customers!$B$2:$B$25,"not found")</f>
        <v/>
      </c>
      <c r="N71">
        <f>_xlfn.XLOOKUP(C71,Customers!$A$2:$A$25,Customers!$D$2:$D$25,"not found")</f>
        <v/>
      </c>
    </row>
    <row r="72">
      <c r="A72" t="n">
        <v>10040</v>
      </c>
      <c r="B72" s="12" t="n">
        <v>45770</v>
      </c>
      <c r="C72" s="13" t="inlineStr">
        <is>
          <t>0004</t>
        </is>
      </c>
      <c r="D72" t="n">
        <v>108</v>
      </c>
      <c r="E72" t="n">
        <v>25</v>
      </c>
      <c r="F72" t="n">
        <v>290</v>
      </c>
      <c r="G72" t="n">
        <v>5</v>
      </c>
      <c r="H72" t="inlineStr">
        <is>
          <t>Delivered</t>
        </is>
      </c>
      <c r="I72" t="inlineStr">
        <is>
          <t>Rahul Mehta</t>
        </is>
      </c>
      <c r="J72" s="14">
        <f>E72*F72*(1-G72/100)</f>
        <v/>
      </c>
      <c r="K72" s="12">
        <f>DATE(YEAR(B72),MONTH(B72),1)</f>
        <v/>
      </c>
      <c r="L72">
        <f>IF(COUNTIF($A$2:A72,A72)=1,1,0)</f>
        <v/>
      </c>
      <c r="M72">
        <f>_xlfn.XLOOKUP(C72,Customers!$A$2:$A$25,Customers!$B$2:$B$25,"not found")</f>
        <v/>
      </c>
      <c r="N72">
        <f>_xlfn.XLOOKUP(C72,Customers!$A$2:$A$25,Customers!$D$2:$D$25,"not found")</f>
        <v/>
      </c>
    </row>
    <row r="73">
      <c r="A73" t="n">
        <v>10041</v>
      </c>
      <c r="B73" s="12" t="n">
        <v>45770</v>
      </c>
      <c r="C73" s="13" t="inlineStr">
        <is>
          <t>0012</t>
        </is>
      </c>
      <c r="D73" t="n">
        <v>103</v>
      </c>
      <c r="E73" t="n">
        <v>35</v>
      </c>
      <c r="F73" t="n">
        <v>115</v>
      </c>
      <c r="G73" t="n">
        <v>0</v>
      </c>
      <c r="H73" t="inlineStr">
        <is>
          <t>Delivered</t>
        </is>
      </c>
      <c r="I73" t="inlineStr">
        <is>
          <t>Neha Kulkarni</t>
        </is>
      </c>
      <c r="J73" s="14">
        <f>E73*F73*(1-G73/100)</f>
        <v/>
      </c>
      <c r="K73" s="12">
        <f>DATE(YEAR(B73),MONTH(B73),1)</f>
        <v/>
      </c>
      <c r="L73">
        <f>IF(COUNTIF($A$2:A73,A73)=1,1,0)</f>
        <v/>
      </c>
      <c r="M73">
        <f>_xlfn.XLOOKUP(C73,Customers!$A$2:$A$25,Customers!$B$2:$B$25,"not found")</f>
        <v/>
      </c>
      <c r="N73">
        <f>_xlfn.XLOOKUP(C73,Customers!$A$2:$A$25,Customers!$D$2:$D$25,"not found")</f>
        <v/>
      </c>
    </row>
    <row r="74">
      <c r="A74" t="n">
        <v>10041</v>
      </c>
      <c r="B74" s="12" t="n">
        <v>45770</v>
      </c>
      <c r="C74" s="13" t="inlineStr">
        <is>
          <t>0012</t>
        </is>
      </c>
      <c r="D74" t="n">
        <v>108</v>
      </c>
      <c r="E74" t="n">
        <v>60</v>
      </c>
      <c r="F74" t="n">
        <v>290</v>
      </c>
      <c r="G74" t="n">
        <v>5</v>
      </c>
      <c r="H74" t="inlineStr">
        <is>
          <t>Delivered</t>
        </is>
      </c>
      <c r="I74" t="inlineStr">
        <is>
          <t>Neha Kulkarni</t>
        </is>
      </c>
      <c r="J74" s="14">
        <f>E74*F74*(1-G74/100)</f>
        <v/>
      </c>
      <c r="K74" s="12">
        <f>DATE(YEAR(B74),MONTH(B74),1)</f>
        <v/>
      </c>
      <c r="L74">
        <f>IF(COUNTIF($A$2:A74,A74)=1,1,0)</f>
        <v/>
      </c>
      <c r="M74">
        <f>_xlfn.XLOOKUP(C74,Customers!$A$2:$A$25,Customers!$B$2:$B$25,"not found")</f>
        <v/>
      </c>
      <c r="N74">
        <f>_xlfn.XLOOKUP(C74,Customers!$A$2:$A$25,Customers!$D$2:$D$25,"not found")</f>
        <v/>
      </c>
    </row>
    <row r="75">
      <c r="A75" t="n">
        <v>10042</v>
      </c>
      <c r="B75" s="12" t="n">
        <v>45772</v>
      </c>
      <c r="C75" s="13" t="inlineStr">
        <is>
          <t>0007</t>
        </is>
      </c>
      <c r="D75" t="n">
        <v>102</v>
      </c>
      <c r="E75" t="n">
        <v>10</v>
      </c>
      <c r="F75" t="n">
        <v>750</v>
      </c>
      <c r="G75" t="n">
        <v>5</v>
      </c>
      <c r="H75" t="inlineStr">
        <is>
          <t>Delivered</t>
        </is>
      </c>
      <c r="I75" t="inlineStr">
        <is>
          <t>Farah Khan</t>
        </is>
      </c>
      <c r="J75" s="14">
        <f>E75*F75*(1-G75/100)</f>
        <v/>
      </c>
      <c r="K75" s="12">
        <f>DATE(YEAR(B75),MONTH(B75),1)</f>
        <v/>
      </c>
      <c r="L75">
        <f>IF(COUNTIF($A$2:A75,A75)=1,1,0)</f>
        <v/>
      </c>
      <c r="M75">
        <f>_xlfn.XLOOKUP(C75,Customers!$A$2:$A$25,Customers!$B$2:$B$25,"not found")</f>
        <v/>
      </c>
      <c r="N75">
        <f>_xlfn.XLOOKUP(C75,Customers!$A$2:$A$25,Customers!$D$2:$D$25,"not found")</f>
        <v/>
      </c>
    </row>
    <row r="76">
      <c r="A76" t="n">
        <v>10043</v>
      </c>
      <c r="B76" s="12" t="n">
        <v>45781</v>
      </c>
      <c r="C76" s="13" t="inlineStr">
        <is>
          <t>0002</t>
        </is>
      </c>
      <c r="D76" t="n">
        <v>102</v>
      </c>
      <c r="E76" t="n">
        <v>15</v>
      </c>
      <c r="F76" t="n">
        <v>750</v>
      </c>
      <c r="G76" t="n">
        <v>0</v>
      </c>
      <c r="H76" t="inlineStr">
        <is>
          <t>Delivered</t>
        </is>
      </c>
      <c r="I76" t="inlineStr">
        <is>
          <t>Neha Kulkarni</t>
        </is>
      </c>
      <c r="J76" s="14">
        <f>E76*F76*(1-G76/100)</f>
        <v/>
      </c>
      <c r="K76" s="12">
        <f>DATE(YEAR(B76),MONTH(B76),1)</f>
        <v/>
      </c>
      <c r="L76">
        <f>IF(COUNTIF($A$2:A76,A76)=1,1,0)</f>
        <v/>
      </c>
      <c r="M76">
        <f>_xlfn.XLOOKUP(C76,Customers!$A$2:$A$25,Customers!$B$2:$B$25,"not found")</f>
        <v/>
      </c>
      <c r="N76">
        <f>_xlfn.XLOOKUP(C76,Customers!$A$2:$A$25,Customers!$D$2:$D$25,"not found")</f>
        <v/>
      </c>
    </row>
    <row r="77">
      <c r="A77" t="n">
        <v>10043</v>
      </c>
      <c r="B77" s="12" t="n">
        <v>45781</v>
      </c>
      <c r="C77" s="13" t="inlineStr">
        <is>
          <t>0002</t>
        </is>
      </c>
      <c r="D77" t="n">
        <v>104</v>
      </c>
      <c r="E77" t="n">
        <v>20</v>
      </c>
      <c r="F77" t="n">
        <v>620</v>
      </c>
      <c r="G77" t="n">
        <v>0</v>
      </c>
      <c r="H77" t="inlineStr">
        <is>
          <t>Delivered</t>
        </is>
      </c>
      <c r="I77" t="inlineStr">
        <is>
          <t>Neha Kulkarni</t>
        </is>
      </c>
      <c r="J77" s="14">
        <f>E77*F77*(1-G77/100)</f>
        <v/>
      </c>
      <c r="K77" s="12">
        <f>DATE(YEAR(B77),MONTH(B77),1)</f>
        <v/>
      </c>
      <c r="L77">
        <f>IF(COUNTIF($A$2:A77,A77)=1,1,0)</f>
        <v/>
      </c>
      <c r="M77">
        <f>_xlfn.XLOOKUP(C77,Customers!$A$2:$A$25,Customers!$B$2:$B$25,"not found")</f>
        <v/>
      </c>
      <c r="N77">
        <f>_xlfn.XLOOKUP(C77,Customers!$A$2:$A$25,Customers!$D$2:$D$25,"not found")</f>
        <v/>
      </c>
    </row>
    <row r="78">
      <c r="A78" t="n">
        <v>10044</v>
      </c>
      <c r="B78" s="12" t="n">
        <v>45781</v>
      </c>
      <c r="C78" s="13" t="inlineStr">
        <is>
          <t>0004</t>
        </is>
      </c>
      <c r="D78" t="n">
        <v>101</v>
      </c>
      <c r="E78" t="n">
        <v>15</v>
      </c>
      <c r="F78" t="n">
        <v>430</v>
      </c>
      <c r="G78" t="n">
        <v>8</v>
      </c>
      <c r="H78" t="inlineStr">
        <is>
          <t>Delivered</t>
        </is>
      </c>
      <c r="I78" t="inlineStr">
        <is>
          <t>Rahul Mehta</t>
        </is>
      </c>
      <c r="J78" s="14">
        <f>E78*F78*(1-G78/100)</f>
        <v/>
      </c>
      <c r="K78" s="12">
        <f>DATE(YEAR(B78),MONTH(B78),1)</f>
        <v/>
      </c>
      <c r="L78">
        <f>IF(COUNTIF($A$2:A78,A78)=1,1,0)</f>
        <v/>
      </c>
      <c r="M78">
        <f>_xlfn.XLOOKUP(C78,Customers!$A$2:$A$25,Customers!$B$2:$B$25,"not found")</f>
        <v/>
      </c>
      <c r="N78">
        <f>_xlfn.XLOOKUP(C78,Customers!$A$2:$A$25,Customers!$D$2:$D$25,"not found")</f>
        <v/>
      </c>
    </row>
    <row r="79">
      <c r="A79" t="n">
        <v>10044</v>
      </c>
      <c r="B79" s="12" t="n">
        <v>45781</v>
      </c>
      <c r="C79" s="13" t="inlineStr">
        <is>
          <t>0004</t>
        </is>
      </c>
      <c r="D79" t="n">
        <v>105</v>
      </c>
      <c r="E79" t="n">
        <v>35</v>
      </c>
      <c r="F79" t="n">
        <v>1400</v>
      </c>
      <c r="G79" t="n">
        <v>10</v>
      </c>
      <c r="H79" t="inlineStr">
        <is>
          <t>Delivered</t>
        </is>
      </c>
      <c r="I79" t="inlineStr">
        <is>
          <t>Rahul Mehta</t>
        </is>
      </c>
      <c r="J79" s="14">
        <f>E79*F79*(1-G79/100)</f>
        <v/>
      </c>
      <c r="K79" s="12">
        <f>DATE(YEAR(B79),MONTH(B79),1)</f>
        <v/>
      </c>
      <c r="L79">
        <f>IF(COUNTIF($A$2:A79,A79)=1,1,0)</f>
        <v/>
      </c>
      <c r="M79">
        <f>_xlfn.XLOOKUP(C79,Customers!$A$2:$A$25,Customers!$B$2:$B$25,"not found")</f>
        <v/>
      </c>
      <c r="N79">
        <f>_xlfn.XLOOKUP(C79,Customers!$A$2:$A$25,Customers!$D$2:$D$25,"not found")</f>
        <v/>
      </c>
    </row>
    <row r="80">
      <c r="A80" t="n">
        <v>10044</v>
      </c>
      <c r="B80" s="12" t="n">
        <v>45781</v>
      </c>
      <c r="C80" s="13" t="inlineStr">
        <is>
          <t>0004</t>
        </is>
      </c>
      <c r="D80" t="n">
        <v>108</v>
      </c>
      <c r="E80" t="n">
        <v>5</v>
      </c>
      <c r="F80" t="n">
        <v>290</v>
      </c>
      <c r="G80" t="n">
        <v>12</v>
      </c>
      <c r="H80" t="inlineStr">
        <is>
          <t>Delivered</t>
        </is>
      </c>
      <c r="I80" t="inlineStr">
        <is>
          <t>Rahul Mehta</t>
        </is>
      </c>
      <c r="J80" s="14">
        <f>E80*F80*(1-G80/100)</f>
        <v/>
      </c>
      <c r="K80" s="12">
        <f>DATE(YEAR(B80),MONTH(B80),1)</f>
        <v/>
      </c>
      <c r="L80">
        <f>IF(COUNTIF($A$2:A80,A80)=1,1,0)</f>
        <v/>
      </c>
      <c r="M80">
        <f>_xlfn.XLOOKUP(C80,Customers!$A$2:$A$25,Customers!$B$2:$B$25,"not found")</f>
        <v/>
      </c>
      <c r="N80">
        <f>_xlfn.XLOOKUP(C80,Customers!$A$2:$A$25,Customers!$D$2:$D$25,"not found")</f>
        <v/>
      </c>
    </row>
    <row r="81">
      <c r="A81" t="n">
        <v>10045</v>
      </c>
      <c r="B81" s="12" t="n">
        <v>45781</v>
      </c>
      <c r="C81" s="13" t="inlineStr">
        <is>
          <t>0013</t>
        </is>
      </c>
      <c r="D81" t="n">
        <v>102</v>
      </c>
      <c r="E81" t="n">
        <v>25</v>
      </c>
      <c r="F81" t="n">
        <v>750</v>
      </c>
      <c r="G81" t="n">
        <v>0</v>
      </c>
      <c r="H81" t="inlineStr">
        <is>
          <t>Delivered</t>
        </is>
      </c>
      <c r="I81" t="inlineStr">
        <is>
          <t>Neha Kulkarni</t>
        </is>
      </c>
      <c r="J81" s="14">
        <f>E81*F81*(1-G81/100)</f>
        <v/>
      </c>
      <c r="K81" s="12">
        <f>DATE(YEAR(B81),MONTH(B81),1)</f>
        <v/>
      </c>
      <c r="L81">
        <f>IF(COUNTIF($A$2:A81,A81)=1,1,0)</f>
        <v/>
      </c>
      <c r="M81">
        <f>_xlfn.XLOOKUP(C81,Customers!$A$2:$A$25,Customers!$B$2:$B$25,"not found")</f>
        <v/>
      </c>
      <c r="N81">
        <f>_xlfn.XLOOKUP(C81,Customers!$A$2:$A$25,Customers!$D$2:$D$25,"not found")</f>
        <v/>
      </c>
    </row>
    <row r="82">
      <c r="A82" t="n">
        <v>10045</v>
      </c>
      <c r="B82" s="12" t="n">
        <v>45781</v>
      </c>
      <c r="C82" s="13" t="inlineStr">
        <is>
          <t>0013</t>
        </is>
      </c>
      <c r="D82" t="n">
        <v>103</v>
      </c>
      <c r="E82" t="n">
        <v>35</v>
      </c>
      <c r="F82" t="n">
        <v>115</v>
      </c>
      <c r="G82" t="n">
        <v>0</v>
      </c>
      <c r="H82" t="inlineStr">
        <is>
          <t>Delivered</t>
        </is>
      </c>
      <c r="I82" t="inlineStr">
        <is>
          <t>Neha Kulkarni</t>
        </is>
      </c>
      <c r="J82" s="14">
        <f>E82*F82*(1-G82/100)</f>
        <v/>
      </c>
      <c r="K82" s="12">
        <f>DATE(YEAR(B82),MONTH(B82),1)</f>
        <v/>
      </c>
      <c r="L82">
        <f>IF(COUNTIF($A$2:A82,A82)=1,1,0)</f>
        <v/>
      </c>
      <c r="M82">
        <f>_xlfn.XLOOKUP(C82,Customers!$A$2:$A$25,Customers!$B$2:$B$25,"not found")</f>
        <v/>
      </c>
      <c r="N82">
        <f>_xlfn.XLOOKUP(C82,Customers!$A$2:$A$25,Customers!$D$2:$D$25,"not found")</f>
        <v/>
      </c>
    </row>
    <row r="83">
      <c r="A83" t="n">
        <v>10046</v>
      </c>
      <c r="B83" s="12" t="n">
        <v>45783</v>
      </c>
      <c r="C83" s="13" t="inlineStr">
        <is>
          <t>0014</t>
        </is>
      </c>
      <c r="D83" t="n">
        <v>101</v>
      </c>
      <c r="E83" t="n">
        <v>15</v>
      </c>
      <c r="F83" t="n">
        <v>430</v>
      </c>
      <c r="G83" t="n">
        <v>10</v>
      </c>
      <c r="H83" t="inlineStr">
        <is>
          <t>Delivered</t>
        </is>
      </c>
      <c r="I83" t="inlineStr">
        <is>
          <t>Farah Khan</t>
        </is>
      </c>
      <c r="J83" s="14">
        <f>E83*F83*(1-G83/100)</f>
        <v/>
      </c>
      <c r="K83" s="12">
        <f>DATE(YEAR(B83),MONTH(B83),1)</f>
        <v/>
      </c>
      <c r="L83">
        <f>IF(COUNTIF($A$2:A83,A83)=1,1,0)</f>
        <v/>
      </c>
      <c r="M83">
        <f>_xlfn.XLOOKUP(C83,Customers!$A$2:$A$25,Customers!$B$2:$B$25,"not found")</f>
        <v/>
      </c>
      <c r="N83">
        <f>_xlfn.XLOOKUP(C83,Customers!$A$2:$A$25,Customers!$D$2:$D$25,"not found")</f>
        <v/>
      </c>
    </row>
    <row r="84">
      <c r="A84" t="n">
        <v>10047</v>
      </c>
      <c r="B84" s="12" t="n">
        <v>45784</v>
      </c>
      <c r="C84" s="13" t="inlineStr">
        <is>
          <t>0001</t>
        </is>
      </c>
      <c r="D84" t="n">
        <v>106</v>
      </c>
      <c r="E84" t="n">
        <v>15</v>
      </c>
      <c r="F84" t="n">
        <v>1150</v>
      </c>
      <c r="G84" t="n">
        <v>0</v>
      </c>
      <c r="H84" t="inlineStr">
        <is>
          <t>Delivered</t>
        </is>
      </c>
      <c r="I84" t="inlineStr">
        <is>
          <t>Neha Kulkarni</t>
        </is>
      </c>
      <c r="J84" s="14">
        <f>E84*F84*(1-G84/100)</f>
        <v/>
      </c>
      <c r="K84" s="12">
        <f>DATE(YEAR(B84),MONTH(B84),1)</f>
        <v/>
      </c>
      <c r="L84">
        <f>IF(COUNTIF($A$2:A84,A84)=1,1,0)</f>
        <v/>
      </c>
      <c r="M84">
        <f>_xlfn.XLOOKUP(C84,Customers!$A$2:$A$25,Customers!$B$2:$B$25,"not found")</f>
        <v/>
      </c>
      <c r="N84">
        <f>_xlfn.XLOOKUP(C84,Customers!$A$2:$A$25,Customers!$D$2:$D$25,"not found")</f>
        <v/>
      </c>
    </row>
    <row r="85">
      <c r="A85" t="n">
        <v>10048</v>
      </c>
      <c r="B85" s="12" t="n">
        <v>45785</v>
      </c>
      <c r="C85" s="13" t="inlineStr">
        <is>
          <t>0005</t>
        </is>
      </c>
      <c r="D85" t="n">
        <v>103</v>
      </c>
      <c r="E85" t="n">
        <v>20</v>
      </c>
      <c r="F85" t="n">
        <v>115</v>
      </c>
      <c r="G85" t="n">
        <v>0</v>
      </c>
      <c r="H85" t="inlineStr">
        <is>
          <t>Delivered</t>
        </is>
      </c>
      <c r="I85" t="inlineStr">
        <is>
          <t>Rahul Mehta</t>
        </is>
      </c>
      <c r="J85" s="14">
        <f>E85*F85*(1-G85/100)</f>
        <v/>
      </c>
      <c r="K85" s="12">
        <f>DATE(YEAR(B85),MONTH(B85),1)</f>
        <v/>
      </c>
      <c r="L85">
        <f>IF(COUNTIF($A$2:A85,A85)=1,1,0)</f>
        <v/>
      </c>
      <c r="M85">
        <f>_xlfn.XLOOKUP(C85,Customers!$A$2:$A$25,Customers!$B$2:$B$25,"not found")</f>
        <v/>
      </c>
      <c r="N85">
        <f>_xlfn.XLOOKUP(C85,Customers!$A$2:$A$25,Customers!$D$2:$D$25,"not found")</f>
        <v/>
      </c>
    </row>
    <row r="86">
      <c r="A86" t="n">
        <v>10048</v>
      </c>
      <c r="B86" s="12" t="n">
        <v>45785</v>
      </c>
      <c r="C86" s="13" t="inlineStr">
        <is>
          <t>0005</t>
        </is>
      </c>
      <c r="D86" t="n">
        <v>107</v>
      </c>
      <c r="E86" t="n">
        <v>15</v>
      </c>
      <c r="F86" t="n">
        <v>380</v>
      </c>
      <c r="G86" t="n">
        <v>0</v>
      </c>
      <c r="H86" t="inlineStr">
        <is>
          <t>Delivered</t>
        </is>
      </c>
      <c r="I86" t="inlineStr">
        <is>
          <t>Rahul Mehta</t>
        </is>
      </c>
      <c r="J86" s="14">
        <f>E86*F86*(1-G86/100)</f>
        <v/>
      </c>
      <c r="K86" s="12">
        <f>DATE(YEAR(B86),MONTH(B86),1)</f>
        <v/>
      </c>
      <c r="L86">
        <f>IF(COUNTIF($A$2:A86,A86)=1,1,0)</f>
        <v/>
      </c>
      <c r="M86">
        <f>_xlfn.XLOOKUP(C86,Customers!$A$2:$A$25,Customers!$B$2:$B$25,"not found")</f>
        <v/>
      </c>
      <c r="N86">
        <f>_xlfn.XLOOKUP(C86,Customers!$A$2:$A$25,Customers!$D$2:$D$25,"not found")</f>
        <v/>
      </c>
    </row>
    <row r="87">
      <c r="A87" t="n">
        <v>10049</v>
      </c>
      <c r="B87" s="12" t="n">
        <v>45790</v>
      </c>
      <c r="C87" s="13" t="inlineStr">
        <is>
          <t>0007</t>
        </is>
      </c>
      <c r="D87" t="n">
        <v>102</v>
      </c>
      <c r="E87" t="n">
        <v>20</v>
      </c>
      <c r="F87" t="n">
        <v>750</v>
      </c>
      <c r="G87" t="n">
        <v>12</v>
      </c>
      <c r="H87" t="inlineStr">
        <is>
          <t>Delivered</t>
        </is>
      </c>
      <c r="I87" t="inlineStr">
        <is>
          <t>Farah Khan</t>
        </is>
      </c>
      <c r="J87" s="14">
        <f>E87*F87*(1-G87/100)</f>
        <v/>
      </c>
      <c r="K87" s="12">
        <f>DATE(YEAR(B87),MONTH(B87),1)</f>
        <v/>
      </c>
      <c r="L87">
        <f>IF(COUNTIF($A$2:A87,A87)=1,1,0)</f>
        <v/>
      </c>
      <c r="M87">
        <f>_xlfn.XLOOKUP(C87,Customers!$A$2:$A$25,Customers!$B$2:$B$25,"not found")</f>
        <v/>
      </c>
      <c r="N87">
        <f>_xlfn.XLOOKUP(C87,Customers!$A$2:$A$25,Customers!$D$2:$D$25,"not found")</f>
        <v/>
      </c>
    </row>
    <row r="88">
      <c r="A88" t="n">
        <v>10049</v>
      </c>
      <c r="B88" s="12" t="n">
        <v>45790</v>
      </c>
      <c r="C88" s="13" t="inlineStr">
        <is>
          <t>0007</t>
        </is>
      </c>
      <c r="D88" t="n">
        <v>108</v>
      </c>
      <c r="E88" t="n">
        <v>35</v>
      </c>
      <c r="F88" t="n">
        <v>290</v>
      </c>
      <c r="G88" t="n">
        <v>10</v>
      </c>
      <c r="H88" t="inlineStr">
        <is>
          <t>Delivered</t>
        </is>
      </c>
      <c r="I88" t="inlineStr">
        <is>
          <t>Farah Khan</t>
        </is>
      </c>
      <c r="J88" s="14">
        <f>E88*F88*(1-G88/100)</f>
        <v/>
      </c>
      <c r="K88" s="12">
        <f>DATE(YEAR(B88),MONTH(B88),1)</f>
        <v/>
      </c>
      <c r="L88">
        <f>IF(COUNTIF($A$2:A88,A88)=1,1,0)</f>
        <v/>
      </c>
      <c r="M88">
        <f>_xlfn.XLOOKUP(C88,Customers!$A$2:$A$25,Customers!$B$2:$B$25,"not found")</f>
        <v/>
      </c>
      <c r="N88">
        <f>_xlfn.XLOOKUP(C88,Customers!$A$2:$A$25,Customers!$D$2:$D$25,"not found")</f>
        <v/>
      </c>
    </row>
    <row r="89">
      <c r="A89" t="n">
        <v>10050</v>
      </c>
      <c r="B89" s="12" t="n">
        <v>45792</v>
      </c>
      <c r="C89" s="13" t="inlineStr">
        <is>
          <t>0007</t>
        </is>
      </c>
      <c r="D89" t="n">
        <v>101</v>
      </c>
      <c r="E89" t="n">
        <v>40</v>
      </c>
      <c r="F89" t="n">
        <v>430</v>
      </c>
      <c r="G89" t="n">
        <v>10</v>
      </c>
      <c r="H89" t="inlineStr">
        <is>
          <t>Delivered</t>
        </is>
      </c>
      <c r="I89" t="inlineStr">
        <is>
          <t>Farah Khan</t>
        </is>
      </c>
      <c r="J89" s="14">
        <f>E89*F89*(1-G89/100)</f>
        <v/>
      </c>
      <c r="K89" s="12">
        <f>DATE(YEAR(B89),MONTH(B89),1)</f>
        <v/>
      </c>
      <c r="L89">
        <f>IF(COUNTIF($A$2:A89,A89)=1,1,0)</f>
        <v/>
      </c>
      <c r="M89">
        <f>_xlfn.XLOOKUP(C89,Customers!$A$2:$A$25,Customers!$B$2:$B$25,"not found")</f>
        <v/>
      </c>
      <c r="N89">
        <f>_xlfn.XLOOKUP(C89,Customers!$A$2:$A$25,Customers!$D$2:$D$25,"not found")</f>
        <v/>
      </c>
    </row>
    <row r="90">
      <c r="A90" t="n">
        <v>10050</v>
      </c>
      <c r="B90" s="12" t="n">
        <v>45792</v>
      </c>
      <c r="C90" s="13" t="inlineStr">
        <is>
          <t>0007</t>
        </is>
      </c>
      <c r="D90" t="n">
        <v>102</v>
      </c>
      <c r="E90" t="n">
        <v>15</v>
      </c>
      <c r="F90" t="n">
        <v>750</v>
      </c>
      <c r="G90" t="n">
        <v>5</v>
      </c>
      <c r="H90" t="inlineStr">
        <is>
          <t>Delivered</t>
        </is>
      </c>
      <c r="I90" t="inlineStr">
        <is>
          <t>Farah Khan</t>
        </is>
      </c>
      <c r="J90" s="14">
        <f>E90*F90*(1-G90/100)</f>
        <v/>
      </c>
      <c r="K90" s="12">
        <f>DATE(YEAR(B90),MONTH(B90),1)</f>
        <v/>
      </c>
      <c r="L90">
        <f>IF(COUNTIF($A$2:A90,A90)=1,1,0)</f>
        <v/>
      </c>
      <c r="M90">
        <f>_xlfn.XLOOKUP(C90,Customers!$A$2:$A$25,Customers!$B$2:$B$25,"not found")</f>
        <v/>
      </c>
      <c r="N90">
        <f>_xlfn.XLOOKUP(C90,Customers!$A$2:$A$25,Customers!$D$2:$D$25,"not found")</f>
        <v/>
      </c>
    </row>
    <row r="91">
      <c r="A91" t="n">
        <v>10050</v>
      </c>
      <c r="B91" s="12" t="n">
        <v>45792</v>
      </c>
      <c r="C91" s="13" t="inlineStr">
        <is>
          <t>0007</t>
        </is>
      </c>
      <c r="D91" t="n">
        <v>108</v>
      </c>
      <c r="E91" t="n">
        <v>40</v>
      </c>
      <c r="F91" t="n">
        <v>290</v>
      </c>
      <c r="G91" t="n">
        <v>10</v>
      </c>
      <c r="H91" t="inlineStr">
        <is>
          <t>Delivered</t>
        </is>
      </c>
      <c r="I91" t="inlineStr">
        <is>
          <t>Farah Khan</t>
        </is>
      </c>
      <c r="J91" s="14">
        <f>E91*F91*(1-G91/100)</f>
        <v/>
      </c>
      <c r="K91" s="12">
        <f>DATE(YEAR(B91),MONTH(B91),1)</f>
        <v/>
      </c>
      <c r="L91">
        <f>IF(COUNTIF($A$2:A91,A91)=1,1,0)</f>
        <v/>
      </c>
      <c r="M91">
        <f>_xlfn.XLOOKUP(C91,Customers!$A$2:$A$25,Customers!$B$2:$B$25,"not found")</f>
        <v/>
      </c>
      <c r="N91">
        <f>_xlfn.XLOOKUP(C91,Customers!$A$2:$A$25,Customers!$D$2:$D$25,"not found")</f>
        <v/>
      </c>
    </row>
    <row r="92">
      <c r="A92" t="n">
        <v>10051</v>
      </c>
      <c r="B92" s="12" t="n">
        <v>45793</v>
      </c>
      <c r="C92" s="13" t="inlineStr">
        <is>
          <t>0012</t>
        </is>
      </c>
      <c r="D92" t="n">
        <v>103</v>
      </c>
      <c r="E92" t="n">
        <v>55</v>
      </c>
      <c r="F92" t="n">
        <v>115</v>
      </c>
      <c r="G92" t="n">
        <v>0</v>
      </c>
      <c r="H92" t="inlineStr">
        <is>
          <t>Delivered</t>
        </is>
      </c>
      <c r="I92" t="inlineStr">
        <is>
          <t>Neha Kulkarni</t>
        </is>
      </c>
      <c r="J92" s="14">
        <f>E92*F92*(1-G92/100)</f>
        <v/>
      </c>
      <c r="K92" s="12">
        <f>DATE(YEAR(B92),MONTH(B92),1)</f>
        <v/>
      </c>
      <c r="L92">
        <f>IF(COUNTIF($A$2:A92,A92)=1,1,0)</f>
        <v/>
      </c>
      <c r="M92">
        <f>_xlfn.XLOOKUP(C92,Customers!$A$2:$A$25,Customers!$B$2:$B$25,"not found")</f>
        <v/>
      </c>
      <c r="N92">
        <f>_xlfn.XLOOKUP(C92,Customers!$A$2:$A$25,Customers!$D$2:$D$25,"not found")</f>
        <v/>
      </c>
    </row>
    <row r="93">
      <c r="A93" t="n">
        <v>10051</v>
      </c>
      <c r="B93" s="12" t="n">
        <v>45793</v>
      </c>
      <c r="C93" s="13" t="inlineStr">
        <is>
          <t>0012</t>
        </is>
      </c>
      <c r="D93" t="n">
        <v>104</v>
      </c>
      <c r="E93" t="n">
        <v>25</v>
      </c>
      <c r="F93" t="n">
        <v>620</v>
      </c>
      <c r="G93" t="n">
        <v>5</v>
      </c>
      <c r="H93" t="inlineStr">
        <is>
          <t>Delivered</t>
        </is>
      </c>
      <c r="I93" t="inlineStr">
        <is>
          <t>Neha Kulkarni</t>
        </is>
      </c>
      <c r="J93" s="14">
        <f>E93*F93*(1-G93/100)</f>
        <v/>
      </c>
      <c r="K93" s="12">
        <f>DATE(YEAR(B93),MONTH(B93),1)</f>
        <v/>
      </c>
      <c r="L93">
        <f>IF(COUNTIF($A$2:A93,A93)=1,1,0)</f>
        <v/>
      </c>
      <c r="M93">
        <f>_xlfn.XLOOKUP(C93,Customers!$A$2:$A$25,Customers!$B$2:$B$25,"not found")</f>
        <v/>
      </c>
      <c r="N93">
        <f>_xlfn.XLOOKUP(C93,Customers!$A$2:$A$25,Customers!$D$2:$D$25,"not found")</f>
        <v/>
      </c>
    </row>
    <row r="94">
      <c r="A94" t="n">
        <v>10052</v>
      </c>
      <c r="B94" s="12" t="n">
        <v>45797</v>
      </c>
      <c r="C94" s="13" t="inlineStr">
        <is>
          <t>0003</t>
        </is>
      </c>
      <c r="D94" t="n">
        <v>101</v>
      </c>
      <c r="E94" t="n">
        <v>35</v>
      </c>
      <c r="F94" t="n">
        <v>430</v>
      </c>
      <c r="G94" t="n">
        <v>0</v>
      </c>
      <c r="H94" t="inlineStr">
        <is>
          <t>Delivered</t>
        </is>
      </c>
      <c r="I94" t="inlineStr">
        <is>
          <t>Farah Khan</t>
        </is>
      </c>
      <c r="J94" s="14">
        <f>E94*F94*(1-G94/100)</f>
        <v/>
      </c>
      <c r="K94" s="12">
        <f>DATE(YEAR(B94),MONTH(B94),1)</f>
        <v/>
      </c>
      <c r="L94">
        <f>IF(COUNTIF($A$2:A94,A94)=1,1,0)</f>
        <v/>
      </c>
      <c r="M94">
        <f>_xlfn.XLOOKUP(C94,Customers!$A$2:$A$25,Customers!$B$2:$B$25,"not found")</f>
        <v/>
      </c>
      <c r="N94">
        <f>_xlfn.XLOOKUP(C94,Customers!$A$2:$A$25,Customers!$D$2:$D$25,"not found")</f>
        <v/>
      </c>
    </row>
    <row r="95">
      <c r="A95" t="n">
        <v>10052</v>
      </c>
      <c r="B95" s="12" t="n">
        <v>45797</v>
      </c>
      <c r="C95" s="13" t="inlineStr">
        <is>
          <t>0003</t>
        </is>
      </c>
      <c r="D95" t="n">
        <v>103</v>
      </c>
      <c r="E95" t="n">
        <v>10</v>
      </c>
      <c r="F95" t="n">
        <v>115</v>
      </c>
      <c r="G95" t="n">
        <v>0</v>
      </c>
      <c r="H95" t="inlineStr">
        <is>
          <t>Delivered</t>
        </is>
      </c>
      <c r="I95" t="inlineStr">
        <is>
          <t>Farah Khan</t>
        </is>
      </c>
      <c r="J95" s="14">
        <f>E95*F95*(1-G95/100)</f>
        <v/>
      </c>
      <c r="K95" s="12">
        <f>DATE(YEAR(B95),MONTH(B95),1)</f>
        <v/>
      </c>
      <c r="L95">
        <f>IF(COUNTIF($A$2:A95,A95)=1,1,0)</f>
        <v/>
      </c>
      <c r="M95">
        <f>_xlfn.XLOOKUP(C95,Customers!$A$2:$A$25,Customers!$B$2:$B$25,"not found")</f>
        <v/>
      </c>
      <c r="N95">
        <f>_xlfn.XLOOKUP(C95,Customers!$A$2:$A$25,Customers!$D$2:$D$25,"not found")</f>
        <v/>
      </c>
    </row>
    <row r="96">
      <c r="A96" t="n">
        <v>10052</v>
      </c>
      <c r="B96" s="12" t="n">
        <v>45797</v>
      </c>
      <c r="C96" s="13" t="inlineStr">
        <is>
          <t>0003</t>
        </is>
      </c>
      <c r="D96" t="n">
        <v>104</v>
      </c>
      <c r="E96" t="n">
        <v>20</v>
      </c>
      <c r="F96" t="n">
        <v>620</v>
      </c>
      <c r="G96" t="n">
        <v>0</v>
      </c>
      <c r="H96" t="inlineStr">
        <is>
          <t>Delivered</t>
        </is>
      </c>
      <c r="I96" t="inlineStr">
        <is>
          <t>Farah Khan</t>
        </is>
      </c>
      <c r="J96" s="14">
        <f>E96*F96*(1-G96/100)</f>
        <v/>
      </c>
      <c r="K96" s="12">
        <f>DATE(YEAR(B96),MONTH(B96),1)</f>
        <v/>
      </c>
      <c r="L96">
        <f>IF(COUNTIF($A$2:A96,A96)=1,1,0)</f>
        <v/>
      </c>
      <c r="M96">
        <f>_xlfn.XLOOKUP(C96,Customers!$A$2:$A$25,Customers!$B$2:$B$25,"not found")</f>
        <v/>
      </c>
      <c r="N96">
        <f>_xlfn.XLOOKUP(C96,Customers!$A$2:$A$25,Customers!$D$2:$D$25,"not found")</f>
        <v/>
      </c>
    </row>
    <row r="97">
      <c r="A97" t="n">
        <v>10053</v>
      </c>
      <c r="B97" s="12" t="n">
        <v>45797</v>
      </c>
      <c r="C97" s="13" t="inlineStr">
        <is>
          <t>0003</t>
        </is>
      </c>
      <c r="D97" t="n">
        <v>103</v>
      </c>
      <c r="E97" t="n">
        <v>40</v>
      </c>
      <c r="F97" t="n">
        <v>115</v>
      </c>
      <c r="G97" t="n">
        <v>5</v>
      </c>
      <c r="H97" t="inlineStr">
        <is>
          <t>Delivered</t>
        </is>
      </c>
      <c r="I97" t="inlineStr">
        <is>
          <t>Farah Khan</t>
        </is>
      </c>
      <c r="J97" s="14">
        <f>E97*F97*(1-G97/100)</f>
        <v/>
      </c>
      <c r="K97" s="12">
        <f>DATE(YEAR(B97),MONTH(B97),1)</f>
        <v/>
      </c>
      <c r="L97">
        <f>IF(COUNTIF($A$2:A97,A97)=1,1,0)</f>
        <v/>
      </c>
      <c r="M97">
        <f>_xlfn.XLOOKUP(C97,Customers!$A$2:$A$25,Customers!$B$2:$B$25,"not found")</f>
        <v/>
      </c>
      <c r="N97">
        <f>_xlfn.XLOOKUP(C97,Customers!$A$2:$A$25,Customers!$D$2:$D$25,"not found")</f>
        <v/>
      </c>
    </row>
    <row r="98">
      <c r="A98" t="n">
        <v>10053</v>
      </c>
      <c r="B98" s="12" t="n">
        <v>45797</v>
      </c>
      <c r="C98" s="13" t="inlineStr">
        <is>
          <t>0003</t>
        </is>
      </c>
      <c r="D98" t="n">
        <v>107</v>
      </c>
      <c r="E98" t="n">
        <v>10</v>
      </c>
      <c r="F98" t="n">
        <v>380</v>
      </c>
      <c r="G98" t="n">
        <v>0</v>
      </c>
      <c r="H98" t="inlineStr">
        <is>
          <t>Delivered</t>
        </is>
      </c>
      <c r="I98" t="inlineStr">
        <is>
          <t>Farah Khan</t>
        </is>
      </c>
      <c r="J98" s="14">
        <f>E98*F98*(1-G98/100)</f>
        <v/>
      </c>
      <c r="K98" s="12">
        <f>DATE(YEAR(B98),MONTH(B98),1)</f>
        <v/>
      </c>
      <c r="L98">
        <f>IF(COUNTIF($A$2:A98,A98)=1,1,0)</f>
        <v/>
      </c>
      <c r="M98">
        <f>_xlfn.XLOOKUP(C98,Customers!$A$2:$A$25,Customers!$B$2:$B$25,"not found")</f>
        <v/>
      </c>
      <c r="N98">
        <f>_xlfn.XLOOKUP(C98,Customers!$A$2:$A$25,Customers!$D$2:$D$25,"not found")</f>
        <v/>
      </c>
    </row>
    <row r="99">
      <c r="A99" t="n">
        <v>10053</v>
      </c>
      <c r="B99" s="12" t="n">
        <v>45797</v>
      </c>
      <c r="C99" s="13" t="inlineStr">
        <is>
          <t>0003</t>
        </is>
      </c>
      <c r="D99" t="n">
        <v>108</v>
      </c>
      <c r="E99" t="n">
        <v>50</v>
      </c>
      <c r="F99" t="n">
        <v>290</v>
      </c>
      <c r="G99" t="n">
        <v>5</v>
      </c>
      <c r="H99" t="inlineStr">
        <is>
          <t>Delivered</t>
        </is>
      </c>
      <c r="I99" t="inlineStr">
        <is>
          <t>Farah Khan</t>
        </is>
      </c>
      <c r="J99" s="14">
        <f>E99*F99*(1-G99/100)</f>
        <v/>
      </c>
      <c r="K99" s="12">
        <f>DATE(YEAR(B99),MONTH(B99),1)</f>
        <v/>
      </c>
      <c r="L99">
        <f>IF(COUNTIF($A$2:A99,A99)=1,1,0)</f>
        <v/>
      </c>
      <c r="M99">
        <f>_xlfn.XLOOKUP(C99,Customers!$A$2:$A$25,Customers!$B$2:$B$25,"not found")</f>
        <v/>
      </c>
      <c r="N99">
        <f>_xlfn.XLOOKUP(C99,Customers!$A$2:$A$25,Customers!$D$2:$D$25,"not found")</f>
        <v/>
      </c>
    </row>
    <row r="100">
      <c r="A100" t="n">
        <v>10054</v>
      </c>
      <c r="B100" s="12" t="n">
        <v>45798</v>
      </c>
      <c r="C100" s="13" t="inlineStr">
        <is>
          <t>0006</t>
        </is>
      </c>
      <c r="D100" t="n">
        <v>107</v>
      </c>
      <c r="E100" t="n">
        <v>35</v>
      </c>
      <c r="F100" t="n">
        <v>380</v>
      </c>
      <c r="G100" t="n">
        <v>5</v>
      </c>
      <c r="H100" t="inlineStr">
        <is>
          <t>Delivered</t>
        </is>
      </c>
      <c r="I100" t="inlineStr"/>
      <c r="J100" s="14">
        <f>E100*F100*(1-G100/100)</f>
        <v/>
      </c>
      <c r="K100" s="12">
        <f>DATE(YEAR(B100),MONTH(B100),1)</f>
        <v/>
      </c>
      <c r="L100">
        <f>IF(COUNTIF($A$2:A100,A100)=1,1,0)</f>
        <v/>
      </c>
      <c r="M100">
        <f>_xlfn.XLOOKUP(C100,Customers!$A$2:$A$25,Customers!$B$2:$B$25,"not found")</f>
        <v/>
      </c>
      <c r="N100">
        <f>_xlfn.XLOOKUP(C100,Customers!$A$2:$A$25,Customers!$D$2:$D$25,"not found")</f>
        <v/>
      </c>
    </row>
    <row r="101">
      <c r="A101" t="n">
        <v>10055</v>
      </c>
      <c r="B101" s="12" t="n">
        <v>45798</v>
      </c>
      <c r="C101" s="13" t="inlineStr">
        <is>
          <t>0008</t>
        </is>
      </c>
      <c r="D101" t="n">
        <v>103</v>
      </c>
      <c r="E101" t="n">
        <v>20</v>
      </c>
      <c r="F101" t="n">
        <v>115</v>
      </c>
      <c r="G101" t="n">
        <v>0</v>
      </c>
      <c r="H101" t="inlineStr">
        <is>
          <t>Delivered</t>
        </is>
      </c>
      <c r="I101" t="inlineStr">
        <is>
          <t>Neha Kulkarni</t>
        </is>
      </c>
      <c r="J101" s="14">
        <f>E101*F101*(1-G101/100)</f>
        <v/>
      </c>
      <c r="K101" s="12">
        <f>DATE(YEAR(B101),MONTH(B101),1)</f>
        <v/>
      </c>
      <c r="L101">
        <f>IF(COUNTIF($A$2:A101,A101)=1,1,0)</f>
        <v/>
      </c>
      <c r="M101">
        <f>_xlfn.XLOOKUP(C101,Customers!$A$2:$A$25,Customers!$B$2:$B$25,"not found")</f>
        <v/>
      </c>
      <c r="N101">
        <f>_xlfn.XLOOKUP(C101,Customers!$A$2:$A$25,Customers!$D$2:$D$25,"not found")</f>
        <v/>
      </c>
    </row>
    <row r="102">
      <c r="A102" t="n">
        <v>10056</v>
      </c>
      <c r="B102" s="12" t="n">
        <v>45799</v>
      </c>
      <c r="C102" s="13" t="inlineStr">
        <is>
          <t>0009</t>
        </is>
      </c>
      <c r="D102" t="n">
        <v>103</v>
      </c>
      <c r="E102" t="n">
        <v>25</v>
      </c>
      <c r="F102" t="n">
        <v>115</v>
      </c>
      <c r="G102" t="n">
        <v>5</v>
      </c>
      <c r="H102" t="inlineStr">
        <is>
          <t>Delivered</t>
        </is>
      </c>
      <c r="I102" t="inlineStr">
        <is>
          <t>Farah Khan</t>
        </is>
      </c>
      <c r="J102" s="14">
        <f>E102*F102*(1-G102/100)</f>
        <v/>
      </c>
      <c r="K102" s="12">
        <f>DATE(YEAR(B102),MONTH(B102),1)</f>
        <v/>
      </c>
      <c r="L102">
        <f>IF(COUNTIF($A$2:A102,A102)=1,1,0)</f>
        <v/>
      </c>
      <c r="M102">
        <f>_xlfn.XLOOKUP(C102,Customers!$A$2:$A$25,Customers!$B$2:$B$25,"not found")</f>
        <v/>
      </c>
      <c r="N102">
        <f>_xlfn.XLOOKUP(C102,Customers!$A$2:$A$25,Customers!$D$2:$D$25,"not found")</f>
        <v/>
      </c>
    </row>
    <row r="103">
      <c r="A103" t="n">
        <v>10056</v>
      </c>
      <c r="B103" s="12" t="n">
        <v>45799</v>
      </c>
      <c r="C103" s="13" t="inlineStr">
        <is>
          <t>0009</t>
        </is>
      </c>
      <c r="D103" t="n">
        <v>108</v>
      </c>
      <c r="E103" t="n">
        <v>30</v>
      </c>
      <c r="F103" t="n">
        <v>290</v>
      </c>
      <c r="G103" t="n">
        <v>5</v>
      </c>
      <c r="H103" t="inlineStr">
        <is>
          <t>Delivered</t>
        </is>
      </c>
      <c r="I103" t="inlineStr">
        <is>
          <t>Farah Khan</t>
        </is>
      </c>
      <c r="J103" s="14">
        <f>E103*F103*(1-G103/100)</f>
        <v/>
      </c>
      <c r="K103" s="12">
        <f>DATE(YEAR(B103),MONTH(B103),1)</f>
        <v/>
      </c>
      <c r="L103">
        <f>IF(COUNTIF($A$2:A103,A103)=1,1,0)</f>
        <v/>
      </c>
      <c r="M103">
        <f>_xlfn.XLOOKUP(C103,Customers!$A$2:$A$25,Customers!$B$2:$B$25,"not found")</f>
        <v/>
      </c>
      <c r="N103">
        <f>_xlfn.XLOOKUP(C103,Customers!$A$2:$A$25,Customers!$D$2:$D$25,"not found")</f>
        <v/>
      </c>
    </row>
    <row r="104">
      <c r="A104" t="n">
        <v>10057</v>
      </c>
      <c r="B104" s="12" t="n">
        <v>45804</v>
      </c>
      <c r="C104" s="13" t="inlineStr">
        <is>
          <t>0011</t>
        </is>
      </c>
      <c r="D104" t="n">
        <v>105</v>
      </c>
      <c r="E104" t="n">
        <v>35</v>
      </c>
      <c r="F104" t="n">
        <v>1400</v>
      </c>
      <c r="G104" t="n">
        <v>10</v>
      </c>
      <c r="H104" t="inlineStr">
        <is>
          <t>Delivered</t>
        </is>
      </c>
      <c r="I104" t="inlineStr">
        <is>
          <t>Rahul Mehta</t>
        </is>
      </c>
      <c r="J104" s="14">
        <f>E104*F104*(1-G104/100)</f>
        <v/>
      </c>
      <c r="K104" s="12">
        <f>DATE(YEAR(B104),MONTH(B104),1)</f>
        <v/>
      </c>
      <c r="L104">
        <f>IF(COUNTIF($A$2:A104,A104)=1,1,0)</f>
        <v/>
      </c>
      <c r="M104">
        <f>_xlfn.XLOOKUP(C104,Customers!$A$2:$A$25,Customers!$B$2:$B$25,"not found")</f>
        <v/>
      </c>
      <c r="N104">
        <f>_xlfn.XLOOKUP(C104,Customers!$A$2:$A$25,Customers!$D$2:$D$25,"not found")</f>
        <v/>
      </c>
    </row>
    <row r="105">
      <c r="A105" t="n">
        <v>10058</v>
      </c>
      <c r="B105" s="12" t="n">
        <v>45809</v>
      </c>
      <c r="C105" s="13" t="inlineStr">
        <is>
          <t>0012</t>
        </is>
      </c>
      <c r="D105" t="n">
        <v>101</v>
      </c>
      <c r="E105" t="n">
        <v>30</v>
      </c>
      <c r="F105" t="n">
        <v>430</v>
      </c>
      <c r="G105" t="n">
        <v>0</v>
      </c>
      <c r="H105" t="inlineStr">
        <is>
          <t>Delivered</t>
        </is>
      </c>
      <c r="I105" t="inlineStr">
        <is>
          <t>Neha Kulkarni</t>
        </is>
      </c>
      <c r="J105" s="14">
        <f>E105*F105*(1-G105/100)</f>
        <v/>
      </c>
      <c r="K105" s="12">
        <f>DATE(YEAR(B105),MONTH(B105),1)</f>
        <v/>
      </c>
      <c r="L105">
        <f>IF(COUNTIF($A$2:A105,A105)=1,1,0)</f>
        <v/>
      </c>
      <c r="M105">
        <f>_xlfn.XLOOKUP(C105,Customers!$A$2:$A$25,Customers!$B$2:$B$25,"not found")</f>
        <v/>
      </c>
      <c r="N105">
        <f>_xlfn.XLOOKUP(C105,Customers!$A$2:$A$25,Customers!$D$2:$D$25,"not found")</f>
        <v/>
      </c>
    </row>
    <row r="106">
      <c r="A106" t="n">
        <v>10058</v>
      </c>
      <c r="B106" s="12" t="n">
        <v>45809</v>
      </c>
      <c r="C106" s="13" t="inlineStr">
        <is>
          <t>0012</t>
        </is>
      </c>
      <c r="D106" t="n">
        <v>108</v>
      </c>
      <c r="E106" t="n">
        <v>25</v>
      </c>
      <c r="F106" t="n">
        <v>290</v>
      </c>
      <c r="G106" t="n">
        <v>5</v>
      </c>
      <c r="H106" t="inlineStr">
        <is>
          <t>Delivered</t>
        </is>
      </c>
      <c r="I106" t="inlineStr">
        <is>
          <t>Neha Kulkarni</t>
        </is>
      </c>
      <c r="J106" s="14">
        <f>E106*F106*(1-G106/100)</f>
        <v/>
      </c>
      <c r="K106" s="12">
        <f>DATE(YEAR(B106),MONTH(B106),1)</f>
        <v/>
      </c>
      <c r="L106">
        <f>IF(COUNTIF($A$2:A106,A106)=1,1,0)</f>
        <v/>
      </c>
      <c r="M106">
        <f>_xlfn.XLOOKUP(C106,Customers!$A$2:$A$25,Customers!$B$2:$B$25,"not found")</f>
        <v/>
      </c>
      <c r="N106">
        <f>_xlfn.XLOOKUP(C106,Customers!$A$2:$A$25,Customers!$D$2:$D$25,"not found")</f>
        <v/>
      </c>
    </row>
    <row r="107">
      <c r="A107" t="n">
        <v>10059</v>
      </c>
      <c r="B107" s="12" t="n">
        <v>45812</v>
      </c>
      <c r="C107" s="13" t="inlineStr">
        <is>
          <t>0001</t>
        </is>
      </c>
      <c r="D107" t="n">
        <v>102</v>
      </c>
      <c r="E107" t="n">
        <v>5</v>
      </c>
      <c r="F107" t="n">
        <v>750</v>
      </c>
      <c r="G107" t="n">
        <v>0</v>
      </c>
      <c r="H107" t="inlineStr">
        <is>
          <t>Delivered</t>
        </is>
      </c>
      <c r="I107" t="inlineStr">
        <is>
          <t>Neha Kulkarni</t>
        </is>
      </c>
      <c r="J107" s="14">
        <f>E107*F107*(1-G107/100)</f>
        <v/>
      </c>
      <c r="K107" s="12">
        <f>DATE(YEAR(B107),MONTH(B107),1)</f>
        <v/>
      </c>
      <c r="L107">
        <f>IF(COUNTIF($A$2:A107,A107)=1,1,0)</f>
        <v/>
      </c>
      <c r="M107">
        <f>_xlfn.XLOOKUP(C107,Customers!$A$2:$A$25,Customers!$B$2:$B$25,"not found")</f>
        <v/>
      </c>
      <c r="N107">
        <f>_xlfn.XLOOKUP(C107,Customers!$A$2:$A$25,Customers!$D$2:$D$25,"not found")</f>
        <v/>
      </c>
    </row>
    <row r="108">
      <c r="A108" t="n">
        <v>10060</v>
      </c>
      <c r="B108" s="12" t="n">
        <v>45814</v>
      </c>
      <c r="C108" s="13" t="inlineStr">
        <is>
          <t>0004</t>
        </is>
      </c>
      <c r="D108" t="n">
        <v>108</v>
      </c>
      <c r="E108" t="n">
        <v>30</v>
      </c>
      <c r="F108" t="n">
        <v>290</v>
      </c>
      <c r="G108" t="n">
        <v>5</v>
      </c>
      <c r="H108" t="inlineStr">
        <is>
          <t>Delivered</t>
        </is>
      </c>
      <c r="I108" t="inlineStr">
        <is>
          <t>Rahul Mehta</t>
        </is>
      </c>
      <c r="J108" s="14">
        <f>E108*F108*(1-G108/100)</f>
        <v/>
      </c>
      <c r="K108" s="12">
        <f>DATE(YEAR(B108),MONTH(B108),1)</f>
        <v/>
      </c>
      <c r="L108">
        <f>IF(COUNTIF($A$2:A108,A108)=1,1,0)</f>
        <v/>
      </c>
      <c r="M108">
        <f>_xlfn.XLOOKUP(C108,Customers!$A$2:$A$25,Customers!$B$2:$B$25,"not found")</f>
        <v/>
      </c>
      <c r="N108">
        <f>_xlfn.XLOOKUP(C108,Customers!$A$2:$A$25,Customers!$D$2:$D$25,"not found")</f>
        <v/>
      </c>
    </row>
    <row r="109">
      <c r="A109" t="n">
        <v>10061</v>
      </c>
      <c r="B109" s="12" t="n">
        <v>45817</v>
      </c>
      <c r="C109" s="13" t="inlineStr">
        <is>
          <t>0015</t>
        </is>
      </c>
      <c r="D109" t="n">
        <v>108</v>
      </c>
      <c r="E109" t="n">
        <v>5</v>
      </c>
      <c r="F109" t="n">
        <v>290</v>
      </c>
      <c r="G109" t="n">
        <v>5</v>
      </c>
      <c r="H109" t="inlineStr">
        <is>
          <t>Delivered</t>
        </is>
      </c>
      <c r="I109" t="inlineStr">
        <is>
          <t>Farah Khan</t>
        </is>
      </c>
      <c r="J109" s="14">
        <f>E109*F109*(1-G109/100)</f>
        <v/>
      </c>
      <c r="K109" s="12">
        <f>DATE(YEAR(B109),MONTH(B109),1)</f>
        <v/>
      </c>
      <c r="L109">
        <f>IF(COUNTIF($A$2:A109,A109)=1,1,0)</f>
        <v/>
      </c>
      <c r="M109">
        <f>_xlfn.XLOOKUP(C109,Customers!$A$2:$A$25,Customers!$B$2:$B$25,"not found")</f>
        <v/>
      </c>
      <c r="N109">
        <f>_xlfn.XLOOKUP(C109,Customers!$A$2:$A$25,Customers!$D$2:$D$25,"not found")</f>
        <v/>
      </c>
    </row>
    <row r="110">
      <c r="A110" t="n">
        <v>10062</v>
      </c>
      <c r="B110" s="12" t="n">
        <v>45818</v>
      </c>
      <c r="C110" s="13" t="inlineStr">
        <is>
          <t>0002</t>
        </is>
      </c>
      <c r="D110" t="n">
        <v>104</v>
      </c>
      <c r="E110" t="n">
        <v>10</v>
      </c>
      <c r="F110" t="n">
        <v>620</v>
      </c>
      <c r="G110" t="n">
        <v>5</v>
      </c>
      <c r="H110" t="inlineStr">
        <is>
          <t>Delivered</t>
        </is>
      </c>
      <c r="I110" t="inlineStr">
        <is>
          <t>Neha Kulkarni</t>
        </is>
      </c>
      <c r="J110" s="14">
        <f>E110*F110*(1-G110/100)</f>
        <v/>
      </c>
      <c r="K110" s="12">
        <f>DATE(YEAR(B110),MONTH(B110),1)</f>
        <v/>
      </c>
      <c r="L110">
        <f>IF(COUNTIF($A$2:A110,A110)=1,1,0)</f>
        <v/>
      </c>
      <c r="M110">
        <f>_xlfn.XLOOKUP(C110,Customers!$A$2:$A$25,Customers!$B$2:$B$25,"not found")</f>
        <v/>
      </c>
      <c r="N110">
        <f>_xlfn.XLOOKUP(C110,Customers!$A$2:$A$25,Customers!$D$2:$D$25,"not found")</f>
        <v/>
      </c>
    </row>
    <row r="111">
      <c r="A111" t="n">
        <v>10062</v>
      </c>
      <c r="B111" s="12" t="n">
        <v>45818</v>
      </c>
      <c r="C111" s="13" t="inlineStr">
        <is>
          <t>0002</t>
        </is>
      </c>
      <c r="D111" t="n">
        <v>108</v>
      </c>
      <c r="E111" t="n">
        <v>30</v>
      </c>
      <c r="F111" t="n">
        <v>290</v>
      </c>
      <c r="G111" t="n">
        <v>5</v>
      </c>
      <c r="H111" t="inlineStr">
        <is>
          <t>Delivered</t>
        </is>
      </c>
      <c r="I111" t="inlineStr">
        <is>
          <t>Neha Kulkarni</t>
        </is>
      </c>
      <c r="J111" s="14">
        <f>E111*F111*(1-G111/100)</f>
        <v/>
      </c>
      <c r="K111" s="12">
        <f>DATE(YEAR(B111),MONTH(B111),1)</f>
        <v/>
      </c>
      <c r="L111">
        <f>IF(COUNTIF($A$2:A111,A111)=1,1,0)</f>
        <v/>
      </c>
      <c r="M111">
        <f>_xlfn.XLOOKUP(C111,Customers!$A$2:$A$25,Customers!$B$2:$B$25,"not found")</f>
        <v/>
      </c>
      <c r="N111">
        <f>_xlfn.XLOOKUP(C111,Customers!$A$2:$A$25,Customers!$D$2:$D$25,"not found")</f>
        <v/>
      </c>
    </row>
    <row r="112">
      <c r="A112" t="n">
        <v>10063</v>
      </c>
      <c r="B112" s="12" t="n">
        <v>45818</v>
      </c>
      <c r="C112" s="13" t="inlineStr">
        <is>
          <t>0006</t>
        </is>
      </c>
      <c r="D112" t="n">
        <v>101</v>
      </c>
      <c r="E112" t="n">
        <v>20</v>
      </c>
      <c r="F112" t="n">
        <v>430</v>
      </c>
      <c r="G112" t="n">
        <v>0</v>
      </c>
      <c r="H112" t="inlineStr">
        <is>
          <t>Delivered</t>
        </is>
      </c>
      <c r="I112" t="inlineStr"/>
      <c r="J112" s="14">
        <f>E112*F112*(1-G112/100)</f>
        <v/>
      </c>
      <c r="K112" s="12">
        <f>DATE(YEAR(B112),MONTH(B112),1)</f>
        <v/>
      </c>
      <c r="L112">
        <f>IF(COUNTIF($A$2:A112,A112)=1,1,0)</f>
        <v/>
      </c>
      <c r="M112">
        <f>_xlfn.XLOOKUP(C112,Customers!$A$2:$A$25,Customers!$B$2:$B$25,"not found")</f>
        <v/>
      </c>
      <c r="N112">
        <f>_xlfn.XLOOKUP(C112,Customers!$A$2:$A$25,Customers!$D$2:$D$25,"not found")</f>
        <v/>
      </c>
    </row>
    <row r="113">
      <c r="A113" t="n">
        <v>10063</v>
      </c>
      <c r="B113" s="12" t="n">
        <v>45818</v>
      </c>
      <c r="C113" s="13" t="inlineStr">
        <is>
          <t>0006</t>
        </is>
      </c>
      <c r="D113" t="n">
        <v>103</v>
      </c>
      <c r="E113" t="n">
        <v>15</v>
      </c>
      <c r="F113" t="n">
        <v>115</v>
      </c>
      <c r="G113" t="n">
        <v>5</v>
      </c>
      <c r="H113" t="inlineStr">
        <is>
          <t>Delivered</t>
        </is>
      </c>
      <c r="I113" t="inlineStr"/>
      <c r="J113" s="14">
        <f>E113*F113*(1-G113/100)</f>
        <v/>
      </c>
      <c r="K113" s="12">
        <f>DATE(YEAR(B113),MONTH(B113),1)</f>
        <v/>
      </c>
      <c r="L113">
        <f>IF(COUNTIF($A$2:A113,A113)=1,1,0)</f>
        <v/>
      </c>
      <c r="M113">
        <f>_xlfn.XLOOKUP(C113,Customers!$A$2:$A$25,Customers!$B$2:$B$25,"not found")</f>
        <v/>
      </c>
      <c r="N113">
        <f>_xlfn.XLOOKUP(C113,Customers!$A$2:$A$25,Customers!$D$2:$D$25,"not found")</f>
        <v/>
      </c>
    </row>
    <row r="114">
      <c r="A114" t="n">
        <v>10064</v>
      </c>
      <c r="B114" s="12" t="n">
        <v>45818</v>
      </c>
      <c r="C114" s="13" t="inlineStr">
        <is>
          <t>0011</t>
        </is>
      </c>
      <c r="D114" t="n">
        <v>101</v>
      </c>
      <c r="E114" t="n">
        <v>15</v>
      </c>
      <c r="F114" t="n">
        <v>430</v>
      </c>
      <c r="G114" t="n">
        <v>12</v>
      </c>
      <c r="H114" t="inlineStr">
        <is>
          <t>Delivered</t>
        </is>
      </c>
      <c r="I114" t="inlineStr">
        <is>
          <t>Rahul Mehta</t>
        </is>
      </c>
      <c r="J114" s="14">
        <f>E114*F114*(1-G114/100)</f>
        <v/>
      </c>
      <c r="K114" s="12">
        <f>DATE(YEAR(B114),MONTH(B114),1)</f>
        <v/>
      </c>
      <c r="L114">
        <f>IF(COUNTIF($A$2:A114,A114)=1,1,0)</f>
        <v/>
      </c>
      <c r="M114">
        <f>_xlfn.XLOOKUP(C114,Customers!$A$2:$A$25,Customers!$B$2:$B$25,"not found")</f>
        <v/>
      </c>
      <c r="N114">
        <f>_xlfn.XLOOKUP(C114,Customers!$A$2:$A$25,Customers!$D$2:$D$25,"not found")</f>
        <v/>
      </c>
    </row>
    <row r="115">
      <c r="A115" t="n">
        <v>10064</v>
      </c>
      <c r="B115" s="12" t="n">
        <v>45818</v>
      </c>
      <c r="C115" s="13" t="inlineStr">
        <is>
          <t>0011</t>
        </is>
      </c>
      <c r="D115" t="n">
        <v>102</v>
      </c>
      <c r="E115" t="n">
        <v>15</v>
      </c>
      <c r="F115" t="n">
        <v>750</v>
      </c>
      <c r="G115" t="n">
        <v>5</v>
      </c>
      <c r="H115" t="inlineStr">
        <is>
          <t>Delivered</t>
        </is>
      </c>
      <c r="I115" t="inlineStr">
        <is>
          <t>Rahul Mehta</t>
        </is>
      </c>
      <c r="J115" s="14">
        <f>E115*F115*(1-G115/100)</f>
        <v/>
      </c>
      <c r="K115" s="12">
        <f>DATE(YEAR(B115),MONTH(B115),1)</f>
        <v/>
      </c>
      <c r="L115">
        <f>IF(COUNTIF($A$2:A115,A115)=1,1,0)</f>
        <v/>
      </c>
      <c r="M115">
        <f>_xlfn.XLOOKUP(C115,Customers!$A$2:$A$25,Customers!$B$2:$B$25,"not found")</f>
        <v/>
      </c>
      <c r="N115">
        <f>_xlfn.XLOOKUP(C115,Customers!$A$2:$A$25,Customers!$D$2:$D$25,"not found")</f>
        <v/>
      </c>
    </row>
    <row r="116">
      <c r="A116" t="n">
        <v>10064</v>
      </c>
      <c r="B116" s="12" t="n">
        <v>45818</v>
      </c>
      <c r="C116" s="13" t="inlineStr">
        <is>
          <t>0011</t>
        </is>
      </c>
      <c r="D116" t="n">
        <v>105</v>
      </c>
      <c r="E116" t="n">
        <v>5</v>
      </c>
      <c r="F116" t="n">
        <v>1400</v>
      </c>
      <c r="G116" t="n">
        <v>12</v>
      </c>
      <c r="H116" t="inlineStr">
        <is>
          <t>Delivered</t>
        </is>
      </c>
      <c r="I116" t="inlineStr">
        <is>
          <t>Rahul Mehta</t>
        </is>
      </c>
      <c r="J116" s="14">
        <f>E116*F116*(1-G116/100)</f>
        <v/>
      </c>
      <c r="K116" s="12">
        <f>DATE(YEAR(B116),MONTH(B116),1)</f>
        <v/>
      </c>
      <c r="L116">
        <f>IF(COUNTIF($A$2:A116,A116)=1,1,0)</f>
        <v/>
      </c>
      <c r="M116">
        <f>_xlfn.XLOOKUP(C116,Customers!$A$2:$A$25,Customers!$B$2:$B$25,"not found")</f>
        <v/>
      </c>
      <c r="N116">
        <f>_xlfn.XLOOKUP(C116,Customers!$A$2:$A$25,Customers!$D$2:$D$25,"not found")</f>
        <v/>
      </c>
    </row>
    <row r="117">
      <c r="A117" t="n">
        <v>10065</v>
      </c>
      <c r="B117" s="12" t="n">
        <v>45818</v>
      </c>
      <c r="C117" s="13" t="inlineStr">
        <is>
          <t>0015</t>
        </is>
      </c>
      <c r="D117" t="n">
        <v>101</v>
      </c>
      <c r="E117" t="n">
        <v>5</v>
      </c>
      <c r="F117" t="n">
        <v>430</v>
      </c>
      <c r="G117" t="n">
        <v>5</v>
      </c>
      <c r="H117" t="inlineStr">
        <is>
          <t>Delivered</t>
        </is>
      </c>
      <c r="I117" t="inlineStr">
        <is>
          <t>Farah Khan</t>
        </is>
      </c>
      <c r="J117" s="14">
        <f>E117*F117*(1-G117/100)</f>
        <v/>
      </c>
      <c r="K117" s="12">
        <f>DATE(YEAR(B117),MONTH(B117),1)</f>
        <v/>
      </c>
      <c r="L117">
        <f>IF(COUNTIF($A$2:A117,A117)=1,1,0)</f>
        <v/>
      </c>
      <c r="M117">
        <f>_xlfn.XLOOKUP(C117,Customers!$A$2:$A$25,Customers!$B$2:$B$25,"not found")</f>
        <v/>
      </c>
      <c r="N117">
        <f>_xlfn.XLOOKUP(C117,Customers!$A$2:$A$25,Customers!$D$2:$D$25,"not found")</f>
        <v/>
      </c>
    </row>
    <row r="118">
      <c r="A118" t="n">
        <v>10066</v>
      </c>
      <c r="B118" s="12" t="n">
        <v>45821</v>
      </c>
      <c r="C118" s="13" t="inlineStr">
        <is>
          <t>0007</t>
        </is>
      </c>
      <c r="D118" t="n">
        <v>105</v>
      </c>
      <c r="E118" t="n">
        <v>20</v>
      </c>
      <c r="F118" t="n">
        <v>1400</v>
      </c>
      <c r="G118" t="n">
        <v>5</v>
      </c>
      <c r="H118" t="inlineStr">
        <is>
          <t>Delivered</t>
        </is>
      </c>
      <c r="I118" t="inlineStr">
        <is>
          <t>Farah Khan</t>
        </is>
      </c>
      <c r="J118" s="14">
        <f>E118*F118*(1-G118/100)</f>
        <v/>
      </c>
      <c r="K118" s="12">
        <f>DATE(YEAR(B118),MONTH(B118),1)</f>
        <v/>
      </c>
      <c r="L118">
        <f>IF(COUNTIF($A$2:A118,A118)=1,1,0)</f>
        <v/>
      </c>
      <c r="M118">
        <f>_xlfn.XLOOKUP(C118,Customers!$A$2:$A$25,Customers!$B$2:$B$25,"not found")</f>
        <v/>
      </c>
      <c r="N118">
        <f>_xlfn.XLOOKUP(C118,Customers!$A$2:$A$25,Customers!$D$2:$D$25,"not found")</f>
        <v/>
      </c>
    </row>
    <row r="119">
      <c r="A119" t="n">
        <v>10066</v>
      </c>
      <c r="B119" s="12" t="n">
        <v>45821</v>
      </c>
      <c r="C119" s="13" t="inlineStr">
        <is>
          <t>0007</t>
        </is>
      </c>
      <c r="D119" t="n">
        <v>108</v>
      </c>
      <c r="E119" t="n">
        <v>15</v>
      </c>
      <c r="F119" t="n">
        <v>290</v>
      </c>
      <c r="G119" t="n">
        <v>8</v>
      </c>
      <c r="H119" t="inlineStr">
        <is>
          <t>Delivered</t>
        </is>
      </c>
      <c r="I119" t="inlineStr">
        <is>
          <t>Farah Khan</t>
        </is>
      </c>
      <c r="J119" s="14">
        <f>E119*F119*(1-G119/100)</f>
        <v/>
      </c>
      <c r="K119" s="12">
        <f>DATE(YEAR(B119),MONTH(B119),1)</f>
        <v/>
      </c>
      <c r="L119">
        <f>IF(COUNTIF($A$2:A119,A119)=1,1,0)</f>
        <v/>
      </c>
      <c r="M119">
        <f>_xlfn.XLOOKUP(C119,Customers!$A$2:$A$25,Customers!$B$2:$B$25,"not found")</f>
        <v/>
      </c>
      <c r="N119">
        <f>_xlfn.XLOOKUP(C119,Customers!$A$2:$A$25,Customers!$D$2:$D$25,"not found")</f>
        <v/>
      </c>
    </row>
    <row r="120">
      <c r="A120" t="n">
        <v>10067</v>
      </c>
      <c r="B120" s="12" t="n">
        <v>45822</v>
      </c>
      <c r="C120" s="13" t="inlineStr">
        <is>
          <t>0013</t>
        </is>
      </c>
      <c r="D120" t="n">
        <v>103</v>
      </c>
      <c r="E120" t="n">
        <v>25</v>
      </c>
      <c r="F120" t="n">
        <v>115</v>
      </c>
      <c r="G120" t="n">
        <v>5</v>
      </c>
      <c r="H120" t="inlineStr">
        <is>
          <t>Delivered</t>
        </is>
      </c>
      <c r="I120" t="inlineStr">
        <is>
          <t>Neha Kulkarni</t>
        </is>
      </c>
      <c r="J120" s="14">
        <f>E120*F120*(1-G120/100)</f>
        <v/>
      </c>
      <c r="K120" s="12">
        <f>DATE(YEAR(B120),MONTH(B120),1)</f>
        <v/>
      </c>
      <c r="L120">
        <f>IF(COUNTIF($A$2:A120,A120)=1,1,0)</f>
        <v/>
      </c>
      <c r="M120">
        <f>_xlfn.XLOOKUP(C120,Customers!$A$2:$A$25,Customers!$B$2:$B$25,"not found")</f>
        <v/>
      </c>
      <c r="N120">
        <f>_xlfn.XLOOKUP(C120,Customers!$A$2:$A$25,Customers!$D$2:$D$25,"not found")</f>
        <v/>
      </c>
    </row>
    <row r="121">
      <c r="A121" t="n">
        <v>10067</v>
      </c>
      <c r="B121" s="12" t="n">
        <v>45822</v>
      </c>
      <c r="C121" s="13" t="inlineStr">
        <is>
          <t>0013</t>
        </is>
      </c>
      <c r="D121" t="n">
        <v>108</v>
      </c>
      <c r="E121" t="n">
        <v>25</v>
      </c>
      <c r="F121" t="n">
        <v>290</v>
      </c>
      <c r="G121" t="n">
        <v>0</v>
      </c>
      <c r="H121" t="inlineStr">
        <is>
          <t>Delivered</t>
        </is>
      </c>
      <c r="I121" t="inlineStr">
        <is>
          <t>Neha Kulkarni</t>
        </is>
      </c>
      <c r="J121" s="14">
        <f>E121*F121*(1-G121/100)</f>
        <v/>
      </c>
      <c r="K121" s="12">
        <f>DATE(YEAR(B121),MONTH(B121),1)</f>
        <v/>
      </c>
      <c r="L121">
        <f>IF(COUNTIF($A$2:A121,A121)=1,1,0)</f>
        <v/>
      </c>
      <c r="M121">
        <f>_xlfn.XLOOKUP(C121,Customers!$A$2:$A$25,Customers!$B$2:$B$25,"not found")</f>
        <v/>
      </c>
      <c r="N121">
        <f>_xlfn.XLOOKUP(C121,Customers!$A$2:$A$25,Customers!$D$2:$D$25,"not found")</f>
        <v/>
      </c>
    </row>
    <row r="122">
      <c r="A122" t="n">
        <v>10068</v>
      </c>
      <c r="B122" s="12" t="n">
        <v>45826</v>
      </c>
      <c r="C122" s="13" t="inlineStr">
        <is>
          <t>0005</t>
        </is>
      </c>
      <c r="D122" t="n">
        <v>101</v>
      </c>
      <c r="E122" t="n">
        <v>15</v>
      </c>
      <c r="F122" t="n">
        <v>430</v>
      </c>
      <c r="G122" t="n">
        <v>0</v>
      </c>
      <c r="H122" t="inlineStr">
        <is>
          <t>Delivered</t>
        </is>
      </c>
      <c r="I122" t="inlineStr">
        <is>
          <t>Rahul Mehta</t>
        </is>
      </c>
      <c r="J122" s="14">
        <f>E122*F122*(1-G122/100)</f>
        <v/>
      </c>
      <c r="K122" s="12">
        <f>DATE(YEAR(B122),MONTH(B122),1)</f>
        <v/>
      </c>
      <c r="L122">
        <f>IF(COUNTIF($A$2:A122,A122)=1,1,0)</f>
        <v/>
      </c>
      <c r="M122">
        <f>_xlfn.XLOOKUP(C122,Customers!$A$2:$A$25,Customers!$B$2:$B$25,"not found")</f>
        <v/>
      </c>
      <c r="N122">
        <f>_xlfn.XLOOKUP(C122,Customers!$A$2:$A$25,Customers!$D$2:$D$25,"not found")</f>
        <v/>
      </c>
    </row>
    <row r="123">
      <c r="A123" t="n">
        <v>10069</v>
      </c>
      <c r="B123" s="12" t="n">
        <v>45832</v>
      </c>
      <c r="C123" s="13" t="inlineStr">
        <is>
          <t>0003</t>
        </is>
      </c>
      <c r="D123" t="n">
        <v>101</v>
      </c>
      <c r="E123" t="n">
        <v>20</v>
      </c>
      <c r="F123" t="n">
        <v>430</v>
      </c>
      <c r="G123" t="n">
        <v>0</v>
      </c>
      <c r="H123" t="inlineStr">
        <is>
          <t>Delivered</t>
        </is>
      </c>
      <c r="I123" t="inlineStr">
        <is>
          <t>Farah Khan</t>
        </is>
      </c>
      <c r="J123" s="14">
        <f>E123*F123*(1-G123/100)</f>
        <v/>
      </c>
      <c r="K123" s="12">
        <f>DATE(YEAR(B123),MONTH(B123),1)</f>
        <v/>
      </c>
      <c r="L123">
        <f>IF(COUNTIF($A$2:A123,A123)=1,1,0)</f>
        <v/>
      </c>
      <c r="M123">
        <f>_xlfn.XLOOKUP(C123,Customers!$A$2:$A$25,Customers!$B$2:$B$25,"not found")</f>
        <v/>
      </c>
      <c r="N123">
        <f>_xlfn.XLOOKUP(C123,Customers!$A$2:$A$25,Customers!$D$2:$D$25,"not found")</f>
        <v/>
      </c>
    </row>
    <row r="124">
      <c r="A124" t="n">
        <v>10069</v>
      </c>
      <c r="B124" s="12" t="n">
        <v>45832</v>
      </c>
      <c r="C124" s="13" t="inlineStr">
        <is>
          <t>0003</t>
        </is>
      </c>
      <c r="D124" t="n">
        <v>104</v>
      </c>
      <c r="E124" t="n">
        <v>25</v>
      </c>
      <c r="F124" t="n">
        <v>620</v>
      </c>
      <c r="G124" t="n">
        <v>5</v>
      </c>
      <c r="H124" t="inlineStr">
        <is>
          <t>Delivered</t>
        </is>
      </c>
      <c r="I124" t="inlineStr">
        <is>
          <t>Farah Khan</t>
        </is>
      </c>
      <c r="J124" s="14">
        <f>E124*F124*(1-G124/100)</f>
        <v/>
      </c>
      <c r="K124" s="12">
        <f>DATE(YEAR(B124),MONTH(B124),1)</f>
        <v/>
      </c>
      <c r="L124">
        <f>IF(COUNTIF($A$2:A124,A124)=1,1,0)</f>
        <v/>
      </c>
      <c r="M124">
        <f>_xlfn.XLOOKUP(C124,Customers!$A$2:$A$25,Customers!$B$2:$B$25,"not found")</f>
        <v/>
      </c>
      <c r="N124">
        <f>_xlfn.XLOOKUP(C124,Customers!$A$2:$A$25,Customers!$D$2:$D$25,"not found")</f>
        <v/>
      </c>
    </row>
    <row r="125">
      <c r="A125" t="n">
        <v>10070</v>
      </c>
      <c r="B125" s="12" t="n">
        <v>45836</v>
      </c>
      <c r="C125" s="13" t="inlineStr">
        <is>
          <t>0014</t>
        </is>
      </c>
      <c r="D125" t="n">
        <v>105</v>
      </c>
      <c r="E125" t="n">
        <v>20</v>
      </c>
      <c r="F125" t="n">
        <v>1400</v>
      </c>
      <c r="G125" t="n">
        <v>5</v>
      </c>
      <c r="H125" t="inlineStr">
        <is>
          <t>Delivered</t>
        </is>
      </c>
      <c r="I125" t="inlineStr">
        <is>
          <t>Farah Khan</t>
        </is>
      </c>
      <c r="J125" s="14">
        <f>E125*F125*(1-G125/100)</f>
        <v/>
      </c>
      <c r="K125" s="12">
        <f>DATE(YEAR(B125),MONTH(B125),1)</f>
        <v/>
      </c>
      <c r="L125">
        <f>IF(COUNTIF($A$2:A125,A125)=1,1,0)</f>
        <v/>
      </c>
      <c r="M125">
        <f>_xlfn.XLOOKUP(C125,Customers!$A$2:$A$25,Customers!$B$2:$B$25,"not found")</f>
        <v/>
      </c>
      <c r="N125">
        <f>_xlfn.XLOOKUP(C125,Customers!$A$2:$A$25,Customers!$D$2:$D$25,"not found")</f>
        <v/>
      </c>
    </row>
    <row r="126">
      <c r="A126" t="n">
        <v>10070</v>
      </c>
      <c r="B126" s="12" t="n">
        <v>45836</v>
      </c>
      <c r="C126" s="13" t="inlineStr">
        <is>
          <t>0014</t>
        </is>
      </c>
      <c r="D126" t="n">
        <v>108</v>
      </c>
      <c r="E126" t="n">
        <v>30</v>
      </c>
      <c r="F126" t="n">
        <v>290</v>
      </c>
      <c r="G126" t="n">
        <v>10</v>
      </c>
      <c r="H126" t="inlineStr">
        <is>
          <t>Delivered</t>
        </is>
      </c>
      <c r="I126" t="inlineStr">
        <is>
          <t>Farah Khan</t>
        </is>
      </c>
      <c r="J126" s="14">
        <f>E126*F126*(1-G126/100)</f>
        <v/>
      </c>
      <c r="K126" s="12">
        <f>DATE(YEAR(B126),MONTH(B126),1)</f>
        <v/>
      </c>
      <c r="L126">
        <f>IF(COUNTIF($A$2:A126,A126)=1,1,0)</f>
        <v/>
      </c>
      <c r="M126">
        <f>_xlfn.XLOOKUP(C126,Customers!$A$2:$A$25,Customers!$B$2:$B$25,"not found")</f>
        <v/>
      </c>
      <c r="N126">
        <f>_xlfn.XLOOKUP(C126,Customers!$A$2:$A$25,Customers!$D$2:$D$25,"not found")</f>
        <v/>
      </c>
    </row>
    <row r="127">
      <c r="A127" t="n">
        <v>10071</v>
      </c>
      <c r="B127" s="12" t="n">
        <v>45841</v>
      </c>
      <c r="C127" s="13" t="inlineStr">
        <is>
          <t>0015</t>
        </is>
      </c>
      <c r="D127" t="n">
        <v>104</v>
      </c>
      <c r="E127" t="n">
        <v>30</v>
      </c>
      <c r="F127" t="n">
        <v>620</v>
      </c>
      <c r="G127" t="n">
        <v>0</v>
      </c>
      <c r="H127" t="inlineStr">
        <is>
          <t>Delivered</t>
        </is>
      </c>
      <c r="I127" t="inlineStr">
        <is>
          <t>Farah Khan</t>
        </is>
      </c>
      <c r="J127" s="14">
        <f>E127*F127*(1-G127/100)</f>
        <v/>
      </c>
      <c r="K127" s="12">
        <f>DATE(YEAR(B127),MONTH(B127),1)</f>
        <v/>
      </c>
      <c r="L127">
        <f>IF(COUNTIF($A$2:A127,A127)=1,1,0)</f>
        <v/>
      </c>
      <c r="M127">
        <f>_xlfn.XLOOKUP(C127,Customers!$A$2:$A$25,Customers!$B$2:$B$25,"not found")</f>
        <v/>
      </c>
      <c r="N127">
        <f>_xlfn.XLOOKUP(C127,Customers!$A$2:$A$25,Customers!$D$2:$D$25,"not found")</f>
        <v/>
      </c>
    </row>
    <row r="128">
      <c r="A128" t="n">
        <v>10071</v>
      </c>
      <c r="B128" s="12" t="n">
        <v>45841</v>
      </c>
      <c r="C128" s="13" t="inlineStr">
        <is>
          <t>0015</t>
        </is>
      </c>
      <c r="D128" t="n">
        <v>107</v>
      </c>
      <c r="E128" t="n">
        <v>25</v>
      </c>
      <c r="F128" t="n">
        <v>380</v>
      </c>
      <c r="G128" t="n">
        <v>5</v>
      </c>
      <c r="H128" t="inlineStr">
        <is>
          <t>Delivered</t>
        </is>
      </c>
      <c r="I128" t="inlineStr">
        <is>
          <t>Farah Khan</t>
        </is>
      </c>
      <c r="J128" s="14">
        <f>E128*F128*(1-G128/100)</f>
        <v/>
      </c>
      <c r="K128" s="12">
        <f>DATE(YEAR(B128),MONTH(B128),1)</f>
        <v/>
      </c>
      <c r="L128">
        <f>IF(COUNTIF($A$2:A128,A128)=1,1,0)</f>
        <v/>
      </c>
      <c r="M128">
        <f>_xlfn.XLOOKUP(C128,Customers!$A$2:$A$25,Customers!$B$2:$B$25,"not found")</f>
        <v/>
      </c>
      <c r="N128">
        <f>_xlfn.XLOOKUP(C128,Customers!$A$2:$A$25,Customers!$D$2:$D$25,"not found")</f>
        <v/>
      </c>
    </row>
    <row r="129">
      <c r="A129" t="n">
        <v>10071</v>
      </c>
      <c r="B129" s="12" t="n">
        <v>45841</v>
      </c>
      <c r="C129" s="13" t="inlineStr">
        <is>
          <t>0015</t>
        </is>
      </c>
      <c r="D129" t="n">
        <v>108</v>
      </c>
      <c r="E129" t="n">
        <v>25</v>
      </c>
      <c r="F129" t="n">
        <v>290</v>
      </c>
      <c r="G129" t="n">
        <v>5</v>
      </c>
      <c r="H129" t="inlineStr">
        <is>
          <t>Delivered</t>
        </is>
      </c>
      <c r="I129" t="inlineStr">
        <is>
          <t>Farah Khan</t>
        </is>
      </c>
      <c r="J129" s="14">
        <f>E129*F129*(1-G129/100)</f>
        <v/>
      </c>
      <c r="K129" s="12">
        <f>DATE(YEAR(B129),MONTH(B129),1)</f>
        <v/>
      </c>
      <c r="L129">
        <f>IF(COUNTIF($A$2:A129,A129)=1,1,0)</f>
        <v/>
      </c>
      <c r="M129">
        <f>_xlfn.XLOOKUP(C129,Customers!$A$2:$A$25,Customers!$B$2:$B$25,"not found")</f>
        <v/>
      </c>
      <c r="N129">
        <f>_xlfn.XLOOKUP(C129,Customers!$A$2:$A$25,Customers!$D$2:$D$25,"not found")</f>
        <v/>
      </c>
    </row>
    <row r="130">
      <c r="A130" t="n">
        <v>10072</v>
      </c>
      <c r="B130" s="12" t="n">
        <v>45845</v>
      </c>
      <c r="C130" s="13" t="inlineStr">
        <is>
          <t>0003</t>
        </is>
      </c>
      <c r="D130" t="n">
        <v>107</v>
      </c>
      <c r="E130" t="n">
        <v>35</v>
      </c>
      <c r="F130" t="n">
        <v>380</v>
      </c>
      <c r="G130" t="n">
        <v>0</v>
      </c>
      <c r="H130" t="inlineStr">
        <is>
          <t>Delivered</t>
        </is>
      </c>
      <c r="I130" t="inlineStr">
        <is>
          <t>Farah Khan</t>
        </is>
      </c>
      <c r="J130" s="14">
        <f>E130*F130*(1-G130/100)</f>
        <v/>
      </c>
      <c r="K130" s="12">
        <f>DATE(YEAR(B130),MONTH(B130),1)</f>
        <v/>
      </c>
      <c r="L130">
        <f>IF(COUNTIF($A$2:A130,A130)=1,1,0)</f>
        <v/>
      </c>
      <c r="M130">
        <f>_xlfn.XLOOKUP(C130,Customers!$A$2:$A$25,Customers!$B$2:$B$25,"not found")</f>
        <v/>
      </c>
      <c r="N130">
        <f>_xlfn.XLOOKUP(C130,Customers!$A$2:$A$25,Customers!$D$2:$D$25,"not found")</f>
        <v/>
      </c>
    </row>
    <row r="131">
      <c r="A131" t="n">
        <v>10073</v>
      </c>
      <c r="B131" s="12" t="n">
        <v>45848</v>
      </c>
      <c r="C131" s="13" t="inlineStr">
        <is>
          <t>0005</t>
        </is>
      </c>
      <c r="D131" t="n">
        <v>103</v>
      </c>
      <c r="E131" t="n">
        <v>5</v>
      </c>
      <c r="F131" t="n">
        <v>115</v>
      </c>
      <c r="G131" t="n">
        <v>0</v>
      </c>
      <c r="H131" t="inlineStr">
        <is>
          <t>Delivered</t>
        </is>
      </c>
      <c r="I131" t="inlineStr">
        <is>
          <t>Rahul Mehta</t>
        </is>
      </c>
      <c r="J131" s="14">
        <f>E131*F131*(1-G131/100)</f>
        <v/>
      </c>
      <c r="K131" s="12">
        <f>DATE(YEAR(B131),MONTH(B131),1)</f>
        <v/>
      </c>
      <c r="L131">
        <f>IF(COUNTIF($A$2:A131,A131)=1,1,0)</f>
        <v/>
      </c>
      <c r="M131">
        <f>_xlfn.XLOOKUP(C131,Customers!$A$2:$A$25,Customers!$B$2:$B$25,"not found")</f>
        <v/>
      </c>
      <c r="N131">
        <f>_xlfn.XLOOKUP(C131,Customers!$A$2:$A$25,Customers!$D$2:$D$25,"not found")</f>
        <v/>
      </c>
    </row>
    <row r="132">
      <c r="A132" t="n">
        <v>10073</v>
      </c>
      <c r="B132" s="12" t="n">
        <v>45848</v>
      </c>
      <c r="C132" s="13" t="inlineStr">
        <is>
          <t>0005</t>
        </is>
      </c>
      <c r="D132" t="n">
        <v>104</v>
      </c>
      <c r="E132" t="n">
        <v>20</v>
      </c>
      <c r="F132" t="n">
        <v>620</v>
      </c>
      <c r="G132" t="n">
        <v>5</v>
      </c>
      <c r="H132" t="inlineStr">
        <is>
          <t>Delivered</t>
        </is>
      </c>
      <c r="I132" t="inlineStr">
        <is>
          <t>Rahul Mehta</t>
        </is>
      </c>
      <c r="J132" s="14">
        <f>E132*F132*(1-G132/100)</f>
        <v/>
      </c>
      <c r="K132" s="12">
        <f>DATE(YEAR(B132),MONTH(B132),1)</f>
        <v/>
      </c>
      <c r="L132">
        <f>IF(COUNTIF($A$2:A132,A132)=1,1,0)</f>
        <v/>
      </c>
      <c r="M132">
        <f>_xlfn.XLOOKUP(C132,Customers!$A$2:$A$25,Customers!$B$2:$B$25,"not found")</f>
        <v/>
      </c>
      <c r="N132">
        <f>_xlfn.XLOOKUP(C132,Customers!$A$2:$A$25,Customers!$D$2:$D$25,"not found")</f>
        <v/>
      </c>
    </row>
    <row r="133">
      <c r="A133" t="n">
        <v>10074</v>
      </c>
      <c r="B133" s="12" t="n">
        <v>45853</v>
      </c>
      <c r="C133" s="13" t="inlineStr">
        <is>
          <t>0008</t>
        </is>
      </c>
      <c r="D133" t="n">
        <v>104</v>
      </c>
      <c r="E133" t="n">
        <v>15</v>
      </c>
      <c r="F133" t="n">
        <v>620</v>
      </c>
      <c r="G133" t="n">
        <v>0</v>
      </c>
      <c r="H133" t="inlineStr">
        <is>
          <t>Delivered</t>
        </is>
      </c>
      <c r="I133" t="inlineStr">
        <is>
          <t>Neha Kulkarni</t>
        </is>
      </c>
      <c r="J133" s="14">
        <f>E133*F133*(1-G133/100)</f>
        <v/>
      </c>
      <c r="K133" s="12">
        <f>DATE(YEAR(B133),MONTH(B133),1)</f>
        <v/>
      </c>
      <c r="L133">
        <f>IF(COUNTIF($A$2:A133,A133)=1,1,0)</f>
        <v/>
      </c>
      <c r="M133">
        <f>_xlfn.XLOOKUP(C133,Customers!$A$2:$A$25,Customers!$B$2:$B$25,"not found")</f>
        <v/>
      </c>
      <c r="N133">
        <f>_xlfn.XLOOKUP(C133,Customers!$A$2:$A$25,Customers!$D$2:$D$25,"not found")</f>
        <v/>
      </c>
    </row>
    <row r="134">
      <c r="A134" t="n">
        <v>10074</v>
      </c>
      <c r="B134" s="12" t="n">
        <v>45853</v>
      </c>
      <c r="C134" s="13" t="inlineStr">
        <is>
          <t>0008</t>
        </is>
      </c>
      <c r="D134" t="n">
        <v>107</v>
      </c>
      <c r="E134" t="n">
        <v>20</v>
      </c>
      <c r="F134" t="n">
        <v>380</v>
      </c>
      <c r="G134" t="n">
        <v>0</v>
      </c>
      <c r="H134" t="inlineStr">
        <is>
          <t>Delivered</t>
        </is>
      </c>
      <c r="I134" t="inlineStr">
        <is>
          <t>Neha Kulkarni</t>
        </is>
      </c>
      <c r="J134" s="14">
        <f>E134*F134*(1-G134/100)</f>
        <v/>
      </c>
      <c r="K134" s="12">
        <f>DATE(YEAR(B134),MONTH(B134),1)</f>
        <v/>
      </c>
      <c r="L134">
        <f>IF(COUNTIF($A$2:A134,A134)=1,1,0)</f>
        <v/>
      </c>
      <c r="M134">
        <f>_xlfn.XLOOKUP(C134,Customers!$A$2:$A$25,Customers!$B$2:$B$25,"not found")</f>
        <v/>
      </c>
      <c r="N134">
        <f>_xlfn.XLOOKUP(C134,Customers!$A$2:$A$25,Customers!$D$2:$D$25,"not found")</f>
        <v/>
      </c>
    </row>
    <row r="135">
      <c r="A135" t="n">
        <v>10075</v>
      </c>
      <c r="B135" s="12" t="n">
        <v>45853</v>
      </c>
      <c r="C135" s="13" t="inlineStr">
        <is>
          <t>0012</t>
        </is>
      </c>
      <c r="D135" t="n">
        <v>101</v>
      </c>
      <c r="E135" t="n">
        <v>20</v>
      </c>
      <c r="F135" t="n">
        <v>430</v>
      </c>
      <c r="G135" t="n">
        <v>0</v>
      </c>
      <c r="H135" t="inlineStr">
        <is>
          <t>Delivered</t>
        </is>
      </c>
      <c r="I135" t="inlineStr">
        <is>
          <t>Neha Kulkarni</t>
        </is>
      </c>
      <c r="J135" s="14">
        <f>E135*F135*(1-G135/100)</f>
        <v/>
      </c>
      <c r="K135" s="12">
        <f>DATE(YEAR(B135),MONTH(B135),1)</f>
        <v/>
      </c>
      <c r="L135">
        <f>IF(COUNTIF($A$2:A135,A135)=1,1,0)</f>
        <v/>
      </c>
      <c r="M135">
        <f>_xlfn.XLOOKUP(C135,Customers!$A$2:$A$25,Customers!$B$2:$B$25,"not found")</f>
        <v/>
      </c>
      <c r="N135">
        <f>_xlfn.XLOOKUP(C135,Customers!$A$2:$A$25,Customers!$D$2:$D$25,"not found")</f>
        <v/>
      </c>
    </row>
    <row r="136">
      <c r="A136" t="n">
        <v>10075</v>
      </c>
      <c r="B136" s="12" t="n">
        <v>45853</v>
      </c>
      <c r="C136" s="13" t="inlineStr">
        <is>
          <t>0012</t>
        </is>
      </c>
      <c r="D136" t="n">
        <v>104</v>
      </c>
      <c r="E136" t="n">
        <v>20</v>
      </c>
      <c r="F136" t="n">
        <v>620</v>
      </c>
      <c r="G136" t="n">
        <v>0</v>
      </c>
      <c r="H136" t="inlineStr">
        <is>
          <t>Delivered</t>
        </is>
      </c>
      <c r="I136" t="inlineStr">
        <is>
          <t>Neha Kulkarni</t>
        </is>
      </c>
      <c r="J136" s="14">
        <f>E136*F136*(1-G136/100)</f>
        <v/>
      </c>
      <c r="K136" s="12">
        <f>DATE(YEAR(B136),MONTH(B136),1)</f>
        <v/>
      </c>
      <c r="L136">
        <f>IF(COUNTIF($A$2:A136,A136)=1,1,0)</f>
        <v/>
      </c>
      <c r="M136">
        <f>_xlfn.XLOOKUP(C136,Customers!$A$2:$A$25,Customers!$B$2:$B$25,"not found")</f>
        <v/>
      </c>
      <c r="N136">
        <f>_xlfn.XLOOKUP(C136,Customers!$A$2:$A$25,Customers!$D$2:$D$25,"not found")</f>
        <v/>
      </c>
    </row>
    <row r="137">
      <c r="A137" t="n">
        <v>10075</v>
      </c>
      <c r="B137" s="12" t="n">
        <v>45853</v>
      </c>
      <c r="C137" s="13" t="inlineStr">
        <is>
          <t>0012</t>
        </is>
      </c>
      <c r="D137" t="n">
        <v>107</v>
      </c>
      <c r="E137" t="n">
        <v>5</v>
      </c>
      <c r="F137" t="n">
        <v>380</v>
      </c>
      <c r="G137" t="n">
        <v>5</v>
      </c>
      <c r="H137" t="inlineStr">
        <is>
          <t>Delivered</t>
        </is>
      </c>
      <c r="I137" t="inlineStr">
        <is>
          <t>Neha Kulkarni</t>
        </is>
      </c>
      <c r="J137" s="14">
        <f>E137*F137*(1-G137/100)</f>
        <v/>
      </c>
      <c r="K137" s="12">
        <f>DATE(YEAR(B137),MONTH(B137),1)</f>
        <v/>
      </c>
      <c r="L137">
        <f>IF(COUNTIF($A$2:A137,A137)=1,1,0)</f>
        <v/>
      </c>
      <c r="M137">
        <f>_xlfn.XLOOKUP(C137,Customers!$A$2:$A$25,Customers!$B$2:$B$25,"not found")</f>
        <v/>
      </c>
      <c r="N137">
        <f>_xlfn.XLOOKUP(C137,Customers!$A$2:$A$25,Customers!$D$2:$D$25,"not found")</f>
        <v/>
      </c>
    </row>
    <row r="138">
      <c r="A138" t="n">
        <v>10076</v>
      </c>
      <c r="B138" s="12" t="n">
        <v>45858</v>
      </c>
      <c r="C138" s="13" t="inlineStr">
        <is>
          <t>0015</t>
        </is>
      </c>
      <c r="D138" t="n">
        <v>103</v>
      </c>
      <c r="E138" t="n">
        <v>5</v>
      </c>
      <c r="F138" t="n">
        <v>115</v>
      </c>
      <c r="G138" t="n">
        <v>5</v>
      </c>
      <c r="H138" t="inlineStr">
        <is>
          <t>Delivered</t>
        </is>
      </c>
      <c r="I138" t="inlineStr">
        <is>
          <t>Farah Khan</t>
        </is>
      </c>
      <c r="J138" s="14">
        <f>E138*F138*(1-G138/100)</f>
        <v/>
      </c>
      <c r="K138" s="12">
        <f>DATE(YEAR(B138),MONTH(B138),1)</f>
        <v/>
      </c>
      <c r="L138">
        <f>IF(COUNTIF($A$2:A138,A138)=1,1,0)</f>
        <v/>
      </c>
      <c r="M138">
        <f>_xlfn.XLOOKUP(C138,Customers!$A$2:$A$25,Customers!$B$2:$B$25,"not found")</f>
        <v/>
      </c>
      <c r="N138">
        <f>_xlfn.XLOOKUP(C138,Customers!$A$2:$A$25,Customers!$D$2:$D$25,"not found")</f>
        <v/>
      </c>
    </row>
    <row r="139">
      <c r="A139" t="n">
        <v>10076</v>
      </c>
      <c r="B139" s="12" t="n">
        <v>45858</v>
      </c>
      <c r="C139" s="13" t="inlineStr">
        <is>
          <t>0015</t>
        </is>
      </c>
      <c r="D139" t="n">
        <v>104</v>
      </c>
      <c r="E139" t="n">
        <v>10</v>
      </c>
      <c r="F139" t="n">
        <v>620</v>
      </c>
      <c r="G139" t="n">
        <v>0</v>
      </c>
      <c r="H139" t="inlineStr">
        <is>
          <t>Delivered</t>
        </is>
      </c>
      <c r="I139" t="inlineStr">
        <is>
          <t>Farah Khan</t>
        </is>
      </c>
      <c r="J139" s="14">
        <f>E139*F139*(1-G139/100)</f>
        <v/>
      </c>
      <c r="K139" s="12">
        <f>DATE(YEAR(B139),MONTH(B139),1)</f>
        <v/>
      </c>
      <c r="L139">
        <f>IF(COUNTIF($A$2:A139,A139)=1,1,0)</f>
        <v/>
      </c>
      <c r="M139">
        <f>_xlfn.XLOOKUP(C139,Customers!$A$2:$A$25,Customers!$B$2:$B$25,"not found")</f>
        <v/>
      </c>
      <c r="N139">
        <f>_xlfn.XLOOKUP(C139,Customers!$A$2:$A$25,Customers!$D$2:$D$25,"not found")</f>
        <v/>
      </c>
    </row>
    <row r="140">
      <c r="A140" t="n">
        <v>10077</v>
      </c>
      <c r="B140" s="12" t="n">
        <v>45859</v>
      </c>
      <c r="C140" s="13" t="inlineStr">
        <is>
          <t>0005</t>
        </is>
      </c>
      <c r="D140" t="n">
        <v>107</v>
      </c>
      <c r="E140" t="n">
        <v>15</v>
      </c>
      <c r="F140" t="n">
        <v>380</v>
      </c>
      <c r="G140" t="n">
        <v>5</v>
      </c>
      <c r="H140" t="inlineStr">
        <is>
          <t>Delivered</t>
        </is>
      </c>
      <c r="I140" t="inlineStr">
        <is>
          <t>Rahul Mehta</t>
        </is>
      </c>
      <c r="J140" s="14">
        <f>E140*F140*(1-G140/100)</f>
        <v/>
      </c>
      <c r="K140" s="12">
        <f>DATE(YEAR(B140),MONTH(B140),1)</f>
        <v/>
      </c>
      <c r="L140">
        <f>IF(COUNTIF($A$2:A140,A140)=1,1,0)</f>
        <v/>
      </c>
      <c r="M140">
        <f>_xlfn.XLOOKUP(C140,Customers!$A$2:$A$25,Customers!$B$2:$B$25,"not found")</f>
        <v/>
      </c>
      <c r="N140">
        <f>_xlfn.XLOOKUP(C140,Customers!$A$2:$A$25,Customers!$D$2:$D$25,"not found")</f>
        <v/>
      </c>
    </row>
    <row r="141">
      <c r="A141" t="n">
        <v>10077</v>
      </c>
      <c r="B141" s="12" t="n">
        <v>45859</v>
      </c>
      <c r="C141" s="13" t="inlineStr">
        <is>
          <t>0005</t>
        </is>
      </c>
      <c r="D141" t="n">
        <v>108</v>
      </c>
      <c r="E141" t="n">
        <v>10</v>
      </c>
      <c r="F141" t="n">
        <v>290</v>
      </c>
      <c r="G141" t="n">
        <v>5</v>
      </c>
      <c r="H141" t="inlineStr">
        <is>
          <t>Delivered</t>
        </is>
      </c>
      <c r="I141" t="inlineStr">
        <is>
          <t>Rahul Mehta</t>
        </is>
      </c>
      <c r="J141" s="14">
        <f>E141*F141*(1-G141/100)</f>
        <v/>
      </c>
      <c r="K141" s="12">
        <f>DATE(YEAR(B141),MONTH(B141),1)</f>
        <v/>
      </c>
      <c r="L141">
        <f>IF(COUNTIF($A$2:A141,A141)=1,1,0)</f>
        <v/>
      </c>
      <c r="M141">
        <f>_xlfn.XLOOKUP(C141,Customers!$A$2:$A$25,Customers!$B$2:$B$25,"not found")</f>
        <v/>
      </c>
      <c r="N141">
        <f>_xlfn.XLOOKUP(C141,Customers!$A$2:$A$25,Customers!$D$2:$D$25,"not found")</f>
        <v/>
      </c>
    </row>
    <row r="142">
      <c r="A142" t="n">
        <v>10078</v>
      </c>
      <c r="B142" s="12" t="n">
        <v>45859</v>
      </c>
      <c r="C142" s="13" t="inlineStr">
        <is>
          <t>0018</t>
        </is>
      </c>
      <c r="D142" t="n">
        <v>102</v>
      </c>
      <c r="E142" t="n">
        <v>15</v>
      </c>
      <c r="F142" t="n">
        <v>750</v>
      </c>
      <c r="G142" t="n">
        <v>5</v>
      </c>
      <c r="H142" t="inlineStr">
        <is>
          <t>Delivered</t>
        </is>
      </c>
      <c r="I142" t="inlineStr">
        <is>
          <t>Rahul Mehta</t>
        </is>
      </c>
      <c r="J142" s="14">
        <f>E142*F142*(1-G142/100)</f>
        <v/>
      </c>
      <c r="K142" s="12">
        <f>DATE(YEAR(B142),MONTH(B142),1)</f>
        <v/>
      </c>
      <c r="L142">
        <f>IF(COUNTIF($A$2:A142,A142)=1,1,0)</f>
        <v/>
      </c>
      <c r="M142">
        <f>_xlfn.XLOOKUP(C142,Customers!$A$2:$A$25,Customers!$B$2:$B$25,"not found")</f>
        <v/>
      </c>
      <c r="N142">
        <f>_xlfn.XLOOKUP(C142,Customers!$A$2:$A$25,Customers!$D$2:$D$25,"not found")</f>
        <v/>
      </c>
    </row>
    <row r="143">
      <c r="A143" t="n">
        <v>10079</v>
      </c>
      <c r="B143" s="12" t="n">
        <v>45860</v>
      </c>
      <c r="C143" s="13" t="inlineStr">
        <is>
          <t>0013</t>
        </is>
      </c>
      <c r="D143" t="n">
        <v>101</v>
      </c>
      <c r="E143" t="n">
        <v>5</v>
      </c>
      <c r="F143" t="n">
        <v>430</v>
      </c>
      <c r="G143" t="n">
        <v>5</v>
      </c>
      <c r="H143" t="inlineStr">
        <is>
          <t>Delivered</t>
        </is>
      </c>
      <c r="I143" t="inlineStr">
        <is>
          <t>Neha Kulkarni</t>
        </is>
      </c>
      <c r="J143" s="14">
        <f>E143*F143*(1-G143/100)</f>
        <v/>
      </c>
      <c r="K143" s="12">
        <f>DATE(YEAR(B143),MONTH(B143),1)</f>
        <v/>
      </c>
      <c r="L143">
        <f>IF(COUNTIF($A$2:A143,A143)=1,1,0)</f>
        <v/>
      </c>
      <c r="M143">
        <f>_xlfn.XLOOKUP(C143,Customers!$A$2:$A$25,Customers!$B$2:$B$25,"not found")</f>
        <v/>
      </c>
      <c r="N143">
        <f>_xlfn.XLOOKUP(C143,Customers!$A$2:$A$25,Customers!$D$2:$D$25,"not found")</f>
        <v/>
      </c>
    </row>
    <row r="144">
      <c r="A144" t="n">
        <v>10079</v>
      </c>
      <c r="B144" s="12" t="n">
        <v>45860</v>
      </c>
      <c r="C144" s="13" t="inlineStr">
        <is>
          <t>0013</t>
        </is>
      </c>
      <c r="D144" t="n">
        <v>104</v>
      </c>
      <c r="E144" t="n">
        <v>20</v>
      </c>
      <c r="F144" t="n">
        <v>620</v>
      </c>
      <c r="G144" t="n">
        <v>0</v>
      </c>
      <c r="H144" t="inlineStr">
        <is>
          <t>Delivered</t>
        </is>
      </c>
      <c r="I144" t="inlineStr">
        <is>
          <t>Neha Kulkarni</t>
        </is>
      </c>
      <c r="J144" s="14">
        <f>E144*F144*(1-G144/100)</f>
        <v/>
      </c>
      <c r="K144" s="12">
        <f>DATE(YEAR(B144),MONTH(B144),1)</f>
        <v/>
      </c>
      <c r="L144">
        <f>IF(COUNTIF($A$2:A144,A144)=1,1,0)</f>
        <v/>
      </c>
      <c r="M144">
        <f>_xlfn.XLOOKUP(C144,Customers!$A$2:$A$25,Customers!$B$2:$B$25,"not found")</f>
        <v/>
      </c>
      <c r="N144">
        <f>_xlfn.XLOOKUP(C144,Customers!$A$2:$A$25,Customers!$D$2:$D$25,"not found")</f>
        <v/>
      </c>
    </row>
    <row r="145">
      <c r="A145" t="n">
        <v>10079</v>
      </c>
      <c r="B145" s="12" t="n">
        <v>45860</v>
      </c>
      <c r="C145" s="13" t="inlineStr">
        <is>
          <t>0013</t>
        </is>
      </c>
      <c r="D145" t="n">
        <v>107</v>
      </c>
      <c r="E145" t="n">
        <v>20</v>
      </c>
      <c r="F145" t="n">
        <v>380</v>
      </c>
      <c r="G145" t="n">
        <v>0</v>
      </c>
      <c r="H145" t="inlineStr">
        <is>
          <t>Delivered</t>
        </is>
      </c>
      <c r="I145" t="inlineStr">
        <is>
          <t>Neha Kulkarni</t>
        </is>
      </c>
      <c r="J145" s="14">
        <f>E145*F145*(1-G145/100)</f>
        <v/>
      </c>
      <c r="K145" s="12">
        <f>DATE(YEAR(B145),MONTH(B145),1)</f>
        <v/>
      </c>
      <c r="L145">
        <f>IF(COUNTIF($A$2:A145,A145)=1,1,0)</f>
        <v/>
      </c>
      <c r="M145">
        <f>_xlfn.XLOOKUP(C145,Customers!$A$2:$A$25,Customers!$B$2:$B$25,"not found")</f>
        <v/>
      </c>
      <c r="N145">
        <f>_xlfn.XLOOKUP(C145,Customers!$A$2:$A$25,Customers!$D$2:$D$25,"not found")</f>
        <v/>
      </c>
    </row>
    <row r="146">
      <c r="A146" t="n">
        <v>10080</v>
      </c>
      <c r="B146" s="12" t="n">
        <v>45863</v>
      </c>
      <c r="C146" s="13" t="inlineStr">
        <is>
          <t>0014</t>
        </is>
      </c>
      <c r="D146" t="n">
        <v>101</v>
      </c>
      <c r="E146" t="n">
        <v>15</v>
      </c>
      <c r="F146" t="n">
        <v>430</v>
      </c>
      <c r="G146" t="n">
        <v>5</v>
      </c>
      <c r="H146" t="inlineStr">
        <is>
          <t>Delivered</t>
        </is>
      </c>
      <c r="I146" t="inlineStr">
        <is>
          <t>Farah Khan</t>
        </is>
      </c>
      <c r="J146" s="14">
        <f>E146*F146*(1-G146/100)</f>
        <v/>
      </c>
      <c r="K146" s="12">
        <f>DATE(YEAR(B146),MONTH(B146),1)</f>
        <v/>
      </c>
      <c r="L146">
        <f>IF(COUNTIF($A$2:A146,A146)=1,1,0)</f>
        <v/>
      </c>
      <c r="M146">
        <f>_xlfn.XLOOKUP(C146,Customers!$A$2:$A$25,Customers!$B$2:$B$25,"not found")</f>
        <v/>
      </c>
      <c r="N146">
        <f>_xlfn.XLOOKUP(C146,Customers!$A$2:$A$25,Customers!$D$2:$D$25,"not found")</f>
        <v/>
      </c>
    </row>
    <row r="147">
      <c r="A147" t="n">
        <v>10080</v>
      </c>
      <c r="B147" s="12" t="n">
        <v>45863</v>
      </c>
      <c r="C147" s="13" t="inlineStr">
        <is>
          <t>0014</t>
        </is>
      </c>
      <c r="D147" t="n">
        <v>108</v>
      </c>
      <c r="E147" t="n">
        <v>20</v>
      </c>
      <c r="F147" t="n">
        <v>290</v>
      </c>
      <c r="G147" t="n">
        <v>8</v>
      </c>
      <c r="H147" t="inlineStr">
        <is>
          <t>Delivered</t>
        </is>
      </c>
      <c r="I147" t="inlineStr">
        <is>
          <t>Farah Khan</t>
        </is>
      </c>
      <c r="J147" s="14">
        <f>E147*F147*(1-G147/100)</f>
        <v/>
      </c>
      <c r="K147" s="12">
        <f>DATE(YEAR(B147),MONTH(B147),1)</f>
        <v/>
      </c>
      <c r="L147">
        <f>IF(COUNTIF($A$2:A147,A147)=1,1,0)</f>
        <v/>
      </c>
      <c r="M147">
        <f>_xlfn.XLOOKUP(C147,Customers!$A$2:$A$25,Customers!$B$2:$B$25,"not found")</f>
        <v/>
      </c>
      <c r="N147">
        <f>_xlfn.XLOOKUP(C147,Customers!$A$2:$A$25,Customers!$D$2:$D$25,"not found")</f>
        <v/>
      </c>
    </row>
    <row r="148">
      <c r="A148" t="n">
        <v>10081</v>
      </c>
      <c r="B148" s="12" t="n">
        <v>45864</v>
      </c>
      <c r="C148" s="13" t="inlineStr">
        <is>
          <t>0001</t>
        </is>
      </c>
      <c r="D148" t="n">
        <v>101</v>
      </c>
      <c r="E148" t="n">
        <v>15</v>
      </c>
      <c r="F148" t="n">
        <v>430</v>
      </c>
      <c r="G148" t="n">
        <v>0</v>
      </c>
      <c r="H148" t="inlineStr">
        <is>
          <t>Delivered</t>
        </is>
      </c>
      <c r="I148" t="inlineStr">
        <is>
          <t>Neha Kulkarni</t>
        </is>
      </c>
      <c r="J148" s="14">
        <f>E148*F148*(1-G148/100)</f>
        <v/>
      </c>
      <c r="K148" s="12">
        <f>DATE(YEAR(B148),MONTH(B148),1)</f>
        <v/>
      </c>
      <c r="L148">
        <f>IF(COUNTIF($A$2:A148,A148)=1,1,0)</f>
        <v/>
      </c>
      <c r="M148">
        <f>_xlfn.XLOOKUP(C148,Customers!$A$2:$A$25,Customers!$B$2:$B$25,"not found")</f>
        <v/>
      </c>
      <c r="N148">
        <f>_xlfn.XLOOKUP(C148,Customers!$A$2:$A$25,Customers!$D$2:$D$25,"not found")</f>
        <v/>
      </c>
    </row>
    <row r="149">
      <c r="A149" t="n">
        <v>10081</v>
      </c>
      <c r="B149" s="12" t="n">
        <v>45864</v>
      </c>
      <c r="C149" s="13" t="inlineStr">
        <is>
          <t>0001</t>
        </is>
      </c>
      <c r="D149" t="n">
        <v>104</v>
      </c>
      <c r="E149" t="n">
        <v>15</v>
      </c>
      <c r="F149" t="n">
        <v>620</v>
      </c>
      <c r="G149" t="n">
        <v>5</v>
      </c>
      <c r="H149" t="inlineStr">
        <is>
          <t>Delivered</t>
        </is>
      </c>
      <c r="I149" t="inlineStr">
        <is>
          <t>Neha Kulkarni</t>
        </is>
      </c>
      <c r="J149" s="14">
        <f>E149*F149*(1-G149/100)</f>
        <v/>
      </c>
      <c r="K149" s="12">
        <f>DATE(YEAR(B149),MONTH(B149),1)</f>
        <v/>
      </c>
      <c r="L149">
        <f>IF(COUNTIF($A$2:A149,A149)=1,1,0)</f>
        <v/>
      </c>
      <c r="M149">
        <f>_xlfn.XLOOKUP(C149,Customers!$A$2:$A$25,Customers!$B$2:$B$25,"not found")</f>
        <v/>
      </c>
      <c r="N149">
        <f>_xlfn.XLOOKUP(C149,Customers!$A$2:$A$25,Customers!$D$2:$D$25,"not found")</f>
        <v/>
      </c>
    </row>
    <row r="150">
      <c r="A150" t="n">
        <v>10082</v>
      </c>
      <c r="B150" s="12" t="n">
        <v>45864</v>
      </c>
      <c r="C150" s="13" t="inlineStr">
        <is>
          <t>0004</t>
        </is>
      </c>
      <c r="D150" t="n">
        <v>101</v>
      </c>
      <c r="E150" t="n">
        <v>25</v>
      </c>
      <c r="F150" t="n">
        <v>430</v>
      </c>
      <c r="G150" t="n">
        <v>12</v>
      </c>
      <c r="H150" t="inlineStr">
        <is>
          <t>Delivered</t>
        </is>
      </c>
      <c r="I150" t="inlineStr">
        <is>
          <t>Rahul Mehta</t>
        </is>
      </c>
      <c r="J150" s="14">
        <f>E150*F150*(1-G150/100)</f>
        <v/>
      </c>
      <c r="K150" s="12">
        <f>DATE(YEAR(B150),MONTH(B150),1)</f>
        <v/>
      </c>
      <c r="L150">
        <f>IF(COUNTIF($A$2:A150,A150)=1,1,0)</f>
        <v/>
      </c>
      <c r="M150">
        <f>_xlfn.XLOOKUP(C150,Customers!$A$2:$A$25,Customers!$B$2:$B$25,"not found")</f>
        <v/>
      </c>
      <c r="N150">
        <f>_xlfn.XLOOKUP(C150,Customers!$A$2:$A$25,Customers!$D$2:$D$25,"not found")</f>
        <v/>
      </c>
    </row>
    <row r="151">
      <c r="A151" t="n">
        <v>10082</v>
      </c>
      <c r="B151" s="12" t="n">
        <v>45864</v>
      </c>
      <c r="C151" s="13" t="inlineStr">
        <is>
          <t>0004</t>
        </is>
      </c>
      <c r="D151" t="n">
        <v>102</v>
      </c>
      <c r="E151" t="n">
        <v>5</v>
      </c>
      <c r="F151" t="n">
        <v>750</v>
      </c>
      <c r="G151" t="n">
        <v>5</v>
      </c>
      <c r="H151" t="inlineStr">
        <is>
          <t>Delivered</t>
        </is>
      </c>
      <c r="I151" t="inlineStr">
        <is>
          <t>Rahul Mehta</t>
        </is>
      </c>
      <c r="J151" s="14">
        <f>E151*F151*(1-G151/100)</f>
        <v/>
      </c>
      <c r="K151" s="12">
        <f>DATE(YEAR(B151),MONTH(B151),1)</f>
        <v/>
      </c>
      <c r="L151">
        <f>IF(COUNTIF($A$2:A151,A151)=1,1,0)</f>
        <v/>
      </c>
      <c r="M151">
        <f>_xlfn.XLOOKUP(C151,Customers!$A$2:$A$25,Customers!$B$2:$B$25,"not found")</f>
        <v/>
      </c>
      <c r="N151">
        <f>_xlfn.XLOOKUP(C151,Customers!$A$2:$A$25,Customers!$D$2:$D$25,"not found")</f>
        <v/>
      </c>
    </row>
    <row r="152">
      <c r="A152" t="n">
        <v>10082</v>
      </c>
      <c r="B152" s="12" t="n">
        <v>45864</v>
      </c>
      <c r="C152" s="13" t="inlineStr">
        <is>
          <t>0004</t>
        </is>
      </c>
      <c r="D152" t="n">
        <v>105</v>
      </c>
      <c r="E152" t="n">
        <v>20</v>
      </c>
      <c r="F152" t="n">
        <v>1400</v>
      </c>
      <c r="G152" t="n">
        <v>12</v>
      </c>
      <c r="H152" t="inlineStr">
        <is>
          <t>Delivered</t>
        </is>
      </c>
      <c r="I152" t="inlineStr">
        <is>
          <t>Rahul Mehta</t>
        </is>
      </c>
      <c r="J152" s="14">
        <f>E152*F152*(1-G152/100)</f>
        <v/>
      </c>
      <c r="K152" s="12">
        <f>DATE(YEAR(B152),MONTH(B152),1)</f>
        <v/>
      </c>
      <c r="L152">
        <f>IF(COUNTIF($A$2:A152,A152)=1,1,0)</f>
        <v/>
      </c>
      <c r="M152">
        <f>_xlfn.XLOOKUP(C152,Customers!$A$2:$A$25,Customers!$B$2:$B$25,"not found")</f>
        <v/>
      </c>
      <c r="N152">
        <f>_xlfn.XLOOKUP(C152,Customers!$A$2:$A$25,Customers!$D$2:$D$25,"not found")</f>
        <v/>
      </c>
    </row>
    <row r="153">
      <c r="A153" t="n">
        <v>10083</v>
      </c>
      <c r="B153" s="12" t="n">
        <v>45864</v>
      </c>
      <c r="C153" s="13" t="inlineStr">
        <is>
          <t>0011</t>
        </is>
      </c>
      <c r="D153" t="n">
        <v>102</v>
      </c>
      <c r="E153" t="n">
        <v>15</v>
      </c>
      <c r="F153" t="n">
        <v>750</v>
      </c>
      <c r="G153" t="n">
        <v>5</v>
      </c>
      <c r="H153" t="inlineStr">
        <is>
          <t>Delivered</t>
        </is>
      </c>
      <c r="I153" t="inlineStr">
        <is>
          <t>Rahul Mehta</t>
        </is>
      </c>
      <c r="J153" s="14">
        <f>E153*F153*(1-G153/100)</f>
        <v/>
      </c>
      <c r="K153" s="12">
        <f>DATE(YEAR(B153),MONTH(B153),1)</f>
        <v/>
      </c>
      <c r="L153">
        <f>IF(COUNTIF($A$2:A153,A153)=1,1,0)</f>
        <v/>
      </c>
      <c r="M153">
        <f>_xlfn.XLOOKUP(C153,Customers!$A$2:$A$25,Customers!$B$2:$B$25,"not found")</f>
        <v/>
      </c>
      <c r="N153">
        <f>_xlfn.XLOOKUP(C153,Customers!$A$2:$A$25,Customers!$D$2:$D$25,"not found")</f>
        <v/>
      </c>
    </row>
    <row r="154">
      <c r="A154" t="n">
        <v>10083</v>
      </c>
      <c r="B154" s="12" t="n">
        <v>45864</v>
      </c>
      <c r="C154" s="13" t="inlineStr">
        <is>
          <t>0011</t>
        </is>
      </c>
      <c r="D154" t="n">
        <v>105</v>
      </c>
      <c r="E154" t="n">
        <v>5</v>
      </c>
      <c r="F154" t="n">
        <v>1400</v>
      </c>
      <c r="G154" t="n">
        <v>12</v>
      </c>
      <c r="H154" t="inlineStr">
        <is>
          <t>Delivered</t>
        </is>
      </c>
      <c r="I154" t="inlineStr">
        <is>
          <t>Rahul Mehta</t>
        </is>
      </c>
      <c r="J154" s="14">
        <f>E154*F154*(1-G154/100)</f>
        <v/>
      </c>
      <c r="K154" s="12">
        <f>DATE(YEAR(B154),MONTH(B154),1)</f>
        <v/>
      </c>
      <c r="L154">
        <f>IF(COUNTIF($A$2:A154,A154)=1,1,0)</f>
        <v/>
      </c>
      <c r="M154">
        <f>_xlfn.XLOOKUP(C154,Customers!$A$2:$A$25,Customers!$B$2:$B$25,"not found")</f>
        <v/>
      </c>
      <c r="N154">
        <f>_xlfn.XLOOKUP(C154,Customers!$A$2:$A$25,Customers!$D$2:$D$25,"not found")</f>
        <v/>
      </c>
    </row>
    <row r="155">
      <c r="A155" t="n">
        <v>10083</v>
      </c>
      <c r="B155" s="12" t="n">
        <v>45864</v>
      </c>
      <c r="C155" s="13" t="inlineStr">
        <is>
          <t>0011</t>
        </is>
      </c>
      <c r="D155" t="n">
        <v>108</v>
      </c>
      <c r="E155" t="n">
        <v>15</v>
      </c>
      <c r="F155" t="n">
        <v>290</v>
      </c>
      <c r="G155" t="n">
        <v>10</v>
      </c>
      <c r="H155" t="inlineStr">
        <is>
          <t>Delivered</t>
        </is>
      </c>
      <c r="I155" t="inlineStr">
        <is>
          <t>Rahul Mehta</t>
        </is>
      </c>
      <c r="J155" s="14">
        <f>E155*F155*(1-G155/100)</f>
        <v/>
      </c>
      <c r="K155" s="12">
        <f>DATE(YEAR(B155),MONTH(B155),1)</f>
        <v/>
      </c>
      <c r="L155">
        <f>IF(COUNTIF($A$2:A155,A155)=1,1,0)</f>
        <v/>
      </c>
      <c r="M155">
        <f>_xlfn.XLOOKUP(C155,Customers!$A$2:$A$25,Customers!$B$2:$B$25,"not found")</f>
        <v/>
      </c>
      <c r="N155">
        <f>_xlfn.XLOOKUP(C155,Customers!$A$2:$A$25,Customers!$D$2:$D$25,"not found")</f>
        <v/>
      </c>
    </row>
    <row r="156">
      <c r="A156" t="n">
        <v>10084</v>
      </c>
      <c r="B156" s="12" t="n">
        <v>45872</v>
      </c>
      <c r="C156" s="13" t="inlineStr">
        <is>
          <t>0003</t>
        </is>
      </c>
      <c r="D156" t="n">
        <v>101</v>
      </c>
      <c r="E156" t="n">
        <v>40</v>
      </c>
      <c r="F156" t="n">
        <v>430</v>
      </c>
      <c r="G156" t="n">
        <v>5</v>
      </c>
      <c r="H156" t="inlineStr">
        <is>
          <t>Delivered</t>
        </is>
      </c>
      <c r="I156" t="inlineStr">
        <is>
          <t>Farah Khan</t>
        </is>
      </c>
      <c r="J156" s="14">
        <f>E156*F156*(1-G156/100)</f>
        <v/>
      </c>
      <c r="K156" s="12">
        <f>DATE(YEAR(B156),MONTH(B156),1)</f>
        <v/>
      </c>
      <c r="L156">
        <f>IF(COUNTIF($A$2:A156,A156)=1,1,0)</f>
        <v/>
      </c>
      <c r="M156">
        <f>_xlfn.XLOOKUP(C156,Customers!$A$2:$A$25,Customers!$B$2:$B$25,"not found")</f>
        <v/>
      </c>
      <c r="N156">
        <f>_xlfn.XLOOKUP(C156,Customers!$A$2:$A$25,Customers!$D$2:$D$25,"not found")</f>
        <v/>
      </c>
    </row>
    <row r="157">
      <c r="A157" t="n">
        <v>10084</v>
      </c>
      <c r="B157" s="12" t="n">
        <v>45872</v>
      </c>
      <c r="C157" s="13" t="inlineStr">
        <is>
          <t>0003</t>
        </is>
      </c>
      <c r="D157" t="n">
        <v>104</v>
      </c>
      <c r="E157" t="n">
        <v>15</v>
      </c>
      <c r="F157" t="n">
        <v>620</v>
      </c>
      <c r="G157" t="n">
        <v>0</v>
      </c>
      <c r="H157" t="inlineStr">
        <is>
          <t>Delivered</t>
        </is>
      </c>
      <c r="I157" t="inlineStr">
        <is>
          <t>Farah Khan</t>
        </is>
      </c>
      <c r="J157" s="14">
        <f>E157*F157*(1-G157/100)</f>
        <v/>
      </c>
      <c r="K157" s="12">
        <f>DATE(YEAR(B157),MONTH(B157),1)</f>
        <v/>
      </c>
      <c r="L157">
        <f>IF(COUNTIF($A$2:A157,A157)=1,1,0)</f>
        <v/>
      </c>
      <c r="M157">
        <f>_xlfn.XLOOKUP(C157,Customers!$A$2:$A$25,Customers!$B$2:$B$25,"not found")</f>
        <v/>
      </c>
      <c r="N157">
        <f>_xlfn.XLOOKUP(C157,Customers!$A$2:$A$25,Customers!$D$2:$D$25,"not found")</f>
        <v/>
      </c>
    </row>
    <row r="158">
      <c r="A158" t="n">
        <v>10085</v>
      </c>
      <c r="B158" s="12" t="n">
        <v>45873</v>
      </c>
      <c r="C158" s="13" t="inlineStr">
        <is>
          <t>0018</t>
        </is>
      </c>
      <c r="D158" t="n">
        <v>101</v>
      </c>
      <c r="E158" t="n">
        <v>15</v>
      </c>
      <c r="F158" t="n">
        <v>430</v>
      </c>
      <c r="G158" t="n">
        <v>0</v>
      </c>
      <c r="H158" t="inlineStr">
        <is>
          <t>Delivered</t>
        </is>
      </c>
      <c r="I158" t="inlineStr">
        <is>
          <t>Rahul Mehta</t>
        </is>
      </c>
      <c r="J158" s="14">
        <f>E158*F158*(1-G158/100)</f>
        <v/>
      </c>
      <c r="K158" s="12">
        <f>DATE(YEAR(B158),MONTH(B158),1)</f>
        <v/>
      </c>
      <c r="L158">
        <f>IF(COUNTIF($A$2:A158,A158)=1,1,0)</f>
        <v/>
      </c>
      <c r="M158">
        <f>_xlfn.XLOOKUP(C158,Customers!$A$2:$A$25,Customers!$B$2:$B$25,"not found")</f>
        <v/>
      </c>
      <c r="N158">
        <f>_xlfn.XLOOKUP(C158,Customers!$A$2:$A$25,Customers!$D$2:$D$25,"not found")</f>
        <v/>
      </c>
    </row>
    <row r="159">
      <c r="A159" t="n">
        <v>10085</v>
      </c>
      <c r="B159" s="12" t="n">
        <v>45873</v>
      </c>
      <c r="C159" s="13" t="inlineStr">
        <is>
          <t>0018</t>
        </is>
      </c>
      <c r="D159" t="n">
        <v>102</v>
      </c>
      <c r="E159" t="n">
        <v>20</v>
      </c>
      <c r="F159" t="n">
        <v>750</v>
      </c>
      <c r="G159" t="n">
        <v>5</v>
      </c>
      <c r="H159" t="inlineStr">
        <is>
          <t>Delivered</t>
        </is>
      </c>
      <c r="I159" t="inlineStr">
        <is>
          <t>Rahul Mehta</t>
        </is>
      </c>
      <c r="J159" s="14">
        <f>E159*F159*(1-G159/100)</f>
        <v/>
      </c>
      <c r="K159" s="12">
        <f>DATE(YEAR(B159),MONTH(B159),1)</f>
        <v/>
      </c>
      <c r="L159">
        <f>IF(COUNTIF($A$2:A159,A159)=1,1,0)</f>
        <v/>
      </c>
      <c r="M159">
        <f>_xlfn.XLOOKUP(C159,Customers!$A$2:$A$25,Customers!$B$2:$B$25,"not found")</f>
        <v/>
      </c>
      <c r="N159">
        <f>_xlfn.XLOOKUP(C159,Customers!$A$2:$A$25,Customers!$D$2:$D$25,"not found")</f>
        <v/>
      </c>
    </row>
    <row r="160">
      <c r="A160" t="n">
        <v>10085</v>
      </c>
      <c r="B160" s="12" t="n">
        <v>45873</v>
      </c>
      <c r="C160" s="13" t="inlineStr">
        <is>
          <t>0018</t>
        </is>
      </c>
      <c r="D160" t="n">
        <v>103</v>
      </c>
      <c r="E160" t="n">
        <v>40</v>
      </c>
      <c r="F160" t="n">
        <v>115</v>
      </c>
      <c r="G160" t="n">
        <v>5</v>
      </c>
      <c r="H160" t="inlineStr">
        <is>
          <t>Delivered</t>
        </is>
      </c>
      <c r="I160" t="inlineStr">
        <is>
          <t>Rahul Mehta</t>
        </is>
      </c>
      <c r="J160" s="14">
        <f>E160*F160*(1-G160/100)</f>
        <v/>
      </c>
      <c r="K160" s="12">
        <f>DATE(YEAR(B160),MONTH(B160),1)</f>
        <v/>
      </c>
      <c r="L160">
        <f>IF(COUNTIF($A$2:A160,A160)=1,1,0)</f>
        <v/>
      </c>
      <c r="M160">
        <f>_xlfn.XLOOKUP(C160,Customers!$A$2:$A$25,Customers!$B$2:$B$25,"not found")</f>
        <v/>
      </c>
      <c r="N160">
        <f>_xlfn.XLOOKUP(C160,Customers!$A$2:$A$25,Customers!$D$2:$D$25,"not found")</f>
        <v/>
      </c>
    </row>
    <row r="161">
      <c r="A161" t="n">
        <v>10086</v>
      </c>
      <c r="B161" s="12" t="n">
        <v>45880</v>
      </c>
      <c r="C161" s="13" t="inlineStr">
        <is>
          <t>0005</t>
        </is>
      </c>
      <c r="D161" t="n">
        <v>107</v>
      </c>
      <c r="E161" t="n">
        <v>40</v>
      </c>
      <c r="F161" t="n">
        <v>380</v>
      </c>
      <c r="G161" t="n">
        <v>0</v>
      </c>
      <c r="H161" t="inlineStr">
        <is>
          <t>Delivered</t>
        </is>
      </c>
      <c r="I161" t="inlineStr">
        <is>
          <t>Rahul Mehta</t>
        </is>
      </c>
      <c r="J161" s="14">
        <f>E161*F161*(1-G161/100)</f>
        <v/>
      </c>
      <c r="K161" s="12">
        <f>DATE(YEAR(B161),MONTH(B161),1)</f>
        <v/>
      </c>
      <c r="L161">
        <f>IF(COUNTIF($A$2:A161,A161)=1,1,0)</f>
        <v/>
      </c>
      <c r="M161">
        <f>_xlfn.XLOOKUP(C161,Customers!$A$2:$A$25,Customers!$B$2:$B$25,"not found")</f>
        <v/>
      </c>
      <c r="N161">
        <f>_xlfn.XLOOKUP(C161,Customers!$A$2:$A$25,Customers!$D$2:$D$25,"not found")</f>
        <v/>
      </c>
    </row>
    <row r="162">
      <c r="A162" t="n">
        <v>10086</v>
      </c>
      <c r="B162" s="12" t="n">
        <v>45880</v>
      </c>
      <c r="C162" s="13" t="inlineStr">
        <is>
          <t>0005</t>
        </is>
      </c>
      <c r="D162" t="n">
        <v>108</v>
      </c>
      <c r="E162" t="n">
        <v>25</v>
      </c>
      <c r="F162" t="n">
        <v>290</v>
      </c>
      <c r="G162" t="n">
        <v>0</v>
      </c>
      <c r="H162" t="inlineStr">
        <is>
          <t>Delivered</t>
        </is>
      </c>
      <c r="I162" t="inlineStr">
        <is>
          <t>Rahul Mehta</t>
        </is>
      </c>
      <c r="J162" s="14">
        <f>E162*F162*(1-G162/100)</f>
        <v/>
      </c>
      <c r="K162" s="12">
        <f>DATE(YEAR(B162),MONTH(B162),1)</f>
        <v/>
      </c>
      <c r="L162">
        <f>IF(COUNTIF($A$2:A162,A162)=1,1,0)</f>
        <v/>
      </c>
      <c r="M162">
        <f>_xlfn.XLOOKUP(C162,Customers!$A$2:$A$25,Customers!$B$2:$B$25,"not found")</f>
        <v/>
      </c>
      <c r="N162">
        <f>_xlfn.XLOOKUP(C162,Customers!$A$2:$A$25,Customers!$D$2:$D$25,"not found")</f>
        <v/>
      </c>
    </row>
    <row r="163">
      <c r="A163" t="n">
        <v>10087</v>
      </c>
      <c r="B163" s="12" t="n">
        <v>45880</v>
      </c>
      <c r="C163" s="13" t="inlineStr">
        <is>
          <t>0014</t>
        </is>
      </c>
      <c r="D163" t="n">
        <v>101</v>
      </c>
      <c r="E163" t="n">
        <v>10</v>
      </c>
      <c r="F163" t="n">
        <v>430</v>
      </c>
      <c r="G163" t="n">
        <v>10</v>
      </c>
      <c r="H163" t="inlineStr">
        <is>
          <t>Delivered</t>
        </is>
      </c>
      <c r="I163" t="inlineStr">
        <is>
          <t>Farah Khan</t>
        </is>
      </c>
      <c r="J163" s="14">
        <f>E163*F163*(1-G163/100)</f>
        <v/>
      </c>
      <c r="K163" s="12">
        <f>DATE(YEAR(B163),MONTH(B163),1)</f>
        <v/>
      </c>
      <c r="L163">
        <f>IF(COUNTIF($A$2:A163,A163)=1,1,0)</f>
        <v/>
      </c>
      <c r="M163">
        <f>_xlfn.XLOOKUP(C163,Customers!$A$2:$A$25,Customers!$B$2:$B$25,"not found")</f>
        <v/>
      </c>
      <c r="N163">
        <f>_xlfn.XLOOKUP(C163,Customers!$A$2:$A$25,Customers!$D$2:$D$25,"not found")</f>
        <v/>
      </c>
    </row>
    <row r="164">
      <c r="A164" t="n">
        <v>10087</v>
      </c>
      <c r="B164" s="12" t="n">
        <v>45880</v>
      </c>
      <c r="C164" s="13" t="inlineStr">
        <is>
          <t>0014</t>
        </is>
      </c>
      <c r="D164" t="n">
        <v>102</v>
      </c>
      <c r="E164" t="n">
        <v>15</v>
      </c>
      <c r="F164" t="n">
        <v>750</v>
      </c>
      <c r="G164" t="n">
        <v>12</v>
      </c>
      <c r="H164" t="inlineStr">
        <is>
          <t>Delivered</t>
        </is>
      </c>
      <c r="I164" t="inlineStr">
        <is>
          <t>Farah Khan</t>
        </is>
      </c>
      <c r="J164" s="14">
        <f>E164*F164*(1-G164/100)</f>
        <v/>
      </c>
      <c r="K164" s="12">
        <f>DATE(YEAR(B164),MONTH(B164),1)</f>
        <v/>
      </c>
      <c r="L164">
        <f>IF(COUNTIF($A$2:A164,A164)=1,1,0)</f>
        <v/>
      </c>
      <c r="M164">
        <f>_xlfn.XLOOKUP(C164,Customers!$A$2:$A$25,Customers!$B$2:$B$25,"not found")</f>
        <v/>
      </c>
      <c r="N164">
        <f>_xlfn.XLOOKUP(C164,Customers!$A$2:$A$25,Customers!$D$2:$D$25,"not found")</f>
        <v/>
      </c>
    </row>
    <row r="165">
      <c r="A165" t="n">
        <v>10087</v>
      </c>
      <c r="B165" s="12" t="n">
        <v>45880</v>
      </c>
      <c r="C165" s="13" t="inlineStr">
        <is>
          <t>0014</t>
        </is>
      </c>
      <c r="D165" t="n">
        <v>105</v>
      </c>
      <c r="E165" t="n">
        <v>25</v>
      </c>
      <c r="F165" t="n">
        <v>1400</v>
      </c>
      <c r="G165" t="n">
        <v>12</v>
      </c>
      <c r="H165" t="inlineStr">
        <is>
          <t>Delivered</t>
        </is>
      </c>
      <c r="I165" t="inlineStr">
        <is>
          <t>Farah Khan</t>
        </is>
      </c>
      <c r="J165" s="14">
        <f>E165*F165*(1-G165/100)</f>
        <v/>
      </c>
      <c r="K165" s="12">
        <f>DATE(YEAR(B165),MONTH(B165),1)</f>
        <v/>
      </c>
      <c r="L165">
        <f>IF(COUNTIF($A$2:A165,A165)=1,1,0)</f>
        <v/>
      </c>
      <c r="M165">
        <f>_xlfn.XLOOKUP(C165,Customers!$A$2:$A$25,Customers!$B$2:$B$25,"not found")</f>
        <v/>
      </c>
      <c r="N165">
        <f>_xlfn.XLOOKUP(C165,Customers!$A$2:$A$25,Customers!$D$2:$D$25,"not found")</f>
        <v/>
      </c>
    </row>
    <row r="166">
      <c r="A166" t="n">
        <v>10088</v>
      </c>
      <c r="B166" s="12" t="n">
        <v>45881</v>
      </c>
      <c r="C166" s="13" t="inlineStr">
        <is>
          <t>0001</t>
        </is>
      </c>
      <c r="D166" t="n">
        <v>101</v>
      </c>
      <c r="E166" t="n">
        <v>35</v>
      </c>
      <c r="F166" t="n">
        <v>430</v>
      </c>
      <c r="G166" t="n">
        <v>5</v>
      </c>
      <c r="H166" t="inlineStr">
        <is>
          <t>Delivered</t>
        </is>
      </c>
      <c r="I166" t="inlineStr">
        <is>
          <t>Neha Kulkarni</t>
        </is>
      </c>
      <c r="J166" s="14">
        <f>E166*F166*(1-G166/100)</f>
        <v/>
      </c>
      <c r="K166" s="12">
        <f>DATE(YEAR(B166),MONTH(B166),1)</f>
        <v/>
      </c>
      <c r="L166">
        <f>IF(COUNTIF($A$2:A166,A166)=1,1,0)</f>
        <v/>
      </c>
      <c r="M166">
        <f>_xlfn.XLOOKUP(C166,Customers!$A$2:$A$25,Customers!$B$2:$B$25,"not found")</f>
        <v/>
      </c>
      <c r="N166">
        <f>_xlfn.XLOOKUP(C166,Customers!$A$2:$A$25,Customers!$D$2:$D$25,"not found")</f>
        <v/>
      </c>
    </row>
    <row r="167">
      <c r="A167" t="n">
        <v>10088</v>
      </c>
      <c r="B167" s="12" t="n">
        <v>45881</v>
      </c>
      <c r="C167" s="13" t="inlineStr">
        <is>
          <t>0001</t>
        </is>
      </c>
      <c r="D167" t="n">
        <v>103</v>
      </c>
      <c r="E167" t="n">
        <v>40</v>
      </c>
      <c r="F167" t="n">
        <v>115</v>
      </c>
      <c r="G167" t="n">
        <v>0</v>
      </c>
      <c r="H167" t="inlineStr">
        <is>
          <t>Delivered</t>
        </is>
      </c>
      <c r="I167" t="inlineStr">
        <is>
          <t>Neha Kulkarni</t>
        </is>
      </c>
      <c r="J167" s="14">
        <f>E167*F167*(1-G167/100)</f>
        <v/>
      </c>
      <c r="K167" s="12">
        <f>DATE(YEAR(B167),MONTH(B167),1)</f>
        <v/>
      </c>
      <c r="L167">
        <f>IF(COUNTIF($A$2:A167,A167)=1,1,0)</f>
        <v/>
      </c>
      <c r="M167">
        <f>_xlfn.XLOOKUP(C167,Customers!$A$2:$A$25,Customers!$B$2:$B$25,"not found")</f>
        <v/>
      </c>
      <c r="N167">
        <f>_xlfn.XLOOKUP(C167,Customers!$A$2:$A$25,Customers!$D$2:$D$25,"not found")</f>
        <v/>
      </c>
    </row>
    <row r="168">
      <c r="A168" t="n">
        <v>10089</v>
      </c>
      <c r="B168" s="12" t="n">
        <v>45882</v>
      </c>
      <c r="C168" s="13" t="inlineStr">
        <is>
          <t>0018</t>
        </is>
      </c>
      <c r="D168" t="n">
        <v>104</v>
      </c>
      <c r="E168" t="n">
        <v>10</v>
      </c>
      <c r="F168" t="n">
        <v>620</v>
      </c>
      <c r="G168" t="n">
        <v>0</v>
      </c>
      <c r="H168" t="inlineStr">
        <is>
          <t>Delivered</t>
        </is>
      </c>
      <c r="I168" t="inlineStr">
        <is>
          <t>Rahul Mehta</t>
        </is>
      </c>
      <c r="J168" s="14">
        <f>E168*F168*(1-G168/100)</f>
        <v/>
      </c>
      <c r="K168" s="12">
        <f>DATE(YEAR(B168),MONTH(B168),1)</f>
        <v/>
      </c>
      <c r="L168">
        <f>IF(COUNTIF($A$2:A168,A168)=1,1,0)</f>
        <v/>
      </c>
      <c r="M168">
        <f>_xlfn.XLOOKUP(C168,Customers!$A$2:$A$25,Customers!$B$2:$B$25,"not found")</f>
        <v/>
      </c>
      <c r="N168">
        <f>_xlfn.XLOOKUP(C168,Customers!$A$2:$A$25,Customers!$D$2:$D$25,"not found")</f>
        <v/>
      </c>
    </row>
    <row r="169">
      <c r="A169" t="n">
        <v>10089</v>
      </c>
      <c r="B169" s="12" t="n">
        <v>45882</v>
      </c>
      <c r="C169" s="13" t="inlineStr">
        <is>
          <t>0018</t>
        </is>
      </c>
      <c r="D169" t="n">
        <v>107</v>
      </c>
      <c r="E169" t="n">
        <v>20</v>
      </c>
      <c r="F169" t="n">
        <v>380</v>
      </c>
      <c r="G169" t="n">
        <v>0</v>
      </c>
      <c r="H169" t="inlineStr">
        <is>
          <t>Delivered</t>
        </is>
      </c>
      <c r="I169" t="inlineStr">
        <is>
          <t>Rahul Mehta</t>
        </is>
      </c>
      <c r="J169" s="14">
        <f>E169*F169*(1-G169/100)</f>
        <v/>
      </c>
      <c r="K169" s="12">
        <f>DATE(YEAR(B169),MONTH(B169),1)</f>
        <v/>
      </c>
      <c r="L169">
        <f>IF(COUNTIF($A$2:A169,A169)=1,1,0)</f>
        <v/>
      </c>
      <c r="M169">
        <f>_xlfn.XLOOKUP(C169,Customers!$A$2:$A$25,Customers!$B$2:$B$25,"not found")</f>
        <v/>
      </c>
      <c r="N169">
        <f>_xlfn.XLOOKUP(C169,Customers!$A$2:$A$25,Customers!$D$2:$D$25,"not found")</f>
        <v/>
      </c>
    </row>
    <row r="170">
      <c r="A170" t="n">
        <v>10089</v>
      </c>
      <c r="B170" s="12" t="n">
        <v>45882</v>
      </c>
      <c r="C170" s="13" t="inlineStr">
        <is>
          <t>0018</t>
        </is>
      </c>
      <c r="D170" t="n">
        <v>108</v>
      </c>
      <c r="E170" t="n">
        <v>40</v>
      </c>
      <c r="F170" t="n">
        <v>290</v>
      </c>
      <c r="G170" t="n">
        <v>5</v>
      </c>
      <c r="H170" t="inlineStr">
        <is>
          <t>Delivered</t>
        </is>
      </c>
      <c r="I170" t="inlineStr">
        <is>
          <t>Rahul Mehta</t>
        </is>
      </c>
      <c r="J170" s="14">
        <f>E170*F170*(1-G170/100)</f>
        <v/>
      </c>
      <c r="K170" s="12">
        <f>DATE(YEAR(B170),MONTH(B170),1)</f>
        <v/>
      </c>
      <c r="L170">
        <f>IF(COUNTIF($A$2:A170,A170)=1,1,0)</f>
        <v/>
      </c>
      <c r="M170">
        <f>_xlfn.XLOOKUP(C170,Customers!$A$2:$A$25,Customers!$B$2:$B$25,"not found")</f>
        <v/>
      </c>
      <c r="N170">
        <f>_xlfn.XLOOKUP(C170,Customers!$A$2:$A$25,Customers!$D$2:$D$25,"not found")</f>
        <v/>
      </c>
    </row>
    <row r="171">
      <c r="A171" t="n">
        <v>10090</v>
      </c>
      <c r="B171" s="12" t="n">
        <v>45883</v>
      </c>
      <c r="C171" s="13" t="inlineStr">
        <is>
          <t>0002</t>
        </is>
      </c>
      <c r="D171" t="n">
        <v>101</v>
      </c>
      <c r="E171" t="n">
        <v>35</v>
      </c>
      <c r="F171" t="n">
        <v>430</v>
      </c>
      <c r="G171" t="n">
        <v>0</v>
      </c>
      <c r="H171" t="inlineStr">
        <is>
          <t>Delivered</t>
        </is>
      </c>
      <c r="I171" t="inlineStr">
        <is>
          <t>Neha Kulkarni</t>
        </is>
      </c>
      <c r="J171" s="14">
        <f>E171*F171*(1-G171/100)</f>
        <v/>
      </c>
      <c r="K171" s="12">
        <f>DATE(YEAR(B171),MONTH(B171),1)</f>
        <v/>
      </c>
      <c r="L171">
        <f>IF(COUNTIF($A$2:A171,A171)=1,1,0)</f>
        <v/>
      </c>
      <c r="M171">
        <f>_xlfn.XLOOKUP(C171,Customers!$A$2:$A$25,Customers!$B$2:$B$25,"not found")</f>
        <v/>
      </c>
      <c r="N171">
        <f>_xlfn.XLOOKUP(C171,Customers!$A$2:$A$25,Customers!$D$2:$D$25,"not found")</f>
        <v/>
      </c>
    </row>
    <row r="172">
      <c r="A172" t="n">
        <v>10090</v>
      </c>
      <c r="B172" s="12" t="n">
        <v>45883</v>
      </c>
      <c r="C172" s="13" t="inlineStr">
        <is>
          <t>0002</t>
        </is>
      </c>
      <c r="D172" t="n">
        <v>104</v>
      </c>
      <c r="E172" t="n">
        <v>40</v>
      </c>
      <c r="F172" t="n">
        <v>620</v>
      </c>
      <c r="G172" t="n">
        <v>5</v>
      </c>
      <c r="H172" t="inlineStr">
        <is>
          <t>Delivered</t>
        </is>
      </c>
      <c r="I172" t="inlineStr">
        <is>
          <t>Neha Kulkarni</t>
        </is>
      </c>
      <c r="J172" s="14">
        <f>E172*F172*(1-G172/100)</f>
        <v/>
      </c>
      <c r="K172" s="12">
        <f>DATE(YEAR(B172),MONTH(B172),1)</f>
        <v/>
      </c>
      <c r="L172">
        <f>IF(COUNTIF($A$2:A172,A172)=1,1,0)</f>
        <v/>
      </c>
      <c r="M172">
        <f>_xlfn.XLOOKUP(C172,Customers!$A$2:$A$25,Customers!$B$2:$B$25,"not found")</f>
        <v/>
      </c>
      <c r="N172">
        <f>_xlfn.XLOOKUP(C172,Customers!$A$2:$A$25,Customers!$D$2:$D$25,"not found")</f>
        <v/>
      </c>
    </row>
    <row r="173">
      <c r="A173" t="n">
        <v>10091</v>
      </c>
      <c r="B173" s="12" t="n">
        <v>45884</v>
      </c>
      <c r="C173" s="13" t="inlineStr">
        <is>
          <t>0015</t>
        </is>
      </c>
      <c r="D173" t="n">
        <v>107</v>
      </c>
      <c r="E173" t="n">
        <v>50</v>
      </c>
      <c r="F173" t="n">
        <v>380</v>
      </c>
      <c r="G173" t="n">
        <v>0</v>
      </c>
      <c r="H173" t="inlineStr">
        <is>
          <t>Delivered</t>
        </is>
      </c>
      <c r="I173" t="inlineStr">
        <is>
          <t>Farah Khan</t>
        </is>
      </c>
      <c r="J173" s="14">
        <f>E173*F173*(1-G173/100)</f>
        <v/>
      </c>
      <c r="K173" s="12">
        <f>DATE(YEAR(B173),MONTH(B173),1)</f>
        <v/>
      </c>
      <c r="L173">
        <f>IF(COUNTIF($A$2:A173,A173)=1,1,0)</f>
        <v/>
      </c>
      <c r="M173">
        <f>_xlfn.XLOOKUP(C173,Customers!$A$2:$A$25,Customers!$B$2:$B$25,"not found")</f>
        <v/>
      </c>
      <c r="N173">
        <f>_xlfn.XLOOKUP(C173,Customers!$A$2:$A$25,Customers!$D$2:$D$25,"not found")</f>
        <v/>
      </c>
    </row>
    <row r="174">
      <c r="A174" t="n">
        <v>10092</v>
      </c>
      <c r="B174" s="12" t="n">
        <v>45884</v>
      </c>
      <c r="C174" s="13" t="inlineStr">
        <is>
          <t>0019</t>
        </is>
      </c>
      <c r="D174" t="n">
        <v>105</v>
      </c>
      <c r="E174" t="n">
        <v>20</v>
      </c>
      <c r="F174" t="n">
        <v>1400</v>
      </c>
      <c r="G174" t="n">
        <v>5</v>
      </c>
      <c r="H174" t="inlineStr">
        <is>
          <t>Delivered</t>
        </is>
      </c>
      <c r="I174" t="inlineStr">
        <is>
          <t>Farah Khan</t>
        </is>
      </c>
      <c r="J174" s="14">
        <f>E174*F174*(1-G174/100)</f>
        <v/>
      </c>
      <c r="K174" s="12">
        <f>DATE(YEAR(B174),MONTH(B174),1)</f>
        <v/>
      </c>
      <c r="L174">
        <f>IF(COUNTIF($A$2:A174,A174)=1,1,0)</f>
        <v/>
      </c>
      <c r="M174">
        <f>_xlfn.XLOOKUP(C174,Customers!$A$2:$A$25,Customers!$B$2:$B$25,"not found")</f>
        <v/>
      </c>
      <c r="N174">
        <f>_xlfn.XLOOKUP(C174,Customers!$A$2:$A$25,Customers!$D$2:$D$25,"not found")</f>
        <v/>
      </c>
    </row>
    <row r="175">
      <c r="A175" t="n">
        <v>10092</v>
      </c>
      <c r="B175" s="12" t="n">
        <v>45884</v>
      </c>
      <c r="C175" s="13" t="inlineStr">
        <is>
          <t>0019</t>
        </is>
      </c>
      <c r="D175" t="n">
        <v>108</v>
      </c>
      <c r="E175" t="n">
        <v>25</v>
      </c>
      <c r="F175" t="n">
        <v>290</v>
      </c>
      <c r="G175" t="n">
        <v>5</v>
      </c>
      <c r="H175" t="inlineStr">
        <is>
          <t>Delivered</t>
        </is>
      </c>
      <c r="I175" t="inlineStr">
        <is>
          <t>Farah Khan</t>
        </is>
      </c>
      <c r="J175" s="14">
        <f>E175*F175*(1-G175/100)</f>
        <v/>
      </c>
      <c r="K175" s="12">
        <f>DATE(YEAR(B175),MONTH(B175),1)</f>
        <v/>
      </c>
      <c r="L175">
        <f>IF(COUNTIF($A$2:A175,A175)=1,1,0)</f>
        <v/>
      </c>
      <c r="M175">
        <f>_xlfn.XLOOKUP(C175,Customers!$A$2:$A$25,Customers!$B$2:$B$25,"not found")</f>
        <v/>
      </c>
      <c r="N175">
        <f>_xlfn.XLOOKUP(C175,Customers!$A$2:$A$25,Customers!$D$2:$D$25,"not found")</f>
        <v/>
      </c>
    </row>
    <row r="176">
      <c r="A176" t="n">
        <v>10093</v>
      </c>
      <c r="B176" s="12" t="n">
        <v>45888</v>
      </c>
      <c r="C176" s="13" t="inlineStr">
        <is>
          <t>0014</t>
        </is>
      </c>
      <c r="D176" t="n">
        <v>101</v>
      </c>
      <c r="E176" t="n">
        <v>20</v>
      </c>
      <c r="F176" t="n">
        <v>430</v>
      </c>
      <c r="G176" t="n">
        <v>12</v>
      </c>
      <c r="H176" t="inlineStr">
        <is>
          <t>Delivered</t>
        </is>
      </c>
      <c r="I176" t="inlineStr">
        <is>
          <t>Farah Khan</t>
        </is>
      </c>
      <c r="J176" s="14">
        <f>E176*F176*(1-G176/100)</f>
        <v/>
      </c>
      <c r="K176" s="12">
        <f>DATE(YEAR(B176),MONTH(B176),1)</f>
        <v/>
      </c>
      <c r="L176">
        <f>IF(COUNTIF($A$2:A176,A176)=1,1,0)</f>
        <v/>
      </c>
      <c r="M176">
        <f>_xlfn.XLOOKUP(C176,Customers!$A$2:$A$25,Customers!$B$2:$B$25,"not found")</f>
        <v/>
      </c>
      <c r="N176">
        <f>_xlfn.XLOOKUP(C176,Customers!$A$2:$A$25,Customers!$D$2:$D$25,"not found")</f>
        <v/>
      </c>
    </row>
    <row r="177">
      <c r="A177" t="n">
        <v>10093</v>
      </c>
      <c r="B177" s="12" t="n">
        <v>45888</v>
      </c>
      <c r="C177" s="13" t="inlineStr">
        <is>
          <t>0014</t>
        </is>
      </c>
      <c r="D177" t="n">
        <v>102</v>
      </c>
      <c r="E177" t="n">
        <v>10</v>
      </c>
      <c r="F177" t="n">
        <v>750</v>
      </c>
      <c r="G177" t="n">
        <v>12</v>
      </c>
      <c r="H177" t="inlineStr">
        <is>
          <t>Delivered</t>
        </is>
      </c>
      <c r="I177" t="inlineStr">
        <is>
          <t>Farah Khan</t>
        </is>
      </c>
      <c r="J177" s="14">
        <f>E177*F177*(1-G177/100)</f>
        <v/>
      </c>
      <c r="K177" s="12">
        <f>DATE(YEAR(B177),MONTH(B177),1)</f>
        <v/>
      </c>
      <c r="L177">
        <f>IF(COUNTIF($A$2:A177,A177)=1,1,0)</f>
        <v/>
      </c>
      <c r="M177">
        <f>_xlfn.XLOOKUP(C177,Customers!$A$2:$A$25,Customers!$B$2:$B$25,"not found")</f>
        <v/>
      </c>
      <c r="N177">
        <f>_xlfn.XLOOKUP(C177,Customers!$A$2:$A$25,Customers!$D$2:$D$25,"not found")</f>
        <v/>
      </c>
    </row>
    <row r="178">
      <c r="A178" t="n">
        <v>10094</v>
      </c>
      <c r="B178" s="12" t="n">
        <v>45892</v>
      </c>
      <c r="C178" s="13" t="inlineStr">
        <is>
          <t>0012</t>
        </is>
      </c>
      <c r="D178" t="n">
        <v>101</v>
      </c>
      <c r="E178" t="n">
        <v>40</v>
      </c>
      <c r="F178" t="n">
        <v>430</v>
      </c>
      <c r="G178" t="n">
        <v>0</v>
      </c>
      <c r="H178" t="inlineStr">
        <is>
          <t>Delivered</t>
        </is>
      </c>
      <c r="I178" t="inlineStr">
        <is>
          <t>Neha Kulkarni</t>
        </is>
      </c>
      <c r="J178" s="14">
        <f>E178*F178*(1-G178/100)</f>
        <v/>
      </c>
      <c r="K178" s="12">
        <f>DATE(YEAR(B178),MONTH(B178),1)</f>
        <v/>
      </c>
      <c r="L178">
        <f>IF(COUNTIF($A$2:A178,A178)=1,1,0)</f>
        <v/>
      </c>
      <c r="M178">
        <f>_xlfn.XLOOKUP(C178,Customers!$A$2:$A$25,Customers!$B$2:$B$25,"not found")</f>
        <v/>
      </c>
      <c r="N178">
        <f>_xlfn.XLOOKUP(C178,Customers!$A$2:$A$25,Customers!$D$2:$D$25,"not found")</f>
        <v/>
      </c>
    </row>
    <row r="179">
      <c r="A179" t="n">
        <v>10095</v>
      </c>
      <c r="B179" s="12" t="n">
        <v>45893</v>
      </c>
      <c r="C179" s="13" t="inlineStr">
        <is>
          <t>0011</t>
        </is>
      </c>
      <c r="D179" t="n">
        <v>101</v>
      </c>
      <c r="E179" t="n">
        <v>15</v>
      </c>
      <c r="F179" t="n">
        <v>430</v>
      </c>
      <c r="G179" t="n">
        <v>8</v>
      </c>
      <c r="H179" t="inlineStr">
        <is>
          <t>Delivered</t>
        </is>
      </c>
      <c r="I179" t="inlineStr">
        <is>
          <t>Rahul Mehta</t>
        </is>
      </c>
      <c r="J179" s="14">
        <f>E179*F179*(1-G179/100)</f>
        <v/>
      </c>
      <c r="K179" s="12">
        <f>DATE(YEAR(B179),MONTH(B179),1)</f>
        <v/>
      </c>
      <c r="L179">
        <f>IF(COUNTIF($A$2:A179,A179)=1,1,0)</f>
        <v/>
      </c>
      <c r="M179">
        <f>_xlfn.XLOOKUP(C179,Customers!$A$2:$A$25,Customers!$B$2:$B$25,"not found")</f>
        <v/>
      </c>
      <c r="N179">
        <f>_xlfn.XLOOKUP(C179,Customers!$A$2:$A$25,Customers!$D$2:$D$25,"not found")</f>
        <v/>
      </c>
    </row>
    <row r="180">
      <c r="A180" t="n">
        <v>10095</v>
      </c>
      <c r="B180" s="12" t="n">
        <v>45893</v>
      </c>
      <c r="C180" s="13" t="inlineStr">
        <is>
          <t>0011</t>
        </is>
      </c>
      <c r="D180" t="n">
        <v>102</v>
      </c>
      <c r="E180" t="n">
        <v>35</v>
      </c>
      <c r="F180" t="n">
        <v>750</v>
      </c>
      <c r="G180" t="n">
        <v>10</v>
      </c>
      <c r="H180" t="inlineStr">
        <is>
          <t>Delivered</t>
        </is>
      </c>
      <c r="I180" t="inlineStr">
        <is>
          <t>Rahul Mehta</t>
        </is>
      </c>
      <c r="J180" s="14">
        <f>E180*F180*(1-G180/100)</f>
        <v/>
      </c>
      <c r="K180" s="12">
        <f>DATE(YEAR(B180),MONTH(B180),1)</f>
        <v/>
      </c>
      <c r="L180">
        <f>IF(COUNTIF($A$2:A180,A180)=1,1,0)</f>
        <v/>
      </c>
      <c r="M180">
        <f>_xlfn.XLOOKUP(C180,Customers!$A$2:$A$25,Customers!$B$2:$B$25,"not found")</f>
        <v/>
      </c>
      <c r="N180">
        <f>_xlfn.XLOOKUP(C180,Customers!$A$2:$A$25,Customers!$D$2:$D$25,"not found")</f>
        <v/>
      </c>
    </row>
    <row r="181">
      <c r="A181" t="n">
        <v>10096</v>
      </c>
      <c r="B181" s="12" t="n">
        <v>45895</v>
      </c>
      <c r="C181" s="13" t="inlineStr">
        <is>
          <t>0004</t>
        </is>
      </c>
      <c r="D181" t="n">
        <v>102</v>
      </c>
      <c r="E181" t="n">
        <v>10</v>
      </c>
      <c r="F181" t="n">
        <v>750</v>
      </c>
      <c r="G181" t="n">
        <v>12</v>
      </c>
      <c r="H181" t="inlineStr">
        <is>
          <t>Delivered</t>
        </is>
      </c>
      <c r="I181" t="inlineStr">
        <is>
          <t>Rahul Mehta</t>
        </is>
      </c>
      <c r="J181" s="14">
        <f>E181*F181*(1-G181/100)</f>
        <v/>
      </c>
      <c r="K181" s="12">
        <f>DATE(YEAR(B181),MONTH(B181),1)</f>
        <v/>
      </c>
      <c r="L181">
        <f>IF(COUNTIF($A$2:A181,A181)=1,1,0)</f>
        <v/>
      </c>
      <c r="M181">
        <f>_xlfn.XLOOKUP(C181,Customers!$A$2:$A$25,Customers!$B$2:$B$25,"not found")</f>
        <v/>
      </c>
      <c r="N181">
        <f>_xlfn.XLOOKUP(C181,Customers!$A$2:$A$25,Customers!$D$2:$D$25,"not found")</f>
        <v/>
      </c>
    </row>
    <row r="182">
      <c r="A182" t="n">
        <v>10097</v>
      </c>
      <c r="B182" s="12" t="n">
        <v>45896</v>
      </c>
      <c r="C182" s="13" t="inlineStr">
        <is>
          <t>0007</t>
        </is>
      </c>
      <c r="D182" t="n">
        <v>102</v>
      </c>
      <c r="E182" t="n">
        <v>10</v>
      </c>
      <c r="F182" t="n">
        <v>750</v>
      </c>
      <c r="G182" t="n">
        <v>12</v>
      </c>
      <c r="H182" t="inlineStr">
        <is>
          <t>Delivered</t>
        </is>
      </c>
      <c r="I182" t="inlineStr">
        <is>
          <t>Farah Khan</t>
        </is>
      </c>
      <c r="J182" s="14">
        <f>E182*F182*(1-G182/100)</f>
        <v/>
      </c>
      <c r="K182" s="12">
        <f>DATE(YEAR(B182),MONTH(B182),1)</f>
        <v/>
      </c>
      <c r="L182">
        <f>IF(COUNTIF($A$2:A182,A182)=1,1,0)</f>
        <v/>
      </c>
      <c r="M182">
        <f>_xlfn.XLOOKUP(C182,Customers!$A$2:$A$25,Customers!$B$2:$B$25,"not found")</f>
        <v/>
      </c>
      <c r="N182">
        <f>_xlfn.XLOOKUP(C182,Customers!$A$2:$A$25,Customers!$D$2:$D$25,"not found")</f>
        <v/>
      </c>
    </row>
    <row r="183">
      <c r="A183" t="n">
        <v>10097</v>
      </c>
      <c r="B183" s="12" t="n">
        <v>45896</v>
      </c>
      <c r="C183" s="13" t="inlineStr">
        <is>
          <t>0007</t>
        </is>
      </c>
      <c r="D183" t="n">
        <v>108</v>
      </c>
      <c r="E183" t="n">
        <v>10</v>
      </c>
      <c r="F183" t="n">
        <v>290</v>
      </c>
      <c r="G183" t="n">
        <v>10</v>
      </c>
      <c r="H183" t="inlineStr">
        <is>
          <t>Delivered</t>
        </is>
      </c>
      <c r="I183" t="inlineStr">
        <is>
          <t>Farah Khan</t>
        </is>
      </c>
      <c r="J183" s="14">
        <f>E183*F183*(1-G183/100)</f>
        <v/>
      </c>
      <c r="K183" s="12">
        <f>DATE(YEAR(B183),MONTH(B183),1)</f>
        <v/>
      </c>
      <c r="L183">
        <f>IF(COUNTIF($A$2:A183,A183)=1,1,0)</f>
        <v/>
      </c>
      <c r="M183">
        <f>_xlfn.XLOOKUP(C183,Customers!$A$2:$A$25,Customers!$B$2:$B$25,"not found")</f>
        <v/>
      </c>
      <c r="N183">
        <f>_xlfn.XLOOKUP(C183,Customers!$A$2:$A$25,Customers!$D$2:$D$25,"not found")</f>
        <v/>
      </c>
    </row>
    <row r="184">
      <c r="A184" t="n">
        <v>10098</v>
      </c>
      <c r="B184" s="12" t="n">
        <v>45902</v>
      </c>
      <c r="C184" s="13" t="inlineStr">
        <is>
          <t>0018</t>
        </is>
      </c>
      <c r="D184" t="n">
        <v>101</v>
      </c>
      <c r="E184" t="n">
        <v>40</v>
      </c>
      <c r="F184" t="n">
        <v>430</v>
      </c>
      <c r="G184" t="n">
        <v>0</v>
      </c>
      <c r="H184" t="inlineStr">
        <is>
          <t>Delivered</t>
        </is>
      </c>
      <c r="I184" t="inlineStr">
        <is>
          <t>Rahul Mehta</t>
        </is>
      </c>
      <c r="J184" s="14">
        <f>E184*F184*(1-G184/100)</f>
        <v/>
      </c>
      <c r="K184" s="12">
        <f>DATE(YEAR(B184),MONTH(B184),1)</f>
        <v/>
      </c>
      <c r="L184">
        <f>IF(COUNTIF($A$2:A184,A184)=1,1,0)</f>
        <v/>
      </c>
      <c r="M184">
        <f>_xlfn.XLOOKUP(C184,Customers!$A$2:$A$25,Customers!$B$2:$B$25,"not found")</f>
        <v/>
      </c>
      <c r="N184">
        <f>_xlfn.XLOOKUP(C184,Customers!$A$2:$A$25,Customers!$D$2:$D$25,"not found")</f>
        <v/>
      </c>
    </row>
    <row r="185">
      <c r="A185" t="n">
        <v>10098</v>
      </c>
      <c r="B185" s="12" t="n">
        <v>45902</v>
      </c>
      <c r="C185" s="13" t="inlineStr">
        <is>
          <t>0018</t>
        </is>
      </c>
      <c r="D185" t="n">
        <v>108</v>
      </c>
      <c r="E185" t="n">
        <v>10</v>
      </c>
      <c r="F185" t="n">
        <v>290</v>
      </c>
      <c r="G185" t="n">
        <v>0</v>
      </c>
      <c r="H185" t="inlineStr">
        <is>
          <t>Delivered</t>
        </is>
      </c>
      <c r="I185" t="inlineStr">
        <is>
          <t>Rahul Mehta</t>
        </is>
      </c>
      <c r="J185" s="14">
        <f>E185*F185*(1-G185/100)</f>
        <v/>
      </c>
      <c r="K185" s="12">
        <f>DATE(YEAR(B185),MONTH(B185),1)</f>
        <v/>
      </c>
      <c r="L185">
        <f>IF(COUNTIF($A$2:A185,A185)=1,1,0)</f>
        <v/>
      </c>
      <c r="M185">
        <f>_xlfn.XLOOKUP(C185,Customers!$A$2:$A$25,Customers!$B$2:$B$25,"not found")</f>
        <v/>
      </c>
      <c r="N185">
        <f>_xlfn.XLOOKUP(C185,Customers!$A$2:$A$25,Customers!$D$2:$D$25,"not found")</f>
        <v/>
      </c>
    </row>
    <row r="186">
      <c r="A186" t="n">
        <v>10099</v>
      </c>
      <c r="B186" s="12" t="n">
        <v>45902</v>
      </c>
      <c r="C186" s="13" t="inlineStr">
        <is>
          <t>0019</t>
        </is>
      </c>
      <c r="D186" t="n">
        <v>102</v>
      </c>
      <c r="E186" t="n">
        <v>15</v>
      </c>
      <c r="F186" t="n">
        <v>750</v>
      </c>
      <c r="G186" t="n">
        <v>5</v>
      </c>
      <c r="H186" t="inlineStr">
        <is>
          <t>Delivered</t>
        </is>
      </c>
      <c r="I186" t="inlineStr">
        <is>
          <t>Farah Khan</t>
        </is>
      </c>
      <c r="J186" s="14">
        <f>E186*F186*(1-G186/100)</f>
        <v/>
      </c>
      <c r="K186" s="12">
        <f>DATE(YEAR(B186),MONTH(B186),1)</f>
        <v/>
      </c>
      <c r="L186">
        <f>IF(COUNTIF($A$2:A186,A186)=1,1,0)</f>
        <v/>
      </c>
      <c r="M186">
        <f>_xlfn.XLOOKUP(C186,Customers!$A$2:$A$25,Customers!$B$2:$B$25,"not found")</f>
        <v/>
      </c>
      <c r="N186">
        <f>_xlfn.XLOOKUP(C186,Customers!$A$2:$A$25,Customers!$D$2:$D$25,"not found")</f>
        <v/>
      </c>
    </row>
    <row r="187">
      <c r="A187" t="n">
        <v>10099</v>
      </c>
      <c r="B187" s="12" t="n">
        <v>45902</v>
      </c>
      <c r="C187" s="13" t="inlineStr">
        <is>
          <t>0019</t>
        </is>
      </c>
      <c r="D187" t="n">
        <v>105</v>
      </c>
      <c r="E187" t="n">
        <v>35</v>
      </c>
      <c r="F187" t="n">
        <v>1400</v>
      </c>
      <c r="G187" t="n">
        <v>10</v>
      </c>
      <c r="H187" t="inlineStr">
        <is>
          <t>Delivered</t>
        </is>
      </c>
      <c r="I187" t="inlineStr">
        <is>
          <t>Farah Khan</t>
        </is>
      </c>
      <c r="J187" s="14">
        <f>E187*F187*(1-G187/100)</f>
        <v/>
      </c>
      <c r="K187" s="12">
        <f>DATE(YEAR(B187),MONTH(B187),1)</f>
        <v/>
      </c>
      <c r="L187">
        <f>IF(COUNTIF($A$2:A187,A187)=1,1,0)</f>
        <v/>
      </c>
      <c r="M187">
        <f>_xlfn.XLOOKUP(C187,Customers!$A$2:$A$25,Customers!$B$2:$B$25,"not found")</f>
        <v/>
      </c>
      <c r="N187">
        <f>_xlfn.XLOOKUP(C187,Customers!$A$2:$A$25,Customers!$D$2:$D$25,"not found")</f>
        <v/>
      </c>
    </row>
    <row r="188">
      <c r="A188" t="n">
        <v>10099</v>
      </c>
      <c r="B188" s="12" t="n">
        <v>45902</v>
      </c>
      <c r="C188" s="13" t="inlineStr">
        <is>
          <t>0019</t>
        </is>
      </c>
      <c r="D188" t="n">
        <v>108</v>
      </c>
      <c r="E188" t="n">
        <v>15</v>
      </c>
      <c r="F188" t="n">
        <v>290</v>
      </c>
      <c r="G188" t="n">
        <v>5</v>
      </c>
      <c r="H188" t="inlineStr">
        <is>
          <t>Delivered</t>
        </is>
      </c>
      <c r="I188" t="inlineStr">
        <is>
          <t>Farah Khan</t>
        </is>
      </c>
      <c r="J188" s="14">
        <f>E188*F188*(1-G188/100)</f>
        <v/>
      </c>
      <c r="K188" s="12">
        <f>DATE(YEAR(B188),MONTH(B188),1)</f>
        <v/>
      </c>
      <c r="L188">
        <f>IF(COUNTIF($A$2:A188,A188)=1,1,0)</f>
        <v/>
      </c>
      <c r="M188">
        <f>_xlfn.XLOOKUP(C188,Customers!$A$2:$A$25,Customers!$B$2:$B$25,"not found")</f>
        <v/>
      </c>
      <c r="N188">
        <f>_xlfn.XLOOKUP(C188,Customers!$A$2:$A$25,Customers!$D$2:$D$25,"not found")</f>
        <v/>
      </c>
    </row>
    <row r="189">
      <c r="A189" t="n">
        <v>10100</v>
      </c>
      <c r="B189" s="12" t="n">
        <v>45903</v>
      </c>
      <c r="C189" s="13" t="inlineStr">
        <is>
          <t>0021</t>
        </is>
      </c>
      <c r="D189" t="n">
        <v>101</v>
      </c>
      <c r="E189" t="n">
        <v>15</v>
      </c>
      <c r="F189" t="n">
        <v>430</v>
      </c>
      <c r="G189" t="n">
        <v>5</v>
      </c>
      <c r="H189" t="inlineStr">
        <is>
          <t>Delivered</t>
        </is>
      </c>
      <c r="I189" t="inlineStr">
        <is>
          <t>Rahul Mehta</t>
        </is>
      </c>
      <c r="J189" s="14">
        <f>E189*F189*(1-G189/100)</f>
        <v/>
      </c>
      <c r="K189" s="12">
        <f>DATE(YEAR(B189),MONTH(B189),1)</f>
        <v/>
      </c>
      <c r="L189">
        <f>IF(COUNTIF($A$2:A189,A189)=1,1,0)</f>
        <v/>
      </c>
      <c r="M189">
        <f>_xlfn.XLOOKUP(C189,Customers!$A$2:$A$25,Customers!$B$2:$B$25,"not found")</f>
        <v/>
      </c>
      <c r="N189">
        <f>_xlfn.XLOOKUP(C189,Customers!$A$2:$A$25,Customers!$D$2:$D$25,"not found")</f>
        <v/>
      </c>
    </row>
    <row r="190">
      <c r="A190" t="n">
        <v>10100</v>
      </c>
      <c r="B190" s="12" t="n">
        <v>45903</v>
      </c>
      <c r="C190" s="13" t="inlineStr">
        <is>
          <t>0021</t>
        </is>
      </c>
      <c r="D190" t="n">
        <v>104</v>
      </c>
      <c r="E190" t="n">
        <v>35</v>
      </c>
      <c r="F190" t="n">
        <v>620</v>
      </c>
      <c r="G190" t="n">
        <v>0</v>
      </c>
      <c r="H190" t="inlineStr">
        <is>
          <t>Delivered</t>
        </is>
      </c>
      <c r="I190" t="inlineStr">
        <is>
          <t>Rahul Mehta</t>
        </is>
      </c>
      <c r="J190" s="14">
        <f>E190*F190*(1-G190/100)</f>
        <v/>
      </c>
      <c r="K190" s="12">
        <f>DATE(YEAR(B190),MONTH(B190),1)</f>
        <v/>
      </c>
      <c r="L190">
        <f>IF(COUNTIF($A$2:A190,A190)=1,1,0)</f>
        <v/>
      </c>
      <c r="M190">
        <f>_xlfn.XLOOKUP(C190,Customers!$A$2:$A$25,Customers!$B$2:$B$25,"not found")</f>
        <v/>
      </c>
      <c r="N190">
        <f>_xlfn.XLOOKUP(C190,Customers!$A$2:$A$25,Customers!$D$2:$D$25,"not found")</f>
        <v/>
      </c>
    </row>
    <row r="191">
      <c r="A191" t="n">
        <v>10100</v>
      </c>
      <c r="B191" s="12" t="n">
        <v>45903</v>
      </c>
      <c r="C191" s="13" t="inlineStr">
        <is>
          <t>0021</t>
        </is>
      </c>
      <c r="D191" t="n">
        <v>108</v>
      </c>
      <c r="E191" t="n">
        <v>20</v>
      </c>
      <c r="F191" t="n">
        <v>290</v>
      </c>
      <c r="G191" t="n">
        <v>0</v>
      </c>
      <c r="H191" t="inlineStr">
        <is>
          <t>Delivered</t>
        </is>
      </c>
      <c r="I191" t="inlineStr">
        <is>
          <t>Rahul Mehta</t>
        </is>
      </c>
      <c r="J191" s="14">
        <f>E191*F191*(1-G191/100)</f>
        <v/>
      </c>
      <c r="K191" s="12">
        <f>DATE(YEAR(B191),MONTH(B191),1)</f>
        <v/>
      </c>
      <c r="L191">
        <f>IF(COUNTIF($A$2:A191,A191)=1,1,0)</f>
        <v/>
      </c>
      <c r="M191">
        <f>_xlfn.XLOOKUP(C191,Customers!$A$2:$A$25,Customers!$B$2:$B$25,"not found")</f>
        <v/>
      </c>
      <c r="N191">
        <f>_xlfn.XLOOKUP(C191,Customers!$A$2:$A$25,Customers!$D$2:$D$25,"not found")</f>
        <v/>
      </c>
    </row>
    <row r="192">
      <c r="A192" t="n">
        <v>10101</v>
      </c>
      <c r="B192" s="12" t="n">
        <v>45907</v>
      </c>
      <c r="C192" s="13" t="inlineStr">
        <is>
          <t>0014</t>
        </is>
      </c>
      <c r="D192" t="n">
        <v>101</v>
      </c>
      <c r="E192" t="n">
        <v>10</v>
      </c>
      <c r="F192" t="n">
        <v>430</v>
      </c>
      <c r="G192" t="n">
        <v>12</v>
      </c>
      <c r="H192" t="inlineStr">
        <is>
          <t>Delivered</t>
        </is>
      </c>
      <c r="I192" t="inlineStr">
        <is>
          <t>Farah Khan</t>
        </is>
      </c>
      <c r="J192" s="14">
        <f>E192*F192*(1-G192/100)</f>
        <v/>
      </c>
      <c r="K192" s="12">
        <f>DATE(YEAR(B192),MONTH(B192),1)</f>
        <v/>
      </c>
      <c r="L192">
        <f>IF(COUNTIF($A$2:A192,A192)=1,1,0)</f>
        <v/>
      </c>
      <c r="M192">
        <f>_xlfn.XLOOKUP(C192,Customers!$A$2:$A$25,Customers!$B$2:$B$25,"not found")</f>
        <v/>
      </c>
      <c r="N192">
        <f>_xlfn.XLOOKUP(C192,Customers!$A$2:$A$25,Customers!$D$2:$D$25,"not found")</f>
        <v/>
      </c>
    </row>
    <row r="193">
      <c r="A193" t="n">
        <v>10101</v>
      </c>
      <c r="B193" s="12" t="n">
        <v>45907</v>
      </c>
      <c r="C193" s="13" t="inlineStr">
        <is>
          <t>0014</t>
        </is>
      </c>
      <c r="D193" t="n">
        <v>105</v>
      </c>
      <c r="E193" t="n">
        <v>35</v>
      </c>
      <c r="F193" t="n">
        <v>1400</v>
      </c>
      <c r="G193" t="n">
        <v>5</v>
      </c>
      <c r="H193" t="inlineStr">
        <is>
          <t>Delivered</t>
        </is>
      </c>
      <c r="I193" t="inlineStr">
        <is>
          <t>Farah Khan</t>
        </is>
      </c>
      <c r="J193" s="14">
        <f>E193*F193*(1-G193/100)</f>
        <v/>
      </c>
      <c r="K193" s="12">
        <f>DATE(YEAR(B193),MONTH(B193),1)</f>
        <v/>
      </c>
      <c r="L193">
        <f>IF(COUNTIF($A$2:A193,A193)=1,1,0)</f>
        <v/>
      </c>
      <c r="M193">
        <f>_xlfn.XLOOKUP(C193,Customers!$A$2:$A$25,Customers!$B$2:$B$25,"not found")</f>
        <v/>
      </c>
      <c r="N193">
        <f>_xlfn.XLOOKUP(C193,Customers!$A$2:$A$25,Customers!$D$2:$D$25,"not found")</f>
        <v/>
      </c>
    </row>
    <row r="194">
      <c r="A194" t="n">
        <v>10102</v>
      </c>
      <c r="B194" s="12" t="n">
        <v>45909</v>
      </c>
      <c r="C194" s="13" t="inlineStr">
        <is>
          <t>0017</t>
        </is>
      </c>
      <c r="D194" t="n">
        <v>101</v>
      </c>
      <c r="E194" t="n">
        <v>10</v>
      </c>
      <c r="F194" t="n">
        <v>430</v>
      </c>
      <c r="G194" t="n">
        <v>5</v>
      </c>
      <c r="H194" t="inlineStr">
        <is>
          <t>Delivered</t>
        </is>
      </c>
      <c r="I194" t="inlineStr">
        <is>
          <t>Neha Kulkarni</t>
        </is>
      </c>
      <c r="J194" s="14">
        <f>E194*F194*(1-G194/100)</f>
        <v/>
      </c>
      <c r="K194" s="12">
        <f>DATE(YEAR(B194),MONTH(B194),1)</f>
        <v/>
      </c>
      <c r="L194">
        <f>IF(COUNTIF($A$2:A194,A194)=1,1,0)</f>
        <v/>
      </c>
      <c r="M194">
        <f>_xlfn.XLOOKUP(C194,Customers!$A$2:$A$25,Customers!$B$2:$B$25,"not found")</f>
        <v/>
      </c>
      <c r="N194">
        <f>_xlfn.XLOOKUP(C194,Customers!$A$2:$A$25,Customers!$D$2:$D$25,"not found")</f>
        <v/>
      </c>
    </row>
    <row r="195">
      <c r="A195" t="n">
        <v>10102</v>
      </c>
      <c r="B195" s="12" t="n">
        <v>45909</v>
      </c>
      <c r="C195" s="13" t="inlineStr">
        <is>
          <t>0017</t>
        </is>
      </c>
      <c r="D195" t="n">
        <v>107</v>
      </c>
      <c r="E195" t="n">
        <v>25</v>
      </c>
      <c r="F195" t="n">
        <v>380</v>
      </c>
      <c r="G195" t="n">
        <v>0</v>
      </c>
      <c r="H195" t="inlineStr">
        <is>
          <t>Delivered</t>
        </is>
      </c>
      <c r="I195" t="inlineStr">
        <is>
          <t>Neha Kulkarni</t>
        </is>
      </c>
      <c r="J195" s="14">
        <f>E195*F195*(1-G195/100)</f>
        <v/>
      </c>
      <c r="K195" s="12">
        <f>DATE(YEAR(B195),MONTH(B195),1)</f>
        <v/>
      </c>
      <c r="L195">
        <f>IF(COUNTIF($A$2:A195,A195)=1,1,0)</f>
        <v/>
      </c>
      <c r="M195">
        <f>_xlfn.XLOOKUP(C195,Customers!$A$2:$A$25,Customers!$B$2:$B$25,"not found")</f>
        <v/>
      </c>
      <c r="N195">
        <f>_xlfn.XLOOKUP(C195,Customers!$A$2:$A$25,Customers!$D$2:$D$25,"not found")</f>
        <v/>
      </c>
    </row>
    <row r="196">
      <c r="A196" t="n">
        <v>10103</v>
      </c>
      <c r="B196" s="12" t="n">
        <v>45911</v>
      </c>
      <c r="C196" s="13" t="inlineStr">
        <is>
          <t>0004</t>
        </is>
      </c>
      <c r="D196" t="n">
        <v>102</v>
      </c>
      <c r="E196" t="n">
        <v>20</v>
      </c>
      <c r="F196" t="n">
        <v>750</v>
      </c>
      <c r="G196" t="n">
        <v>8</v>
      </c>
      <c r="H196" t="inlineStr">
        <is>
          <t>Delivered</t>
        </is>
      </c>
      <c r="I196" t="inlineStr">
        <is>
          <t>Rahul Mehta</t>
        </is>
      </c>
      <c r="J196" s="14">
        <f>E196*F196*(1-G196/100)</f>
        <v/>
      </c>
      <c r="K196" s="12">
        <f>DATE(YEAR(B196),MONTH(B196),1)</f>
        <v/>
      </c>
      <c r="L196">
        <f>IF(COUNTIF($A$2:A196,A196)=1,1,0)</f>
        <v/>
      </c>
      <c r="M196">
        <f>_xlfn.XLOOKUP(C196,Customers!$A$2:$A$25,Customers!$B$2:$B$25,"not found")</f>
        <v/>
      </c>
      <c r="N196">
        <f>_xlfn.XLOOKUP(C196,Customers!$A$2:$A$25,Customers!$D$2:$D$25,"not found")</f>
        <v/>
      </c>
    </row>
    <row r="197">
      <c r="A197" t="n">
        <v>10104</v>
      </c>
      <c r="B197" s="12" t="n">
        <v>45911</v>
      </c>
      <c r="C197" s="13" t="inlineStr">
        <is>
          <t>0012</t>
        </is>
      </c>
      <c r="D197" t="n">
        <v>103</v>
      </c>
      <c r="E197" t="n">
        <v>55</v>
      </c>
      <c r="F197" t="n">
        <v>115</v>
      </c>
      <c r="G197" t="n">
        <v>5</v>
      </c>
      <c r="H197" t="inlineStr">
        <is>
          <t>Delivered</t>
        </is>
      </c>
      <c r="I197" t="inlineStr">
        <is>
          <t>Neha Kulkarni</t>
        </is>
      </c>
      <c r="J197" s="14">
        <f>E197*F197*(1-G197/100)</f>
        <v/>
      </c>
      <c r="K197" s="12">
        <f>DATE(YEAR(B197),MONTH(B197),1)</f>
        <v/>
      </c>
      <c r="L197">
        <f>IF(COUNTIF($A$2:A197,A197)=1,1,0)</f>
        <v/>
      </c>
      <c r="M197">
        <f>_xlfn.XLOOKUP(C197,Customers!$A$2:$A$25,Customers!$B$2:$B$25,"not found")</f>
        <v/>
      </c>
      <c r="N197">
        <f>_xlfn.XLOOKUP(C197,Customers!$A$2:$A$25,Customers!$D$2:$D$25,"not found")</f>
        <v/>
      </c>
    </row>
    <row r="198">
      <c r="A198" t="n">
        <v>10104</v>
      </c>
      <c r="B198" s="12" t="n">
        <v>45911</v>
      </c>
      <c r="C198" s="13" t="inlineStr">
        <is>
          <t>0012</t>
        </is>
      </c>
      <c r="D198" t="n">
        <v>107</v>
      </c>
      <c r="E198" t="n">
        <v>30</v>
      </c>
      <c r="F198" t="n">
        <v>380</v>
      </c>
      <c r="G198" t="n">
        <v>0</v>
      </c>
      <c r="H198" t="inlineStr">
        <is>
          <t>Delivered</t>
        </is>
      </c>
      <c r="I198" t="inlineStr">
        <is>
          <t>Neha Kulkarni</t>
        </is>
      </c>
      <c r="J198" s="14">
        <f>E198*F198*(1-G198/100)</f>
        <v/>
      </c>
      <c r="K198" s="12">
        <f>DATE(YEAR(B198),MONTH(B198),1)</f>
        <v/>
      </c>
      <c r="L198">
        <f>IF(COUNTIF($A$2:A198,A198)=1,1,0)</f>
        <v/>
      </c>
      <c r="M198">
        <f>_xlfn.XLOOKUP(C198,Customers!$A$2:$A$25,Customers!$B$2:$B$25,"not found")</f>
        <v/>
      </c>
      <c r="N198">
        <f>_xlfn.XLOOKUP(C198,Customers!$A$2:$A$25,Customers!$D$2:$D$25,"not found")</f>
        <v/>
      </c>
    </row>
    <row r="199">
      <c r="A199" t="n">
        <v>10104</v>
      </c>
      <c r="B199" s="12" t="n">
        <v>45911</v>
      </c>
      <c r="C199" s="13" t="inlineStr">
        <is>
          <t>0012</t>
        </is>
      </c>
      <c r="D199" t="n">
        <v>108</v>
      </c>
      <c r="E199" t="n">
        <v>35</v>
      </c>
      <c r="F199" t="n">
        <v>290</v>
      </c>
      <c r="G199" t="n">
        <v>0</v>
      </c>
      <c r="H199" t="inlineStr">
        <is>
          <t>Delivered</t>
        </is>
      </c>
      <c r="I199" t="inlineStr">
        <is>
          <t>Neha Kulkarni</t>
        </is>
      </c>
      <c r="J199" s="14">
        <f>E199*F199*(1-G199/100)</f>
        <v/>
      </c>
      <c r="K199" s="12">
        <f>DATE(YEAR(B199),MONTH(B199),1)</f>
        <v/>
      </c>
      <c r="L199">
        <f>IF(COUNTIF($A$2:A199,A199)=1,1,0)</f>
        <v/>
      </c>
      <c r="M199">
        <f>_xlfn.XLOOKUP(C199,Customers!$A$2:$A$25,Customers!$B$2:$B$25,"not found")</f>
        <v/>
      </c>
      <c r="N199">
        <f>_xlfn.XLOOKUP(C199,Customers!$A$2:$A$25,Customers!$D$2:$D$25,"not found")</f>
        <v/>
      </c>
    </row>
    <row r="200">
      <c r="A200" t="n">
        <v>10105</v>
      </c>
      <c r="B200" s="12" t="n">
        <v>45912</v>
      </c>
      <c r="C200" s="13" t="inlineStr">
        <is>
          <t>0020</t>
        </is>
      </c>
      <c r="D200" t="n">
        <v>101</v>
      </c>
      <c r="E200" t="n">
        <v>10</v>
      </c>
      <c r="F200" t="n">
        <v>430</v>
      </c>
      <c r="G200" t="n">
        <v>0</v>
      </c>
      <c r="H200" t="inlineStr">
        <is>
          <t>Delivered</t>
        </is>
      </c>
      <c r="I200" t="inlineStr">
        <is>
          <t>Neha Kulkarni</t>
        </is>
      </c>
      <c r="J200" s="14">
        <f>E200*F200*(1-G200/100)</f>
        <v/>
      </c>
      <c r="K200" s="12">
        <f>DATE(YEAR(B200),MONTH(B200),1)</f>
        <v/>
      </c>
      <c r="L200">
        <f>IF(COUNTIF($A$2:A200,A200)=1,1,0)</f>
        <v/>
      </c>
      <c r="M200">
        <f>_xlfn.XLOOKUP(C200,Customers!$A$2:$A$25,Customers!$B$2:$B$25,"not found")</f>
        <v/>
      </c>
      <c r="N200">
        <f>_xlfn.XLOOKUP(C200,Customers!$A$2:$A$25,Customers!$D$2:$D$25,"not found")</f>
        <v/>
      </c>
    </row>
    <row r="201">
      <c r="A201" t="n">
        <v>10105</v>
      </c>
      <c r="B201" s="12" t="n">
        <v>45912</v>
      </c>
      <c r="C201" s="13" t="inlineStr">
        <is>
          <t>0020</t>
        </is>
      </c>
      <c r="D201" t="n">
        <v>103</v>
      </c>
      <c r="E201" t="n">
        <v>60</v>
      </c>
      <c r="F201" t="n">
        <v>115</v>
      </c>
      <c r="G201" t="n">
        <v>0</v>
      </c>
      <c r="H201" t="inlineStr">
        <is>
          <t>Delivered</t>
        </is>
      </c>
      <c r="I201" t="inlineStr">
        <is>
          <t>Neha Kulkarni</t>
        </is>
      </c>
      <c r="J201" s="14">
        <f>E201*F201*(1-G201/100)</f>
        <v/>
      </c>
      <c r="K201" s="12">
        <f>DATE(YEAR(B201),MONTH(B201),1)</f>
        <v/>
      </c>
      <c r="L201">
        <f>IF(COUNTIF($A$2:A201,A201)=1,1,0)</f>
        <v/>
      </c>
      <c r="M201">
        <f>_xlfn.XLOOKUP(C201,Customers!$A$2:$A$25,Customers!$B$2:$B$25,"not found")</f>
        <v/>
      </c>
      <c r="N201">
        <f>_xlfn.XLOOKUP(C201,Customers!$A$2:$A$25,Customers!$D$2:$D$25,"not found")</f>
        <v/>
      </c>
    </row>
    <row r="202">
      <c r="A202" t="n">
        <v>10105</v>
      </c>
      <c r="B202" s="12" t="n">
        <v>45912</v>
      </c>
      <c r="C202" s="13" t="inlineStr">
        <is>
          <t>0020</t>
        </is>
      </c>
      <c r="D202" t="n">
        <v>104</v>
      </c>
      <c r="E202" t="n">
        <v>45</v>
      </c>
      <c r="F202" t="n">
        <v>620</v>
      </c>
      <c r="G202" t="n">
        <v>0</v>
      </c>
      <c r="H202" t="inlineStr">
        <is>
          <t>Delivered</t>
        </is>
      </c>
      <c r="I202" t="inlineStr">
        <is>
          <t>Neha Kulkarni</t>
        </is>
      </c>
      <c r="J202" s="14">
        <f>E202*F202*(1-G202/100)</f>
        <v/>
      </c>
      <c r="K202" s="12">
        <f>DATE(YEAR(B202),MONTH(B202),1)</f>
        <v/>
      </c>
      <c r="L202">
        <f>IF(COUNTIF($A$2:A202,A202)=1,1,0)</f>
        <v/>
      </c>
      <c r="M202">
        <f>_xlfn.XLOOKUP(C202,Customers!$A$2:$A$25,Customers!$B$2:$B$25,"not found")</f>
        <v/>
      </c>
      <c r="N202">
        <f>_xlfn.XLOOKUP(C202,Customers!$A$2:$A$25,Customers!$D$2:$D$25,"not found")</f>
        <v/>
      </c>
    </row>
    <row r="203">
      <c r="A203" t="n">
        <v>10106</v>
      </c>
      <c r="B203" s="12" t="n">
        <v>45913</v>
      </c>
      <c r="C203" s="13" t="inlineStr">
        <is>
          <t>0011</t>
        </is>
      </c>
      <c r="D203" t="n">
        <v>105</v>
      </c>
      <c r="E203" t="n">
        <v>30</v>
      </c>
      <c r="F203" t="n">
        <v>1400</v>
      </c>
      <c r="G203" t="n">
        <v>5</v>
      </c>
      <c r="H203" t="inlineStr">
        <is>
          <t>Delivered</t>
        </is>
      </c>
      <c r="I203" t="inlineStr">
        <is>
          <t>Rahul Mehta</t>
        </is>
      </c>
      <c r="J203" s="14">
        <f>E203*F203*(1-G203/100)</f>
        <v/>
      </c>
      <c r="K203" s="12">
        <f>DATE(YEAR(B203),MONTH(B203),1)</f>
        <v/>
      </c>
      <c r="L203">
        <f>IF(COUNTIF($A$2:A203,A203)=1,1,0)</f>
        <v/>
      </c>
      <c r="M203">
        <f>_xlfn.XLOOKUP(C203,Customers!$A$2:$A$25,Customers!$B$2:$B$25,"not found")</f>
        <v/>
      </c>
      <c r="N203">
        <f>_xlfn.XLOOKUP(C203,Customers!$A$2:$A$25,Customers!$D$2:$D$25,"not found")</f>
        <v/>
      </c>
    </row>
    <row r="204">
      <c r="A204" t="n">
        <v>10106</v>
      </c>
      <c r="B204" s="12" t="n">
        <v>45913</v>
      </c>
      <c r="C204" s="13" t="inlineStr">
        <is>
          <t>0011</t>
        </is>
      </c>
      <c r="D204" t="n">
        <v>108</v>
      </c>
      <c r="E204" t="n">
        <v>30</v>
      </c>
      <c r="F204" t="n">
        <v>290</v>
      </c>
      <c r="G204" t="n">
        <v>5</v>
      </c>
      <c r="H204" t="inlineStr">
        <is>
          <t>Delivered</t>
        </is>
      </c>
      <c r="I204" t="inlineStr">
        <is>
          <t>Rahul Mehta</t>
        </is>
      </c>
      <c r="J204" s="14">
        <f>E204*F204*(1-G204/100)</f>
        <v/>
      </c>
      <c r="K204" s="12">
        <f>DATE(YEAR(B204),MONTH(B204),1)</f>
        <v/>
      </c>
      <c r="L204">
        <f>IF(COUNTIF($A$2:A204,A204)=1,1,0)</f>
        <v/>
      </c>
      <c r="M204">
        <f>_xlfn.XLOOKUP(C204,Customers!$A$2:$A$25,Customers!$B$2:$B$25,"not found")</f>
        <v/>
      </c>
      <c r="N204">
        <f>_xlfn.XLOOKUP(C204,Customers!$A$2:$A$25,Customers!$D$2:$D$25,"not found")</f>
        <v/>
      </c>
    </row>
    <row r="205">
      <c r="A205" t="n">
        <v>10107</v>
      </c>
      <c r="B205" s="12" t="n">
        <v>45913</v>
      </c>
      <c r="C205" s="13" t="inlineStr">
        <is>
          <t>0014</t>
        </is>
      </c>
      <c r="D205" t="n">
        <v>101</v>
      </c>
      <c r="E205" t="n">
        <v>10</v>
      </c>
      <c r="F205" t="n">
        <v>430</v>
      </c>
      <c r="G205" t="n">
        <v>10</v>
      </c>
      <c r="H205" t="inlineStr">
        <is>
          <t>Delivered</t>
        </is>
      </c>
      <c r="I205" t="inlineStr">
        <is>
          <t>Farah Khan</t>
        </is>
      </c>
      <c r="J205" s="14">
        <f>E205*F205*(1-G205/100)</f>
        <v/>
      </c>
      <c r="K205" s="12">
        <f>DATE(YEAR(B205),MONTH(B205),1)</f>
        <v/>
      </c>
      <c r="L205">
        <f>IF(COUNTIF($A$2:A205,A205)=1,1,0)</f>
        <v/>
      </c>
      <c r="M205">
        <f>_xlfn.XLOOKUP(C205,Customers!$A$2:$A$25,Customers!$B$2:$B$25,"not found")</f>
        <v/>
      </c>
      <c r="N205">
        <f>_xlfn.XLOOKUP(C205,Customers!$A$2:$A$25,Customers!$D$2:$D$25,"not found")</f>
        <v/>
      </c>
    </row>
    <row r="206">
      <c r="A206" t="n">
        <v>10107</v>
      </c>
      <c r="B206" s="12" t="n">
        <v>45913</v>
      </c>
      <c r="C206" s="13" t="inlineStr">
        <is>
          <t>0014</t>
        </is>
      </c>
      <c r="D206" t="n">
        <v>105</v>
      </c>
      <c r="E206" t="n">
        <v>45</v>
      </c>
      <c r="F206" t="n">
        <v>1400</v>
      </c>
      <c r="G206" t="n">
        <v>10</v>
      </c>
      <c r="H206" t="inlineStr">
        <is>
          <t>Delivered</t>
        </is>
      </c>
      <c r="I206" t="inlineStr">
        <is>
          <t>Farah Khan</t>
        </is>
      </c>
      <c r="J206" s="14">
        <f>E206*F206*(1-G206/100)</f>
        <v/>
      </c>
      <c r="K206" s="12">
        <f>DATE(YEAR(B206),MONTH(B206),1)</f>
        <v/>
      </c>
      <c r="L206">
        <f>IF(COUNTIF($A$2:A206,A206)=1,1,0)</f>
        <v/>
      </c>
      <c r="M206">
        <f>_xlfn.XLOOKUP(C206,Customers!$A$2:$A$25,Customers!$B$2:$B$25,"not found")</f>
        <v/>
      </c>
      <c r="N206">
        <f>_xlfn.XLOOKUP(C206,Customers!$A$2:$A$25,Customers!$D$2:$D$25,"not found")</f>
        <v/>
      </c>
    </row>
    <row r="207">
      <c r="A207" t="n">
        <v>10108</v>
      </c>
      <c r="B207" s="12" t="n">
        <v>45915</v>
      </c>
      <c r="C207" s="13" t="inlineStr">
        <is>
          <t>0022</t>
        </is>
      </c>
      <c r="D207" t="n">
        <v>101</v>
      </c>
      <c r="E207" t="n">
        <v>30</v>
      </c>
      <c r="F207" t="n">
        <v>430</v>
      </c>
      <c r="G207" t="n">
        <v>0</v>
      </c>
      <c r="H207" t="inlineStr">
        <is>
          <t>Delivered</t>
        </is>
      </c>
      <c r="I207" t="inlineStr"/>
      <c r="J207" s="14">
        <f>E207*F207*(1-G207/100)</f>
        <v/>
      </c>
      <c r="K207" s="12">
        <f>DATE(YEAR(B207),MONTH(B207),1)</f>
        <v/>
      </c>
      <c r="L207">
        <f>IF(COUNTIF($A$2:A207,A207)=1,1,0)</f>
        <v/>
      </c>
      <c r="M207">
        <f>_xlfn.XLOOKUP(C207,Customers!$A$2:$A$25,Customers!$B$2:$B$25,"not found")</f>
        <v/>
      </c>
      <c r="N207">
        <f>_xlfn.XLOOKUP(C207,Customers!$A$2:$A$25,Customers!$D$2:$D$25,"not found")</f>
        <v/>
      </c>
    </row>
    <row r="208">
      <c r="A208" t="n">
        <v>10108</v>
      </c>
      <c r="B208" s="12" t="n">
        <v>45915</v>
      </c>
      <c r="C208" s="13" t="inlineStr">
        <is>
          <t>0022</t>
        </is>
      </c>
      <c r="D208" t="n">
        <v>107</v>
      </c>
      <c r="E208" t="n">
        <v>35</v>
      </c>
      <c r="F208" t="n">
        <v>380</v>
      </c>
      <c r="G208" t="n">
        <v>0</v>
      </c>
      <c r="H208" t="inlineStr">
        <is>
          <t>Delivered</t>
        </is>
      </c>
      <c r="I208" t="inlineStr"/>
      <c r="J208" s="14">
        <f>E208*F208*(1-G208/100)</f>
        <v/>
      </c>
      <c r="K208" s="12">
        <f>DATE(YEAR(B208),MONTH(B208),1)</f>
        <v/>
      </c>
      <c r="L208">
        <f>IF(COUNTIF($A$2:A208,A208)=1,1,0)</f>
        <v/>
      </c>
      <c r="M208">
        <f>_xlfn.XLOOKUP(C208,Customers!$A$2:$A$25,Customers!$B$2:$B$25,"not found")</f>
        <v/>
      </c>
      <c r="N208">
        <f>_xlfn.XLOOKUP(C208,Customers!$A$2:$A$25,Customers!$D$2:$D$25,"not found")</f>
        <v/>
      </c>
    </row>
    <row r="209">
      <c r="A209" t="n">
        <v>10109</v>
      </c>
      <c r="B209" s="12" t="n">
        <v>45918</v>
      </c>
      <c r="C209" s="13" t="inlineStr">
        <is>
          <t>0009</t>
        </is>
      </c>
      <c r="D209" t="n">
        <v>107</v>
      </c>
      <c r="E209" t="n">
        <v>15</v>
      </c>
      <c r="F209" t="n">
        <v>380</v>
      </c>
      <c r="G209" t="n">
        <v>0</v>
      </c>
      <c r="H209" t="inlineStr">
        <is>
          <t>Delivered</t>
        </is>
      </c>
      <c r="I209" t="inlineStr">
        <is>
          <t>Farah Khan</t>
        </is>
      </c>
      <c r="J209" s="14">
        <f>E209*F209*(1-G209/100)</f>
        <v/>
      </c>
      <c r="K209" s="12">
        <f>DATE(YEAR(B209),MONTH(B209),1)</f>
        <v/>
      </c>
      <c r="L209">
        <f>IF(COUNTIF($A$2:A209,A209)=1,1,0)</f>
        <v/>
      </c>
      <c r="M209">
        <f>_xlfn.XLOOKUP(C209,Customers!$A$2:$A$25,Customers!$B$2:$B$25,"not found")</f>
        <v/>
      </c>
      <c r="N209">
        <f>_xlfn.XLOOKUP(C209,Customers!$A$2:$A$25,Customers!$D$2:$D$25,"not found")</f>
        <v/>
      </c>
    </row>
    <row r="210">
      <c r="A210" t="n">
        <v>10109</v>
      </c>
      <c r="B210" s="12" t="n">
        <v>45918</v>
      </c>
      <c r="C210" s="13" t="inlineStr">
        <is>
          <t>0009</t>
        </is>
      </c>
      <c r="D210" t="n">
        <v>108</v>
      </c>
      <c r="E210" t="n">
        <v>35</v>
      </c>
      <c r="F210" t="n">
        <v>290</v>
      </c>
      <c r="G210" t="n">
        <v>0</v>
      </c>
      <c r="H210" t="inlineStr">
        <is>
          <t>Delivered</t>
        </is>
      </c>
      <c r="I210" t="inlineStr">
        <is>
          <t>Farah Khan</t>
        </is>
      </c>
      <c r="J210" s="14">
        <f>E210*F210*(1-G210/100)</f>
        <v/>
      </c>
      <c r="K210" s="12">
        <f>DATE(YEAR(B210),MONTH(B210),1)</f>
        <v/>
      </c>
      <c r="L210">
        <f>IF(COUNTIF($A$2:A210,A210)=1,1,0)</f>
        <v/>
      </c>
      <c r="M210">
        <f>_xlfn.XLOOKUP(C210,Customers!$A$2:$A$25,Customers!$B$2:$B$25,"not found")</f>
        <v/>
      </c>
      <c r="N210">
        <f>_xlfn.XLOOKUP(C210,Customers!$A$2:$A$25,Customers!$D$2:$D$25,"not found")</f>
        <v/>
      </c>
    </row>
    <row r="211">
      <c r="A211" t="n">
        <v>10110</v>
      </c>
      <c r="B211" s="12" t="n">
        <v>45921</v>
      </c>
      <c r="C211" s="13" t="inlineStr">
        <is>
          <t>0001</t>
        </is>
      </c>
      <c r="D211" t="n">
        <v>104</v>
      </c>
      <c r="E211" t="n">
        <v>35</v>
      </c>
      <c r="F211" t="n">
        <v>620</v>
      </c>
      <c r="G211" t="n">
        <v>0</v>
      </c>
      <c r="H211" t="inlineStr">
        <is>
          <t>Delivered</t>
        </is>
      </c>
      <c r="I211" t="inlineStr">
        <is>
          <t>Neha Kulkarni</t>
        </is>
      </c>
      <c r="J211" s="14">
        <f>E211*F211*(1-G211/100)</f>
        <v/>
      </c>
      <c r="K211" s="12">
        <f>DATE(YEAR(B211),MONTH(B211),1)</f>
        <v/>
      </c>
      <c r="L211">
        <f>IF(COUNTIF($A$2:A211,A211)=1,1,0)</f>
        <v/>
      </c>
      <c r="M211">
        <f>_xlfn.XLOOKUP(C211,Customers!$A$2:$A$25,Customers!$B$2:$B$25,"not found")</f>
        <v/>
      </c>
      <c r="N211">
        <f>_xlfn.XLOOKUP(C211,Customers!$A$2:$A$25,Customers!$D$2:$D$25,"not found")</f>
        <v/>
      </c>
    </row>
    <row r="212">
      <c r="A212" t="n">
        <v>10110</v>
      </c>
      <c r="B212" s="12" t="n">
        <v>45921</v>
      </c>
      <c r="C212" s="13" t="inlineStr">
        <is>
          <t>0001</t>
        </is>
      </c>
      <c r="D212" t="n">
        <v>107</v>
      </c>
      <c r="E212" t="n">
        <v>25</v>
      </c>
      <c r="F212" t="n">
        <v>380</v>
      </c>
      <c r="G212" t="n">
        <v>5</v>
      </c>
      <c r="H212" t="inlineStr">
        <is>
          <t>Delivered</t>
        </is>
      </c>
      <c r="I212" t="inlineStr">
        <is>
          <t>Neha Kulkarni</t>
        </is>
      </c>
      <c r="J212" s="14">
        <f>E212*F212*(1-G212/100)</f>
        <v/>
      </c>
      <c r="K212" s="12">
        <f>DATE(YEAR(B212),MONTH(B212),1)</f>
        <v/>
      </c>
      <c r="L212">
        <f>IF(COUNTIF($A$2:A212,A212)=1,1,0)</f>
        <v/>
      </c>
      <c r="M212">
        <f>_xlfn.XLOOKUP(C212,Customers!$A$2:$A$25,Customers!$B$2:$B$25,"not found")</f>
        <v/>
      </c>
      <c r="N212">
        <f>_xlfn.XLOOKUP(C212,Customers!$A$2:$A$25,Customers!$D$2:$D$25,"not found")</f>
        <v/>
      </c>
    </row>
    <row r="213">
      <c r="A213" t="n">
        <v>10111</v>
      </c>
      <c r="B213" s="12" t="n">
        <v>45922</v>
      </c>
      <c r="C213" s="13" t="inlineStr">
        <is>
          <t>0003</t>
        </is>
      </c>
      <c r="D213" t="n">
        <v>101</v>
      </c>
      <c r="E213" t="n">
        <v>30</v>
      </c>
      <c r="F213" t="n">
        <v>430</v>
      </c>
      <c r="G213" t="n">
        <v>0</v>
      </c>
      <c r="H213" t="inlineStr">
        <is>
          <t>Delivered</t>
        </is>
      </c>
      <c r="I213" t="inlineStr">
        <is>
          <t>Farah Khan</t>
        </is>
      </c>
      <c r="J213" s="14">
        <f>E213*F213*(1-G213/100)</f>
        <v/>
      </c>
      <c r="K213" s="12">
        <f>DATE(YEAR(B213),MONTH(B213),1)</f>
        <v/>
      </c>
      <c r="L213">
        <f>IF(COUNTIF($A$2:A213,A213)=1,1,0)</f>
        <v/>
      </c>
      <c r="M213">
        <f>_xlfn.XLOOKUP(C213,Customers!$A$2:$A$25,Customers!$B$2:$B$25,"not found")</f>
        <v/>
      </c>
      <c r="N213">
        <f>_xlfn.XLOOKUP(C213,Customers!$A$2:$A$25,Customers!$D$2:$D$25,"not found")</f>
        <v/>
      </c>
    </row>
    <row r="214">
      <c r="A214" t="n">
        <v>10112</v>
      </c>
      <c r="B214" s="12" t="n">
        <v>45922</v>
      </c>
      <c r="C214" s="13" t="inlineStr">
        <is>
          <t>0003</t>
        </is>
      </c>
      <c r="D214" t="n">
        <v>101</v>
      </c>
      <c r="E214" t="n">
        <v>10</v>
      </c>
      <c r="F214" t="n">
        <v>430</v>
      </c>
      <c r="G214" t="n">
        <v>5</v>
      </c>
      <c r="H214" t="inlineStr">
        <is>
          <t>Delivered</t>
        </is>
      </c>
      <c r="I214" t="inlineStr">
        <is>
          <t>Farah Khan</t>
        </is>
      </c>
      <c r="J214" s="14">
        <f>E214*F214*(1-G214/100)</f>
        <v/>
      </c>
      <c r="K214" s="12">
        <f>DATE(YEAR(B214),MONTH(B214),1)</f>
        <v/>
      </c>
      <c r="L214">
        <f>IF(COUNTIF($A$2:A214,A214)=1,1,0)</f>
        <v/>
      </c>
      <c r="M214">
        <f>_xlfn.XLOOKUP(C214,Customers!$A$2:$A$25,Customers!$B$2:$B$25,"not found")</f>
        <v/>
      </c>
      <c r="N214">
        <f>_xlfn.XLOOKUP(C214,Customers!$A$2:$A$25,Customers!$D$2:$D$25,"not found")</f>
        <v/>
      </c>
    </row>
    <row r="215">
      <c r="A215" t="n">
        <v>10112</v>
      </c>
      <c r="B215" s="12" t="n">
        <v>45922</v>
      </c>
      <c r="C215" s="13" t="inlineStr">
        <is>
          <t>0003</t>
        </is>
      </c>
      <c r="D215" t="n">
        <v>104</v>
      </c>
      <c r="E215" t="n">
        <v>15</v>
      </c>
      <c r="F215" t="n">
        <v>620</v>
      </c>
      <c r="G215" t="n">
        <v>5</v>
      </c>
      <c r="H215" t="inlineStr">
        <is>
          <t>Delivered</t>
        </is>
      </c>
      <c r="I215" t="inlineStr">
        <is>
          <t>Farah Khan</t>
        </is>
      </c>
      <c r="J215" s="14">
        <f>E215*F215*(1-G215/100)</f>
        <v/>
      </c>
      <c r="K215" s="12">
        <f>DATE(YEAR(B215),MONTH(B215),1)</f>
        <v/>
      </c>
      <c r="L215">
        <f>IF(COUNTIF($A$2:A215,A215)=1,1,0)</f>
        <v/>
      </c>
      <c r="M215">
        <f>_xlfn.XLOOKUP(C215,Customers!$A$2:$A$25,Customers!$B$2:$B$25,"not found")</f>
        <v/>
      </c>
      <c r="N215">
        <f>_xlfn.XLOOKUP(C215,Customers!$A$2:$A$25,Customers!$D$2:$D$25,"not found")</f>
        <v/>
      </c>
    </row>
    <row r="216">
      <c r="A216" t="n">
        <v>10112</v>
      </c>
      <c r="B216" s="12" t="n">
        <v>45922</v>
      </c>
      <c r="C216" s="13" t="inlineStr">
        <is>
          <t>0003</t>
        </is>
      </c>
      <c r="D216" t="n">
        <v>107</v>
      </c>
      <c r="E216" t="n">
        <v>60</v>
      </c>
      <c r="F216" t="n">
        <v>380</v>
      </c>
      <c r="G216" t="n">
        <v>5</v>
      </c>
      <c r="H216" t="inlineStr">
        <is>
          <t>Delivered</t>
        </is>
      </c>
      <c r="I216" t="inlineStr">
        <is>
          <t>Farah Khan</t>
        </is>
      </c>
      <c r="J216" s="14">
        <f>E216*F216*(1-G216/100)</f>
        <v/>
      </c>
      <c r="K216" s="12">
        <f>DATE(YEAR(B216),MONTH(B216),1)</f>
        <v/>
      </c>
      <c r="L216">
        <f>IF(COUNTIF($A$2:A216,A216)=1,1,0)</f>
        <v/>
      </c>
      <c r="M216">
        <f>_xlfn.XLOOKUP(C216,Customers!$A$2:$A$25,Customers!$B$2:$B$25,"not found")</f>
        <v/>
      </c>
      <c r="N216">
        <f>_xlfn.XLOOKUP(C216,Customers!$A$2:$A$25,Customers!$D$2:$D$25,"not found")</f>
        <v/>
      </c>
    </row>
    <row r="217">
      <c r="A217" t="n">
        <v>10113</v>
      </c>
      <c r="B217" s="12" t="n">
        <v>45923</v>
      </c>
      <c r="C217" s="13" t="inlineStr">
        <is>
          <t>0005</t>
        </is>
      </c>
      <c r="D217" t="n">
        <v>101</v>
      </c>
      <c r="E217" t="n">
        <v>25</v>
      </c>
      <c r="F217" t="n">
        <v>430</v>
      </c>
      <c r="G217" t="n">
        <v>5</v>
      </c>
      <c r="H217" t="inlineStr">
        <is>
          <t>Delivered</t>
        </is>
      </c>
      <c r="I217" t="inlineStr">
        <is>
          <t>Rahul Mehta</t>
        </is>
      </c>
      <c r="J217" s="14">
        <f>E217*F217*(1-G217/100)</f>
        <v/>
      </c>
      <c r="K217" s="12">
        <f>DATE(YEAR(B217),MONTH(B217),1)</f>
        <v/>
      </c>
      <c r="L217">
        <f>IF(COUNTIF($A$2:A217,A217)=1,1,0)</f>
        <v/>
      </c>
      <c r="M217">
        <f>_xlfn.XLOOKUP(C217,Customers!$A$2:$A$25,Customers!$B$2:$B$25,"not found")</f>
        <v/>
      </c>
      <c r="N217">
        <f>_xlfn.XLOOKUP(C217,Customers!$A$2:$A$25,Customers!$D$2:$D$25,"not found")</f>
        <v/>
      </c>
    </row>
    <row r="218">
      <c r="A218" t="n">
        <v>10113</v>
      </c>
      <c r="B218" s="12" t="n">
        <v>45923</v>
      </c>
      <c r="C218" s="13" t="inlineStr">
        <is>
          <t>0005</t>
        </is>
      </c>
      <c r="D218" t="n">
        <v>102</v>
      </c>
      <c r="E218" t="n">
        <v>10</v>
      </c>
      <c r="F218" t="n">
        <v>750</v>
      </c>
      <c r="G218" t="n">
        <v>0</v>
      </c>
      <c r="H218" t="inlineStr">
        <is>
          <t>Delivered</t>
        </is>
      </c>
      <c r="I218" t="inlineStr">
        <is>
          <t>Rahul Mehta</t>
        </is>
      </c>
      <c r="J218" s="14">
        <f>E218*F218*(1-G218/100)</f>
        <v/>
      </c>
      <c r="K218" s="12">
        <f>DATE(YEAR(B218),MONTH(B218),1)</f>
        <v/>
      </c>
      <c r="L218">
        <f>IF(COUNTIF($A$2:A218,A218)=1,1,0)</f>
        <v/>
      </c>
      <c r="M218">
        <f>_xlfn.XLOOKUP(C218,Customers!$A$2:$A$25,Customers!$B$2:$B$25,"not found")</f>
        <v/>
      </c>
      <c r="N218">
        <f>_xlfn.XLOOKUP(C218,Customers!$A$2:$A$25,Customers!$D$2:$D$25,"not found")</f>
        <v/>
      </c>
    </row>
    <row r="219">
      <c r="A219" t="n">
        <v>10113</v>
      </c>
      <c r="B219" s="12" t="n">
        <v>45923</v>
      </c>
      <c r="C219" s="13" t="inlineStr">
        <is>
          <t>0005</t>
        </is>
      </c>
      <c r="D219" t="n">
        <v>107</v>
      </c>
      <c r="E219" t="n">
        <v>20</v>
      </c>
      <c r="F219" t="n">
        <v>380</v>
      </c>
      <c r="G219" t="n">
        <v>5</v>
      </c>
      <c r="H219" t="inlineStr">
        <is>
          <t>Delivered</t>
        </is>
      </c>
      <c r="I219" t="inlineStr">
        <is>
          <t>Rahul Mehta</t>
        </is>
      </c>
      <c r="J219" s="14">
        <f>E219*F219*(1-G219/100)</f>
        <v/>
      </c>
      <c r="K219" s="12">
        <f>DATE(YEAR(B219),MONTH(B219),1)</f>
        <v/>
      </c>
      <c r="L219">
        <f>IF(COUNTIF($A$2:A219,A219)=1,1,0)</f>
        <v/>
      </c>
      <c r="M219">
        <f>_xlfn.XLOOKUP(C219,Customers!$A$2:$A$25,Customers!$B$2:$B$25,"not found")</f>
        <v/>
      </c>
      <c r="N219">
        <f>_xlfn.XLOOKUP(C219,Customers!$A$2:$A$25,Customers!$D$2:$D$25,"not found")</f>
        <v/>
      </c>
    </row>
    <row r="220">
      <c r="A220" t="n">
        <v>10114</v>
      </c>
      <c r="B220" s="12" t="n">
        <v>45924</v>
      </c>
      <c r="C220" s="13" t="inlineStr">
        <is>
          <t>0007</t>
        </is>
      </c>
      <c r="D220" t="n">
        <v>101</v>
      </c>
      <c r="E220" t="n">
        <v>25</v>
      </c>
      <c r="F220" t="n">
        <v>430</v>
      </c>
      <c r="G220" t="n">
        <v>12</v>
      </c>
      <c r="H220" t="inlineStr">
        <is>
          <t>Delivered</t>
        </is>
      </c>
      <c r="I220" t="inlineStr">
        <is>
          <t>Farah Khan</t>
        </is>
      </c>
      <c r="J220" s="14">
        <f>E220*F220*(1-G220/100)</f>
        <v/>
      </c>
      <c r="K220" s="12">
        <f>DATE(YEAR(B220),MONTH(B220),1)</f>
        <v/>
      </c>
      <c r="L220">
        <f>IF(COUNTIF($A$2:A220,A220)=1,1,0)</f>
        <v/>
      </c>
      <c r="M220">
        <f>_xlfn.XLOOKUP(C220,Customers!$A$2:$A$25,Customers!$B$2:$B$25,"not found")</f>
        <v/>
      </c>
      <c r="N220">
        <f>_xlfn.XLOOKUP(C220,Customers!$A$2:$A$25,Customers!$D$2:$D$25,"not found")</f>
        <v/>
      </c>
    </row>
    <row r="221">
      <c r="A221" t="n">
        <v>10114</v>
      </c>
      <c r="B221" s="12" t="n">
        <v>45924</v>
      </c>
      <c r="C221" s="13" t="inlineStr">
        <is>
          <t>0007</t>
        </is>
      </c>
      <c r="D221" t="n">
        <v>102</v>
      </c>
      <c r="E221" t="n">
        <v>30</v>
      </c>
      <c r="F221" t="n">
        <v>750</v>
      </c>
      <c r="G221" t="n">
        <v>5</v>
      </c>
      <c r="H221" t="inlineStr">
        <is>
          <t>Delivered</t>
        </is>
      </c>
      <c r="I221" t="inlineStr">
        <is>
          <t>Farah Khan</t>
        </is>
      </c>
      <c r="J221" s="14">
        <f>E221*F221*(1-G221/100)</f>
        <v/>
      </c>
      <c r="K221" s="12">
        <f>DATE(YEAR(B221),MONTH(B221),1)</f>
        <v/>
      </c>
      <c r="L221">
        <f>IF(COUNTIF($A$2:A221,A221)=1,1,0)</f>
        <v/>
      </c>
      <c r="M221">
        <f>_xlfn.XLOOKUP(C221,Customers!$A$2:$A$25,Customers!$B$2:$B$25,"not found")</f>
        <v/>
      </c>
      <c r="N221">
        <f>_xlfn.XLOOKUP(C221,Customers!$A$2:$A$25,Customers!$D$2:$D$25,"not found")</f>
        <v/>
      </c>
    </row>
    <row r="222">
      <c r="A222" t="n">
        <v>10114</v>
      </c>
      <c r="B222" s="12" t="n">
        <v>45924</v>
      </c>
      <c r="C222" s="13" t="inlineStr">
        <is>
          <t>0007</t>
        </is>
      </c>
      <c r="D222" t="n">
        <v>108</v>
      </c>
      <c r="E222" t="n">
        <v>35</v>
      </c>
      <c r="F222" t="n">
        <v>290</v>
      </c>
      <c r="G222" t="n">
        <v>12</v>
      </c>
      <c r="H222" t="inlineStr">
        <is>
          <t>Delivered</t>
        </is>
      </c>
      <c r="I222" t="inlineStr">
        <is>
          <t>Farah Khan</t>
        </is>
      </c>
      <c r="J222" s="14">
        <f>E222*F222*(1-G222/100)</f>
        <v/>
      </c>
      <c r="K222" s="12">
        <f>DATE(YEAR(B222),MONTH(B222),1)</f>
        <v/>
      </c>
      <c r="L222">
        <f>IF(COUNTIF($A$2:A222,A222)=1,1,0)</f>
        <v/>
      </c>
      <c r="M222">
        <f>_xlfn.XLOOKUP(C222,Customers!$A$2:$A$25,Customers!$B$2:$B$25,"not found")</f>
        <v/>
      </c>
      <c r="N222">
        <f>_xlfn.XLOOKUP(C222,Customers!$A$2:$A$25,Customers!$D$2:$D$25,"not found")</f>
        <v/>
      </c>
    </row>
    <row r="223">
      <c r="A223" t="n">
        <v>10115</v>
      </c>
      <c r="B223" s="12" t="n">
        <v>45928</v>
      </c>
      <c r="C223" s="13" t="inlineStr">
        <is>
          <t>0015</t>
        </is>
      </c>
      <c r="D223" t="n">
        <v>107</v>
      </c>
      <c r="E223" t="n">
        <v>20</v>
      </c>
      <c r="F223" t="n">
        <v>380</v>
      </c>
      <c r="G223" t="n">
        <v>0</v>
      </c>
      <c r="H223" t="inlineStr">
        <is>
          <t>Delivered</t>
        </is>
      </c>
      <c r="I223" t="inlineStr">
        <is>
          <t>Farah Khan</t>
        </is>
      </c>
      <c r="J223" s="14">
        <f>E223*F223*(1-G223/100)</f>
        <v/>
      </c>
      <c r="K223" s="12">
        <f>DATE(YEAR(B223),MONTH(B223),1)</f>
        <v/>
      </c>
      <c r="L223">
        <f>IF(COUNTIF($A$2:A223,A223)=1,1,0)</f>
        <v/>
      </c>
      <c r="M223">
        <f>_xlfn.XLOOKUP(C223,Customers!$A$2:$A$25,Customers!$B$2:$B$25,"not found")</f>
        <v/>
      </c>
      <c r="N223">
        <f>_xlfn.XLOOKUP(C223,Customers!$A$2:$A$25,Customers!$D$2:$D$25,"not found")</f>
        <v/>
      </c>
    </row>
    <row r="224">
      <c r="A224" t="n">
        <v>10116</v>
      </c>
      <c r="B224" s="12" t="n">
        <v>45932</v>
      </c>
      <c r="C224" s="13" t="inlineStr">
        <is>
          <t>0005</t>
        </is>
      </c>
      <c r="D224" t="n">
        <v>101</v>
      </c>
      <c r="E224" t="n">
        <v>20</v>
      </c>
      <c r="F224" t="n">
        <v>430</v>
      </c>
      <c r="G224" t="n">
        <v>0</v>
      </c>
      <c r="H224" t="inlineStr">
        <is>
          <t>Delivered</t>
        </is>
      </c>
      <c r="I224" t="inlineStr">
        <is>
          <t>Rahul Mehta</t>
        </is>
      </c>
      <c r="J224" s="14">
        <f>E224*F224*(1-G224/100)</f>
        <v/>
      </c>
      <c r="K224" s="12">
        <f>DATE(YEAR(B224),MONTH(B224),1)</f>
        <v/>
      </c>
      <c r="L224">
        <f>IF(COUNTIF($A$2:A224,A224)=1,1,0)</f>
        <v/>
      </c>
      <c r="M224">
        <f>_xlfn.XLOOKUP(C224,Customers!$A$2:$A$25,Customers!$B$2:$B$25,"not found")</f>
        <v/>
      </c>
      <c r="N224">
        <f>_xlfn.XLOOKUP(C224,Customers!$A$2:$A$25,Customers!$D$2:$D$25,"not found")</f>
        <v/>
      </c>
    </row>
    <row r="225">
      <c r="A225" t="n">
        <v>10116</v>
      </c>
      <c r="B225" s="12" t="n">
        <v>45932</v>
      </c>
      <c r="C225" s="13" t="inlineStr">
        <is>
          <t>0005</t>
        </is>
      </c>
      <c r="D225" t="n">
        <v>102</v>
      </c>
      <c r="E225" t="n">
        <v>60</v>
      </c>
      <c r="F225" t="n">
        <v>750</v>
      </c>
      <c r="G225" t="n">
        <v>0</v>
      </c>
      <c r="H225" t="inlineStr">
        <is>
          <t>Delivered</t>
        </is>
      </c>
      <c r="I225" t="inlineStr">
        <is>
          <t>Rahul Mehta</t>
        </is>
      </c>
      <c r="J225" s="14">
        <f>E225*F225*(1-G225/100)</f>
        <v/>
      </c>
      <c r="K225" s="12">
        <f>DATE(YEAR(B225),MONTH(B225),1)</f>
        <v/>
      </c>
      <c r="L225">
        <f>IF(COUNTIF($A$2:A225,A225)=1,1,0)</f>
        <v/>
      </c>
      <c r="M225">
        <f>_xlfn.XLOOKUP(C225,Customers!$A$2:$A$25,Customers!$B$2:$B$25,"not found")</f>
        <v/>
      </c>
      <c r="N225">
        <f>_xlfn.XLOOKUP(C225,Customers!$A$2:$A$25,Customers!$D$2:$D$25,"not found")</f>
        <v/>
      </c>
    </row>
    <row r="226">
      <c r="A226" t="n">
        <v>10116</v>
      </c>
      <c r="B226" s="12" t="n">
        <v>45932</v>
      </c>
      <c r="C226" s="13" t="inlineStr">
        <is>
          <t>0005</t>
        </is>
      </c>
      <c r="D226" t="n">
        <v>103</v>
      </c>
      <c r="E226" t="n">
        <v>30</v>
      </c>
      <c r="F226" t="n">
        <v>115</v>
      </c>
      <c r="G226" t="n">
        <v>0</v>
      </c>
      <c r="H226" t="inlineStr">
        <is>
          <t>Delivered</t>
        </is>
      </c>
      <c r="I226" t="inlineStr">
        <is>
          <t>Rahul Mehta</t>
        </is>
      </c>
      <c r="J226" s="14">
        <f>E226*F226*(1-G226/100)</f>
        <v/>
      </c>
      <c r="K226" s="12">
        <f>DATE(YEAR(B226),MONTH(B226),1)</f>
        <v/>
      </c>
      <c r="L226">
        <f>IF(COUNTIF($A$2:A226,A226)=1,1,0)</f>
        <v/>
      </c>
      <c r="M226">
        <f>_xlfn.XLOOKUP(C226,Customers!$A$2:$A$25,Customers!$B$2:$B$25,"not found")</f>
        <v/>
      </c>
      <c r="N226">
        <f>_xlfn.XLOOKUP(C226,Customers!$A$2:$A$25,Customers!$D$2:$D$25,"not found")</f>
        <v/>
      </c>
    </row>
    <row r="227">
      <c r="A227" t="n">
        <v>10117</v>
      </c>
      <c r="B227" s="12" t="n">
        <v>45932</v>
      </c>
      <c r="C227" s="13" t="inlineStr">
        <is>
          <t>0021</t>
        </is>
      </c>
      <c r="D227" t="n">
        <v>102</v>
      </c>
      <c r="E227" t="n">
        <v>15</v>
      </c>
      <c r="F227" t="n">
        <v>750</v>
      </c>
      <c r="G227" t="n">
        <v>0</v>
      </c>
      <c r="H227" t="inlineStr">
        <is>
          <t>Delivered</t>
        </is>
      </c>
      <c r="I227" t="inlineStr">
        <is>
          <t>Rahul Mehta</t>
        </is>
      </c>
      <c r="J227" s="14">
        <f>E227*F227*(1-G227/100)</f>
        <v/>
      </c>
      <c r="K227" s="12">
        <f>DATE(YEAR(B227),MONTH(B227),1)</f>
        <v/>
      </c>
      <c r="L227">
        <f>IF(COUNTIF($A$2:A227,A227)=1,1,0)</f>
        <v/>
      </c>
      <c r="M227">
        <f>_xlfn.XLOOKUP(C227,Customers!$A$2:$A$25,Customers!$B$2:$B$25,"not found")</f>
        <v/>
      </c>
      <c r="N227">
        <f>_xlfn.XLOOKUP(C227,Customers!$A$2:$A$25,Customers!$D$2:$D$25,"not found")</f>
        <v/>
      </c>
    </row>
    <row r="228">
      <c r="A228" t="n">
        <v>10117</v>
      </c>
      <c r="B228" s="12" t="n">
        <v>45932</v>
      </c>
      <c r="C228" s="13" t="inlineStr">
        <is>
          <t>0021</t>
        </is>
      </c>
      <c r="D228" t="n">
        <v>107</v>
      </c>
      <c r="E228" t="n">
        <v>65</v>
      </c>
      <c r="F228" t="n">
        <v>380</v>
      </c>
      <c r="G228" t="n">
        <v>0</v>
      </c>
      <c r="H228" t="inlineStr">
        <is>
          <t>Delivered</t>
        </is>
      </c>
      <c r="I228" t="inlineStr">
        <is>
          <t>Rahul Mehta</t>
        </is>
      </c>
      <c r="J228" s="14">
        <f>E228*F228*(1-G228/100)</f>
        <v/>
      </c>
      <c r="K228" s="12">
        <f>DATE(YEAR(B228),MONTH(B228),1)</f>
        <v/>
      </c>
      <c r="L228">
        <f>IF(COUNTIF($A$2:A228,A228)=1,1,0)</f>
        <v/>
      </c>
      <c r="M228">
        <f>_xlfn.XLOOKUP(C228,Customers!$A$2:$A$25,Customers!$B$2:$B$25,"not found")</f>
        <v/>
      </c>
      <c r="N228">
        <f>_xlfn.XLOOKUP(C228,Customers!$A$2:$A$25,Customers!$D$2:$D$25,"not found")</f>
        <v/>
      </c>
    </row>
    <row r="229">
      <c r="A229" t="n">
        <v>10118</v>
      </c>
      <c r="B229" s="12" t="n">
        <v>45933</v>
      </c>
      <c r="C229" s="13" t="inlineStr">
        <is>
          <t>0003</t>
        </is>
      </c>
      <c r="D229" t="n">
        <v>103</v>
      </c>
      <c r="E229" t="n">
        <v>80</v>
      </c>
      <c r="F229" t="n">
        <v>115</v>
      </c>
      <c r="G229" t="n">
        <v>0</v>
      </c>
      <c r="H229" t="inlineStr">
        <is>
          <t>Delivered</t>
        </is>
      </c>
      <c r="I229" t="inlineStr">
        <is>
          <t>Farah Khan</t>
        </is>
      </c>
      <c r="J229" s="14">
        <f>E229*F229*(1-G229/100)</f>
        <v/>
      </c>
      <c r="K229" s="12">
        <f>DATE(YEAR(B229),MONTH(B229),1)</f>
        <v/>
      </c>
      <c r="L229">
        <f>IF(COUNTIF($A$2:A229,A229)=1,1,0)</f>
        <v/>
      </c>
      <c r="M229">
        <f>_xlfn.XLOOKUP(C229,Customers!$A$2:$A$25,Customers!$B$2:$B$25,"not found")</f>
        <v/>
      </c>
      <c r="N229">
        <f>_xlfn.XLOOKUP(C229,Customers!$A$2:$A$25,Customers!$D$2:$D$25,"not found")</f>
        <v/>
      </c>
    </row>
    <row r="230">
      <c r="A230" t="n">
        <v>10118</v>
      </c>
      <c r="B230" s="12" t="n">
        <v>45933</v>
      </c>
      <c r="C230" s="13" t="inlineStr">
        <is>
          <t>0003</t>
        </is>
      </c>
      <c r="D230" t="n">
        <v>107</v>
      </c>
      <c r="E230" t="n">
        <v>85</v>
      </c>
      <c r="F230" t="n">
        <v>380</v>
      </c>
      <c r="G230" t="n">
        <v>0</v>
      </c>
      <c r="H230" t="inlineStr">
        <is>
          <t>Delivered</t>
        </is>
      </c>
      <c r="I230" t="inlineStr">
        <is>
          <t>Farah Khan</t>
        </is>
      </c>
      <c r="J230" s="14">
        <f>E230*F230*(1-G230/100)</f>
        <v/>
      </c>
      <c r="K230" s="12">
        <f>DATE(YEAR(B230),MONTH(B230),1)</f>
        <v/>
      </c>
      <c r="L230">
        <f>IF(COUNTIF($A$2:A230,A230)=1,1,0)</f>
        <v/>
      </c>
      <c r="M230">
        <f>_xlfn.XLOOKUP(C230,Customers!$A$2:$A$25,Customers!$B$2:$B$25,"not found")</f>
        <v/>
      </c>
      <c r="N230">
        <f>_xlfn.XLOOKUP(C230,Customers!$A$2:$A$25,Customers!$D$2:$D$25,"not found")</f>
        <v/>
      </c>
    </row>
    <row r="231">
      <c r="A231" t="n">
        <v>10119</v>
      </c>
      <c r="B231" s="12" t="n">
        <v>45933</v>
      </c>
      <c r="C231" s="13" t="inlineStr">
        <is>
          <t>0012</t>
        </is>
      </c>
      <c r="D231" t="n">
        <v>101</v>
      </c>
      <c r="E231" t="n">
        <v>80</v>
      </c>
      <c r="F231" t="n">
        <v>430</v>
      </c>
      <c r="G231" t="n">
        <v>5</v>
      </c>
      <c r="H231" t="inlineStr">
        <is>
          <t>Delivered</t>
        </is>
      </c>
      <c r="I231" t="inlineStr">
        <is>
          <t>Neha Kulkarni</t>
        </is>
      </c>
      <c r="J231" s="14">
        <f>E231*F231*(1-G231/100)</f>
        <v/>
      </c>
      <c r="K231" s="12">
        <f>DATE(YEAR(B231),MONTH(B231),1)</f>
        <v/>
      </c>
      <c r="L231">
        <f>IF(COUNTIF($A$2:A231,A231)=1,1,0)</f>
        <v/>
      </c>
      <c r="M231">
        <f>_xlfn.XLOOKUP(C231,Customers!$A$2:$A$25,Customers!$B$2:$B$25,"not found")</f>
        <v/>
      </c>
      <c r="N231">
        <f>_xlfn.XLOOKUP(C231,Customers!$A$2:$A$25,Customers!$D$2:$D$25,"not found")</f>
        <v/>
      </c>
    </row>
    <row r="232">
      <c r="A232" t="n">
        <v>10119</v>
      </c>
      <c r="B232" s="12" t="n">
        <v>45933</v>
      </c>
      <c r="C232" s="13" t="inlineStr">
        <is>
          <t>0012</t>
        </is>
      </c>
      <c r="D232" t="n">
        <v>107</v>
      </c>
      <c r="E232" t="n">
        <v>65</v>
      </c>
      <c r="F232" t="n">
        <v>380</v>
      </c>
      <c r="G232" t="n">
        <v>0</v>
      </c>
      <c r="H232" t="inlineStr">
        <is>
          <t>Delivered</t>
        </is>
      </c>
      <c r="I232" t="inlineStr">
        <is>
          <t>Neha Kulkarni</t>
        </is>
      </c>
      <c r="J232" s="14">
        <f>E232*F232*(1-G232/100)</f>
        <v/>
      </c>
      <c r="K232" s="12">
        <f>DATE(YEAR(B232),MONTH(B232),1)</f>
        <v/>
      </c>
      <c r="L232">
        <f>IF(COUNTIF($A$2:A232,A232)=1,1,0)</f>
        <v/>
      </c>
      <c r="M232">
        <f>_xlfn.XLOOKUP(C232,Customers!$A$2:$A$25,Customers!$B$2:$B$25,"not found")</f>
        <v/>
      </c>
      <c r="N232">
        <f>_xlfn.XLOOKUP(C232,Customers!$A$2:$A$25,Customers!$D$2:$D$25,"not found")</f>
        <v/>
      </c>
    </row>
    <row r="233">
      <c r="A233" t="n">
        <v>10120</v>
      </c>
      <c r="B233" s="12" t="n">
        <v>45935</v>
      </c>
      <c r="C233" s="13" t="inlineStr">
        <is>
          <t>0003</t>
        </is>
      </c>
      <c r="D233" t="n">
        <v>103</v>
      </c>
      <c r="E233" t="n">
        <v>40</v>
      </c>
      <c r="F233" t="n">
        <v>115</v>
      </c>
      <c r="G233" t="n">
        <v>0</v>
      </c>
      <c r="H233" t="inlineStr">
        <is>
          <t>Delivered</t>
        </is>
      </c>
      <c r="I233" t="inlineStr">
        <is>
          <t>Farah Khan</t>
        </is>
      </c>
      <c r="J233" s="14">
        <f>E233*F233*(1-G233/100)</f>
        <v/>
      </c>
      <c r="K233" s="12">
        <f>DATE(YEAR(B233),MONTH(B233),1)</f>
        <v/>
      </c>
      <c r="L233">
        <f>IF(COUNTIF($A$2:A233,A233)=1,1,0)</f>
        <v/>
      </c>
      <c r="M233">
        <f>_xlfn.XLOOKUP(C233,Customers!$A$2:$A$25,Customers!$B$2:$B$25,"not found")</f>
        <v/>
      </c>
      <c r="N233">
        <f>_xlfn.XLOOKUP(C233,Customers!$A$2:$A$25,Customers!$D$2:$D$25,"not found")</f>
        <v/>
      </c>
    </row>
    <row r="234">
      <c r="A234" t="n">
        <v>10120</v>
      </c>
      <c r="B234" s="12" t="n">
        <v>45935</v>
      </c>
      <c r="C234" s="13" t="inlineStr">
        <is>
          <t>0003</t>
        </is>
      </c>
      <c r="D234" t="n">
        <v>108</v>
      </c>
      <c r="E234" t="n">
        <v>20</v>
      </c>
      <c r="F234" t="n">
        <v>290</v>
      </c>
      <c r="G234" t="n">
        <v>0</v>
      </c>
      <c r="H234" t="inlineStr">
        <is>
          <t>Delivered</t>
        </is>
      </c>
      <c r="I234" t="inlineStr">
        <is>
          <t>Farah Khan</t>
        </is>
      </c>
      <c r="J234" s="14">
        <f>E234*F234*(1-G234/100)</f>
        <v/>
      </c>
      <c r="K234" s="12">
        <f>DATE(YEAR(B234),MONTH(B234),1)</f>
        <v/>
      </c>
      <c r="L234">
        <f>IF(COUNTIF($A$2:A234,A234)=1,1,0)</f>
        <v/>
      </c>
      <c r="M234">
        <f>_xlfn.XLOOKUP(C234,Customers!$A$2:$A$25,Customers!$B$2:$B$25,"not found")</f>
        <v/>
      </c>
      <c r="N234">
        <f>_xlfn.XLOOKUP(C234,Customers!$A$2:$A$25,Customers!$D$2:$D$25,"not found")</f>
        <v/>
      </c>
    </row>
    <row r="235">
      <c r="A235" t="n">
        <v>10121</v>
      </c>
      <c r="B235" s="12" t="n">
        <v>45936</v>
      </c>
      <c r="C235" s="13" t="inlineStr">
        <is>
          <t>0023</t>
        </is>
      </c>
      <c r="D235" t="n">
        <v>107</v>
      </c>
      <c r="E235" t="n">
        <v>55</v>
      </c>
      <c r="F235" t="n">
        <v>380</v>
      </c>
      <c r="G235" t="n">
        <v>5</v>
      </c>
      <c r="H235" t="inlineStr">
        <is>
          <t>Delivered</t>
        </is>
      </c>
      <c r="I235" t="inlineStr">
        <is>
          <t>Farah Khan</t>
        </is>
      </c>
      <c r="J235" s="14">
        <f>E235*F235*(1-G235/100)</f>
        <v/>
      </c>
      <c r="K235" s="12">
        <f>DATE(YEAR(B235),MONTH(B235),1)</f>
        <v/>
      </c>
      <c r="L235">
        <f>IF(COUNTIF($A$2:A235,A235)=1,1,0)</f>
        <v/>
      </c>
      <c r="M235">
        <f>_xlfn.XLOOKUP(C235,Customers!$A$2:$A$25,Customers!$B$2:$B$25,"not found")</f>
        <v/>
      </c>
      <c r="N235">
        <f>_xlfn.XLOOKUP(C235,Customers!$A$2:$A$25,Customers!$D$2:$D$25,"not found")</f>
        <v/>
      </c>
    </row>
    <row r="236">
      <c r="A236" t="n">
        <v>10121</v>
      </c>
      <c r="B236" s="12" t="n">
        <v>45936</v>
      </c>
      <c r="C236" s="13" t="inlineStr">
        <is>
          <t>0023</t>
        </is>
      </c>
      <c r="D236" t="n">
        <v>108</v>
      </c>
      <c r="E236" t="n">
        <v>45</v>
      </c>
      <c r="F236" t="n">
        <v>290</v>
      </c>
      <c r="G236" t="n">
        <v>5</v>
      </c>
      <c r="H236" t="inlineStr">
        <is>
          <t>Delivered</t>
        </is>
      </c>
      <c r="I236" t="inlineStr">
        <is>
          <t>Farah Khan</t>
        </is>
      </c>
      <c r="J236" s="14">
        <f>E236*F236*(1-G236/100)</f>
        <v/>
      </c>
      <c r="K236" s="12">
        <f>DATE(YEAR(B236),MONTH(B236),1)</f>
        <v/>
      </c>
      <c r="L236">
        <f>IF(COUNTIF($A$2:A236,A236)=1,1,0)</f>
        <v/>
      </c>
      <c r="M236">
        <f>_xlfn.XLOOKUP(C236,Customers!$A$2:$A$25,Customers!$B$2:$B$25,"not found")</f>
        <v/>
      </c>
      <c r="N236">
        <f>_xlfn.XLOOKUP(C236,Customers!$A$2:$A$25,Customers!$D$2:$D$25,"not found")</f>
        <v/>
      </c>
    </row>
    <row r="237">
      <c r="A237" t="n">
        <v>10122</v>
      </c>
      <c r="B237" s="12" t="n">
        <v>45937</v>
      </c>
      <c r="C237" s="13" t="inlineStr">
        <is>
          <t>0019</t>
        </is>
      </c>
      <c r="D237" t="n">
        <v>102</v>
      </c>
      <c r="E237" t="n">
        <v>40</v>
      </c>
      <c r="F237" t="n">
        <v>750</v>
      </c>
      <c r="G237" t="n">
        <v>5</v>
      </c>
      <c r="H237" t="inlineStr">
        <is>
          <t>Delivered</t>
        </is>
      </c>
      <c r="I237" t="inlineStr">
        <is>
          <t>Farah Khan</t>
        </is>
      </c>
      <c r="J237" s="14">
        <f>E237*F237*(1-G237/100)</f>
        <v/>
      </c>
      <c r="K237" s="12">
        <f>DATE(YEAR(B237),MONTH(B237),1)</f>
        <v/>
      </c>
      <c r="L237">
        <f>IF(COUNTIF($A$2:A237,A237)=1,1,0)</f>
        <v/>
      </c>
      <c r="M237">
        <f>_xlfn.XLOOKUP(C237,Customers!$A$2:$A$25,Customers!$B$2:$B$25,"not found")</f>
        <v/>
      </c>
      <c r="N237">
        <f>_xlfn.XLOOKUP(C237,Customers!$A$2:$A$25,Customers!$D$2:$D$25,"not found")</f>
        <v/>
      </c>
    </row>
    <row r="238">
      <c r="A238" t="n">
        <v>10122</v>
      </c>
      <c r="B238" s="12" t="n">
        <v>45937</v>
      </c>
      <c r="C238" s="13" t="inlineStr">
        <is>
          <t>0019</t>
        </is>
      </c>
      <c r="D238" t="n">
        <v>108</v>
      </c>
      <c r="E238" t="n">
        <v>65</v>
      </c>
      <c r="F238" t="n">
        <v>290</v>
      </c>
      <c r="G238" t="n">
        <v>10</v>
      </c>
      <c r="H238" t="inlineStr">
        <is>
          <t>Delivered</t>
        </is>
      </c>
      <c r="I238" t="inlineStr">
        <is>
          <t>Farah Khan</t>
        </is>
      </c>
      <c r="J238" s="14">
        <f>E238*F238*(1-G238/100)</f>
        <v/>
      </c>
      <c r="K238" s="12">
        <f>DATE(YEAR(B238),MONTH(B238),1)</f>
        <v/>
      </c>
      <c r="L238">
        <f>IF(COUNTIF($A$2:A238,A238)=1,1,0)</f>
        <v/>
      </c>
      <c r="M238">
        <f>_xlfn.XLOOKUP(C238,Customers!$A$2:$A$25,Customers!$B$2:$B$25,"not found")</f>
        <v/>
      </c>
      <c r="N238">
        <f>_xlfn.XLOOKUP(C238,Customers!$A$2:$A$25,Customers!$D$2:$D$25,"not found")</f>
        <v/>
      </c>
    </row>
    <row r="239">
      <c r="A239" t="n">
        <v>10123</v>
      </c>
      <c r="B239" s="12" t="n">
        <v>45938</v>
      </c>
      <c r="C239" s="13" t="inlineStr">
        <is>
          <t>0015</t>
        </is>
      </c>
      <c r="D239" t="n">
        <v>103</v>
      </c>
      <c r="E239" t="n">
        <v>20</v>
      </c>
      <c r="F239" t="n">
        <v>115</v>
      </c>
      <c r="G239" t="n">
        <v>0</v>
      </c>
      <c r="H239" t="inlineStr">
        <is>
          <t>Delivered</t>
        </is>
      </c>
      <c r="I239" t="inlineStr">
        <is>
          <t>Farah Khan</t>
        </is>
      </c>
      <c r="J239" s="14">
        <f>E239*F239*(1-G239/100)</f>
        <v/>
      </c>
      <c r="K239" s="12">
        <f>DATE(YEAR(B239),MONTH(B239),1)</f>
        <v/>
      </c>
      <c r="L239">
        <f>IF(COUNTIF($A$2:A239,A239)=1,1,0)</f>
        <v/>
      </c>
      <c r="M239">
        <f>_xlfn.XLOOKUP(C239,Customers!$A$2:$A$25,Customers!$B$2:$B$25,"not found")</f>
        <v/>
      </c>
      <c r="N239">
        <f>_xlfn.XLOOKUP(C239,Customers!$A$2:$A$25,Customers!$D$2:$D$25,"not found")</f>
        <v/>
      </c>
    </row>
    <row r="240">
      <c r="A240" t="n">
        <v>10123</v>
      </c>
      <c r="B240" s="12" t="n">
        <v>45938</v>
      </c>
      <c r="C240" s="13" t="inlineStr">
        <is>
          <t>0015</t>
        </is>
      </c>
      <c r="D240" t="n">
        <v>108</v>
      </c>
      <c r="E240" t="n">
        <v>30</v>
      </c>
      <c r="F240" t="n">
        <v>290</v>
      </c>
      <c r="G240" t="n">
        <v>5</v>
      </c>
      <c r="H240" t="inlineStr">
        <is>
          <t>Delivered</t>
        </is>
      </c>
      <c r="I240" t="inlineStr">
        <is>
          <t>Farah Khan</t>
        </is>
      </c>
      <c r="J240" s="14">
        <f>E240*F240*(1-G240/100)</f>
        <v/>
      </c>
      <c r="K240" s="12">
        <f>DATE(YEAR(B240),MONTH(B240),1)</f>
        <v/>
      </c>
      <c r="L240">
        <f>IF(COUNTIF($A$2:A240,A240)=1,1,0)</f>
        <v/>
      </c>
      <c r="M240">
        <f>_xlfn.XLOOKUP(C240,Customers!$A$2:$A$25,Customers!$B$2:$B$25,"not found")</f>
        <v/>
      </c>
      <c r="N240">
        <f>_xlfn.XLOOKUP(C240,Customers!$A$2:$A$25,Customers!$D$2:$D$25,"not found")</f>
        <v/>
      </c>
    </row>
    <row r="241">
      <c r="A241" t="n">
        <v>10124</v>
      </c>
      <c r="B241" s="12" t="n">
        <v>45938</v>
      </c>
      <c r="C241" s="13" t="inlineStr">
        <is>
          <t>0018</t>
        </is>
      </c>
      <c r="D241" t="n">
        <v>102</v>
      </c>
      <c r="E241" t="n">
        <v>50</v>
      </c>
      <c r="F241" t="n">
        <v>750</v>
      </c>
      <c r="G241" t="n">
        <v>0</v>
      </c>
      <c r="H241" t="inlineStr">
        <is>
          <t>Delivered</t>
        </is>
      </c>
      <c r="I241" t="inlineStr">
        <is>
          <t>Rahul Mehta</t>
        </is>
      </c>
      <c r="J241" s="14">
        <f>E241*F241*(1-G241/100)</f>
        <v/>
      </c>
      <c r="K241" s="12">
        <f>DATE(YEAR(B241),MONTH(B241),1)</f>
        <v/>
      </c>
      <c r="L241">
        <f>IF(COUNTIF($A$2:A241,A241)=1,1,0)</f>
        <v/>
      </c>
      <c r="M241">
        <f>_xlfn.XLOOKUP(C241,Customers!$A$2:$A$25,Customers!$B$2:$B$25,"not found")</f>
        <v/>
      </c>
      <c r="N241">
        <f>_xlfn.XLOOKUP(C241,Customers!$A$2:$A$25,Customers!$D$2:$D$25,"not found")</f>
        <v/>
      </c>
    </row>
    <row r="242">
      <c r="A242" t="n">
        <v>10124</v>
      </c>
      <c r="B242" s="12" t="n">
        <v>45938</v>
      </c>
      <c r="C242" s="13" t="inlineStr">
        <is>
          <t>0018</t>
        </is>
      </c>
      <c r="D242" t="n">
        <v>104</v>
      </c>
      <c r="E242" t="n">
        <v>30</v>
      </c>
      <c r="F242" t="n">
        <v>620</v>
      </c>
      <c r="G242" t="n">
        <v>0</v>
      </c>
      <c r="H242" t="inlineStr">
        <is>
          <t>Delivered</t>
        </is>
      </c>
      <c r="I242" t="inlineStr">
        <is>
          <t>Rahul Mehta</t>
        </is>
      </c>
      <c r="J242" s="14">
        <f>E242*F242*(1-G242/100)</f>
        <v/>
      </c>
      <c r="K242" s="12">
        <f>DATE(YEAR(B242),MONTH(B242),1)</f>
        <v/>
      </c>
      <c r="L242">
        <f>IF(COUNTIF($A$2:A242,A242)=1,1,0)</f>
        <v/>
      </c>
      <c r="M242">
        <f>_xlfn.XLOOKUP(C242,Customers!$A$2:$A$25,Customers!$B$2:$B$25,"not found")</f>
        <v/>
      </c>
      <c r="N242">
        <f>_xlfn.XLOOKUP(C242,Customers!$A$2:$A$25,Customers!$D$2:$D$25,"not found")</f>
        <v/>
      </c>
    </row>
    <row r="243">
      <c r="A243" t="n">
        <v>10125</v>
      </c>
      <c r="B243" s="12" t="n">
        <v>45942</v>
      </c>
      <c r="C243" s="13" t="inlineStr">
        <is>
          <t>0014</t>
        </is>
      </c>
      <c r="D243" t="n">
        <v>101</v>
      </c>
      <c r="E243" t="n">
        <v>40</v>
      </c>
      <c r="F243" t="n">
        <v>430</v>
      </c>
      <c r="G243" t="n">
        <v>12</v>
      </c>
      <c r="H243" t="inlineStr">
        <is>
          <t>Delivered</t>
        </is>
      </c>
      <c r="I243" t="inlineStr">
        <is>
          <t>Farah Khan</t>
        </is>
      </c>
      <c r="J243" s="14">
        <f>E243*F243*(1-G243/100)</f>
        <v/>
      </c>
      <c r="K243" s="12">
        <f>DATE(YEAR(B243),MONTH(B243),1)</f>
        <v/>
      </c>
      <c r="L243">
        <f>IF(COUNTIF($A$2:A243,A243)=1,1,0)</f>
        <v/>
      </c>
      <c r="M243">
        <f>_xlfn.XLOOKUP(C243,Customers!$A$2:$A$25,Customers!$B$2:$B$25,"not found")</f>
        <v/>
      </c>
      <c r="N243">
        <f>_xlfn.XLOOKUP(C243,Customers!$A$2:$A$25,Customers!$D$2:$D$25,"not found")</f>
        <v/>
      </c>
    </row>
    <row r="244">
      <c r="A244" t="n">
        <v>10126</v>
      </c>
      <c r="B244" s="12" t="n">
        <v>45943</v>
      </c>
      <c r="C244" s="13" t="inlineStr">
        <is>
          <t>0011</t>
        </is>
      </c>
      <c r="D244" t="n">
        <v>101</v>
      </c>
      <c r="E244" t="n">
        <v>55</v>
      </c>
      <c r="F244" t="n">
        <v>430</v>
      </c>
      <c r="G244" t="n">
        <v>8</v>
      </c>
      <c r="H244" t="inlineStr">
        <is>
          <t>Delivered</t>
        </is>
      </c>
      <c r="I244" t="inlineStr">
        <is>
          <t>Rahul Mehta</t>
        </is>
      </c>
      <c r="J244" s="14">
        <f>E244*F244*(1-G244/100)</f>
        <v/>
      </c>
      <c r="K244" s="12">
        <f>DATE(YEAR(B244),MONTH(B244),1)</f>
        <v/>
      </c>
      <c r="L244">
        <f>IF(COUNTIF($A$2:A244,A244)=1,1,0)</f>
        <v/>
      </c>
      <c r="M244">
        <f>_xlfn.XLOOKUP(C244,Customers!$A$2:$A$25,Customers!$B$2:$B$25,"not found")</f>
        <v/>
      </c>
      <c r="N244">
        <f>_xlfn.XLOOKUP(C244,Customers!$A$2:$A$25,Customers!$D$2:$D$25,"not found")</f>
        <v/>
      </c>
    </row>
    <row r="245">
      <c r="A245" t="n">
        <v>10126</v>
      </c>
      <c r="B245" s="12" t="n">
        <v>45943</v>
      </c>
      <c r="C245" s="13" t="inlineStr">
        <is>
          <t>0011</t>
        </is>
      </c>
      <c r="D245" t="n">
        <v>102</v>
      </c>
      <c r="E245" t="n">
        <v>40</v>
      </c>
      <c r="F245" t="n">
        <v>750</v>
      </c>
      <c r="G245" t="n">
        <v>10</v>
      </c>
      <c r="H245" t="inlineStr">
        <is>
          <t>Delivered</t>
        </is>
      </c>
      <c r="I245" t="inlineStr">
        <is>
          <t>Rahul Mehta</t>
        </is>
      </c>
      <c r="J245" s="14">
        <f>E245*F245*(1-G245/100)</f>
        <v/>
      </c>
      <c r="K245" s="12">
        <f>DATE(YEAR(B245),MONTH(B245),1)</f>
        <v/>
      </c>
      <c r="L245">
        <f>IF(COUNTIF($A$2:A245,A245)=1,1,0)</f>
        <v/>
      </c>
      <c r="M245">
        <f>_xlfn.XLOOKUP(C245,Customers!$A$2:$A$25,Customers!$B$2:$B$25,"not found")</f>
        <v/>
      </c>
      <c r="N245">
        <f>_xlfn.XLOOKUP(C245,Customers!$A$2:$A$25,Customers!$D$2:$D$25,"not found")</f>
        <v/>
      </c>
    </row>
    <row r="246">
      <c r="A246" t="n">
        <v>10126</v>
      </c>
      <c r="B246" s="12" t="n">
        <v>45943</v>
      </c>
      <c r="C246" s="13" t="inlineStr">
        <is>
          <t>0011</t>
        </is>
      </c>
      <c r="D246" t="n">
        <v>105</v>
      </c>
      <c r="E246" t="n">
        <v>40</v>
      </c>
      <c r="F246" t="n">
        <v>1400</v>
      </c>
      <c r="G246" t="n">
        <v>8</v>
      </c>
      <c r="H246" t="inlineStr">
        <is>
          <t>Delivered</t>
        </is>
      </c>
      <c r="I246" t="inlineStr">
        <is>
          <t>Rahul Mehta</t>
        </is>
      </c>
      <c r="J246" s="14">
        <f>E246*F246*(1-G246/100)</f>
        <v/>
      </c>
      <c r="K246" s="12">
        <f>DATE(YEAR(B246),MONTH(B246),1)</f>
        <v/>
      </c>
      <c r="L246">
        <f>IF(COUNTIF($A$2:A246,A246)=1,1,0)</f>
        <v/>
      </c>
      <c r="M246">
        <f>_xlfn.XLOOKUP(C246,Customers!$A$2:$A$25,Customers!$B$2:$B$25,"not found")</f>
        <v/>
      </c>
      <c r="N246">
        <f>_xlfn.XLOOKUP(C246,Customers!$A$2:$A$25,Customers!$D$2:$D$25,"not found")</f>
        <v/>
      </c>
    </row>
    <row r="247">
      <c r="A247" t="n">
        <v>10127</v>
      </c>
      <c r="B247" s="12" t="n">
        <v>45944</v>
      </c>
      <c r="C247" s="13" t="inlineStr">
        <is>
          <t>0005</t>
        </is>
      </c>
      <c r="D247" t="n">
        <v>102</v>
      </c>
      <c r="E247" t="n">
        <v>40</v>
      </c>
      <c r="F247" t="n">
        <v>750</v>
      </c>
      <c r="G247" t="n">
        <v>5</v>
      </c>
      <c r="H247" t="inlineStr">
        <is>
          <t>Delivered</t>
        </is>
      </c>
      <c r="I247" t="inlineStr">
        <is>
          <t>Rahul Mehta</t>
        </is>
      </c>
      <c r="J247" s="14">
        <f>E247*F247*(1-G247/100)</f>
        <v/>
      </c>
      <c r="K247" s="12">
        <f>DATE(YEAR(B247),MONTH(B247),1)</f>
        <v/>
      </c>
      <c r="L247">
        <f>IF(COUNTIF($A$2:A247,A247)=1,1,0)</f>
        <v/>
      </c>
      <c r="M247">
        <f>_xlfn.XLOOKUP(C247,Customers!$A$2:$A$25,Customers!$B$2:$B$25,"not found")</f>
        <v/>
      </c>
      <c r="N247">
        <f>_xlfn.XLOOKUP(C247,Customers!$A$2:$A$25,Customers!$D$2:$D$25,"not found")</f>
        <v/>
      </c>
    </row>
    <row r="248">
      <c r="A248" t="n">
        <v>10128</v>
      </c>
      <c r="B248" s="12" t="n">
        <v>45945</v>
      </c>
      <c r="C248" s="13" t="inlineStr">
        <is>
          <t>0009</t>
        </is>
      </c>
      <c r="D248" t="n">
        <v>103</v>
      </c>
      <c r="E248" t="n">
        <v>65</v>
      </c>
      <c r="F248" t="n">
        <v>115</v>
      </c>
      <c r="G248" t="n">
        <v>5</v>
      </c>
      <c r="H248" t="inlineStr">
        <is>
          <t>Delivered</t>
        </is>
      </c>
      <c r="I248" t="inlineStr">
        <is>
          <t>Farah Khan</t>
        </is>
      </c>
      <c r="J248" s="14">
        <f>E248*F248*(1-G248/100)</f>
        <v/>
      </c>
      <c r="K248" s="12">
        <f>DATE(YEAR(B248),MONTH(B248),1)</f>
        <v/>
      </c>
      <c r="L248">
        <f>IF(COUNTIF($A$2:A248,A248)=1,1,0)</f>
        <v/>
      </c>
      <c r="M248">
        <f>_xlfn.XLOOKUP(C248,Customers!$A$2:$A$25,Customers!$B$2:$B$25,"not found")</f>
        <v/>
      </c>
      <c r="N248">
        <f>_xlfn.XLOOKUP(C248,Customers!$A$2:$A$25,Customers!$D$2:$D$25,"not found")</f>
        <v/>
      </c>
    </row>
    <row r="249">
      <c r="A249" t="n">
        <v>10128</v>
      </c>
      <c r="B249" s="12" t="n">
        <v>45945</v>
      </c>
      <c r="C249" s="13" t="inlineStr">
        <is>
          <t>0009</t>
        </is>
      </c>
      <c r="D249" t="n">
        <v>107</v>
      </c>
      <c r="E249" t="n">
        <v>70</v>
      </c>
      <c r="F249" t="n">
        <v>380</v>
      </c>
      <c r="G249" t="n">
        <v>5</v>
      </c>
      <c r="H249" t="inlineStr">
        <is>
          <t>Delivered</t>
        </is>
      </c>
      <c r="I249" t="inlineStr">
        <is>
          <t>Farah Khan</t>
        </is>
      </c>
      <c r="J249" s="14">
        <f>E249*F249*(1-G249/100)</f>
        <v/>
      </c>
      <c r="K249" s="12">
        <f>DATE(YEAR(B249),MONTH(B249),1)</f>
        <v/>
      </c>
      <c r="L249">
        <f>IF(COUNTIF($A$2:A249,A249)=1,1,0)</f>
        <v/>
      </c>
      <c r="M249">
        <f>_xlfn.XLOOKUP(C249,Customers!$A$2:$A$25,Customers!$B$2:$B$25,"not found")</f>
        <v/>
      </c>
      <c r="N249">
        <f>_xlfn.XLOOKUP(C249,Customers!$A$2:$A$25,Customers!$D$2:$D$25,"not found")</f>
        <v/>
      </c>
    </row>
    <row r="250">
      <c r="A250" t="n">
        <v>10129</v>
      </c>
      <c r="B250" s="12" t="n">
        <v>45945</v>
      </c>
      <c r="C250" s="13" t="inlineStr">
        <is>
          <t>0018</t>
        </is>
      </c>
      <c r="D250" t="n">
        <v>101</v>
      </c>
      <c r="E250" t="n">
        <v>20</v>
      </c>
      <c r="F250" t="n">
        <v>430</v>
      </c>
      <c r="G250" t="n">
        <v>0</v>
      </c>
      <c r="H250" t="inlineStr">
        <is>
          <t>Delivered</t>
        </is>
      </c>
      <c r="I250" t="inlineStr">
        <is>
          <t>Rahul Mehta</t>
        </is>
      </c>
      <c r="J250" s="14">
        <f>E250*F250*(1-G250/100)</f>
        <v/>
      </c>
      <c r="K250" s="12">
        <f>DATE(YEAR(B250),MONTH(B250),1)</f>
        <v/>
      </c>
      <c r="L250">
        <f>IF(COUNTIF($A$2:A250,A250)=1,1,0)</f>
        <v/>
      </c>
      <c r="M250">
        <f>_xlfn.XLOOKUP(C250,Customers!$A$2:$A$25,Customers!$B$2:$B$25,"not found")</f>
        <v/>
      </c>
      <c r="N250">
        <f>_xlfn.XLOOKUP(C250,Customers!$A$2:$A$25,Customers!$D$2:$D$25,"not found")</f>
        <v/>
      </c>
    </row>
    <row r="251">
      <c r="A251" t="n">
        <v>10130</v>
      </c>
      <c r="B251" s="12" t="n">
        <v>45948</v>
      </c>
      <c r="C251" s="13" t="inlineStr">
        <is>
          <t>0007</t>
        </is>
      </c>
      <c r="D251" t="n">
        <v>102</v>
      </c>
      <c r="E251" t="n">
        <v>20</v>
      </c>
      <c r="F251" t="n">
        <v>750</v>
      </c>
      <c r="G251" t="n">
        <v>10</v>
      </c>
      <c r="H251" t="inlineStr">
        <is>
          <t>Delivered</t>
        </is>
      </c>
      <c r="I251" t="inlineStr">
        <is>
          <t>Farah Khan</t>
        </is>
      </c>
      <c r="J251" s="14">
        <f>E251*F251*(1-G251/100)</f>
        <v/>
      </c>
      <c r="K251" s="12">
        <f>DATE(YEAR(B251),MONTH(B251),1)</f>
        <v/>
      </c>
      <c r="L251">
        <f>IF(COUNTIF($A$2:A251,A251)=1,1,0)</f>
        <v/>
      </c>
      <c r="M251">
        <f>_xlfn.XLOOKUP(C251,Customers!$A$2:$A$25,Customers!$B$2:$B$25,"not found")</f>
        <v/>
      </c>
      <c r="N251">
        <f>_xlfn.XLOOKUP(C251,Customers!$A$2:$A$25,Customers!$D$2:$D$25,"not found")</f>
        <v/>
      </c>
    </row>
    <row r="252">
      <c r="A252" t="n">
        <v>10131</v>
      </c>
      <c r="B252" s="12" t="n">
        <v>45948</v>
      </c>
      <c r="C252" s="13" t="inlineStr">
        <is>
          <t>0022</t>
        </is>
      </c>
      <c r="D252" t="n">
        <v>103</v>
      </c>
      <c r="E252" t="n">
        <v>70</v>
      </c>
      <c r="F252" t="n">
        <v>115</v>
      </c>
      <c r="G252" t="n">
        <v>0</v>
      </c>
      <c r="H252" t="inlineStr">
        <is>
          <t>Cancelled</t>
        </is>
      </c>
      <c r="I252" t="inlineStr"/>
      <c r="J252" s="14">
        <f>E252*F252*(1-G252/100)</f>
        <v/>
      </c>
      <c r="K252" s="12">
        <f>DATE(YEAR(B252),MONTH(B252),1)</f>
        <v/>
      </c>
      <c r="L252">
        <f>IF(COUNTIF($A$2:A252,A252)=1,1,0)</f>
        <v/>
      </c>
      <c r="M252">
        <f>_xlfn.XLOOKUP(C252,Customers!$A$2:$A$25,Customers!$B$2:$B$25,"not found")</f>
        <v/>
      </c>
      <c r="N252">
        <f>_xlfn.XLOOKUP(C252,Customers!$A$2:$A$25,Customers!$D$2:$D$25,"not found")</f>
        <v/>
      </c>
    </row>
    <row r="253">
      <c r="A253" t="n">
        <v>10131</v>
      </c>
      <c r="B253" s="12" t="n">
        <v>45948</v>
      </c>
      <c r="C253" s="13" t="inlineStr">
        <is>
          <t>0022</t>
        </is>
      </c>
      <c r="D253" t="n">
        <v>107</v>
      </c>
      <c r="E253" t="n">
        <v>25</v>
      </c>
      <c r="F253" t="n">
        <v>380</v>
      </c>
      <c r="G253" t="n">
        <v>0</v>
      </c>
      <c r="H253" t="inlineStr">
        <is>
          <t>Cancelled</t>
        </is>
      </c>
      <c r="I253" t="inlineStr"/>
      <c r="J253" s="14">
        <f>E253*F253*(1-G253/100)</f>
        <v/>
      </c>
      <c r="K253" s="12">
        <f>DATE(YEAR(B253),MONTH(B253),1)</f>
        <v/>
      </c>
      <c r="L253">
        <f>IF(COUNTIF($A$2:A253,A253)=1,1,0)</f>
        <v/>
      </c>
      <c r="M253">
        <f>_xlfn.XLOOKUP(C253,Customers!$A$2:$A$25,Customers!$B$2:$B$25,"not found")</f>
        <v/>
      </c>
      <c r="N253">
        <f>_xlfn.XLOOKUP(C253,Customers!$A$2:$A$25,Customers!$D$2:$D$25,"not found")</f>
        <v/>
      </c>
    </row>
    <row r="254">
      <c r="A254" t="n">
        <v>10131</v>
      </c>
      <c r="B254" s="12" t="n">
        <v>45948</v>
      </c>
      <c r="C254" s="13" t="inlineStr">
        <is>
          <t>0022</t>
        </is>
      </c>
      <c r="D254" t="n">
        <v>108</v>
      </c>
      <c r="E254" t="n">
        <v>70</v>
      </c>
      <c r="F254" t="n">
        <v>290</v>
      </c>
      <c r="G254" t="n">
        <v>0</v>
      </c>
      <c r="H254" t="inlineStr">
        <is>
          <t>Cancelled</t>
        </is>
      </c>
      <c r="I254" t="inlineStr"/>
      <c r="J254" s="14">
        <f>E254*F254*(1-G254/100)</f>
        <v/>
      </c>
      <c r="K254" s="12">
        <f>DATE(YEAR(B254),MONTH(B254),1)</f>
        <v/>
      </c>
      <c r="L254">
        <f>IF(COUNTIF($A$2:A254,A254)=1,1,0)</f>
        <v/>
      </c>
      <c r="M254">
        <f>_xlfn.XLOOKUP(C254,Customers!$A$2:$A$25,Customers!$B$2:$B$25,"not found")</f>
        <v/>
      </c>
      <c r="N254">
        <f>_xlfn.XLOOKUP(C254,Customers!$A$2:$A$25,Customers!$D$2:$D$25,"not found")</f>
        <v/>
      </c>
    </row>
    <row r="255">
      <c r="A255" t="n">
        <v>10132</v>
      </c>
      <c r="B255" s="12" t="n">
        <v>45950</v>
      </c>
      <c r="C255" s="13" t="inlineStr">
        <is>
          <t>0001</t>
        </is>
      </c>
      <c r="D255" t="n">
        <v>101</v>
      </c>
      <c r="E255" t="n">
        <v>65</v>
      </c>
      <c r="F255" t="n">
        <v>430</v>
      </c>
      <c r="G255" t="n">
        <v>0</v>
      </c>
      <c r="H255" t="inlineStr">
        <is>
          <t>Delivered</t>
        </is>
      </c>
      <c r="I255" t="inlineStr">
        <is>
          <t>Neha Kulkarni</t>
        </is>
      </c>
      <c r="J255" s="14">
        <f>E255*F255*(1-G255/100)</f>
        <v/>
      </c>
      <c r="K255" s="12">
        <f>DATE(YEAR(B255),MONTH(B255),1)</f>
        <v/>
      </c>
      <c r="L255">
        <f>IF(COUNTIF($A$2:A255,A255)=1,1,0)</f>
        <v/>
      </c>
      <c r="M255">
        <f>_xlfn.XLOOKUP(C255,Customers!$A$2:$A$25,Customers!$B$2:$B$25,"not found")</f>
        <v/>
      </c>
      <c r="N255">
        <f>_xlfn.XLOOKUP(C255,Customers!$A$2:$A$25,Customers!$D$2:$D$25,"not found")</f>
        <v/>
      </c>
    </row>
    <row r="256">
      <c r="A256" t="n">
        <v>10133</v>
      </c>
      <c r="B256" s="12" t="n">
        <v>45955</v>
      </c>
      <c r="C256" s="13" t="inlineStr">
        <is>
          <t>0001</t>
        </is>
      </c>
      <c r="D256" t="n">
        <v>102</v>
      </c>
      <c r="E256" t="n">
        <v>70</v>
      </c>
      <c r="F256" t="n">
        <v>750</v>
      </c>
      <c r="G256" t="n">
        <v>5</v>
      </c>
      <c r="H256" t="inlineStr">
        <is>
          <t>Delivered</t>
        </is>
      </c>
      <c r="I256" t="inlineStr">
        <is>
          <t>Neha Kulkarni</t>
        </is>
      </c>
      <c r="J256" s="14">
        <f>E256*F256*(1-G256/100)</f>
        <v/>
      </c>
      <c r="K256" s="12">
        <f>DATE(YEAR(B256),MONTH(B256),1)</f>
        <v/>
      </c>
      <c r="L256">
        <f>IF(COUNTIF($A$2:A256,A256)=1,1,0)</f>
        <v/>
      </c>
      <c r="M256">
        <f>_xlfn.XLOOKUP(C256,Customers!$A$2:$A$25,Customers!$B$2:$B$25,"not found")</f>
        <v/>
      </c>
      <c r="N256">
        <f>_xlfn.XLOOKUP(C256,Customers!$A$2:$A$25,Customers!$D$2:$D$25,"not found")</f>
        <v/>
      </c>
    </row>
    <row r="257">
      <c r="A257" t="n">
        <v>10133</v>
      </c>
      <c r="B257" s="12" t="n">
        <v>45955</v>
      </c>
      <c r="C257" s="13" t="inlineStr">
        <is>
          <t>0001</t>
        </is>
      </c>
      <c r="D257" t="n">
        <v>107</v>
      </c>
      <c r="E257" t="n">
        <v>50</v>
      </c>
      <c r="F257" t="n">
        <v>380</v>
      </c>
      <c r="G257" t="n">
        <v>0</v>
      </c>
      <c r="H257" t="inlineStr">
        <is>
          <t>Delivered</t>
        </is>
      </c>
      <c r="I257" t="inlineStr">
        <is>
          <t>Neha Kulkarni</t>
        </is>
      </c>
      <c r="J257" s="14">
        <f>E257*F257*(1-G257/100)</f>
        <v/>
      </c>
      <c r="K257" s="12">
        <f>DATE(YEAR(B257),MONTH(B257),1)</f>
        <v/>
      </c>
      <c r="L257">
        <f>IF(COUNTIF($A$2:A257,A257)=1,1,0)</f>
        <v/>
      </c>
      <c r="M257">
        <f>_xlfn.XLOOKUP(C257,Customers!$A$2:$A$25,Customers!$B$2:$B$25,"not found")</f>
        <v/>
      </c>
      <c r="N257">
        <f>_xlfn.XLOOKUP(C257,Customers!$A$2:$A$25,Customers!$D$2:$D$25,"not found")</f>
        <v/>
      </c>
    </row>
    <row r="258">
      <c r="A258" t="n">
        <v>10134</v>
      </c>
      <c r="B258" s="12" t="n">
        <v>45956</v>
      </c>
      <c r="C258" s="13" t="inlineStr">
        <is>
          <t>0020</t>
        </is>
      </c>
      <c r="D258" t="n">
        <v>103</v>
      </c>
      <c r="E258" t="n">
        <v>50</v>
      </c>
      <c r="F258" t="n">
        <v>115</v>
      </c>
      <c r="G258" t="n">
        <v>0</v>
      </c>
      <c r="H258" t="inlineStr">
        <is>
          <t>Delivered</t>
        </is>
      </c>
      <c r="I258" t="inlineStr">
        <is>
          <t>Neha Kulkarni</t>
        </is>
      </c>
      <c r="J258" s="14">
        <f>E258*F258*(1-G258/100)</f>
        <v/>
      </c>
      <c r="K258" s="12">
        <f>DATE(YEAR(B258),MONTH(B258),1)</f>
        <v/>
      </c>
      <c r="L258">
        <f>IF(COUNTIF($A$2:A258,A258)=1,1,0)</f>
        <v/>
      </c>
      <c r="M258">
        <f>_xlfn.XLOOKUP(C258,Customers!$A$2:$A$25,Customers!$B$2:$B$25,"not found")</f>
        <v/>
      </c>
      <c r="N258">
        <f>_xlfn.XLOOKUP(C258,Customers!$A$2:$A$25,Customers!$D$2:$D$25,"not found")</f>
        <v/>
      </c>
    </row>
    <row r="259">
      <c r="A259" t="n">
        <v>10135</v>
      </c>
      <c r="B259" s="12" t="n">
        <v>45957</v>
      </c>
      <c r="C259" s="13" t="inlineStr">
        <is>
          <t>0004</t>
        </is>
      </c>
      <c r="D259" t="n">
        <v>102</v>
      </c>
      <c r="E259" t="n">
        <v>15</v>
      </c>
      <c r="F259" t="n">
        <v>750</v>
      </c>
      <c r="G259" t="n">
        <v>12</v>
      </c>
      <c r="H259" t="inlineStr">
        <is>
          <t>Delivered</t>
        </is>
      </c>
      <c r="I259" t="inlineStr">
        <is>
          <t>Rahul Mehta</t>
        </is>
      </c>
      <c r="J259" s="14">
        <f>E259*F259*(1-G259/100)</f>
        <v/>
      </c>
      <c r="K259" s="12">
        <f>DATE(YEAR(B259),MONTH(B259),1)</f>
        <v/>
      </c>
      <c r="L259">
        <f>IF(COUNTIF($A$2:A259,A259)=1,1,0)</f>
        <v/>
      </c>
      <c r="M259">
        <f>_xlfn.XLOOKUP(C259,Customers!$A$2:$A$25,Customers!$B$2:$B$25,"not found")</f>
        <v/>
      </c>
      <c r="N259">
        <f>_xlfn.XLOOKUP(C259,Customers!$A$2:$A$25,Customers!$D$2:$D$25,"not found")</f>
        <v/>
      </c>
    </row>
    <row r="260">
      <c r="A260" t="n">
        <v>10135</v>
      </c>
      <c r="B260" s="12" t="n">
        <v>45957</v>
      </c>
      <c r="C260" s="13" t="inlineStr">
        <is>
          <t>0004</t>
        </is>
      </c>
      <c r="D260" t="n">
        <v>108</v>
      </c>
      <c r="E260" t="n">
        <v>40</v>
      </c>
      <c r="F260" t="n">
        <v>290</v>
      </c>
      <c r="G260" t="n">
        <v>12</v>
      </c>
      <c r="H260" t="inlineStr">
        <is>
          <t>Delivered</t>
        </is>
      </c>
      <c r="I260" t="inlineStr">
        <is>
          <t>Rahul Mehta</t>
        </is>
      </c>
      <c r="J260" s="14">
        <f>E260*F260*(1-G260/100)</f>
        <v/>
      </c>
      <c r="K260" s="12">
        <f>DATE(YEAR(B260),MONTH(B260),1)</f>
        <v/>
      </c>
      <c r="L260">
        <f>IF(COUNTIF($A$2:A260,A260)=1,1,0)</f>
        <v/>
      </c>
      <c r="M260">
        <f>_xlfn.XLOOKUP(C260,Customers!$A$2:$A$25,Customers!$B$2:$B$25,"not found")</f>
        <v/>
      </c>
      <c r="N260">
        <f>_xlfn.XLOOKUP(C260,Customers!$A$2:$A$25,Customers!$D$2:$D$25,"not found")</f>
        <v/>
      </c>
    </row>
    <row r="261">
      <c r="A261" t="n">
        <v>10136</v>
      </c>
      <c r="B261" s="12" t="n">
        <v>45957</v>
      </c>
      <c r="C261" s="13" t="inlineStr">
        <is>
          <t>0019</t>
        </is>
      </c>
      <c r="D261" t="n">
        <v>108</v>
      </c>
      <c r="E261" t="n">
        <v>50</v>
      </c>
      <c r="F261" t="n">
        <v>290</v>
      </c>
      <c r="G261" t="n">
        <v>8</v>
      </c>
      <c r="H261" t="inlineStr">
        <is>
          <t>Delivered</t>
        </is>
      </c>
      <c r="I261" t="inlineStr">
        <is>
          <t>Farah Khan</t>
        </is>
      </c>
      <c r="J261" s="14">
        <f>E261*F261*(1-G261/100)</f>
        <v/>
      </c>
      <c r="K261" s="12">
        <f>DATE(YEAR(B261),MONTH(B261),1)</f>
        <v/>
      </c>
      <c r="L261">
        <f>IF(COUNTIF($A$2:A261,A261)=1,1,0)</f>
        <v/>
      </c>
      <c r="M261">
        <f>_xlfn.XLOOKUP(C261,Customers!$A$2:$A$25,Customers!$B$2:$B$25,"not found")</f>
        <v/>
      </c>
      <c r="N261">
        <f>_xlfn.XLOOKUP(C261,Customers!$A$2:$A$25,Customers!$D$2:$D$25,"not found")</f>
        <v/>
      </c>
    </row>
    <row r="262">
      <c r="A262" t="n">
        <v>10137</v>
      </c>
      <c r="B262" s="12" t="n">
        <v>45965</v>
      </c>
      <c r="C262" s="13" t="inlineStr">
        <is>
          <t>0012</t>
        </is>
      </c>
      <c r="D262" t="n">
        <v>108</v>
      </c>
      <c r="E262" t="n">
        <v>15</v>
      </c>
      <c r="F262" t="n">
        <v>290</v>
      </c>
      <c r="G262" t="n">
        <v>5</v>
      </c>
      <c r="H262" t="inlineStr">
        <is>
          <t>Delivered</t>
        </is>
      </c>
      <c r="I262" t="inlineStr">
        <is>
          <t>Neha Kulkarni</t>
        </is>
      </c>
      <c r="J262" s="14">
        <f>E262*F262*(1-G262/100)</f>
        <v/>
      </c>
      <c r="K262" s="12">
        <f>DATE(YEAR(B262),MONTH(B262),1)</f>
        <v/>
      </c>
      <c r="L262">
        <f>IF(COUNTIF($A$2:A262,A262)=1,1,0)</f>
        <v/>
      </c>
      <c r="M262">
        <f>_xlfn.XLOOKUP(C262,Customers!$A$2:$A$25,Customers!$B$2:$B$25,"not found")</f>
        <v/>
      </c>
      <c r="N262">
        <f>_xlfn.XLOOKUP(C262,Customers!$A$2:$A$25,Customers!$D$2:$D$25,"not found")</f>
        <v/>
      </c>
    </row>
    <row r="263">
      <c r="A263" t="n">
        <v>10138</v>
      </c>
      <c r="B263" s="12" t="n">
        <v>45966</v>
      </c>
      <c r="C263" s="13" t="inlineStr">
        <is>
          <t>0003</t>
        </is>
      </c>
      <c r="D263" t="n">
        <v>103</v>
      </c>
      <c r="E263" t="n">
        <v>15</v>
      </c>
      <c r="F263" t="n">
        <v>115</v>
      </c>
      <c r="G263" t="n">
        <v>5</v>
      </c>
      <c r="H263" t="inlineStr">
        <is>
          <t>Delivered</t>
        </is>
      </c>
      <c r="I263" t="inlineStr">
        <is>
          <t>Farah Khan</t>
        </is>
      </c>
      <c r="J263" s="14">
        <f>E263*F263*(1-G263/100)</f>
        <v/>
      </c>
      <c r="K263" s="12">
        <f>DATE(YEAR(B263),MONTH(B263),1)</f>
        <v/>
      </c>
      <c r="L263">
        <f>IF(COUNTIF($A$2:A263,A263)=1,1,0)</f>
        <v/>
      </c>
      <c r="M263">
        <f>_xlfn.XLOOKUP(C263,Customers!$A$2:$A$25,Customers!$B$2:$B$25,"not found")</f>
        <v/>
      </c>
      <c r="N263">
        <f>_xlfn.XLOOKUP(C263,Customers!$A$2:$A$25,Customers!$D$2:$D$25,"not found")</f>
        <v/>
      </c>
    </row>
    <row r="264">
      <c r="A264" t="n">
        <v>10138</v>
      </c>
      <c r="B264" s="12" t="n">
        <v>45966</v>
      </c>
      <c r="C264" s="13" t="inlineStr">
        <is>
          <t>0003</t>
        </is>
      </c>
      <c r="D264" t="n">
        <v>108</v>
      </c>
      <c r="E264" t="n">
        <v>55</v>
      </c>
      <c r="F264" t="n">
        <v>290</v>
      </c>
      <c r="G264" t="n">
        <v>0</v>
      </c>
      <c r="H264" t="inlineStr">
        <is>
          <t>Delivered</t>
        </is>
      </c>
      <c r="I264" t="inlineStr">
        <is>
          <t>Farah Khan</t>
        </is>
      </c>
      <c r="J264" s="14">
        <f>E264*F264*(1-G264/100)</f>
        <v/>
      </c>
      <c r="K264" s="12">
        <f>DATE(YEAR(B264),MONTH(B264),1)</f>
        <v/>
      </c>
      <c r="L264">
        <f>IF(COUNTIF($A$2:A264,A264)=1,1,0)</f>
        <v/>
      </c>
      <c r="M264">
        <f>_xlfn.XLOOKUP(C264,Customers!$A$2:$A$25,Customers!$B$2:$B$25,"not found")</f>
        <v/>
      </c>
      <c r="N264">
        <f>_xlfn.XLOOKUP(C264,Customers!$A$2:$A$25,Customers!$D$2:$D$25,"not found")</f>
        <v/>
      </c>
    </row>
    <row r="265">
      <c r="A265" t="n">
        <v>10139</v>
      </c>
      <c r="B265" s="12" t="n">
        <v>45967</v>
      </c>
      <c r="C265" s="13" t="inlineStr">
        <is>
          <t>0011</t>
        </is>
      </c>
      <c r="D265" t="n">
        <v>101</v>
      </c>
      <c r="E265" t="n">
        <v>60</v>
      </c>
      <c r="F265" t="n">
        <v>430</v>
      </c>
      <c r="G265" t="n">
        <v>8</v>
      </c>
      <c r="H265" t="inlineStr">
        <is>
          <t>Delivered</t>
        </is>
      </c>
      <c r="I265" t="inlineStr">
        <is>
          <t>Rahul Mehta</t>
        </is>
      </c>
      <c r="J265" s="14">
        <f>E265*F265*(1-G265/100)</f>
        <v/>
      </c>
      <c r="K265" s="12">
        <f>DATE(YEAR(B265),MONTH(B265),1)</f>
        <v/>
      </c>
      <c r="L265">
        <f>IF(COUNTIF($A$2:A265,A265)=1,1,0)</f>
        <v/>
      </c>
      <c r="M265">
        <f>_xlfn.XLOOKUP(C265,Customers!$A$2:$A$25,Customers!$B$2:$B$25,"not found")</f>
        <v/>
      </c>
      <c r="N265">
        <f>_xlfn.XLOOKUP(C265,Customers!$A$2:$A$25,Customers!$D$2:$D$25,"not found")</f>
        <v/>
      </c>
    </row>
    <row r="266">
      <c r="A266" t="n">
        <v>10139</v>
      </c>
      <c r="B266" s="12" t="n">
        <v>45967</v>
      </c>
      <c r="C266" s="13" t="inlineStr">
        <is>
          <t>0011</t>
        </is>
      </c>
      <c r="D266" t="n">
        <v>105</v>
      </c>
      <c r="E266" t="n">
        <v>20</v>
      </c>
      <c r="F266" t="n">
        <v>1400</v>
      </c>
      <c r="G266" t="n">
        <v>12</v>
      </c>
      <c r="H266" t="inlineStr">
        <is>
          <t>Delivered</t>
        </is>
      </c>
      <c r="I266" t="inlineStr">
        <is>
          <t>Rahul Mehta</t>
        </is>
      </c>
      <c r="J266" s="14">
        <f>E266*F266*(1-G266/100)</f>
        <v/>
      </c>
      <c r="K266" s="12">
        <f>DATE(YEAR(B266),MONTH(B266),1)</f>
        <v/>
      </c>
      <c r="L266">
        <f>IF(COUNTIF($A$2:A266,A266)=1,1,0)</f>
        <v/>
      </c>
      <c r="M266">
        <f>_xlfn.XLOOKUP(C266,Customers!$A$2:$A$25,Customers!$B$2:$B$25,"not found")</f>
        <v/>
      </c>
      <c r="N266">
        <f>_xlfn.XLOOKUP(C266,Customers!$A$2:$A$25,Customers!$D$2:$D$25,"not found")</f>
        <v/>
      </c>
    </row>
    <row r="267">
      <c r="A267" t="n">
        <v>10140</v>
      </c>
      <c r="B267" s="12" t="n">
        <v>45970</v>
      </c>
      <c r="C267" s="13" t="inlineStr">
        <is>
          <t>0002</t>
        </is>
      </c>
      <c r="D267" t="n">
        <v>103</v>
      </c>
      <c r="E267" t="n">
        <v>65</v>
      </c>
      <c r="F267" t="n">
        <v>115</v>
      </c>
      <c r="G267" t="n">
        <v>0</v>
      </c>
      <c r="H267" t="inlineStr">
        <is>
          <t>Delivered</t>
        </is>
      </c>
      <c r="I267" t="inlineStr">
        <is>
          <t>Neha Kulkarni</t>
        </is>
      </c>
      <c r="J267" s="14">
        <f>E267*F267*(1-G267/100)</f>
        <v/>
      </c>
      <c r="K267" s="12">
        <f>DATE(YEAR(B267),MONTH(B267),1)</f>
        <v/>
      </c>
      <c r="L267">
        <f>IF(COUNTIF($A$2:A267,A267)=1,1,0)</f>
        <v/>
      </c>
      <c r="M267">
        <f>_xlfn.XLOOKUP(C267,Customers!$A$2:$A$25,Customers!$B$2:$B$25,"not found")</f>
        <v/>
      </c>
      <c r="N267">
        <f>_xlfn.XLOOKUP(C267,Customers!$A$2:$A$25,Customers!$D$2:$D$25,"not found")</f>
        <v/>
      </c>
    </row>
    <row r="268">
      <c r="A268" t="n">
        <v>10140</v>
      </c>
      <c r="B268" s="12" t="n">
        <v>45970</v>
      </c>
      <c r="C268" s="13" t="inlineStr">
        <is>
          <t>0002</t>
        </is>
      </c>
      <c r="D268" t="n">
        <v>104</v>
      </c>
      <c r="E268" t="n">
        <v>55</v>
      </c>
      <c r="F268" t="n">
        <v>620</v>
      </c>
      <c r="G268" t="n">
        <v>5</v>
      </c>
      <c r="H268" t="inlineStr">
        <is>
          <t>Delivered</t>
        </is>
      </c>
      <c r="I268" t="inlineStr">
        <is>
          <t>Neha Kulkarni</t>
        </is>
      </c>
      <c r="J268" s="14">
        <f>E268*F268*(1-G268/100)</f>
        <v/>
      </c>
      <c r="K268" s="12">
        <f>DATE(YEAR(B268),MONTH(B268),1)</f>
        <v/>
      </c>
      <c r="L268">
        <f>IF(COUNTIF($A$2:A268,A268)=1,1,0)</f>
        <v/>
      </c>
      <c r="M268">
        <f>_xlfn.XLOOKUP(C268,Customers!$A$2:$A$25,Customers!$B$2:$B$25,"not found")</f>
        <v/>
      </c>
      <c r="N268">
        <f>_xlfn.XLOOKUP(C268,Customers!$A$2:$A$25,Customers!$D$2:$D$25,"not found")</f>
        <v/>
      </c>
    </row>
    <row r="269">
      <c r="A269" t="n">
        <v>10141</v>
      </c>
      <c r="B269" s="12" t="n">
        <v>45970</v>
      </c>
      <c r="C269" s="13" t="inlineStr">
        <is>
          <t>0008</t>
        </is>
      </c>
      <c r="D269" t="n">
        <v>104</v>
      </c>
      <c r="E269" t="n">
        <v>10</v>
      </c>
      <c r="F269" t="n">
        <v>620</v>
      </c>
      <c r="G269" t="n">
        <v>0</v>
      </c>
      <c r="H269" t="inlineStr">
        <is>
          <t>Delivered</t>
        </is>
      </c>
      <c r="I269" t="inlineStr">
        <is>
          <t>Neha Kulkarni</t>
        </is>
      </c>
      <c r="J269" s="14">
        <f>E269*F269*(1-G269/100)</f>
        <v/>
      </c>
      <c r="K269" s="12">
        <f>DATE(YEAR(B269),MONTH(B269),1)</f>
        <v/>
      </c>
      <c r="L269">
        <f>IF(COUNTIF($A$2:A269,A269)=1,1,0)</f>
        <v/>
      </c>
      <c r="M269">
        <f>_xlfn.XLOOKUP(C269,Customers!$A$2:$A$25,Customers!$B$2:$B$25,"not found")</f>
        <v/>
      </c>
      <c r="N269">
        <f>_xlfn.XLOOKUP(C269,Customers!$A$2:$A$25,Customers!$D$2:$D$25,"not found")</f>
        <v/>
      </c>
    </row>
    <row r="270">
      <c r="A270" t="n">
        <v>10141</v>
      </c>
      <c r="B270" s="12" t="n">
        <v>45970</v>
      </c>
      <c r="C270" s="13" t="inlineStr">
        <is>
          <t>0008</t>
        </is>
      </c>
      <c r="D270" t="n">
        <v>108</v>
      </c>
      <c r="E270" t="n">
        <v>65</v>
      </c>
      <c r="F270" t="n">
        <v>290</v>
      </c>
      <c r="G270" t="n">
        <v>5</v>
      </c>
      <c r="H270" t="inlineStr">
        <is>
          <t>Delivered</t>
        </is>
      </c>
      <c r="I270" t="inlineStr">
        <is>
          <t>Neha Kulkarni</t>
        </is>
      </c>
      <c r="J270" s="14">
        <f>E270*F270*(1-G270/100)</f>
        <v/>
      </c>
      <c r="K270" s="12">
        <f>DATE(YEAR(B270),MONTH(B270),1)</f>
        <v/>
      </c>
      <c r="L270">
        <f>IF(COUNTIF($A$2:A270,A270)=1,1,0)</f>
        <v/>
      </c>
      <c r="M270">
        <f>_xlfn.XLOOKUP(C270,Customers!$A$2:$A$25,Customers!$B$2:$B$25,"not found")</f>
        <v/>
      </c>
      <c r="N270">
        <f>_xlfn.XLOOKUP(C270,Customers!$A$2:$A$25,Customers!$D$2:$D$25,"not found")</f>
        <v/>
      </c>
    </row>
    <row r="271">
      <c r="A271" t="n">
        <v>10142</v>
      </c>
      <c r="B271" s="12" t="n">
        <v>45970</v>
      </c>
      <c r="C271" s="13" t="inlineStr">
        <is>
          <t>0015</t>
        </is>
      </c>
      <c r="D271" t="n">
        <v>104</v>
      </c>
      <c r="E271" t="n">
        <v>60</v>
      </c>
      <c r="F271" t="n">
        <v>620</v>
      </c>
      <c r="G271" t="n">
        <v>5</v>
      </c>
      <c r="H271" t="inlineStr">
        <is>
          <t>Delivered</t>
        </is>
      </c>
      <c r="I271" t="inlineStr">
        <is>
          <t>Farah Khan</t>
        </is>
      </c>
      <c r="J271" s="14">
        <f>E271*F271*(1-G271/100)</f>
        <v/>
      </c>
      <c r="K271" s="12">
        <f>DATE(YEAR(B271),MONTH(B271),1)</f>
        <v/>
      </c>
      <c r="L271">
        <f>IF(COUNTIF($A$2:A271,A271)=1,1,0)</f>
        <v/>
      </c>
      <c r="M271">
        <f>_xlfn.XLOOKUP(C271,Customers!$A$2:$A$25,Customers!$B$2:$B$25,"not found")</f>
        <v/>
      </c>
      <c r="N271">
        <f>_xlfn.XLOOKUP(C271,Customers!$A$2:$A$25,Customers!$D$2:$D$25,"not found")</f>
        <v/>
      </c>
    </row>
    <row r="272">
      <c r="A272" t="n">
        <v>10142</v>
      </c>
      <c r="B272" s="12" t="n">
        <v>45970</v>
      </c>
      <c r="C272" s="13" t="inlineStr">
        <is>
          <t>0015</t>
        </is>
      </c>
      <c r="D272" t="n">
        <v>108</v>
      </c>
      <c r="E272" t="n">
        <v>60</v>
      </c>
      <c r="F272" t="n">
        <v>290</v>
      </c>
      <c r="G272" t="n">
        <v>5</v>
      </c>
      <c r="H272" t="inlineStr">
        <is>
          <t>Delivered</t>
        </is>
      </c>
      <c r="I272" t="inlineStr">
        <is>
          <t>Farah Khan</t>
        </is>
      </c>
      <c r="J272" s="14">
        <f>E272*F272*(1-G272/100)</f>
        <v/>
      </c>
      <c r="K272" s="12">
        <f>DATE(YEAR(B272),MONTH(B272),1)</f>
        <v/>
      </c>
      <c r="L272">
        <f>IF(COUNTIF($A$2:A272,A272)=1,1,0)</f>
        <v/>
      </c>
      <c r="M272">
        <f>_xlfn.XLOOKUP(C272,Customers!$A$2:$A$25,Customers!$B$2:$B$25,"not found")</f>
        <v/>
      </c>
      <c r="N272">
        <f>_xlfn.XLOOKUP(C272,Customers!$A$2:$A$25,Customers!$D$2:$D$25,"not found")</f>
        <v/>
      </c>
    </row>
    <row r="273">
      <c r="A273" t="n">
        <v>10143</v>
      </c>
      <c r="B273" s="12" t="n">
        <v>45972</v>
      </c>
      <c r="C273" s="13" t="inlineStr">
        <is>
          <t>0007</t>
        </is>
      </c>
      <c r="D273" t="n">
        <v>101</v>
      </c>
      <c r="E273" t="n">
        <v>55</v>
      </c>
      <c r="F273" t="n">
        <v>430</v>
      </c>
      <c r="G273" t="n">
        <v>12</v>
      </c>
      <c r="H273" t="inlineStr">
        <is>
          <t>Delivered</t>
        </is>
      </c>
      <c r="I273" t="inlineStr">
        <is>
          <t>Farah Khan</t>
        </is>
      </c>
      <c r="J273" s="14">
        <f>E273*F273*(1-G273/100)</f>
        <v/>
      </c>
      <c r="K273" s="12">
        <f>DATE(YEAR(B273),MONTH(B273),1)</f>
        <v/>
      </c>
      <c r="L273">
        <f>IF(COUNTIF($A$2:A273,A273)=1,1,0)</f>
        <v/>
      </c>
      <c r="M273">
        <f>_xlfn.XLOOKUP(C273,Customers!$A$2:$A$25,Customers!$B$2:$B$25,"not found")</f>
        <v/>
      </c>
      <c r="N273">
        <f>_xlfn.XLOOKUP(C273,Customers!$A$2:$A$25,Customers!$D$2:$D$25,"not found")</f>
        <v/>
      </c>
    </row>
    <row r="274">
      <c r="A274" t="n">
        <v>10143</v>
      </c>
      <c r="B274" s="12" t="n">
        <v>45972</v>
      </c>
      <c r="C274" s="13" t="inlineStr">
        <is>
          <t>0007</t>
        </is>
      </c>
      <c r="D274" t="n">
        <v>105</v>
      </c>
      <c r="E274" t="n">
        <v>25</v>
      </c>
      <c r="F274" t="n">
        <v>1400</v>
      </c>
      <c r="G274" t="n">
        <v>8</v>
      </c>
      <c r="H274" t="inlineStr">
        <is>
          <t>Delivered</t>
        </is>
      </c>
      <c r="I274" t="inlineStr">
        <is>
          <t>Farah Khan</t>
        </is>
      </c>
      <c r="J274" s="14">
        <f>E274*F274*(1-G274/100)</f>
        <v/>
      </c>
      <c r="K274" s="12">
        <f>DATE(YEAR(B274),MONTH(B274),1)</f>
        <v/>
      </c>
      <c r="L274">
        <f>IF(COUNTIF($A$2:A274,A274)=1,1,0)</f>
        <v/>
      </c>
      <c r="M274">
        <f>_xlfn.XLOOKUP(C274,Customers!$A$2:$A$25,Customers!$B$2:$B$25,"not found")</f>
        <v/>
      </c>
      <c r="N274">
        <f>_xlfn.XLOOKUP(C274,Customers!$A$2:$A$25,Customers!$D$2:$D$25,"not found")</f>
        <v/>
      </c>
    </row>
    <row r="275">
      <c r="A275" t="n">
        <v>10144</v>
      </c>
      <c r="B275" s="12" t="n">
        <v>45973</v>
      </c>
      <c r="C275" s="13" t="inlineStr">
        <is>
          <t>0014</t>
        </is>
      </c>
      <c r="D275" t="n">
        <v>101</v>
      </c>
      <c r="E275" t="n">
        <v>15</v>
      </c>
      <c r="F275" t="n">
        <v>430</v>
      </c>
      <c r="G275" t="n">
        <v>5</v>
      </c>
      <c r="H275" t="inlineStr">
        <is>
          <t>Delivered</t>
        </is>
      </c>
      <c r="I275" t="inlineStr">
        <is>
          <t>Farah Khan</t>
        </is>
      </c>
      <c r="J275" s="14">
        <f>E275*F275*(1-G275/100)</f>
        <v/>
      </c>
      <c r="K275" s="12">
        <f>DATE(YEAR(B275),MONTH(B275),1)</f>
        <v/>
      </c>
      <c r="L275">
        <f>IF(COUNTIF($A$2:A275,A275)=1,1,0)</f>
        <v/>
      </c>
      <c r="M275">
        <f>_xlfn.XLOOKUP(C275,Customers!$A$2:$A$25,Customers!$B$2:$B$25,"not found")</f>
        <v/>
      </c>
      <c r="N275">
        <f>_xlfn.XLOOKUP(C275,Customers!$A$2:$A$25,Customers!$D$2:$D$25,"not found")</f>
        <v/>
      </c>
    </row>
    <row r="276">
      <c r="A276" t="n">
        <v>10144</v>
      </c>
      <c r="B276" s="12" t="n">
        <v>45973</v>
      </c>
      <c r="C276" s="13" t="inlineStr">
        <is>
          <t>0014</t>
        </is>
      </c>
      <c r="D276" t="n">
        <v>108</v>
      </c>
      <c r="E276" t="n">
        <v>25</v>
      </c>
      <c r="F276" t="n">
        <v>290</v>
      </c>
      <c r="G276" t="n">
        <v>12</v>
      </c>
      <c r="H276" t="inlineStr">
        <is>
          <t>Delivered</t>
        </is>
      </c>
      <c r="I276" t="inlineStr">
        <is>
          <t>Farah Khan</t>
        </is>
      </c>
      <c r="J276" s="14">
        <f>E276*F276*(1-G276/100)</f>
        <v/>
      </c>
      <c r="K276" s="12">
        <f>DATE(YEAR(B276),MONTH(B276),1)</f>
        <v/>
      </c>
      <c r="L276">
        <f>IF(COUNTIF($A$2:A276,A276)=1,1,0)</f>
        <v/>
      </c>
      <c r="M276">
        <f>_xlfn.XLOOKUP(C276,Customers!$A$2:$A$25,Customers!$B$2:$B$25,"not found")</f>
        <v/>
      </c>
      <c r="N276">
        <f>_xlfn.XLOOKUP(C276,Customers!$A$2:$A$25,Customers!$D$2:$D$25,"not found")</f>
        <v/>
      </c>
    </row>
    <row r="277">
      <c r="A277" t="n">
        <v>10145</v>
      </c>
      <c r="B277" s="12" t="n">
        <v>45973</v>
      </c>
      <c r="C277" s="13" t="inlineStr">
        <is>
          <t>0021</t>
        </is>
      </c>
      <c r="D277" t="n">
        <v>107</v>
      </c>
      <c r="E277" t="n">
        <v>15</v>
      </c>
      <c r="F277" t="n">
        <v>380</v>
      </c>
      <c r="G277" t="n">
        <v>0</v>
      </c>
      <c r="H277" t="inlineStr">
        <is>
          <t>Delivered</t>
        </is>
      </c>
      <c r="I277" t="inlineStr">
        <is>
          <t>Rahul Mehta</t>
        </is>
      </c>
      <c r="J277" s="14">
        <f>E277*F277*(1-G277/100)</f>
        <v/>
      </c>
      <c r="K277" s="12">
        <f>DATE(YEAR(B277),MONTH(B277),1)</f>
        <v/>
      </c>
      <c r="L277">
        <f>IF(COUNTIF($A$2:A277,A277)=1,1,0)</f>
        <v/>
      </c>
      <c r="M277">
        <f>_xlfn.XLOOKUP(C277,Customers!$A$2:$A$25,Customers!$B$2:$B$25,"not found")</f>
        <v/>
      </c>
      <c r="N277">
        <f>_xlfn.XLOOKUP(C277,Customers!$A$2:$A$25,Customers!$D$2:$D$25,"not found")</f>
        <v/>
      </c>
    </row>
    <row r="278">
      <c r="A278" t="n">
        <v>10145</v>
      </c>
      <c r="B278" s="12" t="n">
        <v>45973</v>
      </c>
      <c r="C278" s="13" t="inlineStr">
        <is>
          <t>0021</t>
        </is>
      </c>
      <c r="D278" t="n">
        <v>108</v>
      </c>
      <c r="E278" t="n">
        <v>55</v>
      </c>
      <c r="F278" t="n">
        <v>290</v>
      </c>
      <c r="G278" t="n">
        <v>0</v>
      </c>
      <c r="H278" t="inlineStr">
        <is>
          <t>Delivered</t>
        </is>
      </c>
      <c r="I278" t="inlineStr">
        <is>
          <t>Rahul Mehta</t>
        </is>
      </c>
      <c r="J278" s="14">
        <f>E278*F278*(1-G278/100)</f>
        <v/>
      </c>
      <c r="K278" s="12">
        <f>DATE(YEAR(B278),MONTH(B278),1)</f>
        <v/>
      </c>
      <c r="L278">
        <f>IF(COUNTIF($A$2:A278,A278)=1,1,0)</f>
        <v/>
      </c>
      <c r="M278">
        <f>_xlfn.XLOOKUP(C278,Customers!$A$2:$A$25,Customers!$B$2:$B$25,"not found")</f>
        <v/>
      </c>
      <c r="N278">
        <f>_xlfn.XLOOKUP(C278,Customers!$A$2:$A$25,Customers!$D$2:$D$25,"not found")</f>
        <v/>
      </c>
    </row>
    <row r="279">
      <c r="A279" t="n">
        <v>10146</v>
      </c>
      <c r="B279" s="12" t="n">
        <v>45977</v>
      </c>
      <c r="C279" s="13" t="inlineStr">
        <is>
          <t>0001</t>
        </is>
      </c>
      <c r="D279" t="n">
        <v>102</v>
      </c>
      <c r="E279" t="n">
        <v>65</v>
      </c>
      <c r="F279" t="n">
        <v>750</v>
      </c>
      <c r="G279" t="n">
        <v>0</v>
      </c>
      <c r="H279" t="inlineStr">
        <is>
          <t>Delivered</t>
        </is>
      </c>
      <c r="I279" t="inlineStr">
        <is>
          <t>Neha Kulkarni</t>
        </is>
      </c>
      <c r="J279" s="14">
        <f>E279*F279*(1-G279/100)</f>
        <v/>
      </c>
      <c r="K279" s="12">
        <f>DATE(YEAR(B279),MONTH(B279),1)</f>
        <v/>
      </c>
      <c r="L279">
        <f>IF(COUNTIF($A$2:A279,A279)=1,1,0)</f>
        <v/>
      </c>
      <c r="M279">
        <f>_xlfn.XLOOKUP(C279,Customers!$A$2:$A$25,Customers!$B$2:$B$25,"not found")</f>
        <v/>
      </c>
      <c r="N279">
        <f>_xlfn.XLOOKUP(C279,Customers!$A$2:$A$25,Customers!$D$2:$D$25,"not found")</f>
        <v/>
      </c>
    </row>
    <row r="280">
      <c r="A280" t="n">
        <v>10146</v>
      </c>
      <c r="B280" s="12" t="n">
        <v>45977</v>
      </c>
      <c r="C280" s="13" t="inlineStr">
        <is>
          <t>0001</t>
        </is>
      </c>
      <c r="D280" t="n">
        <v>107</v>
      </c>
      <c r="E280" t="n">
        <v>50</v>
      </c>
      <c r="F280" t="n">
        <v>380</v>
      </c>
      <c r="G280" t="n">
        <v>0</v>
      </c>
      <c r="H280" t="inlineStr">
        <is>
          <t>Delivered</t>
        </is>
      </c>
      <c r="I280" t="inlineStr">
        <is>
          <t>Neha Kulkarni</t>
        </is>
      </c>
      <c r="J280" s="14">
        <f>E280*F280*(1-G280/100)</f>
        <v/>
      </c>
      <c r="K280" s="12">
        <f>DATE(YEAR(B280),MONTH(B280),1)</f>
        <v/>
      </c>
      <c r="L280">
        <f>IF(COUNTIF($A$2:A280,A280)=1,1,0)</f>
        <v/>
      </c>
      <c r="M280">
        <f>_xlfn.XLOOKUP(C280,Customers!$A$2:$A$25,Customers!$B$2:$B$25,"not found")</f>
        <v/>
      </c>
      <c r="N280">
        <f>_xlfn.XLOOKUP(C280,Customers!$A$2:$A$25,Customers!$D$2:$D$25,"not found")</f>
        <v/>
      </c>
    </row>
    <row r="281">
      <c r="A281" t="n">
        <v>10146</v>
      </c>
      <c r="B281" s="12" t="n">
        <v>45977</v>
      </c>
      <c r="C281" s="13" t="inlineStr">
        <is>
          <t>0001</t>
        </is>
      </c>
      <c r="D281" t="n">
        <v>108</v>
      </c>
      <c r="E281" t="n">
        <v>50</v>
      </c>
      <c r="F281" t="n">
        <v>290</v>
      </c>
      <c r="G281" t="n">
        <v>0</v>
      </c>
      <c r="H281" t="inlineStr">
        <is>
          <t>Delivered</t>
        </is>
      </c>
      <c r="I281" t="inlineStr">
        <is>
          <t>Neha Kulkarni</t>
        </is>
      </c>
      <c r="J281" s="14">
        <f>E281*F281*(1-G281/100)</f>
        <v/>
      </c>
      <c r="K281" s="12">
        <f>DATE(YEAR(B281),MONTH(B281),1)</f>
        <v/>
      </c>
      <c r="L281">
        <f>IF(COUNTIF($A$2:A281,A281)=1,1,0)</f>
        <v/>
      </c>
      <c r="M281">
        <f>_xlfn.XLOOKUP(C281,Customers!$A$2:$A$25,Customers!$B$2:$B$25,"not found")</f>
        <v/>
      </c>
      <c r="N281">
        <f>_xlfn.XLOOKUP(C281,Customers!$A$2:$A$25,Customers!$D$2:$D$25,"not found")</f>
        <v/>
      </c>
    </row>
    <row r="282">
      <c r="A282" t="n">
        <v>10147</v>
      </c>
      <c r="B282" s="12" t="n">
        <v>45977</v>
      </c>
      <c r="C282" s="13" t="inlineStr">
        <is>
          <t>0019</t>
        </is>
      </c>
      <c r="D282" t="n">
        <v>101</v>
      </c>
      <c r="E282" t="n">
        <v>30</v>
      </c>
      <c r="F282" t="n">
        <v>430</v>
      </c>
      <c r="G282" t="n">
        <v>5</v>
      </c>
      <c r="H282" t="inlineStr">
        <is>
          <t>Delivered</t>
        </is>
      </c>
      <c r="I282" t="inlineStr">
        <is>
          <t>Farah Khan</t>
        </is>
      </c>
      <c r="J282" s="14">
        <f>E282*F282*(1-G282/100)</f>
        <v/>
      </c>
      <c r="K282" s="12">
        <f>DATE(YEAR(B282),MONTH(B282),1)</f>
        <v/>
      </c>
      <c r="L282">
        <f>IF(COUNTIF($A$2:A282,A282)=1,1,0)</f>
        <v/>
      </c>
      <c r="M282">
        <f>_xlfn.XLOOKUP(C282,Customers!$A$2:$A$25,Customers!$B$2:$B$25,"not found")</f>
        <v/>
      </c>
      <c r="N282">
        <f>_xlfn.XLOOKUP(C282,Customers!$A$2:$A$25,Customers!$D$2:$D$25,"not found")</f>
        <v/>
      </c>
    </row>
    <row r="283">
      <c r="A283" t="n">
        <v>10147</v>
      </c>
      <c r="B283" s="12" t="n">
        <v>45977</v>
      </c>
      <c r="C283" s="13" t="inlineStr">
        <is>
          <t>0019</t>
        </is>
      </c>
      <c r="D283" t="n">
        <v>105</v>
      </c>
      <c r="E283" t="n">
        <v>30</v>
      </c>
      <c r="F283" t="n">
        <v>1400</v>
      </c>
      <c r="G283" t="n">
        <v>8</v>
      </c>
      <c r="H283" t="inlineStr">
        <is>
          <t>Delivered</t>
        </is>
      </c>
      <c r="I283" t="inlineStr">
        <is>
          <t>Farah Khan</t>
        </is>
      </c>
      <c r="J283" s="14">
        <f>E283*F283*(1-G283/100)</f>
        <v/>
      </c>
      <c r="K283" s="12">
        <f>DATE(YEAR(B283),MONTH(B283),1)</f>
        <v/>
      </c>
      <c r="L283">
        <f>IF(COUNTIF($A$2:A283,A283)=1,1,0)</f>
        <v/>
      </c>
      <c r="M283">
        <f>_xlfn.XLOOKUP(C283,Customers!$A$2:$A$25,Customers!$B$2:$B$25,"not found")</f>
        <v/>
      </c>
      <c r="N283">
        <f>_xlfn.XLOOKUP(C283,Customers!$A$2:$A$25,Customers!$D$2:$D$25,"not found")</f>
        <v/>
      </c>
    </row>
    <row r="284">
      <c r="A284" t="n">
        <v>10148</v>
      </c>
      <c r="B284" s="12" t="n">
        <v>45977</v>
      </c>
      <c r="C284" s="13" t="inlineStr">
        <is>
          <t>0019</t>
        </is>
      </c>
      <c r="D284" t="n">
        <v>102</v>
      </c>
      <c r="E284" t="n">
        <v>45</v>
      </c>
      <c r="F284" t="n">
        <v>750</v>
      </c>
      <c r="G284" t="n">
        <v>12</v>
      </c>
      <c r="H284" t="inlineStr">
        <is>
          <t>Delivered</t>
        </is>
      </c>
      <c r="I284" t="inlineStr">
        <is>
          <t>Farah Khan</t>
        </is>
      </c>
      <c r="J284" s="14">
        <f>E284*F284*(1-G284/100)</f>
        <v/>
      </c>
      <c r="K284" s="12">
        <f>DATE(YEAR(B284),MONTH(B284),1)</f>
        <v/>
      </c>
      <c r="L284">
        <f>IF(COUNTIF($A$2:A284,A284)=1,1,0)</f>
        <v/>
      </c>
      <c r="M284">
        <f>_xlfn.XLOOKUP(C284,Customers!$A$2:$A$25,Customers!$B$2:$B$25,"not found")</f>
        <v/>
      </c>
      <c r="N284">
        <f>_xlfn.XLOOKUP(C284,Customers!$A$2:$A$25,Customers!$D$2:$D$25,"not found")</f>
        <v/>
      </c>
    </row>
    <row r="285">
      <c r="A285" t="n">
        <v>10148</v>
      </c>
      <c r="B285" s="12" t="n">
        <v>45977</v>
      </c>
      <c r="C285" s="13" t="inlineStr">
        <is>
          <t>0019</t>
        </is>
      </c>
      <c r="D285" t="n">
        <v>108</v>
      </c>
      <c r="E285" t="n">
        <v>50</v>
      </c>
      <c r="F285" t="n">
        <v>290</v>
      </c>
      <c r="G285" t="n">
        <v>10</v>
      </c>
      <c r="H285" t="inlineStr">
        <is>
          <t>Delivered</t>
        </is>
      </c>
      <c r="I285" t="inlineStr">
        <is>
          <t>Farah Khan</t>
        </is>
      </c>
      <c r="J285" s="14">
        <f>E285*F285*(1-G285/100)</f>
        <v/>
      </c>
      <c r="K285" s="12">
        <f>DATE(YEAR(B285),MONTH(B285),1)</f>
        <v/>
      </c>
      <c r="L285">
        <f>IF(COUNTIF($A$2:A285,A285)=1,1,0)</f>
        <v/>
      </c>
      <c r="M285">
        <f>_xlfn.XLOOKUP(C285,Customers!$A$2:$A$25,Customers!$B$2:$B$25,"not found")</f>
        <v/>
      </c>
      <c r="N285">
        <f>_xlfn.XLOOKUP(C285,Customers!$A$2:$A$25,Customers!$D$2:$D$25,"not found")</f>
        <v/>
      </c>
    </row>
    <row r="286">
      <c r="A286" t="n">
        <v>10149</v>
      </c>
      <c r="B286" s="12" t="n">
        <v>45979</v>
      </c>
      <c r="C286" s="13" t="inlineStr">
        <is>
          <t>0004</t>
        </is>
      </c>
      <c r="D286" t="n">
        <v>102</v>
      </c>
      <c r="E286" t="n">
        <v>45</v>
      </c>
      <c r="F286" t="n">
        <v>750</v>
      </c>
      <c r="G286" t="n">
        <v>8</v>
      </c>
      <c r="H286" t="inlineStr">
        <is>
          <t>Delivered</t>
        </is>
      </c>
      <c r="I286" t="inlineStr">
        <is>
          <t>Rahul Mehta</t>
        </is>
      </c>
      <c r="J286" s="14">
        <f>E286*F286*(1-G286/100)</f>
        <v/>
      </c>
      <c r="K286" s="12">
        <f>DATE(YEAR(B286),MONTH(B286),1)</f>
        <v/>
      </c>
      <c r="L286">
        <f>IF(COUNTIF($A$2:A286,A286)=1,1,0)</f>
        <v/>
      </c>
      <c r="M286">
        <f>_xlfn.XLOOKUP(C286,Customers!$A$2:$A$25,Customers!$B$2:$B$25,"not found")</f>
        <v/>
      </c>
      <c r="N286">
        <f>_xlfn.XLOOKUP(C286,Customers!$A$2:$A$25,Customers!$D$2:$D$25,"not found")</f>
        <v/>
      </c>
    </row>
    <row r="287">
      <c r="A287" t="n">
        <v>10149</v>
      </c>
      <c r="B287" s="12" t="n">
        <v>45979</v>
      </c>
      <c r="C287" s="13" t="inlineStr">
        <is>
          <t>0004</t>
        </is>
      </c>
      <c r="D287" t="n">
        <v>105</v>
      </c>
      <c r="E287" t="n">
        <v>15</v>
      </c>
      <c r="F287" t="n">
        <v>1400</v>
      </c>
      <c r="G287" t="n">
        <v>12</v>
      </c>
      <c r="H287" t="inlineStr">
        <is>
          <t>Delivered</t>
        </is>
      </c>
      <c r="I287" t="inlineStr">
        <is>
          <t>Rahul Mehta</t>
        </is>
      </c>
      <c r="J287" s="14">
        <f>E287*F287*(1-G287/100)</f>
        <v/>
      </c>
      <c r="K287" s="12">
        <f>DATE(YEAR(B287),MONTH(B287),1)</f>
        <v/>
      </c>
      <c r="L287">
        <f>IF(COUNTIF($A$2:A287,A287)=1,1,0)</f>
        <v/>
      </c>
      <c r="M287">
        <f>_xlfn.XLOOKUP(C287,Customers!$A$2:$A$25,Customers!$B$2:$B$25,"not found")</f>
        <v/>
      </c>
      <c r="N287">
        <f>_xlfn.XLOOKUP(C287,Customers!$A$2:$A$25,Customers!$D$2:$D$25,"not found")</f>
        <v/>
      </c>
    </row>
    <row r="288">
      <c r="A288" t="n">
        <v>10150</v>
      </c>
      <c r="B288" s="12" t="n">
        <v>45980</v>
      </c>
      <c r="C288" s="13" t="inlineStr">
        <is>
          <t>0022</t>
        </is>
      </c>
      <c r="D288" t="n">
        <v>103</v>
      </c>
      <c r="E288" t="n">
        <v>70</v>
      </c>
      <c r="F288" t="n">
        <v>115</v>
      </c>
      <c r="G288" t="n">
        <v>0</v>
      </c>
      <c r="H288" t="inlineStr">
        <is>
          <t>Delivered</t>
        </is>
      </c>
      <c r="I288" t="inlineStr"/>
      <c r="J288" s="14">
        <f>E288*F288*(1-G288/100)</f>
        <v/>
      </c>
      <c r="K288" s="12">
        <f>DATE(YEAR(B288),MONTH(B288),1)</f>
        <v/>
      </c>
      <c r="L288">
        <f>IF(COUNTIF($A$2:A288,A288)=1,1,0)</f>
        <v/>
      </c>
      <c r="M288">
        <f>_xlfn.XLOOKUP(C288,Customers!$A$2:$A$25,Customers!$B$2:$B$25,"not found")</f>
        <v/>
      </c>
      <c r="N288">
        <f>_xlfn.XLOOKUP(C288,Customers!$A$2:$A$25,Customers!$D$2:$D$25,"not found")</f>
        <v/>
      </c>
    </row>
    <row r="289">
      <c r="A289" t="n">
        <v>10151</v>
      </c>
      <c r="B289" s="12" t="n">
        <v>45983</v>
      </c>
      <c r="C289" s="13" t="inlineStr">
        <is>
          <t>0011</t>
        </is>
      </c>
      <c r="D289" t="n">
        <v>102</v>
      </c>
      <c r="E289" t="n">
        <v>35</v>
      </c>
      <c r="F289" t="n">
        <v>750</v>
      </c>
      <c r="G289" t="n">
        <v>5</v>
      </c>
      <c r="H289" t="inlineStr">
        <is>
          <t>Delivered</t>
        </is>
      </c>
      <c r="I289" t="inlineStr">
        <is>
          <t>Rahul Mehta</t>
        </is>
      </c>
      <c r="J289" s="14">
        <f>E289*F289*(1-G289/100)</f>
        <v/>
      </c>
      <c r="K289" s="12">
        <f>DATE(YEAR(B289),MONTH(B289),1)</f>
        <v/>
      </c>
      <c r="L289">
        <f>IF(COUNTIF($A$2:A289,A289)=1,1,0)</f>
        <v/>
      </c>
      <c r="M289">
        <f>_xlfn.XLOOKUP(C289,Customers!$A$2:$A$25,Customers!$B$2:$B$25,"not found")</f>
        <v/>
      </c>
      <c r="N289">
        <f>_xlfn.XLOOKUP(C289,Customers!$A$2:$A$25,Customers!$D$2:$D$25,"not found")</f>
        <v/>
      </c>
    </row>
    <row r="290">
      <c r="A290" t="n">
        <v>10151</v>
      </c>
      <c r="B290" s="12" t="n">
        <v>45983</v>
      </c>
      <c r="C290" s="13" t="inlineStr">
        <is>
          <t>0011</t>
        </is>
      </c>
      <c r="D290" t="n">
        <v>105</v>
      </c>
      <c r="E290" t="n">
        <v>40</v>
      </c>
      <c r="F290" t="n">
        <v>1400</v>
      </c>
      <c r="G290" t="n">
        <v>12</v>
      </c>
      <c r="H290" t="inlineStr">
        <is>
          <t>Delivered</t>
        </is>
      </c>
      <c r="I290" t="inlineStr">
        <is>
          <t>Rahul Mehta</t>
        </is>
      </c>
      <c r="J290" s="14">
        <f>E290*F290*(1-G290/100)</f>
        <v/>
      </c>
      <c r="K290" s="12">
        <f>DATE(YEAR(B290),MONTH(B290),1)</f>
        <v/>
      </c>
      <c r="L290">
        <f>IF(COUNTIF($A$2:A290,A290)=1,1,0)</f>
        <v/>
      </c>
      <c r="M290">
        <f>_xlfn.XLOOKUP(C290,Customers!$A$2:$A$25,Customers!$B$2:$B$25,"not found")</f>
        <v/>
      </c>
      <c r="N290">
        <f>_xlfn.XLOOKUP(C290,Customers!$A$2:$A$25,Customers!$D$2:$D$25,"not found")</f>
        <v/>
      </c>
    </row>
    <row r="291">
      <c r="A291" t="n">
        <v>10152</v>
      </c>
      <c r="B291" s="12" t="n">
        <v>45983</v>
      </c>
      <c r="C291" s="13" t="inlineStr">
        <is>
          <t>0014</t>
        </is>
      </c>
      <c r="D291" t="n">
        <v>108</v>
      </c>
      <c r="E291" t="n">
        <v>45</v>
      </c>
      <c r="F291" t="n">
        <v>290</v>
      </c>
      <c r="G291" t="n">
        <v>5</v>
      </c>
      <c r="H291" t="inlineStr">
        <is>
          <t>Delivered</t>
        </is>
      </c>
      <c r="I291" t="inlineStr">
        <is>
          <t>Farah Khan</t>
        </is>
      </c>
      <c r="J291" s="14">
        <f>E291*F291*(1-G291/100)</f>
        <v/>
      </c>
      <c r="K291" s="12">
        <f>DATE(YEAR(B291),MONTH(B291),1)</f>
        <v/>
      </c>
      <c r="L291">
        <f>IF(COUNTIF($A$2:A291,A291)=1,1,0)</f>
        <v/>
      </c>
      <c r="M291">
        <f>_xlfn.XLOOKUP(C291,Customers!$A$2:$A$25,Customers!$B$2:$B$25,"not found")</f>
        <v/>
      </c>
      <c r="N291">
        <f>_xlfn.XLOOKUP(C291,Customers!$A$2:$A$25,Customers!$D$2:$D$25,"not found")</f>
        <v/>
      </c>
    </row>
    <row r="292">
      <c r="A292" t="n">
        <v>10153</v>
      </c>
      <c r="B292" s="12" t="n">
        <v>45984</v>
      </c>
      <c r="C292" s="13" t="inlineStr">
        <is>
          <t>0017</t>
        </is>
      </c>
      <c r="D292" t="n">
        <v>103</v>
      </c>
      <c r="E292" t="n">
        <v>25</v>
      </c>
      <c r="F292" t="n">
        <v>115</v>
      </c>
      <c r="G292" t="n">
        <v>5</v>
      </c>
      <c r="H292" t="inlineStr">
        <is>
          <t>Delivered</t>
        </is>
      </c>
      <c r="I292" t="inlineStr"/>
      <c r="J292" s="14">
        <f>E292*F292*(1-G292/100)</f>
        <v/>
      </c>
      <c r="K292" s="12">
        <f>DATE(YEAR(B292),MONTH(B292),1)</f>
        <v/>
      </c>
      <c r="L292">
        <f>IF(COUNTIF($A$2:A292,A292)=1,1,0)</f>
        <v/>
      </c>
      <c r="M292">
        <f>_xlfn.XLOOKUP(C292,Customers!$A$2:$A$25,Customers!$B$2:$B$25,"not found")</f>
        <v/>
      </c>
      <c r="N292">
        <f>_xlfn.XLOOKUP(C292,Customers!$A$2:$A$25,Customers!$D$2:$D$25,"not found")</f>
        <v/>
      </c>
    </row>
    <row r="293">
      <c r="A293" t="n">
        <v>10154</v>
      </c>
      <c r="B293" s="12" t="n">
        <v>45986</v>
      </c>
      <c r="C293" s="13" t="inlineStr">
        <is>
          <t>0015</t>
        </is>
      </c>
      <c r="D293" t="n">
        <v>101</v>
      </c>
      <c r="E293" t="n">
        <v>25</v>
      </c>
      <c r="F293" t="n">
        <v>430</v>
      </c>
      <c r="G293" t="n">
        <v>5</v>
      </c>
      <c r="H293" t="inlineStr">
        <is>
          <t>Delivered</t>
        </is>
      </c>
      <c r="I293" t="inlineStr">
        <is>
          <t>Farah Khan</t>
        </is>
      </c>
      <c r="J293" s="14">
        <f>E293*F293*(1-G293/100)</f>
        <v/>
      </c>
      <c r="K293" s="12">
        <f>DATE(YEAR(B293),MONTH(B293),1)</f>
        <v/>
      </c>
      <c r="L293">
        <f>IF(COUNTIF($A$2:A293,A293)=1,1,0)</f>
        <v/>
      </c>
      <c r="M293">
        <f>_xlfn.XLOOKUP(C293,Customers!$A$2:$A$25,Customers!$B$2:$B$25,"not found")</f>
        <v/>
      </c>
      <c r="N293">
        <f>_xlfn.XLOOKUP(C293,Customers!$A$2:$A$25,Customers!$D$2:$D$25,"not found")</f>
        <v/>
      </c>
    </row>
    <row r="294">
      <c r="A294" t="n">
        <v>10155</v>
      </c>
      <c r="B294" s="12" t="n">
        <v>45987</v>
      </c>
      <c r="C294" s="13" t="inlineStr">
        <is>
          <t>0003</t>
        </is>
      </c>
      <c r="D294" t="n">
        <v>107</v>
      </c>
      <c r="E294" t="n">
        <v>10</v>
      </c>
      <c r="F294" t="n">
        <v>380</v>
      </c>
      <c r="G294" t="n">
        <v>5</v>
      </c>
      <c r="H294" t="inlineStr">
        <is>
          <t>Delivered</t>
        </is>
      </c>
      <c r="I294" t="inlineStr">
        <is>
          <t>Farah Khan</t>
        </is>
      </c>
      <c r="J294" s="14">
        <f>E294*F294*(1-G294/100)</f>
        <v/>
      </c>
      <c r="K294" s="12">
        <f>DATE(YEAR(B294),MONTH(B294),1)</f>
        <v/>
      </c>
      <c r="L294">
        <f>IF(COUNTIF($A$2:A294,A294)=1,1,0)</f>
        <v/>
      </c>
      <c r="M294">
        <f>_xlfn.XLOOKUP(C294,Customers!$A$2:$A$25,Customers!$B$2:$B$25,"not found")</f>
        <v/>
      </c>
      <c r="N294">
        <f>_xlfn.XLOOKUP(C294,Customers!$A$2:$A$25,Customers!$D$2:$D$25,"not found")</f>
        <v/>
      </c>
    </row>
    <row r="295">
      <c r="A295" t="n">
        <v>10156</v>
      </c>
      <c r="B295" s="12" t="n">
        <v>45987</v>
      </c>
      <c r="C295" s="13" t="inlineStr">
        <is>
          <t>0005</t>
        </is>
      </c>
      <c r="D295" t="n">
        <v>101</v>
      </c>
      <c r="E295" t="n">
        <v>15</v>
      </c>
      <c r="F295" t="n">
        <v>430</v>
      </c>
      <c r="G295" t="n">
        <v>0</v>
      </c>
      <c r="H295" t="inlineStr">
        <is>
          <t>Delivered</t>
        </is>
      </c>
      <c r="I295" t="inlineStr">
        <is>
          <t>Rahul Mehta</t>
        </is>
      </c>
      <c r="J295" s="14">
        <f>E295*F295*(1-G295/100)</f>
        <v/>
      </c>
      <c r="K295" s="12">
        <f>DATE(YEAR(B295),MONTH(B295),1)</f>
        <v/>
      </c>
      <c r="L295">
        <f>IF(COUNTIF($A$2:A295,A295)=1,1,0)</f>
        <v/>
      </c>
      <c r="M295">
        <f>_xlfn.XLOOKUP(C295,Customers!$A$2:$A$25,Customers!$B$2:$B$25,"not found")</f>
        <v/>
      </c>
      <c r="N295">
        <f>_xlfn.XLOOKUP(C295,Customers!$A$2:$A$25,Customers!$D$2:$D$25,"not found")</f>
        <v/>
      </c>
    </row>
    <row r="296">
      <c r="A296" t="n">
        <v>10157</v>
      </c>
      <c r="B296" s="12" t="n">
        <v>45989</v>
      </c>
      <c r="C296" s="13" t="inlineStr">
        <is>
          <t>0018</t>
        </is>
      </c>
      <c r="D296" t="n">
        <v>101</v>
      </c>
      <c r="E296" t="n">
        <v>40</v>
      </c>
      <c r="F296" t="n">
        <v>430</v>
      </c>
      <c r="G296" t="n">
        <v>0</v>
      </c>
      <c r="H296" t="inlineStr">
        <is>
          <t>Delivered</t>
        </is>
      </c>
      <c r="I296" t="inlineStr">
        <is>
          <t>Rahul Mehta</t>
        </is>
      </c>
      <c r="J296" s="14">
        <f>E296*F296*(1-G296/100)</f>
        <v/>
      </c>
      <c r="K296" s="12">
        <f>DATE(YEAR(B296),MONTH(B296),1)</f>
        <v/>
      </c>
      <c r="L296">
        <f>IF(COUNTIF($A$2:A296,A296)=1,1,0)</f>
        <v/>
      </c>
      <c r="M296">
        <f>_xlfn.XLOOKUP(C296,Customers!$A$2:$A$25,Customers!$B$2:$B$25,"not found")</f>
        <v/>
      </c>
      <c r="N296">
        <f>_xlfn.XLOOKUP(C296,Customers!$A$2:$A$25,Customers!$D$2:$D$25,"not found")</f>
        <v/>
      </c>
    </row>
    <row r="297">
      <c r="A297" t="n">
        <v>10158</v>
      </c>
      <c r="B297" s="12" t="n">
        <v>45992</v>
      </c>
      <c r="C297" s="13" t="inlineStr">
        <is>
          <t>0023</t>
        </is>
      </c>
      <c r="D297" t="n">
        <v>103</v>
      </c>
      <c r="E297" t="n">
        <v>5</v>
      </c>
      <c r="F297" t="n">
        <v>115</v>
      </c>
      <c r="G297" t="n">
        <v>0</v>
      </c>
      <c r="H297" t="inlineStr">
        <is>
          <t>Delivered</t>
        </is>
      </c>
      <c r="I297" t="inlineStr">
        <is>
          <t>Farah Khan</t>
        </is>
      </c>
      <c r="J297" s="14">
        <f>E297*F297*(1-G297/100)</f>
        <v/>
      </c>
      <c r="K297" s="12">
        <f>DATE(YEAR(B297),MONTH(B297),1)</f>
        <v/>
      </c>
      <c r="L297">
        <f>IF(COUNTIF($A$2:A297,A297)=1,1,0)</f>
        <v/>
      </c>
      <c r="M297">
        <f>_xlfn.XLOOKUP(C297,Customers!$A$2:$A$25,Customers!$B$2:$B$25,"not found")</f>
        <v/>
      </c>
      <c r="N297">
        <f>_xlfn.XLOOKUP(C297,Customers!$A$2:$A$25,Customers!$D$2:$D$25,"not found")</f>
        <v/>
      </c>
    </row>
    <row r="298">
      <c r="A298" t="n">
        <v>10158</v>
      </c>
      <c r="B298" s="12" t="n">
        <v>45992</v>
      </c>
      <c r="C298" s="13" t="inlineStr">
        <is>
          <t>0023</t>
        </is>
      </c>
      <c r="D298" t="n">
        <v>104</v>
      </c>
      <c r="E298" t="n">
        <v>40</v>
      </c>
      <c r="F298" t="n">
        <v>620</v>
      </c>
      <c r="G298" t="n">
        <v>0</v>
      </c>
      <c r="H298" t="inlineStr">
        <is>
          <t>Delivered</t>
        </is>
      </c>
      <c r="I298" t="inlineStr">
        <is>
          <t>Farah Khan</t>
        </is>
      </c>
      <c r="J298" s="14">
        <f>E298*F298*(1-G298/100)</f>
        <v/>
      </c>
      <c r="K298" s="12">
        <f>DATE(YEAR(B298),MONTH(B298),1)</f>
        <v/>
      </c>
      <c r="L298">
        <f>IF(COUNTIF($A$2:A298,A298)=1,1,0)</f>
        <v/>
      </c>
      <c r="M298">
        <f>_xlfn.XLOOKUP(C298,Customers!$A$2:$A$25,Customers!$B$2:$B$25,"not found")</f>
        <v/>
      </c>
      <c r="N298">
        <f>_xlfn.XLOOKUP(C298,Customers!$A$2:$A$25,Customers!$D$2:$D$25,"not found")</f>
        <v/>
      </c>
    </row>
    <row r="299">
      <c r="A299" t="n">
        <v>10159</v>
      </c>
      <c r="B299" s="12" t="n">
        <v>45992</v>
      </c>
      <c r="C299" s="13" t="inlineStr">
        <is>
          <t>0024</t>
        </is>
      </c>
      <c r="D299" t="n">
        <v>101</v>
      </c>
      <c r="E299" t="n">
        <v>35</v>
      </c>
      <c r="F299" t="n">
        <v>430</v>
      </c>
      <c r="G299" t="n">
        <v>10</v>
      </c>
      <c r="H299" t="inlineStr">
        <is>
          <t>Delivered</t>
        </is>
      </c>
      <c r="I299" t="inlineStr">
        <is>
          <t>Rahul Mehta</t>
        </is>
      </c>
      <c r="J299" s="14">
        <f>E299*F299*(1-G299/100)</f>
        <v/>
      </c>
      <c r="K299" s="12">
        <f>DATE(YEAR(B299),MONTH(B299),1)</f>
        <v/>
      </c>
      <c r="L299">
        <f>IF(COUNTIF($A$2:A299,A299)=1,1,0)</f>
        <v/>
      </c>
      <c r="M299">
        <f>_xlfn.XLOOKUP(C299,Customers!$A$2:$A$25,Customers!$B$2:$B$25,"not found")</f>
        <v/>
      </c>
      <c r="N299">
        <f>_xlfn.XLOOKUP(C299,Customers!$A$2:$A$25,Customers!$D$2:$D$25,"not found")</f>
        <v/>
      </c>
    </row>
    <row r="300">
      <c r="A300" t="n">
        <v>10159</v>
      </c>
      <c r="B300" s="12" t="n">
        <v>45992</v>
      </c>
      <c r="C300" s="13" t="inlineStr">
        <is>
          <t>0024</t>
        </is>
      </c>
      <c r="D300" t="n">
        <v>102</v>
      </c>
      <c r="E300" t="n">
        <v>35</v>
      </c>
      <c r="F300" t="n">
        <v>750</v>
      </c>
      <c r="G300" t="n">
        <v>5</v>
      </c>
      <c r="H300" t="inlineStr">
        <is>
          <t>Delivered</t>
        </is>
      </c>
      <c r="I300" t="inlineStr">
        <is>
          <t>Rahul Mehta</t>
        </is>
      </c>
      <c r="J300" s="14">
        <f>E300*F300*(1-G300/100)</f>
        <v/>
      </c>
      <c r="K300" s="12">
        <f>DATE(YEAR(B300),MONTH(B300),1)</f>
        <v/>
      </c>
      <c r="L300">
        <f>IF(COUNTIF($A$2:A300,A300)=1,1,0)</f>
        <v/>
      </c>
      <c r="M300">
        <f>_xlfn.XLOOKUP(C300,Customers!$A$2:$A$25,Customers!$B$2:$B$25,"not found")</f>
        <v/>
      </c>
      <c r="N300">
        <f>_xlfn.XLOOKUP(C300,Customers!$A$2:$A$25,Customers!$D$2:$D$25,"not found")</f>
        <v/>
      </c>
    </row>
    <row r="301">
      <c r="A301" t="n">
        <v>10159</v>
      </c>
      <c r="B301" s="12" t="n">
        <v>45992</v>
      </c>
      <c r="C301" s="13" t="inlineStr">
        <is>
          <t>0024</t>
        </is>
      </c>
      <c r="D301" t="n">
        <v>108</v>
      </c>
      <c r="E301" t="n">
        <v>30</v>
      </c>
      <c r="F301" t="n">
        <v>290</v>
      </c>
      <c r="G301" t="n">
        <v>8</v>
      </c>
      <c r="H301" t="inlineStr">
        <is>
          <t>Delivered</t>
        </is>
      </c>
      <c r="I301" t="inlineStr">
        <is>
          <t>Rahul Mehta</t>
        </is>
      </c>
      <c r="J301" s="14">
        <f>E301*F301*(1-G301/100)</f>
        <v/>
      </c>
      <c r="K301" s="12">
        <f>DATE(YEAR(B301),MONTH(B301),1)</f>
        <v/>
      </c>
      <c r="L301">
        <f>IF(COUNTIF($A$2:A301,A301)=1,1,0)</f>
        <v/>
      </c>
      <c r="M301">
        <f>_xlfn.XLOOKUP(C301,Customers!$A$2:$A$25,Customers!$B$2:$B$25,"not found")</f>
        <v/>
      </c>
      <c r="N301">
        <f>_xlfn.XLOOKUP(C301,Customers!$A$2:$A$25,Customers!$D$2:$D$25,"not found")</f>
        <v/>
      </c>
    </row>
    <row r="302">
      <c r="A302" t="n">
        <v>10160</v>
      </c>
      <c r="B302" s="12" t="n">
        <v>45995</v>
      </c>
      <c r="C302" s="13" t="inlineStr">
        <is>
          <t>0007</t>
        </is>
      </c>
      <c r="D302" t="n">
        <v>101</v>
      </c>
      <c r="E302" t="n">
        <v>15</v>
      </c>
      <c r="F302" t="n">
        <v>430</v>
      </c>
      <c r="G302" t="n">
        <v>12</v>
      </c>
      <c r="H302" t="inlineStr">
        <is>
          <t>Delivered</t>
        </is>
      </c>
      <c r="I302" t="inlineStr">
        <is>
          <t>Farah Khan</t>
        </is>
      </c>
      <c r="J302" s="14">
        <f>E302*F302*(1-G302/100)</f>
        <v/>
      </c>
      <c r="K302" s="12">
        <f>DATE(YEAR(B302),MONTH(B302),1)</f>
        <v/>
      </c>
      <c r="L302">
        <f>IF(COUNTIF($A$2:A302,A302)=1,1,0)</f>
        <v/>
      </c>
      <c r="M302">
        <f>_xlfn.XLOOKUP(C302,Customers!$A$2:$A$25,Customers!$B$2:$B$25,"not found")</f>
        <v/>
      </c>
      <c r="N302">
        <f>_xlfn.XLOOKUP(C302,Customers!$A$2:$A$25,Customers!$D$2:$D$25,"not found")</f>
        <v/>
      </c>
    </row>
    <row r="303">
      <c r="A303" t="n">
        <v>10160</v>
      </c>
      <c r="B303" s="12" t="n">
        <v>45995</v>
      </c>
      <c r="C303" s="13" t="inlineStr">
        <is>
          <t>0007</t>
        </is>
      </c>
      <c r="D303" t="n">
        <v>108</v>
      </c>
      <c r="E303" t="n">
        <v>15</v>
      </c>
      <c r="F303" t="n">
        <v>290</v>
      </c>
      <c r="G303" t="n">
        <v>5</v>
      </c>
      <c r="H303" t="inlineStr">
        <is>
          <t>Delivered</t>
        </is>
      </c>
      <c r="I303" t="inlineStr">
        <is>
          <t>Farah Khan</t>
        </is>
      </c>
      <c r="J303" s="14">
        <f>E303*F303*(1-G303/100)</f>
        <v/>
      </c>
      <c r="K303" s="12">
        <f>DATE(YEAR(B303),MONTH(B303),1)</f>
        <v/>
      </c>
      <c r="L303">
        <f>IF(COUNTIF($A$2:A303,A303)=1,1,0)</f>
        <v/>
      </c>
      <c r="M303">
        <f>_xlfn.XLOOKUP(C303,Customers!$A$2:$A$25,Customers!$B$2:$B$25,"not found")</f>
        <v/>
      </c>
      <c r="N303">
        <f>_xlfn.XLOOKUP(C303,Customers!$A$2:$A$25,Customers!$D$2:$D$25,"not found")</f>
        <v/>
      </c>
    </row>
    <row r="304">
      <c r="A304" t="n">
        <v>10161</v>
      </c>
      <c r="B304" s="12" t="n">
        <v>45996</v>
      </c>
      <c r="C304" s="13" t="inlineStr">
        <is>
          <t>0001</t>
        </is>
      </c>
      <c r="D304" t="n">
        <v>103</v>
      </c>
      <c r="E304" t="n">
        <v>25</v>
      </c>
      <c r="F304" t="n">
        <v>115</v>
      </c>
      <c r="G304" t="n">
        <v>0</v>
      </c>
      <c r="H304" t="inlineStr">
        <is>
          <t>Delivered</t>
        </is>
      </c>
      <c r="I304" t="inlineStr">
        <is>
          <t>Neha Kulkarni</t>
        </is>
      </c>
      <c r="J304" s="14">
        <f>E304*F304*(1-G304/100)</f>
        <v/>
      </c>
      <c r="K304" s="12">
        <f>DATE(YEAR(B304),MONTH(B304),1)</f>
        <v/>
      </c>
      <c r="L304">
        <f>IF(COUNTIF($A$2:A304,A304)=1,1,0)</f>
        <v/>
      </c>
      <c r="M304">
        <f>_xlfn.XLOOKUP(C304,Customers!$A$2:$A$25,Customers!$B$2:$B$25,"not found")</f>
        <v/>
      </c>
      <c r="N304">
        <f>_xlfn.XLOOKUP(C304,Customers!$A$2:$A$25,Customers!$D$2:$D$25,"not found")</f>
        <v/>
      </c>
    </row>
    <row r="305">
      <c r="A305" t="n">
        <v>10161</v>
      </c>
      <c r="B305" s="12" t="n">
        <v>45996</v>
      </c>
      <c r="C305" s="13" t="inlineStr">
        <is>
          <t>0001</t>
        </is>
      </c>
      <c r="D305" t="n">
        <v>107</v>
      </c>
      <c r="E305" t="n">
        <v>30</v>
      </c>
      <c r="F305" t="n">
        <v>380</v>
      </c>
      <c r="G305" t="n">
        <v>5</v>
      </c>
      <c r="H305" t="inlineStr">
        <is>
          <t>Delivered</t>
        </is>
      </c>
      <c r="I305" t="inlineStr">
        <is>
          <t>Neha Kulkarni</t>
        </is>
      </c>
      <c r="J305" s="14">
        <f>E305*F305*(1-G305/100)</f>
        <v/>
      </c>
      <c r="K305" s="12">
        <f>DATE(YEAR(B305),MONTH(B305),1)</f>
        <v/>
      </c>
      <c r="L305">
        <f>IF(COUNTIF($A$2:A305,A305)=1,1,0)</f>
        <v/>
      </c>
      <c r="M305">
        <f>_xlfn.XLOOKUP(C305,Customers!$A$2:$A$25,Customers!$B$2:$B$25,"not found")</f>
        <v/>
      </c>
      <c r="N305">
        <f>_xlfn.XLOOKUP(C305,Customers!$A$2:$A$25,Customers!$D$2:$D$25,"not found")</f>
        <v/>
      </c>
    </row>
    <row r="306">
      <c r="A306" t="n">
        <v>10162</v>
      </c>
      <c r="B306" s="12" t="n">
        <v>45999</v>
      </c>
      <c r="C306" s="13" t="inlineStr">
        <is>
          <t>0007</t>
        </is>
      </c>
      <c r="D306" t="n">
        <v>101</v>
      </c>
      <c r="E306" t="n">
        <v>35</v>
      </c>
      <c r="F306" t="n">
        <v>430</v>
      </c>
      <c r="G306" t="n">
        <v>5</v>
      </c>
      <c r="H306" t="inlineStr">
        <is>
          <t>Delivered</t>
        </is>
      </c>
      <c r="I306" t="inlineStr"/>
      <c r="J306" s="14">
        <f>E306*F306*(1-G306/100)</f>
        <v/>
      </c>
      <c r="K306" s="12">
        <f>DATE(YEAR(B306),MONTH(B306),1)</f>
        <v/>
      </c>
      <c r="L306">
        <f>IF(COUNTIF($A$2:A306,A306)=1,1,0)</f>
        <v/>
      </c>
      <c r="M306">
        <f>_xlfn.XLOOKUP(C306,Customers!$A$2:$A$25,Customers!$B$2:$B$25,"not found")</f>
        <v/>
      </c>
      <c r="N306">
        <f>_xlfn.XLOOKUP(C306,Customers!$A$2:$A$25,Customers!$D$2:$D$25,"not found")</f>
        <v/>
      </c>
    </row>
    <row r="307">
      <c r="A307" t="n">
        <v>10162</v>
      </c>
      <c r="B307" s="12" t="n">
        <v>45999</v>
      </c>
      <c r="C307" s="13" t="inlineStr">
        <is>
          <t>0007</t>
        </is>
      </c>
      <c r="D307" t="n">
        <v>105</v>
      </c>
      <c r="E307" t="n">
        <v>40</v>
      </c>
      <c r="F307" t="n">
        <v>1400</v>
      </c>
      <c r="G307" t="n">
        <v>8</v>
      </c>
      <c r="H307" t="inlineStr">
        <is>
          <t>Delivered</t>
        </is>
      </c>
      <c r="I307" t="inlineStr"/>
      <c r="J307" s="14">
        <f>E307*F307*(1-G307/100)</f>
        <v/>
      </c>
      <c r="K307" s="12">
        <f>DATE(YEAR(B307),MONTH(B307),1)</f>
        <v/>
      </c>
      <c r="L307">
        <f>IF(COUNTIF($A$2:A307,A307)=1,1,0)</f>
        <v/>
      </c>
      <c r="M307">
        <f>_xlfn.XLOOKUP(C307,Customers!$A$2:$A$25,Customers!$B$2:$B$25,"not found")</f>
        <v/>
      </c>
      <c r="N307">
        <f>_xlfn.XLOOKUP(C307,Customers!$A$2:$A$25,Customers!$D$2:$D$25,"not found")</f>
        <v/>
      </c>
    </row>
    <row r="308">
      <c r="A308" t="n">
        <v>10163</v>
      </c>
      <c r="B308" s="12" t="n">
        <v>46001</v>
      </c>
      <c r="C308" s="13" t="inlineStr">
        <is>
          <t>0004</t>
        </is>
      </c>
      <c r="D308" t="n">
        <v>108</v>
      </c>
      <c r="E308" t="n">
        <v>15</v>
      </c>
      <c r="F308" t="n">
        <v>290</v>
      </c>
      <c r="G308" t="n">
        <v>12</v>
      </c>
      <c r="H308" t="inlineStr">
        <is>
          <t>Delivered</t>
        </is>
      </c>
      <c r="I308" t="inlineStr">
        <is>
          <t>Rahul Mehta</t>
        </is>
      </c>
      <c r="J308" s="14">
        <f>E308*F308*(1-G308/100)</f>
        <v/>
      </c>
      <c r="K308" s="12">
        <f>DATE(YEAR(B308),MONTH(B308),1)</f>
        <v/>
      </c>
      <c r="L308">
        <f>IF(COUNTIF($A$2:A308,A308)=1,1,0)</f>
        <v/>
      </c>
      <c r="M308">
        <f>_xlfn.XLOOKUP(C308,Customers!$A$2:$A$25,Customers!$B$2:$B$25,"not found")</f>
        <v/>
      </c>
      <c r="N308">
        <f>_xlfn.XLOOKUP(C308,Customers!$A$2:$A$25,Customers!$D$2:$D$25,"not found")</f>
        <v/>
      </c>
    </row>
    <row r="309">
      <c r="A309" t="n">
        <v>10164</v>
      </c>
      <c r="B309" s="12" t="n">
        <v>46001</v>
      </c>
      <c r="C309" s="13" t="inlineStr">
        <is>
          <t>0019</t>
        </is>
      </c>
      <c r="D309" t="n">
        <v>101</v>
      </c>
      <c r="E309" t="n">
        <v>10</v>
      </c>
      <c r="F309" t="n">
        <v>430</v>
      </c>
      <c r="G309" t="n">
        <v>10</v>
      </c>
      <c r="H309" t="inlineStr">
        <is>
          <t>Delivered</t>
        </is>
      </c>
      <c r="I309" t="inlineStr">
        <is>
          <t>Farah Khan</t>
        </is>
      </c>
      <c r="J309" s="14">
        <f>E309*F309*(1-G309/100)</f>
        <v/>
      </c>
      <c r="K309" s="12">
        <f>DATE(YEAR(B309),MONTH(B309),1)</f>
        <v/>
      </c>
      <c r="L309">
        <f>IF(COUNTIF($A$2:A309,A309)=1,1,0)</f>
        <v/>
      </c>
      <c r="M309">
        <f>_xlfn.XLOOKUP(C309,Customers!$A$2:$A$25,Customers!$B$2:$B$25,"not found")</f>
        <v/>
      </c>
      <c r="N309">
        <f>_xlfn.XLOOKUP(C309,Customers!$A$2:$A$25,Customers!$D$2:$D$25,"not found")</f>
        <v/>
      </c>
    </row>
    <row r="310">
      <c r="A310" t="n">
        <v>10165</v>
      </c>
      <c r="B310" s="12" t="n">
        <v>46003</v>
      </c>
      <c r="C310" s="13" t="inlineStr">
        <is>
          <t>0024</t>
        </is>
      </c>
      <c r="D310" t="n">
        <v>102</v>
      </c>
      <c r="E310" t="n">
        <v>15</v>
      </c>
      <c r="F310" t="n">
        <v>750</v>
      </c>
      <c r="G310" t="n">
        <v>12</v>
      </c>
      <c r="H310" t="inlineStr">
        <is>
          <t>Delivered</t>
        </is>
      </c>
      <c r="I310" t="inlineStr"/>
      <c r="J310" s="14">
        <f>E310*F310*(1-G310/100)</f>
        <v/>
      </c>
      <c r="K310" s="12">
        <f>DATE(YEAR(B310),MONTH(B310),1)</f>
        <v/>
      </c>
      <c r="L310">
        <f>IF(COUNTIF($A$2:A310,A310)=1,1,0)</f>
        <v/>
      </c>
      <c r="M310">
        <f>_xlfn.XLOOKUP(C310,Customers!$A$2:$A$25,Customers!$B$2:$B$25,"not found")</f>
        <v/>
      </c>
      <c r="N310">
        <f>_xlfn.XLOOKUP(C310,Customers!$A$2:$A$25,Customers!$D$2:$D$25,"not found")</f>
        <v/>
      </c>
    </row>
    <row r="311">
      <c r="A311" t="n">
        <v>10165</v>
      </c>
      <c r="B311" s="12" t="n">
        <v>46003</v>
      </c>
      <c r="C311" s="13" t="inlineStr">
        <is>
          <t>0024</t>
        </is>
      </c>
      <c r="D311" t="n">
        <v>108</v>
      </c>
      <c r="E311" t="n">
        <v>35</v>
      </c>
      <c r="F311" t="n">
        <v>290</v>
      </c>
      <c r="G311" t="n">
        <v>10</v>
      </c>
      <c r="H311" t="inlineStr">
        <is>
          <t>Delivered</t>
        </is>
      </c>
      <c r="I311" t="inlineStr"/>
      <c r="J311" s="14">
        <f>E311*F311*(1-G311/100)</f>
        <v/>
      </c>
      <c r="K311" s="12">
        <f>DATE(YEAR(B311),MONTH(B311),1)</f>
        <v/>
      </c>
      <c r="L311">
        <f>IF(COUNTIF($A$2:A311,A311)=1,1,0)</f>
        <v/>
      </c>
      <c r="M311">
        <f>_xlfn.XLOOKUP(C311,Customers!$A$2:$A$25,Customers!$B$2:$B$25,"not found")</f>
        <v/>
      </c>
      <c r="N311">
        <f>_xlfn.XLOOKUP(C311,Customers!$A$2:$A$25,Customers!$D$2:$D$25,"not found")</f>
        <v/>
      </c>
    </row>
    <row r="312">
      <c r="A312" t="n">
        <v>10166</v>
      </c>
      <c r="B312" s="12" t="n">
        <v>46004</v>
      </c>
      <c r="C312" s="13" t="inlineStr">
        <is>
          <t>0023</t>
        </is>
      </c>
      <c r="D312" t="n">
        <v>101</v>
      </c>
      <c r="E312" t="n">
        <v>10</v>
      </c>
      <c r="F312" t="n">
        <v>430</v>
      </c>
      <c r="G312" t="n">
        <v>0</v>
      </c>
      <c r="H312" t="inlineStr">
        <is>
          <t>Delivered</t>
        </is>
      </c>
      <c r="I312" t="inlineStr">
        <is>
          <t>Farah Khan</t>
        </is>
      </c>
      <c r="J312" s="14">
        <f>E312*F312*(1-G312/100)</f>
        <v/>
      </c>
      <c r="K312" s="12">
        <f>DATE(YEAR(B312),MONTH(B312),1)</f>
        <v/>
      </c>
      <c r="L312">
        <f>IF(COUNTIF($A$2:A312,A312)=1,1,0)</f>
        <v/>
      </c>
      <c r="M312">
        <f>_xlfn.XLOOKUP(C312,Customers!$A$2:$A$25,Customers!$B$2:$B$25,"not found")</f>
        <v/>
      </c>
      <c r="N312">
        <f>_xlfn.XLOOKUP(C312,Customers!$A$2:$A$25,Customers!$D$2:$D$25,"not found")</f>
        <v/>
      </c>
    </row>
    <row r="313">
      <c r="A313" t="n">
        <v>10166</v>
      </c>
      <c r="B313" s="12" t="n">
        <v>46004</v>
      </c>
      <c r="C313" s="13" t="inlineStr">
        <is>
          <t>0023</t>
        </is>
      </c>
      <c r="D313" t="n">
        <v>104</v>
      </c>
      <c r="E313" t="n">
        <v>50</v>
      </c>
      <c r="F313" t="n">
        <v>620</v>
      </c>
      <c r="G313" t="n">
        <v>0</v>
      </c>
      <c r="H313" t="inlineStr">
        <is>
          <t>Delivered</t>
        </is>
      </c>
      <c r="I313" t="inlineStr">
        <is>
          <t>Farah Khan</t>
        </is>
      </c>
      <c r="J313" s="14">
        <f>E313*F313*(1-G313/100)</f>
        <v/>
      </c>
      <c r="K313" s="12">
        <f>DATE(YEAR(B313),MONTH(B313),1)</f>
        <v/>
      </c>
      <c r="L313">
        <f>IF(COUNTIF($A$2:A313,A313)=1,1,0)</f>
        <v/>
      </c>
      <c r="M313">
        <f>_xlfn.XLOOKUP(C313,Customers!$A$2:$A$25,Customers!$B$2:$B$25,"not found")</f>
        <v/>
      </c>
      <c r="N313">
        <f>_xlfn.XLOOKUP(C313,Customers!$A$2:$A$25,Customers!$D$2:$D$25,"not found")</f>
        <v/>
      </c>
    </row>
    <row r="314">
      <c r="A314" t="n">
        <v>10167</v>
      </c>
      <c r="B314" s="12" t="n">
        <v>46005</v>
      </c>
      <c r="C314" s="13" t="inlineStr">
        <is>
          <t>0011</t>
        </is>
      </c>
      <c r="D314" t="n">
        <v>101</v>
      </c>
      <c r="E314" t="n">
        <v>35</v>
      </c>
      <c r="F314" t="n">
        <v>430</v>
      </c>
      <c r="G314" t="n">
        <v>10</v>
      </c>
      <c r="H314" t="inlineStr">
        <is>
          <t>Delivered</t>
        </is>
      </c>
      <c r="I314" t="inlineStr">
        <is>
          <t>Rahul Mehta</t>
        </is>
      </c>
      <c r="J314" s="14">
        <f>E314*F314*(1-G314/100)</f>
        <v/>
      </c>
      <c r="K314" s="12">
        <f>DATE(YEAR(B314),MONTH(B314),1)</f>
        <v/>
      </c>
      <c r="L314">
        <f>IF(COUNTIF($A$2:A314,A314)=1,1,0)</f>
        <v/>
      </c>
      <c r="M314">
        <f>_xlfn.XLOOKUP(C314,Customers!$A$2:$A$25,Customers!$B$2:$B$25,"not found")</f>
        <v/>
      </c>
      <c r="N314">
        <f>_xlfn.XLOOKUP(C314,Customers!$A$2:$A$25,Customers!$D$2:$D$25,"not found")</f>
        <v/>
      </c>
    </row>
    <row r="315">
      <c r="A315" t="n">
        <v>10167</v>
      </c>
      <c r="B315" s="12" t="n">
        <v>46005</v>
      </c>
      <c r="C315" s="13" t="inlineStr">
        <is>
          <t>0011</t>
        </is>
      </c>
      <c r="D315" t="n">
        <v>108</v>
      </c>
      <c r="E315" t="n">
        <v>20</v>
      </c>
      <c r="F315" t="n">
        <v>290</v>
      </c>
      <c r="G315" t="n">
        <v>10</v>
      </c>
      <c r="H315" t="inlineStr">
        <is>
          <t>Delivered</t>
        </is>
      </c>
      <c r="I315" t="inlineStr">
        <is>
          <t>Rahul Mehta</t>
        </is>
      </c>
      <c r="J315" s="14">
        <f>E315*F315*(1-G315/100)</f>
        <v/>
      </c>
      <c r="K315" s="12">
        <f>DATE(YEAR(B315),MONTH(B315),1)</f>
        <v/>
      </c>
      <c r="L315">
        <f>IF(COUNTIF($A$2:A315,A315)=1,1,0)</f>
        <v/>
      </c>
      <c r="M315">
        <f>_xlfn.XLOOKUP(C315,Customers!$A$2:$A$25,Customers!$B$2:$B$25,"not found")</f>
        <v/>
      </c>
      <c r="N315">
        <f>_xlfn.XLOOKUP(C315,Customers!$A$2:$A$25,Customers!$D$2:$D$25,"not found")</f>
        <v/>
      </c>
    </row>
    <row r="316">
      <c r="A316" t="n">
        <v>10168</v>
      </c>
      <c r="B316" s="12" t="n">
        <v>46007</v>
      </c>
      <c r="C316" s="13" t="inlineStr">
        <is>
          <t>0005</t>
        </is>
      </c>
      <c r="D316" t="n">
        <v>101</v>
      </c>
      <c r="E316" t="n">
        <v>35</v>
      </c>
      <c r="F316" t="n">
        <v>430</v>
      </c>
      <c r="G316" t="n">
        <v>0</v>
      </c>
      <c r="H316" t="inlineStr">
        <is>
          <t>Delivered</t>
        </is>
      </c>
      <c r="I316" t="inlineStr">
        <is>
          <t>Rahul Mehta</t>
        </is>
      </c>
      <c r="J316" s="14">
        <f>E316*F316*(1-G316/100)</f>
        <v/>
      </c>
      <c r="K316" s="12">
        <f>DATE(YEAR(B316),MONTH(B316),1)</f>
        <v/>
      </c>
      <c r="L316">
        <f>IF(COUNTIF($A$2:A316,A316)=1,1,0)</f>
        <v/>
      </c>
      <c r="M316">
        <f>_xlfn.XLOOKUP(C316,Customers!$A$2:$A$25,Customers!$B$2:$B$25,"not found")</f>
        <v/>
      </c>
      <c r="N316">
        <f>_xlfn.XLOOKUP(C316,Customers!$A$2:$A$25,Customers!$D$2:$D$25,"not found")</f>
        <v/>
      </c>
    </row>
    <row r="317">
      <c r="A317" t="n">
        <v>10168</v>
      </c>
      <c r="B317" s="12" t="n">
        <v>46007</v>
      </c>
      <c r="C317" s="13" t="inlineStr">
        <is>
          <t>0005</t>
        </is>
      </c>
      <c r="D317" t="n">
        <v>103</v>
      </c>
      <c r="E317" t="n">
        <v>20</v>
      </c>
      <c r="F317" t="n">
        <v>115</v>
      </c>
      <c r="G317" t="n">
        <v>0</v>
      </c>
      <c r="H317" t="inlineStr">
        <is>
          <t>Delivered</t>
        </is>
      </c>
      <c r="I317" t="inlineStr">
        <is>
          <t>Rahul Mehta</t>
        </is>
      </c>
      <c r="J317" s="14">
        <f>E317*F317*(1-G317/100)</f>
        <v/>
      </c>
      <c r="K317" s="12">
        <f>DATE(YEAR(B317),MONTH(B317),1)</f>
        <v/>
      </c>
      <c r="L317">
        <f>IF(COUNTIF($A$2:A317,A317)=1,1,0)</f>
        <v/>
      </c>
      <c r="M317">
        <f>_xlfn.XLOOKUP(C317,Customers!$A$2:$A$25,Customers!$B$2:$B$25,"not found")</f>
        <v/>
      </c>
      <c r="N317">
        <f>_xlfn.XLOOKUP(C317,Customers!$A$2:$A$25,Customers!$D$2:$D$25,"not found")</f>
        <v/>
      </c>
    </row>
    <row r="318">
      <c r="A318" t="n">
        <v>10169</v>
      </c>
      <c r="B318" s="12" t="n">
        <v>46007</v>
      </c>
      <c r="C318" s="13" t="inlineStr">
        <is>
          <t>0018</t>
        </is>
      </c>
      <c r="D318" t="n">
        <v>101</v>
      </c>
      <c r="E318" t="n">
        <v>25</v>
      </c>
      <c r="F318" t="n">
        <v>430</v>
      </c>
      <c r="G318" t="n">
        <v>5</v>
      </c>
      <c r="H318" t="inlineStr">
        <is>
          <t>Delivered</t>
        </is>
      </c>
      <c r="I318" t="inlineStr">
        <is>
          <t>Rahul Mehta</t>
        </is>
      </c>
      <c r="J318" s="14">
        <f>E318*F318*(1-G318/100)</f>
        <v/>
      </c>
      <c r="K318" s="12">
        <f>DATE(YEAR(B318),MONTH(B318),1)</f>
        <v/>
      </c>
      <c r="L318">
        <f>IF(COUNTIF($A$2:A318,A318)=1,1,0)</f>
        <v/>
      </c>
      <c r="M318">
        <f>_xlfn.XLOOKUP(C318,Customers!$A$2:$A$25,Customers!$B$2:$B$25,"not found")</f>
        <v/>
      </c>
      <c r="N318">
        <f>_xlfn.XLOOKUP(C318,Customers!$A$2:$A$25,Customers!$D$2:$D$25,"not found")</f>
        <v/>
      </c>
    </row>
    <row r="319">
      <c r="A319" t="n">
        <v>10169</v>
      </c>
      <c r="B319" s="12" t="n">
        <v>46007</v>
      </c>
      <c r="C319" s="13" t="inlineStr">
        <is>
          <t>0018</t>
        </is>
      </c>
      <c r="D319" t="n">
        <v>104</v>
      </c>
      <c r="E319" t="n">
        <v>30</v>
      </c>
      <c r="F319" t="n">
        <v>620</v>
      </c>
      <c r="G319" t="n">
        <v>0</v>
      </c>
      <c r="H319" t="inlineStr">
        <is>
          <t>Delivered</t>
        </is>
      </c>
      <c r="I319" t="inlineStr">
        <is>
          <t>Rahul Mehta</t>
        </is>
      </c>
      <c r="J319" s="14">
        <f>E319*F319*(1-G319/100)</f>
        <v/>
      </c>
      <c r="K319" s="12">
        <f>DATE(YEAR(B319),MONTH(B319),1)</f>
        <v/>
      </c>
      <c r="L319">
        <f>IF(COUNTIF($A$2:A319,A319)=1,1,0)</f>
        <v/>
      </c>
      <c r="M319">
        <f>_xlfn.XLOOKUP(C319,Customers!$A$2:$A$25,Customers!$B$2:$B$25,"not found")</f>
        <v/>
      </c>
      <c r="N319">
        <f>_xlfn.XLOOKUP(C319,Customers!$A$2:$A$25,Customers!$D$2:$D$25,"not found")</f>
        <v/>
      </c>
    </row>
    <row r="320">
      <c r="A320" t="n">
        <v>10169</v>
      </c>
      <c r="B320" s="12" t="n">
        <v>46007</v>
      </c>
      <c r="C320" s="13" t="inlineStr">
        <is>
          <t>0018</t>
        </is>
      </c>
      <c r="D320" t="n">
        <v>108</v>
      </c>
      <c r="E320" t="n">
        <v>25</v>
      </c>
      <c r="F320" t="n">
        <v>290</v>
      </c>
      <c r="G320" t="n">
        <v>5</v>
      </c>
      <c r="H320" t="inlineStr">
        <is>
          <t>Delivered</t>
        </is>
      </c>
      <c r="I320" t="inlineStr">
        <is>
          <t>Rahul Mehta</t>
        </is>
      </c>
      <c r="J320" s="14">
        <f>E320*F320*(1-G320/100)</f>
        <v/>
      </c>
      <c r="K320" s="12">
        <f>DATE(YEAR(B320),MONTH(B320),1)</f>
        <v/>
      </c>
      <c r="L320">
        <f>IF(COUNTIF($A$2:A320,A320)=1,1,0)</f>
        <v/>
      </c>
      <c r="M320">
        <f>_xlfn.XLOOKUP(C320,Customers!$A$2:$A$25,Customers!$B$2:$B$25,"not found")</f>
        <v/>
      </c>
      <c r="N320">
        <f>_xlfn.XLOOKUP(C320,Customers!$A$2:$A$25,Customers!$D$2:$D$25,"not found")</f>
        <v/>
      </c>
    </row>
    <row r="321">
      <c r="A321" t="n">
        <v>10170</v>
      </c>
      <c r="B321" s="12" t="n">
        <v>46007</v>
      </c>
      <c r="C321" s="13" t="inlineStr">
        <is>
          <t>0021</t>
        </is>
      </c>
      <c r="D321" t="n">
        <v>101</v>
      </c>
      <c r="E321" t="n">
        <v>35</v>
      </c>
      <c r="F321" t="n">
        <v>430</v>
      </c>
      <c r="G321" t="n">
        <v>0</v>
      </c>
      <c r="H321" t="inlineStr">
        <is>
          <t>Delivered</t>
        </is>
      </c>
      <c r="I321" t="inlineStr">
        <is>
          <t>Rahul Mehta</t>
        </is>
      </c>
      <c r="J321" s="14">
        <f>E321*F321*(1-G321/100)</f>
        <v/>
      </c>
      <c r="K321" s="12">
        <f>DATE(YEAR(B321),MONTH(B321),1)</f>
        <v/>
      </c>
      <c r="L321">
        <f>IF(COUNTIF($A$2:A321,A321)=1,1,0)</f>
        <v/>
      </c>
      <c r="M321">
        <f>_xlfn.XLOOKUP(C321,Customers!$A$2:$A$25,Customers!$B$2:$B$25,"not found")</f>
        <v/>
      </c>
      <c r="N321">
        <f>_xlfn.XLOOKUP(C321,Customers!$A$2:$A$25,Customers!$D$2:$D$25,"not found")</f>
        <v/>
      </c>
    </row>
    <row r="322">
      <c r="A322" t="n">
        <v>10170</v>
      </c>
      <c r="B322" s="12" t="n">
        <v>46007</v>
      </c>
      <c r="C322" s="13" t="inlineStr">
        <is>
          <t>0021</t>
        </is>
      </c>
      <c r="D322" t="n">
        <v>104</v>
      </c>
      <c r="E322" t="n">
        <v>35</v>
      </c>
      <c r="F322" t="n">
        <v>620</v>
      </c>
      <c r="G322" t="n">
        <v>0</v>
      </c>
      <c r="H322" t="inlineStr">
        <is>
          <t>Delivered</t>
        </is>
      </c>
      <c r="I322" t="inlineStr">
        <is>
          <t>Rahul Mehta</t>
        </is>
      </c>
      <c r="J322" s="14">
        <f>E322*F322*(1-G322/100)</f>
        <v/>
      </c>
      <c r="K322" s="12">
        <f>DATE(YEAR(B322),MONTH(B322),1)</f>
        <v/>
      </c>
      <c r="L322">
        <f>IF(COUNTIF($A$2:A322,A322)=1,1,0)</f>
        <v/>
      </c>
      <c r="M322">
        <f>_xlfn.XLOOKUP(C322,Customers!$A$2:$A$25,Customers!$B$2:$B$25,"not found")</f>
        <v/>
      </c>
      <c r="N322">
        <f>_xlfn.XLOOKUP(C322,Customers!$A$2:$A$25,Customers!$D$2:$D$25,"not found")</f>
        <v/>
      </c>
    </row>
    <row r="323">
      <c r="A323" t="n">
        <v>10171</v>
      </c>
      <c r="B323" s="12" t="n">
        <v>46008</v>
      </c>
      <c r="C323" s="13" t="inlineStr">
        <is>
          <t>0014</t>
        </is>
      </c>
      <c r="D323" t="n">
        <v>101</v>
      </c>
      <c r="E323" t="n">
        <v>30</v>
      </c>
      <c r="F323" t="n">
        <v>430</v>
      </c>
      <c r="G323" t="n">
        <v>8</v>
      </c>
      <c r="H323" t="inlineStr">
        <is>
          <t>Delivered</t>
        </is>
      </c>
      <c r="I323" t="inlineStr">
        <is>
          <t>Farah Khan</t>
        </is>
      </c>
      <c r="J323" s="14">
        <f>E323*F323*(1-G323/100)</f>
        <v/>
      </c>
      <c r="K323" s="12">
        <f>DATE(YEAR(B323),MONTH(B323),1)</f>
        <v/>
      </c>
      <c r="L323">
        <f>IF(COUNTIF($A$2:A323,A323)=1,1,0)</f>
        <v/>
      </c>
      <c r="M323">
        <f>_xlfn.XLOOKUP(C323,Customers!$A$2:$A$25,Customers!$B$2:$B$25,"not found")</f>
        <v/>
      </c>
      <c r="N323">
        <f>_xlfn.XLOOKUP(C323,Customers!$A$2:$A$25,Customers!$D$2:$D$25,"not found")</f>
        <v/>
      </c>
    </row>
    <row r="324">
      <c r="A324" t="n">
        <v>10171</v>
      </c>
      <c r="B324" s="12" t="n">
        <v>46008</v>
      </c>
      <c r="C324" s="13" t="inlineStr">
        <is>
          <t>0014</t>
        </is>
      </c>
      <c r="D324" t="n">
        <v>105</v>
      </c>
      <c r="E324" t="n">
        <v>20</v>
      </c>
      <c r="F324" t="n">
        <v>1400</v>
      </c>
      <c r="G324" t="n">
        <v>8</v>
      </c>
      <c r="H324" t="inlineStr">
        <is>
          <t>Delivered</t>
        </is>
      </c>
      <c r="I324" t="inlineStr">
        <is>
          <t>Farah Khan</t>
        </is>
      </c>
      <c r="J324" s="14">
        <f>E324*F324*(1-G324/100)</f>
        <v/>
      </c>
      <c r="K324" s="12">
        <f>DATE(YEAR(B324),MONTH(B324),1)</f>
        <v/>
      </c>
      <c r="L324">
        <f>IF(COUNTIF($A$2:A324,A324)=1,1,0)</f>
        <v/>
      </c>
      <c r="M324">
        <f>_xlfn.XLOOKUP(C324,Customers!$A$2:$A$25,Customers!$B$2:$B$25,"not found")</f>
        <v/>
      </c>
      <c r="N324">
        <f>_xlfn.XLOOKUP(C324,Customers!$A$2:$A$25,Customers!$D$2:$D$25,"not found")</f>
        <v/>
      </c>
    </row>
    <row r="325">
      <c r="A325" t="n">
        <v>10172</v>
      </c>
      <c r="B325" s="12" t="n">
        <v>46009</v>
      </c>
      <c r="C325" s="13" t="inlineStr">
        <is>
          <t>0015</t>
        </is>
      </c>
      <c r="D325" t="n">
        <v>107</v>
      </c>
      <c r="E325" t="n">
        <v>50</v>
      </c>
      <c r="F325" t="n">
        <v>380</v>
      </c>
      <c r="G325" t="n">
        <v>5</v>
      </c>
      <c r="H325" t="inlineStr">
        <is>
          <t>Delivered</t>
        </is>
      </c>
      <c r="I325" t="inlineStr">
        <is>
          <t>Farah Khan</t>
        </is>
      </c>
      <c r="J325" s="14">
        <f>E325*F325*(1-G325/100)</f>
        <v/>
      </c>
      <c r="K325" s="12">
        <f>DATE(YEAR(B325),MONTH(B325),1)</f>
        <v/>
      </c>
      <c r="L325">
        <f>IF(COUNTIF($A$2:A325,A325)=1,1,0)</f>
        <v/>
      </c>
      <c r="M325">
        <f>_xlfn.XLOOKUP(C325,Customers!$A$2:$A$25,Customers!$B$2:$B$25,"not found")</f>
        <v/>
      </c>
      <c r="N325">
        <f>_xlfn.XLOOKUP(C325,Customers!$A$2:$A$25,Customers!$D$2:$D$25,"not found")</f>
        <v/>
      </c>
    </row>
    <row r="326">
      <c r="A326" t="n">
        <v>10172</v>
      </c>
      <c r="B326" s="12" t="n">
        <v>46009</v>
      </c>
      <c r="C326" s="13" t="inlineStr">
        <is>
          <t>0015</t>
        </is>
      </c>
      <c r="D326" t="n">
        <v>108</v>
      </c>
      <c r="E326" t="n">
        <v>20</v>
      </c>
      <c r="F326" t="n">
        <v>290</v>
      </c>
      <c r="G326" t="n">
        <v>0</v>
      </c>
      <c r="H326" t="inlineStr">
        <is>
          <t>Delivered</t>
        </is>
      </c>
      <c r="I326" t="inlineStr">
        <is>
          <t>Farah Khan</t>
        </is>
      </c>
      <c r="J326" s="14">
        <f>E326*F326*(1-G326/100)</f>
        <v/>
      </c>
      <c r="K326" s="12">
        <f>DATE(YEAR(B326),MONTH(B326),1)</f>
        <v/>
      </c>
      <c r="L326">
        <f>IF(COUNTIF($A$2:A326,A326)=1,1,0)</f>
        <v/>
      </c>
      <c r="M326">
        <f>_xlfn.XLOOKUP(C326,Customers!$A$2:$A$25,Customers!$B$2:$B$25,"not found")</f>
        <v/>
      </c>
      <c r="N326">
        <f>_xlfn.XLOOKUP(C326,Customers!$A$2:$A$25,Customers!$D$2:$D$25,"not found")</f>
        <v/>
      </c>
    </row>
    <row r="327">
      <c r="A327" t="n">
        <v>10173</v>
      </c>
      <c r="B327" s="12" t="n">
        <v>46010</v>
      </c>
      <c r="C327" s="13" t="inlineStr">
        <is>
          <t>0012</t>
        </is>
      </c>
      <c r="D327" t="n">
        <v>103</v>
      </c>
      <c r="E327" t="n">
        <v>50</v>
      </c>
      <c r="F327" t="n">
        <v>115</v>
      </c>
      <c r="G327" t="n">
        <v>0</v>
      </c>
      <c r="H327" t="inlineStr">
        <is>
          <t>Delivered</t>
        </is>
      </c>
      <c r="I327" t="inlineStr">
        <is>
          <t>Neha Kulkarni</t>
        </is>
      </c>
      <c r="J327" s="14">
        <f>E327*F327*(1-G327/100)</f>
        <v/>
      </c>
      <c r="K327" s="12">
        <f>DATE(YEAR(B327),MONTH(B327),1)</f>
        <v/>
      </c>
      <c r="L327">
        <f>IF(COUNTIF($A$2:A327,A327)=1,1,0)</f>
        <v/>
      </c>
      <c r="M327">
        <f>_xlfn.XLOOKUP(C327,Customers!$A$2:$A$25,Customers!$B$2:$B$25,"not found")</f>
        <v/>
      </c>
      <c r="N327">
        <f>_xlfn.XLOOKUP(C327,Customers!$A$2:$A$25,Customers!$D$2:$D$25,"not found")</f>
        <v/>
      </c>
    </row>
    <row r="328">
      <c r="A328" t="n">
        <v>10174</v>
      </c>
      <c r="B328" s="12" t="n">
        <v>46012</v>
      </c>
      <c r="C328" s="13" t="inlineStr">
        <is>
          <t>0009</t>
        </is>
      </c>
      <c r="D328" t="n">
        <v>108</v>
      </c>
      <c r="E328" t="n">
        <v>10</v>
      </c>
      <c r="F328" t="n">
        <v>290</v>
      </c>
      <c r="G328" t="n">
        <v>5</v>
      </c>
      <c r="H328" t="inlineStr">
        <is>
          <t>Pending</t>
        </is>
      </c>
      <c r="I328" t="inlineStr">
        <is>
          <t>Farah Khan</t>
        </is>
      </c>
      <c r="J328" s="14">
        <f>E328*F328*(1-G328/100)</f>
        <v/>
      </c>
      <c r="K328" s="12">
        <f>DATE(YEAR(B328),MONTH(B328),1)</f>
        <v/>
      </c>
      <c r="L328">
        <f>IF(COUNTIF($A$2:A328,A328)=1,1,0)</f>
        <v/>
      </c>
      <c r="M328">
        <f>_xlfn.XLOOKUP(C328,Customers!$A$2:$A$25,Customers!$B$2:$B$25,"not found")</f>
        <v/>
      </c>
      <c r="N328">
        <f>_xlfn.XLOOKUP(C328,Customers!$A$2:$A$25,Customers!$D$2:$D$25,"not found")</f>
        <v/>
      </c>
    </row>
    <row r="329">
      <c r="A329" t="n">
        <v>10175</v>
      </c>
      <c r="B329" s="12" t="n">
        <v>46014</v>
      </c>
      <c r="C329" s="13" t="inlineStr">
        <is>
          <t>0017</t>
        </is>
      </c>
      <c r="D329" t="n">
        <v>101</v>
      </c>
      <c r="E329" t="n">
        <v>55</v>
      </c>
      <c r="F329" t="n">
        <v>430</v>
      </c>
      <c r="G329" t="n">
        <v>0</v>
      </c>
      <c r="H329" t="inlineStr">
        <is>
          <t>Shipped</t>
        </is>
      </c>
      <c r="I329" t="inlineStr">
        <is>
          <t>Neha Kulkarni</t>
        </is>
      </c>
      <c r="J329" s="14">
        <f>E329*F329*(1-G329/100)</f>
        <v/>
      </c>
      <c r="K329" s="12">
        <f>DATE(YEAR(B329),MONTH(B329),1)</f>
        <v/>
      </c>
      <c r="L329">
        <f>IF(COUNTIF($A$2:A329,A329)=1,1,0)</f>
        <v/>
      </c>
      <c r="M329">
        <f>_xlfn.XLOOKUP(C329,Customers!$A$2:$A$25,Customers!$B$2:$B$25,"not found")</f>
        <v/>
      </c>
      <c r="N329">
        <f>_xlfn.XLOOKUP(C329,Customers!$A$2:$A$25,Customers!$D$2:$D$25,"not found")</f>
        <v/>
      </c>
    </row>
    <row r="330">
      <c r="A330" t="n">
        <v>10175</v>
      </c>
      <c r="B330" s="12" t="n">
        <v>46014</v>
      </c>
      <c r="C330" s="13" t="inlineStr">
        <is>
          <t>0017</t>
        </is>
      </c>
      <c r="D330" t="n">
        <v>107</v>
      </c>
      <c r="E330" t="n">
        <v>15</v>
      </c>
      <c r="F330" t="n">
        <v>380</v>
      </c>
      <c r="G330" t="n">
        <v>0</v>
      </c>
      <c r="H330" t="inlineStr">
        <is>
          <t>Shipped</t>
        </is>
      </c>
      <c r="I330" t="inlineStr">
        <is>
          <t>Neha Kulkarni</t>
        </is>
      </c>
      <c r="J330" s="14">
        <f>E330*F330*(1-G330/100)</f>
        <v/>
      </c>
      <c r="K330" s="12">
        <f>DATE(YEAR(B330),MONTH(B330),1)</f>
        <v/>
      </c>
      <c r="L330">
        <f>IF(COUNTIF($A$2:A330,A330)=1,1,0)</f>
        <v/>
      </c>
      <c r="M330">
        <f>_xlfn.XLOOKUP(C330,Customers!$A$2:$A$25,Customers!$B$2:$B$25,"not found")</f>
        <v/>
      </c>
      <c r="N330">
        <f>_xlfn.XLOOKUP(C330,Customers!$A$2:$A$25,Customers!$D$2:$D$25,"not found")</f>
        <v/>
      </c>
    </row>
    <row r="331">
      <c r="A331" t="n">
        <v>10175</v>
      </c>
      <c r="B331" s="12" t="n">
        <v>46014</v>
      </c>
      <c r="C331" s="13" t="inlineStr">
        <is>
          <t>0017</t>
        </is>
      </c>
      <c r="D331" t="n">
        <v>108</v>
      </c>
      <c r="E331" t="n">
        <v>30</v>
      </c>
      <c r="F331" t="n">
        <v>290</v>
      </c>
      <c r="G331" t="n">
        <v>0</v>
      </c>
      <c r="H331" t="inlineStr">
        <is>
          <t>Shipped</t>
        </is>
      </c>
      <c r="I331" t="inlineStr">
        <is>
          <t>Neha Kulkarni</t>
        </is>
      </c>
      <c r="J331" s="14">
        <f>E331*F331*(1-G331/100)</f>
        <v/>
      </c>
      <c r="K331" s="12">
        <f>DATE(YEAR(B331),MONTH(B331),1)</f>
        <v/>
      </c>
      <c r="L331">
        <f>IF(COUNTIF($A$2:A331,A331)=1,1,0)</f>
        <v/>
      </c>
      <c r="M331">
        <f>_xlfn.XLOOKUP(C331,Customers!$A$2:$A$25,Customers!$B$2:$B$25,"not found")</f>
        <v/>
      </c>
      <c r="N331">
        <f>_xlfn.XLOOKUP(C331,Customers!$A$2:$A$25,Customers!$D$2:$D$25,"not found")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14" customWidth="1" min="3" max="3"/>
    <col width="14" customWidth="1" min="4" max="4"/>
    <col width="13" customWidth="1" min="5" max="5"/>
  </cols>
  <sheetData>
    <row r="1">
      <c r="A1" s="3" t="inlineStr">
        <is>
          <t>customer_code</t>
        </is>
      </c>
      <c r="B1" s="3" t="inlineStr">
        <is>
          <t>customer_name</t>
        </is>
      </c>
      <c r="C1" s="3" t="inlineStr">
        <is>
          <t>city</t>
        </is>
      </c>
      <c r="D1" s="3" t="inlineStr">
        <is>
          <t>segment</t>
        </is>
      </c>
      <c r="E1" s="3" t="inlineStr">
        <is>
          <t>signup_date</t>
        </is>
      </c>
    </row>
    <row r="2">
      <c r="A2" s="13" t="inlineStr">
        <is>
          <t>0001</t>
        </is>
      </c>
      <c r="B2" t="inlineStr">
        <is>
          <t>Sharma Hardware</t>
        </is>
      </c>
      <c r="C2" t="inlineStr">
        <is>
          <t>Mumbai</t>
        </is>
      </c>
      <c r="D2" t="inlineStr">
        <is>
          <t>Retail</t>
        </is>
      </c>
      <c r="E2" s="12" t="n">
        <v>45600</v>
      </c>
    </row>
    <row r="3">
      <c r="A3" s="13" t="inlineStr">
        <is>
          <t>0002</t>
        </is>
      </c>
      <c r="B3" t="inlineStr">
        <is>
          <t>Patel Kitchenware</t>
        </is>
      </c>
      <c r="C3" t="inlineStr">
        <is>
          <t>Ahmedabad</t>
        </is>
      </c>
      <c r="D3" t="inlineStr">
        <is>
          <t>Retail</t>
        </is>
      </c>
      <c r="E3" s="12" t="n">
        <v>45641</v>
      </c>
    </row>
    <row r="4">
      <c r="A4" s="13" t="inlineStr">
        <is>
          <t>0003</t>
        </is>
      </c>
      <c r="B4" t="inlineStr">
        <is>
          <t>Green Leaf Hotels</t>
        </is>
      </c>
      <c r="C4" t="inlineStr">
        <is>
          <t>Pune</t>
        </is>
      </c>
      <c r="D4" t="inlineStr">
        <is>
          <t>Hospitality</t>
        </is>
      </c>
      <c r="E4" s="12" t="n">
        <v>45543</v>
      </c>
    </row>
    <row r="5">
      <c r="A5" s="13" t="inlineStr">
        <is>
          <t>0004</t>
        </is>
      </c>
      <c r="B5" t="inlineStr">
        <is>
          <t>Coastal Foods</t>
        </is>
      </c>
      <c r="C5" t="inlineStr">
        <is>
          <t>Chennai</t>
        </is>
      </c>
      <c r="D5" t="inlineStr">
        <is>
          <t>Wholesale</t>
        </is>
      </c>
      <c r="E5" s="12" t="n">
        <v>45585</v>
      </c>
    </row>
    <row r="6">
      <c r="A6" s="13" t="inlineStr">
        <is>
          <t>0005</t>
        </is>
      </c>
      <c r="B6" t="inlineStr">
        <is>
          <t>Metro Mart</t>
        </is>
      </c>
      <c r="C6" t="inlineStr">
        <is>
          <t>Mumbai</t>
        </is>
      </c>
      <c r="D6" t="inlineStr">
        <is>
          <t>Retail</t>
        </is>
      </c>
      <c r="E6" s="12" t="n">
        <v>45648</v>
      </c>
    </row>
    <row r="7">
      <c r="A7" s="13" t="inlineStr">
        <is>
          <t>0006</t>
        </is>
      </c>
      <c r="B7" t="inlineStr">
        <is>
          <t>Sunrise Caterers</t>
        </is>
      </c>
      <c r="C7" t="inlineStr">
        <is>
          <t>Nagpur</t>
        </is>
      </c>
      <c r="D7" t="inlineStr">
        <is>
          <t>Hospitality</t>
        </is>
      </c>
      <c r="E7" s="12" t="n">
        <v>45691</v>
      </c>
    </row>
    <row r="8">
      <c r="A8" s="13" t="inlineStr">
        <is>
          <t>0007</t>
        </is>
      </c>
      <c r="B8" t="inlineStr">
        <is>
          <t>Northgate Distributors</t>
        </is>
      </c>
      <c r="C8" t="inlineStr">
        <is>
          <t>Delhi</t>
        </is>
      </c>
      <c r="D8" t="inlineStr">
        <is>
          <t>Wholesale</t>
        </is>
      </c>
      <c r="E8" s="12" t="n">
        <v>45705</v>
      </c>
    </row>
    <row r="9">
      <c r="A9" s="13" t="inlineStr">
        <is>
          <t>0008</t>
        </is>
      </c>
      <c r="B9" t="inlineStr">
        <is>
          <t>Blue Bay Cafe</t>
        </is>
      </c>
      <c r="C9" t="inlineStr">
        <is>
          <t>Pune</t>
        </is>
      </c>
      <c r="D9" t="inlineStr">
        <is>
          <t>Hospitality</t>
        </is>
      </c>
      <c r="E9" s="12" t="n">
        <v>45717</v>
      </c>
    </row>
    <row r="10">
      <c r="A10" s="13" t="inlineStr">
        <is>
          <t>0009</t>
        </is>
      </c>
      <c r="B10" t="inlineStr">
        <is>
          <t>Lakeview Resorts</t>
        </is>
      </c>
      <c r="C10" t="inlineStr">
        <is>
          <t>Udaipur</t>
        </is>
      </c>
      <c r="D10" t="inlineStr">
        <is>
          <t>Hospitality</t>
        </is>
      </c>
      <c r="E10" s="12" t="n">
        <v>45516</v>
      </c>
    </row>
    <row r="11">
      <c r="A11" s="13" t="inlineStr">
        <is>
          <t>0010</t>
        </is>
      </c>
      <c r="B11" t="inlineStr">
        <is>
          <t>City Needs Store</t>
        </is>
      </c>
      <c r="C11" t="inlineStr">
        <is>
          <t>Jaipur</t>
        </is>
      </c>
      <c r="D11" t="inlineStr">
        <is>
          <t>Retail</t>
        </is>
      </c>
      <c r="E11" s="12" t="n">
        <v>45631</v>
      </c>
    </row>
    <row r="12">
      <c r="A12" s="13" t="inlineStr">
        <is>
          <t>0011</t>
        </is>
      </c>
      <c r="B12" t="inlineStr">
        <is>
          <t>Harbour Traders</t>
        </is>
      </c>
      <c r="C12" t="inlineStr">
        <is>
          <t>Kochi</t>
        </is>
      </c>
      <c r="D12" t="inlineStr">
        <is>
          <t>Wholesale</t>
        </is>
      </c>
      <c r="E12" s="12" t="n">
        <v>45756</v>
      </c>
    </row>
    <row r="13">
      <c r="A13" s="13" t="inlineStr">
        <is>
          <t>0012</t>
        </is>
      </c>
      <c r="B13" t="inlineStr">
        <is>
          <t>Fresh Bowl Kitchens</t>
        </is>
      </c>
      <c r="C13" t="inlineStr">
        <is>
          <t>Bengaluru</t>
        </is>
      </c>
      <c r="D13" t="inlineStr">
        <is>
          <t>Hospitality</t>
        </is>
      </c>
      <c r="E13" s="12" t="n">
        <v>45708</v>
      </c>
    </row>
    <row r="14">
      <c r="A14" s="13" t="inlineStr">
        <is>
          <t>0013</t>
        </is>
      </c>
      <c r="B14" t="inlineStr">
        <is>
          <t>Om Sai Provisions</t>
        </is>
      </c>
      <c r="C14" t="inlineStr">
        <is>
          <t>Nashik</t>
        </is>
      </c>
      <c r="D14" t="inlineStr">
        <is>
          <t>Retail</t>
        </is>
      </c>
      <c r="E14" s="12" t="n">
        <v>45730</v>
      </c>
    </row>
    <row r="15">
      <c r="A15" s="13" t="inlineStr">
        <is>
          <t>0014</t>
        </is>
      </c>
      <c r="B15" t="inlineStr">
        <is>
          <t>Deccan Packaging</t>
        </is>
      </c>
      <c r="C15" t="inlineStr">
        <is>
          <t>Hyderabad</t>
        </is>
      </c>
      <c r="D15" t="inlineStr">
        <is>
          <t>Wholesale</t>
        </is>
      </c>
      <c r="E15" s="12" t="n">
        <v>45783</v>
      </c>
    </row>
    <row r="16">
      <c r="A16" s="13" t="inlineStr">
        <is>
          <t>0015</t>
        </is>
      </c>
      <c r="B16" t="inlineStr">
        <is>
          <t>Spice Route Restaurants</t>
        </is>
      </c>
      <c r="C16" t="inlineStr">
        <is>
          <t>Kolkata</t>
        </is>
      </c>
      <c r="D16" t="inlineStr">
        <is>
          <t>Hospitality</t>
        </is>
      </c>
      <c r="E16" s="12" t="n">
        <v>45810</v>
      </c>
    </row>
    <row r="17">
      <c r="A17" s="13" t="inlineStr">
        <is>
          <t>0016</t>
        </is>
      </c>
      <c r="B17" t="inlineStr">
        <is>
          <t>Home Plus</t>
        </is>
      </c>
      <c r="C17" t="inlineStr">
        <is>
          <t>Surat</t>
        </is>
      </c>
      <c r="D17" t="inlineStr">
        <is>
          <t>Retail</t>
        </is>
      </c>
      <c r="E17" s="12" t="n">
        <v>45826</v>
      </c>
    </row>
    <row r="18">
      <c r="A18" s="13" t="inlineStr">
        <is>
          <t>0017</t>
        </is>
      </c>
      <c r="B18" t="inlineStr">
        <is>
          <t>Royal Banquets</t>
        </is>
      </c>
      <c r="C18" t="inlineStr">
        <is>
          <t>Lucknow</t>
        </is>
      </c>
      <c r="D18" t="inlineStr">
        <is>
          <t>Hospitality</t>
        </is>
      </c>
      <c r="E18" s="12" t="n">
        <v>45845</v>
      </c>
    </row>
    <row r="19">
      <c r="A19" s="13" t="inlineStr">
        <is>
          <t>0018</t>
        </is>
      </c>
      <c r="B19" t="inlineStr">
        <is>
          <t>Evergreen Mart</t>
        </is>
      </c>
      <c r="C19" t="inlineStr">
        <is>
          <t>Indore</t>
        </is>
      </c>
      <c r="D19" t="inlineStr">
        <is>
          <t>Retail</t>
        </is>
      </c>
      <c r="E19" s="12" t="n">
        <v>45859</v>
      </c>
    </row>
    <row r="20">
      <c r="A20" s="13" t="inlineStr">
        <is>
          <t>0019</t>
        </is>
      </c>
      <c r="B20" t="inlineStr">
        <is>
          <t>Western Logistics</t>
        </is>
      </c>
      <c r="C20" t="inlineStr">
        <is>
          <t>Mumbai</t>
        </is>
      </c>
      <c r="D20" t="inlineStr">
        <is>
          <t>Wholesale</t>
        </is>
      </c>
      <c r="E20" s="12" t="n">
        <v>45880</v>
      </c>
    </row>
    <row r="21">
      <c r="A21" s="13" t="inlineStr">
        <is>
          <t>0020</t>
        </is>
      </c>
      <c r="B21" t="inlineStr">
        <is>
          <t>Tasty Tiffins</t>
        </is>
      </c>
      <c r="C21" t="inlineStr">
        <is>
          <t>Pune</t>
        </is>
      </c>
      <c r="D21" t="inlineStr">
        <is>
          <t>Hospitality</t>
        </is>
      </c>
      <c r="E21" s="12" t="n">
        <v>45894</v>
      </c>
    </row>
    <row r="22">
      <c r="A22" s="13" t="inlineStr">
        <is>
          <t>0021</t>
        </is>
      </c>
      <c r="B22" t="inlineStr">
        <is>
          <t>Kitchen Kraft</t>
        </is>
      </c>
      <c r="C22" t="inlineStr">
        <is>
          <t>Bengaluru</t>
        </is>
      </c>
      <c r="D22" t="inlineStr">
        <is>
          <t>Retail</t>
        </is>
      </c>
      <c r="E22" s="12" t="n">
        <v>45903</v>
      </c>
    </row>
    <row r="23">
      <c r="A23" s="13" t="inlineStr">
        <is>
          <t>0022</t>
        </is>
      </c>
      <c r="B23" t="inlineStr">
        <is>
          <t>Festive Gifts Co</t>
        </is>
      </c>
      <c r="C23" t="inlineStr">
        <is>
          <t>Delhi</t>
        </is>
      </c>
      <c r="D23" t="inlineStr">
        <is>
          <t>Retail</t>
        </is>
      </c>
      <c r="E23" s="12" t="n">
        <v>45915</v>
      </c>
    </row>
    <row r="24">
      <c r="A24" s="13" t="inlineStr">
        <is>
          <t>0023</t>
        </is>
      </c>
      <c r="B24" t="inlineStr">
        <is>
          <t>Sea Breeze Hotel</t>
        </is>
      </c>
      <c r="C24" t="inlineStr">
        <is>
          <t>Goa</t>
        </is>
      </c>
      <c r="D24" t="inlineStr">
        <is>
          <t>Hospitality</t>
        </is>
      </c>
      <c r="E24" s="12" t="n">
        <v>45936</v>
      </c>
    </row>
    <row r="25">
      <c r="A25" s="13" t="inlineStr">
        <is>
          <t>0024</t>
        </is>
      </c>
      <c r="B25" t="inlineStr">
        <is>
          <t>Prime Wholesale</t>
        </is>
      </c>
      <c r="C25" t="inlineStr">
        <is>
          <t>Ahmedabad</t>
        </is>
      </c>
      <c r="D25" t="inlineStr">
        <is>
          <t>Wholesale</t>
        </is>
      </c>
      <c r="E25" s="12" t="n">
        <v>45971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1" customWidth="1" min="4" max="4"/>
    <col width="11" customWidth="1" min="5" max="5"/>
  </cols>
  <sheetData>
    <row r="1">
      <c r="A1" s="3" t="inlineStr">
        <is>
          <t>product_id</t>
        </is>
      </c>
      <c r="B1" s="3" t="inlineStr">
        <is>
          <t>product_name</t>
        </is>
      </c>
      <c r="C1" s="3" t="inlineStr">
        <is>
          <t>category</t>
        </is>
      </c>
      <c r="D1" s="3" t="inlineStr">
        <is>
          <t>list_price</t>
        </is>
      </c>
      <c r="E1" s="3" t="inlineStr">
        <is>
          <t>unit_cost</t>
        </is>
      </c>
    </row>
    <row r="2">
      <c r="A2" t="n">
        <v>101</v>
      </c>
      <c r="B2" t="inlineStr">
        <is>
          <t>Storage Box 10L</t>
        </is>
      </c>
      <c r="C2" t="inlineStr">
        <is>
          <t>Storage</t>
        </is>
      </c>
      <c r="D2" t="n">
        <v>430</v>
      </c>
      <c r="E2" t="n">
        <v>300</v>
      </c>
    </row>
    <row r="3">
      <c r="A3" t="n">
        <v>102</v>
      </c>
      <c r="B3" t="inlineStr">
        <is>
          <t>Storage Box 25L</t>
        </is>
      </c>
      <c r="C3" t="inlineStr">
        <is>
          <t>Storage</t>
        </is>
      </c>
      <c r="D3" t="n">
        <v>750</v>
      </c>
      <c r="E3" t="n">
        <v>540</v>
      </c>
    </row>
    <row r="4">
      <c r="A4" t="n">
        <v>103</v>
      </c>
      <c r="B4" t="inlineStr">
        <is>
          <t>Water Bottle 1L</t>
        </is>
      </c>
      <c r="C4" t="inlineStr">
        <is>
          <t>Kitchen</t>
        </is>
      </c>
      <c r="D4" t="n">
        <v>115</v>
      </c>
      <c r="E4" t="n">
        <v>70</v>
      </c>
    </row>
    <row r="5">
      <c r="A5" t="n">
        <v>104</v>
      </c>
      <c r="B5" t="inlineStr">
        <is>
          <t>Food Container Set</t>
        </is>
      </c>
      <c r="C5" t="inlineStr">
        <is>
          <t>Kitchen</t>
        </is>
      </c>
      <c r="D5" t="n">
        <v>620</v>
      </c>
      <c r="E5" t="n">
        <v>430</v>
      </c>
    </row>
    <row r="6">
      <c r="A6" t="n">
        <v>105</v>
      </c>
      <c r="B6" t="inlineStr">
        <is>
          <t>Industrial Crate</t>
        </is>
      </c>
      <c r="C6" t="inlineStr">
        <is>
          <t>Industrial</t>
        </is>
      </c>
      <c r="D6" t="n">
        <v>1400</v>
      </c>
      <c r="E6" t="n">
        <v>1100</v>
      </c>
    </row>
    <row r="7">
      <c r="A7" t="n">
        <v>106</v>
      </c>
      <c r="B7" t="inlineStr">
        <is>
          <t>Garden Chair</t>
        </is>
      </c>
      <c r="C7" t="inlineStr">
        <is>
          <t>Furniture</t>
        </is>
      </c>
      <c r="D7" t="n">
        <v>1150</v>
      </c>
      <c r="E7" t="n">
        <v>850</v>
      </c>
    </row>
    <row r="8">
      <c r="A8" t="n">
        <v>107</v>
      </c>
      <c r="B8" t="inlineStr">
        <is>
          <t>Lunch Box Set</t>
        </is>
      </c>
      <c r="C8" t="inlineStr">
        <is>
          <t>Kitchen</t>
        </is>
      </c>
      <c r="D8" t="n">
        <v>380</v>
      </c>
      <c r="E8" t="n">
        <v>240</v>
      </c>
    </row>
    <row r="9">
      <c r="A9" t="n">
        <v>108</v>
      </c>
      <c r="B9" t="inlineStr">
        <is>
          <t>Stackable Bin</t>
        </is>
      </c>
      <c r="C9" t="inlineStr">
        <is>
          <t>Storage</t>
        </is>
      </c>
      <c r="D9" t="n">
        <v>290</v>
      </c>
      <c r="E9" t="n">
        <v>190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</cols>
  <sheetData>
    <row r="1">
      <c r="A1" s="3" t="inlineStr">
        <is>
          <t>month_start</t>
        </is>
      </c>
      <c r="B1" s="3" t="inlineStr">
        <is>
          <t>target_revenue</t>
        </is>
      </c>
    </row>
    <row r="2">
      <c r="A2" s="12" t="n">
        <v>45658</v>
      </c>
      <c r="B2" s="5" t="n">
        <v>300000</v>
      </c>
    </row>
    <row r="3">
      <c r="A3" s="12" t="n">
        <v>45689</v>
      </c>
      <c r="B3" s="5" t="n">
        <v>300000</v>
      </c>
    </row>
    <row r="4">
      <c r="A4" s="12" t="n">
        <v>45717</v>
      </c>
      <c r="B4" s="5" t="n">
        <v>320000</v>
      </c>
    </row>
    <row r="5">
      <c r="A5" s="12" t="n">
        <v>45748</v>
      </c>
      <c r="B5" s="5" t="n">
        <v>320000</v>
      </c>
    </row>
    <row r="6">
      <c r="A6" s="12" t="n">
        <v>45778</v>
      </c>
      <c r="B6" s="5" t="n">
        <v>320000</v>
      </c>
    </row>
    <row r="7">
      <c r="A7" s="12" t="n">
        <v>45809</v>
      </c>
      <c r="B7" s="5" t="n">
        <v>300000</v>
      </c>
    </row>
    <row r="8">
      <c r="A8" s="12" t="n">
        <v>45839</v>
      </c>
      <c r="B8" s="5" t="n">
        <v>280000</v>
      </c>
    </row>
    <row r="9">
      <c r="A9" s="12" t="n">
        <v>45870</v>
      </c>
      <c r="B9" s="5" t="n">
        <v>320000</v>
      </c>
    </row>
    <row r="10">
      <c r="A10" s="12" t="n">
        <v>45901</v>
      </c>
      <c r="B10" s="5" t="n">
        <v>380000</v>
      </c>
    </row>
    <row r="11">
      <c r="A11" s="12" t="n">
        <v>45931</v>
      </c>
      <c r="B11" s="5" t="n">
        <v>520000</v>
      </c>
    </row>
    <row r="12">
      <c r="A12" s="12" t="n">
        <v>45962</v>
      </c>
      <c r="B12" s="5" t="n">
        <v>500000</v>
      </c>
    </row>
    <row r="13">
      <c r="A13" s="12" t="n">
        <v>45992</v>
      </c>
      <c r="B13" s="5" t="n">
        <v>380000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2026-09-16T18:03:24Z</dcterms:created>
  <dcterms:modified xmlns:dcterms="http://purl.org/dc/terms/" xmlns:xsi="http://www.w3.org/2001/XMLSchema-instance" xsi:type="dcterms:W3CDTF">2026-09-16T18:03:24Z</dcterms:modified>
</cp:coreProperties>
</file>