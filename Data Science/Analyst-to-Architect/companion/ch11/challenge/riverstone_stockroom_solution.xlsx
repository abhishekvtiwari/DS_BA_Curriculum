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order_date</t>
        </is>
      </c>
      <c r="C1" t="inlineStr">
        <is>
          <t>order_id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</row>
    <row r="2">
      <c r="A2" t="inlineStr">
        <is>
          <t>02.01.2025|SO10001|C0002|P108x10@290-0%|DEL</t>
        </is>
      </c>
      <c r="B2" s="1">
        <f>DATE(MID(A2,7,4),MID(A2,4,2),LEFT(A2,2))</f>
        <v/>
      </c>
      <c r="C2">
        <f>VALUE(MID(A2,14,5))</f>
        <v/>
      </c>
      <c r="D2">
        <f>MID(A2,21,4)</f>
        <v/>
      </c>
      <c r="E2">
        <f>VALUE(MID(A2,27,3))</f>
        <v/>
      </c>
      <c r="F2">
        <f>VALUE(MID(A2,31,FIND("@",A2)-31))</f>
        <v/>
      </c>
      <c r="G2">
        <f>VALUE(MID(A2,FIND("@",A2)+1,FIND("-",A2)-FIND("@",A2)-1))</f>
        <v/>
      </c>
      <c r="H2">
        <f>VALUE(MID(A2,FIND("-",A2)+1,FIND("%",A2)-FIND("-",A2)-1))</f>
        <v/>
      </c>
      <c r="I2">
        <f>RIGHT(A2,3)</f>
        <v/>
      </c>
    </row>
    <row r="3">
      <c r="A3" t="inlineStr">
        <is>
          <t>05.01.2025|SO10002|C0003|P107x55@380-0%|DEL</t>
        </is>
      </c>
      <c r="B3" s="1">
        <f>DATE(MID(A3,7,4),MID(A3,4,2),LEFT(A3,2))</f>
        <v/>
      </c>
      <c r="C3">
        <f>VALUE(MID(A3,14,5))</f>
        <v/>
      </c>
      <c r="D3">
        <f>MID(A3,21,4)</f>
        <v/>
      </c>
      <c r="E3">
        <f>VALUE(MID(A3,27,3))</f>
        <v/>
      </c>
      <c r="F3">
        <f>VALUE(MID(A3,31,FIND("@",A3)-31))</f>
        <v/>
      </c>
      <c r="G3">
        <f>VALUE(MID(A3,FIND("@",A3)+1,FIND("-",A3)-FIND("@",A3)-1))</f>
        <v/>
      </c>
      <c r="H3">
        <f>VALUE(MID(A3,FIND("-",A3)+1,FIND("%",A3)-FIND("-",A3)-1))</f>
        <v/>
      </c>
      <c r="I3">
        <f>RIGHT(A3,3)</f>
        <v/>
      </c>
    </row>
    <row r="4">
      <c r="A4" t="inlineStr">
        <is>
          <t>12.01.2025|SO10003|C0005|P101x25@430-0%|DEL</t>
        </is>
      </c>
      <c r="B4" s="1">
        <f>DATE(MID(A4,7,4),MID(A4,4,2),LEFT(A4,2))</f>
        <v/>
      </c>
      <c r="C4">
        <f>VALUE(MID(A4,14,5))</f>
        <v/>
      </c>
      <c r="D4">
        <f>MID(A4,21,4)</f>
        <v/>
      </c>
      <c r="E4">
        <f>VALUE(MID(A4,27,3))</f>
        <v/>
      </c>
      <c r="F4">
        <f>VALUE(MID(A4,31,FIND("@",A4)-31))</f>
        <v/>
      </c>
      <c r="G4">
        <f>VALUE(MID(A4,FIND("@",A4)+1,FIND("-",A4)-FIND("@",A4)-1))</f>
        <v/>
      </c>
      <c r="H4">
        <f>VALUE(MID(A4,FIND("-",A4)+1,FIND("%",A4)-FIND("-",A4)-1))</f>
        <v/>
      </c>
      <c r="I4">
        <f>RIGHT(A4,3)</f>
        <v/>
      </c>
    </row>
    <row r="5">
      <c r="A5" t="inlineStr">
        <is>
          <t>12.01.2025|SO10003|C0005|P102x45@750-5%|DEL</t>
        </is>
      </c>
      <c r="B5" s="1">
        <f>DATE(MID(A5,7,4),MID(A5,4,2),LEFT(A5,2))</f>
        <v/>
      </c>
      <c r="C5">
        <f>VALUE(MID(A5,14,5))</f>
        <v/>
      </c>
      <c r="D5">
        <f>MID(A5,21,4)</f>
        <v/>
      </c>
      <c r="E5">
        <f>VALUE(MID(A5,27,3))</f>
        <v/>
      </c>
      <c r="F5">
        <f>VALUE(MID(A5,31,FIND("@",A5)-31))</f>
        <v/>
      </c>
      <c r="G5">
        <f>VALUE(MID(A5,FIND("@",A5)+1,FIND("-",A5)-FIND("@",A5)-1))</f>
        <v/>
      </c>
      <c r="H5">
        <f>VALUE(MID(A5,FIND("-",A5)+1,FIND("%",A5)-FIND("-",A5)-1))</f>
        <v/>
      </c>
      <c r="I5">
        <f>RIGHT(A5,3)</f>
        <v/>
      </c>
    </row>
    <row r="6">
      <c r="A6" t="inlineStr">
        <is>
          <t>12.01.2025|SO10003|C0005|P108x10@290-0%|DEL</t>
        </is>
      </c>
      <c r="B6" s="1">
        <f>DATE(MID(A6,7,4),MID(A6,4,2),LEFT(A6,2))</f>
        <v/>
      </c>
      <c r="C6">
        <f>VALUE(MID(A6,14,5))</f>
        <v/>
      </c>
      <c r="D6">
        <f>MID(A6,21,4)</f>
        <v/>
      </c>
      <c r="E6">
        <f>VALUE(MID(A6,27,3))</f>
        <v/>
      </c>
      <c r="F6">
        <f>VALUE(MID(A6,31,FIND("@",A6)-31))</f>
        <v/>
      </c>
      <c r="G6">
        <f>VALUE(MID(A6,FIND("@",A6)+1,FIND("-",A6)-FIND("@",A6)-1))</f>
        <v/>
      </c>
      <c r="H6">
        <f>VALUE(MID(A6,FIND("-",A6)+1,FIND("%",A6)-FIND("-",A6)-1))</f>
        <v/>
      </c>
      <c r="I6">
        <f>RIGHT(A6,3)</f>
        <v/>
      </c>
    </row>
    <row r="7">
      <c r="A7" t="inlineStr">
        <is>
          <t>13.01.2025|SO10004|C0005|P101x40@430-0%|DEL</t>
        </is>
      </c>
      <c r="B7" s="1">
        <f>DATE(MID(A7,7,4),MID(A7,4,2),LEFT(A7,2))</f>
        <v/>
      </c>
      <c r="C7">
        <f>VALUE(MID(A7,14,5))</f>
        <v/>
      </c>
      <c r="D7">
        <f>MID(A7,21,4)</f>
        <v/>
      </c>
      <c r="E7">
        <f>VALUE(MID(A7,27,3))</f>
        <v/>
      </c>
      <c r="F7">
        <f>VALUE(MID(A7,31,FIND("@",A7)-31))</f>
        <v/>
      </c>
      <c r="G7">
        <f>VALUE(MID(A7,FIND("@",A7)+1,FIND("-",A7)-FIND("@",A7)-1))</f>
        <v/>
      </c>
      <c r="H7">
        <f>VALUE(MID(A7,FIND("-",A7)+1,FIND("%",A7)-FIND("-",A7)-1))</f>
        <v/>
      </c>
      <c r="I7">
        <f>RIGHT(A7,3)</f>
        <v/>
      </c>
    </row>
    <row r="8">
      <c r="A8" t="inlineStr">
        <is>
          <t>13.01.2025|SO10004|C0005|P102x15@750-5%|DEL</t>
        </is>
      </c>
      <c r="B8" s="1">
        <f>DATE(MID(A8,7,4),MID(A8,4,2),LEFT(A8,2))</f>
        <v/>
      </c>
      <c r="C8">
        <f>VALUE(MID(A8,14,5))</f>
        <v/>
      </c>
      <c r="D8">
        <f>MID(A8,21,4)</f>
        <v/>
      </c>
      <c r="E8">
        <f>VALUE(MID(A8,27,3))</f>
        <v/>
      </c>
      <c r="F8">
        <f>VALUE(MID(A8,31,FIND("@",A8)-31))</f>
        <v/>
      </c>
      <c r="G8">
        <f>VALUE(MID(A8,FIND("@",A8)+1,FIND("-",A8)-FIND("@",A8)-1))</f>
        <v/>
      </c>
      <c r="H8">
        <f>VALUE(MID(A8,FIND("-",A8)+1,FIND("%",A8)-FIND("-",A8)-1))</f>
        <v/>
      </c>
      <c r="I8">
        <f>RIGHT(A8,3)</f>
        <v/>
      </c>
    </row>
    <row r="9">
      <c r="A9" t="inlineStr">
        <is>
          <t>20.01.2025|SO10005|C0003|P101x15@430-5%|DEL</t>
        </is>
      </c>
      <c r="B9" s="1">
        <f>DATE(MID(A9,7,4),MID(A9,4,2),LEFT(A9,2))</f>
        <v/>
      </c>
      <c r="C9">
        <f>VALUE(MID(A9,14,5))</f>
        <v/>
      </c>
      <c r="D9">
        <f>MID(A9,21,4)</f>
        <v/>
      </c>
      <c r="E9">
        <f>VALUE(MID(A9,27,3))</f>
        <v/>
      </c>
      <c r="F9">
        <f>VALUE(MID(A9,31,FIND("@",A9)-31))</f>
        <v/>
      </c>
      <c r="G9">
        <f>VALUE(MID(A9,FIND("@",A9)+1,FIND("-",A9)-FIND("@",A9)-1))</f>
        <v/>
      </c>
      <c r="H9">
        <f>VALUE(MID(A9,FIND("-",A9)+1,FIND("%",A9)-FIND("-",A9)-1))</f>
        <v/>
      </c>
      <c r="I9">
        <f>RIGHT(A9,3)</f>
        <v/>
      </c>
    </row>
    <row r="10">
      <c r="A10" t="inlineStr">
        <is>
          <t>21.01.2025|SO10006|C0004|P102x25@750-5%|DEL</t>
        </is>
      </c>
      <c r="B10" s="1">
        <f>DATE(MID(A10,7,4),MID(A10,4,2),LEFT(A10,2))</f>
        <v/>
      </c>
      <c r="C10">
        <f>VALUE(MID(A10,14,5))</f>
        <v/>
      </c>
      <c r="D10">
        <f>MID(A10,21,4)</f>
        <v/>
      </c>
      <c r="E10">
        <f>VALUE(MID(A10,27,3))</f>
        <v/>
      </c>
      <c r="F10">
        <f>VALUE(MID(A10,31,FIND("@",A10)-31))</f>
        <v/>
      </c>
      <c r="G10">
        <f>VALUE(MID(A10,FIND("@",A10)+1,FIND("-",A10)-FIND("@",A10)-1))</f>
        <v/>
      </c>
      <c r="H10">
        <f>VALUE(MID(A10,FIND("-",A10)+1,FIND("%",A10)-FIND("-",A10)-1))</f>
        <v/>
      </c>
      <c r="I10">
        <f>RIGHT(A10,3)</f>
        <v/>
      </c>
    </row>
    <row r="11">
      <c r="A11" t="inlineStr">
        <is>
          <t>24.01.2025|SO10007|C0001|P101x45@430-0%|DEL</t>
        </is>
      </c>
      <c r="B11" s="1">
        <f>DATE(MID(A11,7,4),MID(A11,4,2),LEFT(A11,2))</f>
        <v/>
      </c>
      <c r="C11">
        <f>VALUE(MID(A11,14,5))</f>
        <v/>
      </c>
      <c r="D11">
        <f>MID(A11,21,4)</f>
        <v/>
      </c>
      <c r="E11">
        <f>VALUE(MID(A11,27,3))</f>
        <v/>
      </c>
      <c r="F11">
        <f>VALUE(MID(A11,31,FIND("@",A11)-31))</f>
        <v/>
      </c>
      <c r="G11">
        <f>VALUE(MID(A11,FIND("@",A11)+1,FIND("-",A11)-FIND("@",A11)-1))</f>
        <v/>
      </c>
      <c r="H11">
        <f>VALUE(MID(A11,FIND("-",A11)+1,FIND("%",A11)-FIND("-",A11)-1))</f>
        <v/>
      </c>
      <c r="I11">
        <f>RIGHT(A11,3)</f>
        <v/>
      </c>
    </row>
    <row r="12">
      <c r="A12" t="inlineStr">
        <is>
          <t>24.01.2025|SO10007|C0001|P102x20@750-0%|DEL</t>
        </is>
      </c>
      <c r="B12" s="1">
        <f>DATE(MID(A12,7,4),MID(A12,4,2),LEFT(A12,2))</f>
        <v/>
      </c>
      <c r="C12">
        <f>VALUE(MID(A12,14,5))</f>
        <v/>
      </c>
      <c r="D12">
        <f>MID(A12,21,4)</f>
        <v/>
      </c>
      <c r="E12">
        <f>VALUE(MID(A12,27,3))</f>
        <v/>
      </c>
      <c r="F12">
        <f>VALUE(MID(A12,31,FIND("@",A12)-31))</f>
        <v/>
      </c>
      <c r="G12">
        <f>VALUE(MID(A12,FIND("@",A12)+1,FIND("-",A12)-FIND("@",A12)-1))</f>
        <v/>
      </c>
      <c r="H12">
        <f>VALUE(MID(A12,FIND("-",A12)+1,FIND("%",A12)-FIND("-",A12)-1))</f>
        <v/>
      </c>
      <c r="I12">
        <f>RIGHT(A12,3)</f>
        <v/>
      </c>
    </row>
    <row r="13">
      <c r="A13" t="inlineStr">
        <is>
          <t>24.01.2025|SO10007|C0001|P108x20@290-0%|DEL</t>
        </is>
      </c>
      <c r="B13" s="1">
        <f>DATE(MID(A13,7,4),MID(A13,4,2),LEFT(A13,2))</f>
        <v/>
      </c>
      <c r="C13">
        <f>VALUE(MID(A13,14,5))</f>
        <v/>
      </c>
      <c r="D13">
        <f>MID(A13,21,4)</f>
        <v/>
      </c>
      <c r="E13">
        <f>VALUE(MID(A13,27,3))</f>
        <v/>
      </c>
      <c r="F13">
        <f>VALUE(MID(A13,31,FIND("@",A13)-31))</f>
        <v/>
      </c>
      <c r="G13">
        <f>VALUE(MID(A13,FIND("@",A13)+1,FIND("-",A13)-FIND("@",A13)-1))</f>
        <v/>
      </c>
      <c r="H13">
        <f>VALUE(MID(A13,FIND("-",A13)+1,FIND("%",A13)-FIND("-",A13)-1))</f>
        <v/>
      </c>
      <c r="I13">
        <f>RIGHT(A13,3)</f>
        <v/>
      </c>
    </row>
    <row r="14">
      <c r="A14" t="inlineStr">
        <is>
          <t>26.01.2025|SO10008|C0001|P101x30@430-0%|DEL</t>
        </is>
      </c>
      <c r="B14" s="1">
        <f>DATE(MID(A14,7,4),MID(A14,4,2),LEFT(A14,2))</f>
        <v/>
      </c>
      <c r="C14">
        <f>VALUE(MID(A14,14,5))</f>
        <v/>
      </c>
      <c r="D14">
        <f>MID(A14,21,4)</f>
        <v/>
      </c>
      <c r="E14">
        <f>VALUE(MID(A14,27,3))</f>
        <v/>
      </c>
      <c r="F14">
        <f>VALUE(MID(A14,31,FIND("@",A14)-31))</f>
        <v/>
      </c>
      <c r="G14">
        <f>VALUE(MID(A14,FIND("@",A14)+1,FIND("-",A14)-FIND("@",A14)-1))</f>
        <v/>
      </c>
      <c r="H14">
        <f>VALUE(MID(A14,FIND("-",A14)+1,FIND("%",A14)-FIND("-",A14)-1))</f>
        <v/>
      </c>
      <c r="I14">
        <f>RIGHT(A14,3)</f>
        <v/>
      </c>
    </row>
    <row r="15">
      <c r="A15" t="inlineStr">
        <is>
          <t>26.01.2025|SO10008|C0001|P102x25@750-0%|DEL</t>
        </is>
      </c>
      <c r="B15" s="1">
        <f>DATE(MID(A15,7,4),MID(A15,4,2),LEFT(A15,2))</f>
        <v/>
      </c>
      <c r="C15">
        <f>VALUE(MID(A15,14,5))</f>
        <v/>
      </c>
      <c r="D15">
        <f>MID(A15,21,4)</f>
        <v/>
      </c>
      <c r="E15">
        <f>VALUE(MID(A15,27,3))</f>
        <v/>
      </c>
      <c r="F15">
        <f>VALUE(MID(A15,31,FIND("@",A15)-31))</f>
        <v/>
      </c>
      <c r="G15">
        <f>VALUE(MID(A15,FIND("@",A15)+1,FIND("-",A15)-FIND("@",A15)-1))</f>
        <v/>
      </c>
      <c r="H15">
        <f>VALUE(MID(A15,FIND("-",A15)+1,FIND("%",A15)-FIND("-",A15)-1))</f>
        <v/>
      </c>
      <c r="I15">
        <f>RIGHT(A15,3)</f>
        <v/>
      </c>
    </row>
    <row r="16">
      <c r="A16" t="inlineStr">
        <is>
          <t>26.01.2025|SO10008|C0001|P107x25@380-0%|DEL</t>
        </is>
      </c>
      <c r="B16" s="1">
        <f>DATE(MID(A16,7,4),MID(A16,4,2),LEFT(A16,2))</f>
        <v/>
      </c>
      <c r="C16">
        <f>VALUE(MID(A16,14,5))</f>
        <v/>
      </c>
      <c r="D16">
        <f>MID(A16,21,4)</f>
        <v/>
      </c>
      <c r="E16">
        <f>VALUE(MID(A16,27,3))</f>
        <v/>
      </c>
      <c r="F16">
        <f>VALUE(MID(A16,31,FIND("@",A16)-31))</f>
        <v/>
      </c>
      <c r="G16">
        <f>VALUE(MID(A16,FIND("@",A16)+1,FIND("-",A16)-FIND("@",A16)-1))</f>
        <v/>
      </c>
      <c r="H16">
        <f>VALUE(MID(A16,FIND("-",A16)+1,FIND("%",A16)-FIND("-",A16)-1))</f>
        <v/>
      </c>
      <c r="I16">
        <f>RIGHT(A16,3)</f>
        <v/>
      </c>
    </row>
    <row r="17">
      <c r="A17" t="inlineStr">
        <is>
          <t>02.02.2025|SO10009|C0010|P101x30@430-0%|DEL</t>
        </is>
      </c>
      <c r="B17" s="1">
        <f>DATE(MID(A17,7,4),MID(A17,4,2),LEFT(A17,2))</f>
        <v/>
      </c>
      <c r="C17">
        <f>VALUE(MID(A17,14,5))</f>
        <v/>
      </c>
      <c r="D17">
        <f>MID(A17,21,4)</f>
        <v/>
      </c>
      <c r="E17">
        <f>VALUE(MID(A17,27,3))</f>
        <v/>
      </c>
      <c r="F17">
        <f>VALUE(MID(A17,31,FIND("@",A17)-31))</f>
        <v/>
      </c>
      <c r="G17">
        <f>VALUE(MID(A17,FIND("@",A17)+1,FIND("-",A17)-FIND("@",A17)-1))</f>
        <v/>
      </c>
      <c r="H17">
        <f>VALUE(MID(A17,FIND("-",A17)+1,FIND("%",A17)-FIND("-",A17)-1))</f>
        <v/>
      </c>
      <c r="I17">
        <f>RIGHT(A17,3)</f>
        <v/>
      </c>
    </row>
    <row r="18">
      <c r="A18" t="inlineStr">
        <is>
          <t>02.02.2025|SO10009|C0010|P102x30@750-5%|DEL</t>
        </is>
      </c>
      <c r="B18" s="1">
        <f>DATE(MID(A18,7,4),MID(A18,4,2),LEFT(A18,2))</f>
        <v/>
      </c>
      <c r="C18">
        <f>VALUE(MID(A18,14,5))</f>
        <v/>
      </c>
      <c r="D18">
        <f>MID(A18,21,4)</f>
        <v/>
      </c>
      <c r="E18">
        <f>VALUE(MID(A18,27,3))</f>
        <v/>
      </c>
      <c r="F18">
        <f>VALUE(MID(A18,31,FIND("@",A18)-31))</f>
        <v/>
      </c>
      <c r="G18">
        <f>VALUE(MID(A18,FIND("@",A18)+1,FIND("-",A18)-FIND("@",A18)-1))</f>
        <v/>
      </c>
      <c r="H18">
        <f>VALUE(MID(A18,FIND("-",A18)+1,FIND("%",A18)-FIND("-",A18)-1))</f>
        <v/>
      </c>
      <c r="I18">
        <f>RIGHT(A18,3)</f>
        <v/>
      </c>
    </row>
    <row r="19">
      <c r="A19" t="inlineStr">
        <is>
          <t>05.02.2025|SO10010|C0001|P101x20@430-0%|DEL</t>
        </is>
      </c>
      <c r="B19" s="1">
        <f>DATE(MID(A19,7,4),MID(A19,4,2),LEFT(A19,2))</f>
        <v/>
      </c>
      <c r="C19">
        <f>VALUE(MID(A19,14,5))</f>
        <v/>
      </c>
      <c r="D19">
        <f>MID(A19,21,4)</f>
        <v/>
      </c>
      <c r="E19">
        <f>VALUE(MID(A19,27,3))</f>
        <v/>
      </c>
      <c r="F19">
        <f>VALUE(MID(A19,31,FIND("@",A19)-31))</f>
        <v/>
      </c>
      <c r="G19">
        <f>VALUE(MID(A19,FIND("@",A19)+1,FIND("-",A19)-FIND("@",A19)-1))</f>
        <v/>
      </c>
      <c r="H19">
        <f>VALUE(MID(A19,FIND("-",A19)+1,FIND("%",A19)-FIND("-",A19)-1))</f>
        <v/>
      </c>
      <c r="I19">
        <f>RIGHT(A19,3)</f>
        <v/>
      </c>
    </row>
    <row r="20">
      <c r="A20" t="inlineStr">
        <is>
          <t>05.02.2025|SO10010|C0001|P103x10@115-0%|DEL</t>
        </is>
      </c>
      <c r="B20" s="1">
        <f>DATE(MID(A20,7,4),MID(A20,4,2),LEFT(A20,2))</f>
        <v/>
      </c>
      <c r="C20">
        <f>VALUE(MID(A20,14,5))</f>
        <v/>
      </c>
      <c r="D20">
        <f>MID(A20,21,4)</f>
        <v/>
      </c>
      <c r="E20">
        <f>VALUE(MID(A20,27,3))</f>
        <v/>
      </c>
      <c r="F20">
        <f>VALUE(MID(A20,31,FIND("@",A20)-31))</f>
        <v/>
      </c>
      <c r="G20">
        <f>VALUE(MID(A20,FIND("@",A20)+1,FIND("-",A20)-FIND("@",A20)-1))</f>
        <v/>
      </c>
      <c r="H20">
        <f>VALUE(MID(A20,FIND("-",A20)+1,FIND("%",A20)-FIND("-",A20)-1))</f>
        <v/>
      </c>
      <c r="I20">
        <f>RIGHT(A20,3)</f>
        <v/>
      </c>
    </row>
    <row r="21">
      <c r="A21" t="inlineStr">
        <is>
          <t>05.02.2025|SO10010|C0001|P104x35@620-0%|DEL</t>
        </is>
      </c>
      <c r="B21" s="1">
        <f>DATE(MID(A21,7,4),MID(A21,4,2),LEFT(A21,2))</f>
        <v/>
      </c>
      <c r="C21">
        <f>VALUE(MID(A21,14,5))</f>
        <v/>
      </c>
      <c r="D21">
        <f>MID(A21,21,4)</f>
        <v/>
      </c>
      <c r="E21">
        <f>VALUE(MID(A21,27,3))</f>
        <v/>
      </c>
      <c r="F21">
        <f>VALUE(MID(A21,31,FIND("@",A21)-31))</f>
        <v/>
      </c>
      <c r="G21">
        <f>VALUE(MID(A21,FIND("@",A21)+1,FIND("-",A21)-FIND("@",A21)-1))</f>
        <v/>
      </c>
      <c r="H21">
        <f>VALUE(MID(A21,FIND("-",A21)+1,FIND("%",A21)-FIND("-",A21)-1))</f>
        <v/>
      </c>
      <c r="I21">
        <f>RIGHT(A21,3)</f>
        <v/>
      </c>
    </row>
    <row r="22">
      <c r="A22" t="inlineStr">
        <is>
          <t>16.02.2025|SO10011|C0003|P101x25@430-0%|DEL</t>
        </is>
      </c>
      <c r="B22" s="1">
        <f>DATE(MID(A22,7,4),MID(A22,4,2),LEFT(A22,2))</f>
        <v/>
      </c>
      <c r="C22">
        <f>VALUE(MID(A22,14,5))</f>
        <v/>
      </c>
      <c r="D22">
        <f>MID(A22,21,4)</f>
        <v/>
      </c>
      <c r="E22">
        <f>VALUE(MID(A22,27,3))</f>
        <v/>
      </c>
      <c r="F22">
        <f>VALUE(MID(A22,31,FIND("@",A22)-31))</f>
        <v/>
      </c>
      <c r="G22">
        <f>VALUE(MID(A22,FIND("@",A22)+1,FIND("-",A22)-FIND("@",A22)-1))</f>
        <v/>
      </c>
      <c r="H22">
        <f>VALUE(MID(A22,FIND("-",A22)+1,FIND("%",A22)-FIND("-",A22)-1))</f>
        <v/>
      </c>
      <c r="I22">
        <f>RIGHT(A22,3)</f>
        <v/>
      </c>
    </row>
    <row r="23">
      <c r="A23" t="inlineStr">
        <is>
          <t>16.02.2025|SO10011|C0003|P107x30@380-0%|DEL</t>
        </is>
      </c>
      <c r="B23" s="1">
        <f>DATE(MID(A23,7,4),MID(A23,4,2),LEFT(A23,2))</f>
        <v/>
      </c>
      <c r="C23">
        <f>VALUE(MID(A23,14,5))</f>
        <v/>
      </c>
      <c r="D23">
        <f>MID(A23,21,4)</f>
        <v/>
      </c>
      <c r="E23">
        <f>VALUE(MID(A23,27,3))</f>
        <v/>
      </c>
      <c r="F23">
        <f>VALUE(MID(A23,31,FIND("@",A23)-31))</f>
        <v/>
      </c>
      <c r="G23">
        <f>VALUE(MID(A23,FIND("@",A23)+1,FIND("-",A23)-FIND("@",A23)-1))</f>
        <v/>
      </c>
      <c r="H23">
        <f>VALUE(MID(A23,FIND("-",A23)+1,FIND("%",A23)-FIND("-",A23)-1))</f>
        <v/>
      </c>
      <c r="I23">
        <f>RIGHT(A23,3)</f>
        <v/>
      </c>
    </row>
    <row r="24">
      <c r="A24" t="inlineStr">
        <is>
          <t>16.02.2025|SO10011|C0003|P108x30@290-5%|DEL</t>
        </is>
      </c>
      <c r="B24" s="1">
        <f>DATE(MID(A24,7,4),MID(A24,4,2),LEFT(A24,2))</f>
        <v/>
      </c>
      <c r="C24">
        <f>VALUE(MID(A24,14,5))</f>
        <v/>
      </c>
      <c r="D24">
        <f>MID(A24,21,4)</f>
        <v/>
      </c>
      <c r="E24">
        <f>VALUE(MID(A24,27,3))</f>
        <v/>
      </c>
      <c r="F24">
        <f>VALUE(MID(A24,31,FIND("@",A24)-31))</f>
        <v/>
      </c>
      <c r="G24">
        <f>VALUE(MID(A24,FIND("@",A24)+1,FIND("-",A24)-FIND("@",A24)-1))</f>
        <v/>
      </c>
      <c r="H24">
        <f>VALUE(MID(A24,FIND("-",A24)+1,FIND("%",A24)-FIND("-",A24)-1))</f>
        <v/>
      </c>
      <c r="I24">
        <f>RIGHT(A24,3)</f>
        <v/>
      </c>
    </row>
    <row r="25">
      <c r="A25" t="inlineStr">
        <is>
          <t>16.02.2025|SO10012|C0004|P105x40@1400-12%|DEL</t>
        </is>
      </c>
      <c r="B25" s="1">
        <f>DATE(MID(A25,7,4),MID(A25,4,2),LEFT(A25,2))</f>
        <v/>
      </c>
      <c r="C25">
        <f>VALUE(MID(A25,14,5))</f>
        <v/>
      </c>
      <c r="D25">
        <f>MID(A25,21,4)</f>
        <v/>
      </c>
      <c r="E25">
        <f>VALUE(MID(A25,27,3))</f>
        <v/>
      </c>
      <c r="F25">
        <f>VALUE(MID(A25,31,FIND("@",A25)-31))</f>
        <v/>
      </c>
      <c r="G25">
        <f>VALUE(MID(A25,FIND("@",A25)+1,FIND("-",A25)-FIND("@",A25)-1))</f>
        <v/>
      </c>
      <c r="H25">
        <f>VALUE(MID(A25,FIND("-",A25)+1,FIND("%",A25)-FIND("-",A25)-1))</f>
        <v/>
      </c>
      <c r="I25">
        <f>RIGHT(A25,3)</f>
        <v/>
      </c>
    </row>
    <row r="26">
      <c r="A26" t="inlineStr">
        <is>
          <t>16.02.2025|SO10012|C0004|P108x40@290-5%|DEL</t>
        </is>
      </c>
      <c r="B26" s="1">
        <f>DATE(MID(A26,7,4),MID(A26,4,2),LEFT(A26,2))</f>
        <v/>
      </c>
      <c r="C26">
        <f>VALUE(MID(A26,14,5))</f>
        <v/>
      </c>
      <c r="D26">
        <f>MID(A26,21,4)</f>
        <v/>
      </c>
      <c r="E26">
        <f>VALUE(MID(A26,27,3))</f>
        <v/>
      </c>
      <c r="F26">
        <f>VALUE(MID(A26,31,FIND("@",A26)-31))</f>
        <v/>
      </c>
      <c r="G26">
        <f>VALUE(MID(A26,FIND("@",A26)+1,FIND("-",A26)-FIND("@",A26)-1))</f>
        <v/>
      </c>
      <c r="H26">
        <f>VALUE(MID(A26,FIND("-",A26)+1,FIND("%",A26)-FIND("-",A26)-1))</f>
        <v/>
      </c>
      <c r="I26">
        <f>RIGHT(A26,3)</f>
        <v/>
      </c>
    </row>
    <row r="27">
      <c r="A27" t="inlineStr">
        <is>
          <t>17.02.2025|SO10013|C0007|P101x30@430-5%|DEL</t>
        </is>
      </c>
      <c r="B27" s="1">
        <f>DATE(MID(A27,7,4),MID(A27,4,2),LEFT(A27,2))</f>
        <v/>
      </c>
      <c r="C27">
        <f>VALUE(MID(A27,14,5))</f>
        <v/>
      </c>
      <c r="D27">
        <f>MID(A27,21,4)</f>
        <v/>
      </c>
      <c r="E27">
        <f>VALUE(MID(A27,27,3))</f>
        <v/>
      </c>
      <c r="F27">
        <f>VALUE(MID(A27,31,FIND("@",A27)-31))</f>
        <v/>
      </c>
      <c r="G27">
        <f>VALUE(MID(A27,FIND("@",A27)+1,FIND("-",A27)-FIND("@",A27)-1))</f>
        <v/>
      </c>
      <c r="H27">
        <f>VALUE(MID(A27,FIND("-",A27)+1,FIND("%",A27)-FIND("-",A27)-1))</f>
        <v/>
      </c>
      <c r="I27">
        <f>RIGHT(A27,3)</f>
        <v/>
      </c>
    </row>
    <row r="28">
      <c r="A28" t="inlineStr">
        <is>
          <t>17.02.2025|SO10013|C0007|P108x30@290-8%|DEL</t>
        </is>
      </c>
      <c r="B28" s="1">
        <f>DATE(MID(A28,7,4),MID(A28,4,2),LEFT(A28,2))</f>
        <v/>
      </c>
      <c r="C28">
        <f>VALUE(MID(A28,14,5))</f>
        <v/>
      </c>
      <c r="D28">
        <f>MID(A28,21,4)</f>
        <v/>
      </c>
      <c r="E28">
        <f>VALUE(MID(A28,27,3))</f>
        <v/>
      </c>
      <c r="F28">
        <f>VALUE(MID(A28,31,FIND("@",A28)-31))</f>
        <v/>
      </c>
      <c r="G28">
        <f>VALUE(MID(A28,FIND("@",A28)+1,FIND("-",A28)-FIND("@",A28)-1))</f>
        <v/>
      </c>
      <c r="H28">
        <f>VALUE(MID(A28,FIND("-",A28)+1,FIND("%",A28)-FIND("-",A28)-1))</f>
        <v/>
      </c>
      <c r="I28">
        <f>RIGHT(A28,3)</f>
        <v/>
      </c>
    </row>
    <row r="29">
      <c r="A29" t="inlineStr">
        <is>
          <t>17.02.2025|SO10014|C0007|P102x25@750-8%|DEL</t>
        </is>
      </c>
      <c r="B29" s="1">
        <f>DATE(MID(A29,7,4),MID(A29,4,2),LEFT(A29,2))</f>
        <v/>
      </c>
      <c r="C29">
        <f>VALUE(MID(A29,14,5))</f>
        <v/>
      </c>
      <c r="D29">
        <f>MID(A29,21,4)</f>
        <v/>
      </c>
      <c r="E29">
        <f>VALUE(MID(A29,27,3))</f>
        <v/>
      </c>
      <c r="F29">
        <f>VALUE(MID(A29,31,FIND("@",A29)-31))</f>
        <v/>
      </c>
      <c r="G29">
        <f>VALUE(MID(A29,FIND("@",A29)+1,FIND("-",A29)-FIND("@",A29)-1))</f>
        <v/>
      </c>
      <c r="H29">
        <f>VALUE(MID(A29,FIND("-",A29)+1,FIND("%",A29)-FIND("-",A29)-1))</f>
        <v/>
      </c>
      <c r="I29">
        <f>RIGHT(A29,3)</f>
        <v/>
      </c>
    </row>
    <row r="30">
      <c r="A30" t="inlineStr">
        <is>
          <t>20.02.2025|SO10015|C0006|P108x20@290-0%|DEL</t>
        </is>
      </c>
      <c r="B30" s="1">
        <f>DATE(MID(A30,7,4),MID(A30,4,2),LEFT(A30,2))</f>
        <v/>
      </c>
      <c r="C30">
        <f>VALUE(MID(A30,14,5))</f>
        <v/>
      </c>
      <c r="D30">
        <f>MID(A30,21,4)</f>
        <v/>
      </c>
      <c r="E30">
        <f>VALUE(MID(A30,27,3))</f>
        <v/>
      </c>
      <c r="F30">
        <f>VALUE(MID(A30,31,FIND("@",A30)-31))</f>
        <v/>
      </c>
      <c r="G30">
        <f>VALUE(MID(A30,FIND("@",A30)+1,FIND("-",A30)-FIND("@",A30)-1))</f>
        <v/>
      </c>
      <c r="H30">
        <f>VALUE(MID(A30,FIND("-",A30)+1,FIND("%",A30)-FIND("-",A30)-1))</f>
        <v/>
      </c>
      <c r="I30">
        <f>RIGHT(A30,3)</f>
        <v/>
      </c>
    </row>
    <row r="31">
      <c r="A31" t="inlineStr">
        <is>
          <t>20.02.2025|SO10016|C0012|P101x25@430-0%|DEL</t>
        </is>
      </c>
      <c r="B31" s="1">
        <f>DATE(MID(A31,7,4),MID(A31,4,2),LEFT(A31,2))</f>
        <v/>
      </c>
      <c r="C31">
        <f>VALUE(MID(A31,14,5))</f>
        <v/>
      </c>
      <c r="D31">
        <f>MID(A31,21,4)</f>
        <v/>
      </c>
      <c r="E31">
        <f>VALUE(MID(A31,27,3))</f>
        <v/>
      </c>
      <c r="F31">
        <f>VALUE(MID(A31,31,FIND("@",A31)-31))</f>
        <v/>
      </c>
      <c r="G31">
        <f>VALUE(MID(A31,FIND("@",A31)+1,FIND("-",A31)-FIND("@",A31)-1))</f>
        <v/>
      </c>
      <c r="H31">
        <f>VALUE(MID(A31,FIND("-",A31)+1,FIND("%",A31)-FIND("-",A31)-1))</f>
        <v/>
      </c>
      <c r="I31">
        <f>RIGHT(A31,3)</f>
        <v/>
      </c>
    </row>
    <row r="32">
      <c r="A32" t="inlineStr">
        <is>
          <t>20.02.2025|SO10016|C0012|P103x50@115-5%|DEL</t>
        </is>
      </c>
      <c r="B32" s="1">
        <f>DATE(MID(A32,7,4),MID(A32,4,2),LEFT(A32,2))</f>
        <v/>
      </c>
      <c r="C32">
        <f>VALUE(MID(A32,14,5))</f>
        <v/>
      </c>
      <c r="D32">
        <f>MID(A32,21,4)</f>
        <v/>
      </c>
      <c r="E32">
        <f>VALUE(MID(A32,27,3))</f>
        <v/>
      </c>
      <c r="F32">
        <f>VALUE(MID(A32,31,FIND("@",A32)-31))</f>
        <v/>
      </c>
      <c r="G32">
        <f>VALUE(MID(A32,FIND("@",A32)+1,FIND("-",A32)-FIND("@",A32)-1))</f>
        <v/>
      </c>
      <c r="H32">
        <f>VALUE(MID(A32,FIND("-",A32)+1,FIND("%",A32)-FIND("-",A32)-1))</f>
        <v/>
      </c>
      <c r="I32">
        <f>RIGHT(A32,3)</f>
        <v/>
      </c>
    </row>
    <row r="33">
      <c r="A33" t="inlineStr">
        <is>
          <t>20.02.2025|SO10016|C0012|P108x30@290-0%|DEL</t>
        </is>
      </c>
      <c r="B33" s="1">
        <f>DATE(MID(A33,7,4),MID(A33,4,2),LEFT(A33,2))</f>
        <v/>
      </c>
      <c r="C33">
        <f>VALUE(MID(A33,14,5))</f>
        <v/>
      </c>
      <c r="D33">
        <f>MID(A33,21,4)</f>
        <v/>
      </c>
      <c r="E33">
        <f>VALUE(MID(A33,27,3))</f>
        <v/>
      </c>
      <c r="F33">
        <f>VALUE(MID(A33,31,FIND("@",A33)-31))</f>
        <v/>
      </c>
      <c r="G33">
        <f>VALUE(MID(A33,FIND("@",A33)+1,FIND("-",A33)-FIND("@",A33)-1))</f>
        <v/>
      </c>
      <c r="H33">
        <f>VALUE(MID(A33,FIND("-",A33)+1,FIND("%",A33)-FIND("-",A33)-1))</f>
        <v/>
      </c>
      <c r="I33">
        <f>RIGHT(A33,3)</f>
        <v/>
      </c>
    </row>
    <row r="34">
      <c r="A34" t="inlineStr">
        <is>
          <t>25.02.2025|SO10017|C0005|P107x40@380-5%|DEL</t>
        </is>
      </c>
      <c r="B34" s="1">
        <f>DATE(MID(A34,7,4),MID(A34,4,2),LEFT(A34,2))</f>
        <v/>
      </c>
      <c r="C34">
        <f>VALUE(MID(A34,14,5))</f>
        <v/>
      </c>
      <c r="D34">
        <f>MID(A34,21,4)</f>
        <v/>
      </c>
      <c r="E34">
        <f>VALUE(MID(A34,27,3))</f>
        <v/>
      </c>
      <c r="F34">
        <f>VALUE(MID(A34,31,FIND("@",A34)-31))</f>
        <v/>
      </c>
      <c r="G34">
        <f>VALUE(MID(A34,FIND("@",A34)+1,FIND("-",A34)-FIND("@",A34)-1))</f>
        <v/>
      </c>
      <c r="H34">
        <f>VALUE(MID(A34,FIND("-",A34)+1,FIND("%",A34)-FIND("-",A34)-1))</f>
        <v/>
      </c>
      <c r="I34">
        <f>RIGHT(A34,3)</f>
        <v/>
      </c>
    </row>
    <row r="35">
      <c r="A35" t="inlineStr">
        <is>
          <t>28.02.2025|SO10018|C0001|P101x25@430-5%|DEL</t>
        </is>
      </c>
      <c r="B35" s="1">
        <f>DATE(MID(A35,7,4),MID(A35,4,2),LEFT(A35,2))</f>
        <v/>
      </c>
      <c r="C35">
        <f>VALUE(MID(A35,14,5))</f>
        <v/>
      </c>
      <c r="D35">
        <f>MID(A35,21,4)</f>
        <v/>
      </c>
      <c r="E35">
        <f>VALUE(MID(A35,27,3))</f>
        <v/>
      </c>
      <c r="F35">
        <f>VALUE(MID(A35,31,FIND("@",A35)-31))</f>
        <v/>
      </c>
      <c r="G35">
        <f>VALUE(MID(A35,FIND("@",A35)+1,FIND("-",A35)-FIND("@",A35)-1))</f>
        <v/>
      </c>
      <c r="H35">
        <f>VALUE(MID(A35,FIND("-",A35)+1,FIND("%",A35)-FIND("-",A35)-1))</f>
        <v/>
      </c>
      <c r="I35">
        <f>RIGHT(A35,3)</f>
        <v/>
      </c>
    </row>
    <row r="36">
      <c r="A36" t="inlineStr">
        <is>
          <t>28.02.2025|SO10018|C0001|P108x15@290-0%|DEL</t>
        </is>
      </c>
      <c r="B36" s="1">
        <f>DATE(MID(A36,7,4),MID(A36,4,2),LEFT(A36,2))</f>
        <v/>
      </c>
      <c r="C36">
        <f>VALUE(MID(A36,14,5))</f>
        <v/>
      </c>
      <c r="D36">
        <f>MID(A36,21,4)</f>
        <v/>
      </c>
      <c r="E36">
        <f>VALUE(MID(A36,27,3))</f>
        <v/>
      </c>
      <c r="F36">
        <f>VALUE(MID(A36,31,FIND("@",A36)-31))</f>
        <v/>
      </c>
      <c r="G36">
        <f>VALUE(MID(A36,FIND("@",A36)+1,FIND("-",A36)-FIND("@",A36)-1))</f>
        <v/>
      </c>
      <c r="H36">
        <f>VALUE(MID(A36,FIND("-",A36)+1,FIND("%",A36)-FIND("-",A36)-1))</f>
        <v/>
      </c>
      <c r="I36">
        <f>RIGHT(A36,3)</f>
        <v/>
      </c>
    </row>
    <row r="37">
      <c r="A37" t="inlineStr">
        <is>
          <t>04.03.2025|SO10019|C0003|P103x40@115-0%|DEL</t>
        </is>
      </c>
      <c r="B37" s="1">
        <f>DATE(MID(A37,7,4),MID(A37,4,2),LEFT(A37,2))</f>
        <v/>
      </c>
      <c r="C37">
        <f>VALUE(MID(A37,14,5))</f>
        <v/>
      </c>
      <c r="D37">
        <f>MID(A37,21,4)</f>
        <v/>
      </c>
      <c r="E37">
        <f>VALUE(MID(A37,27,3))</f>
        <v/>
      </c>
      <c r="F37">
        <f>VALUE(MID(A37,31,FIND("@",A37)-31))</f>
        <v/>
      </c>
      <c r="G37">
        <f>VALUE(MID(A37,FIND("@",A37)+1,FIND("-",A37)-FIND("@",A37)-1))</f>
        <v/>
      </c>
      <c r="H37">
        <f>VALUE(MID(A37,FIND("-",A37)+1,FIND("%",A37)-FIND("-",A37)-1))</f>
        <v/>
      </c>
      <c r="I37">
        <f>RIGHT(A37,3)</f>
        <v/>
      </c>
    </row>
    <row r="38">
      <c r="A38" t="inlineStr">
        <is>
          <t>04.03.2025|SO10019|C0003|P107x35@380-5%|DEL</t>
        </is>
      </c>
      <c r="B38" s="1">
        <f>DATE(MID(A38,7,4),MID(A38,4,2),LEFT(A38,2))</f>
        <v/>
      </c>
      <c r="C38">
        <f>VALUE(MID(A38,14,5))</f>
        <v/>
      </c>
      <c r="D38">
        <f>MID(A38,21,4)</f>
        <v/>
      </c>
      <c r="E38">
        <f>VALUE(MID(A38,27,3))</f>
        <v/>
      </c>
      <c r="F38">
        <f>VALUE(MID(A38,31,FIND("@",A38)-31))</f>
        <v/>
      </c>
      <c r="G38">
        <f>VALUE(MID(A38,FIND("@",A38)+1,FIND("-",A38)-FIND("@",A38)-1))</f>
        <v/>
      </c>
      <c r="H38">
        <f>VALUE(MID(A38,FIND("-",A38)+1,FIND("%",A38)-FIND("-",A38)-1))</f>
        <v/>
      </c>
      <c r="I38">
        <f>RIGHT(A38,3)</f>
        <v/>
      </c>
    </row>
    <row r="39">
      <c r="A39" t="inlineStr">
        <is>
          <t>10.03.2025|SO10020|C0004|P101x15@430-5%|DEL</t>
        </is>
      </c>
      <c r="B39" s="1">
        <f>DATE(MID(A39,7,4),MID(A39,4,2),LEFT(A39,2))</f>
        <v/>
      </c>
      <c r="C39">
        <f>VALUE(MID(A39,14,5))</f>
        <v/>
      </c>
      <c r="D39">
        <f>MID(A39,21,4)</f>
        <v/>
      </c>
      <c r="E39">
        <f>VALUE(MID(A39,27,3))</f>
        <v/>
      </c>
      <c r="F39">
        <f>VALUE(MID(A39,31,FIND("@",A39)-31))</f>
        <v/>
      </c>
      <c r="G39">
        <f>VALUE(MID(A39,FIND("@",A39)+1,FIND("-",A39)-FIND("@",A39)-1))</f>
        <v/>
      </c>
      <c r="H39">
        <f>VALUE(MID(A39,FIND("-",A39)+1,FIND("%",A39)-FIND("-",A39)-1))</f>
        <v/>
      </c>
      <c r="I39">
        <f>RIGHT(A39,3)</f>
        <v/>
      </c>
    </row>
    <row r="40">
      <c r="A40" t="inlineStr">
        <is>
          <t>10.03.2025|SO10020|C0004|P102x15@750-12%|DEL</t>
        </is>
      </c>
      <c r="B40" s="1">
        <f>DATE(MID(A40,7,4),MID(A40,4,2),LEFT(A40,2))</f>
        <v/>
      </c>
      <c r="C40">
        <f>VALUE(MID(A40,14,5))</f>
        <v/>
      </c>
      <c r="D40">
        <f>MID(A40,21,4)</f>
        <v/>
      </c>
      <c r="E40">
        <f>VALUE(MID(A40,27,3))</f>
        <v/>
      </c>
      <c r="F40">
        <f>VALUE(MID(A40,31,FIND("@",A40)-31))</f>
        <v/>
      </c>
      <c r="G40">
        <f>VALUE(MID(A40,FIND("@",A40)+1,FIND("-",A40)-FIND("@",A40)-1))</f>
        <v/>
      </c>
      <c r="H40">
        <f>VALUE(MID(A40,FIND("-",A40)+1,FIND("%",A40)-FIND("-",A40)-1))</f>
        <v/>
      </c>
      <c r="I40">
        <f>RIGHT(A40,3)</f>
        <v/>
      </c>
    </row>
    <row r="41">
      <c r="A41" t="inlineStr">
        <is>
          <t>10.03.2025|SO10020|C0004|P105x25@1400-10%|DEL</t>
        </is>
      </c>
      <c r="B41" s="1">
        <f>DATE(MID(A41,7,4),MID(A41,4,2),LEFT(A41,2))</f>
        <v/>
      </c>
      <c r="C41">
        <f>VALUE(MID(A41,14,5))</f>
        <v/>
      </c>
      <c r="D41">
        <f>MID(A41,21,4)</f>
        <v/>
      </c>
      <c r="E41">
        <f>VALUE(MID(A41,27,3))</f>
        <v/>
      </c>
      <c r="F41">
        <f>VALUE(MID(A41,31,FIND("@",A41)-31))</f>
        <v/>
      </c>
      <c r="G41">
        <f>VALUE(MID(A41,FIND("@",A41)+1,FIND("-",A41)-FIND("@",A41)-1))</f>
        <v/>
      </c>
      <c r="H41">
        <f>VALUE(MID(A41,FIND("-",A41)+1,FIND("%",A41)-FIND("-",A41)-1))</f>
        <v/>
      </c>
      <c r="I41">
        <f>RIGHT(A41,3)</f>
        <v/>
      </c>
    </row>
    <row r="42">
      <c r="A42" t="inlineStr">
        <is>
          <t>18.03.2025|SO10021|C0005|P104x15@620-0%|DEL</t>
        </is>
      </c>
      <c r="B42" s="1">
        <f>DATE(MID(A42,7,4),MID(A42,4,2),LEFT(A42,2))</f>
        <v/>
      </c>
      <c r="C42">
        <f>VALUE(MID(A42,14,5))</f>
        <v/>
      </c>
      <c r="D42">
        <f>MID(A42,21,4)</f>
        <v/>
      </c>
      <c r="E42">
        <f>VALUE(MID(A42,27,3))</f>
        <v/>
      </c>
      <c r="F42">
        <f>VALUE(MID(A42,31,FIND("@",A42)-31))</f>
        <v/>
      </c>
      <c r="G42">
        <f>VALUE(MID(A42,FIND("@",A42)+1,FIND("-",A42)-FIND("@",A42)-1))</f>
        <v/>
      </c>
      <c r="H42">
        <f>VALUE(MID(A42,FIND("-",A42)+1,FIND("%",A42)-FIND("-",A42)-1))</f>
        <v/>
      </c>
      <c r="I42">
        <f>RIGHT(A42,3)</f>
        <v/>
      </c>
    </row>
    <row r="43">
      <c r="A43" t="inlineStr">
        <is>
          <t>21.03.2025|SO10022|C0001|P102x45@750-0%|DEL</t>
        </is>
      </c>
      <c r="B43" s="1">
        <f>DATE(MID(A43,7,4),MID(A43,4,2),LEFT(A43,2))</f>
        <v/>
      </c>
      <c r="C43">
        <f>VALUE(MID(A43,14,5))</f>
        <v/>
      </c>
      <c r="D43">
        <f>MID(A43,21,4)</f>
        <v/>
      </c>
      <c r="E43">
        <f>VALUE(MID(A43,27,3))</f>
        <v/>
      </c>
      <c r="F43">
        <f>VALUE(MID(A43,31,FIND("@",A43)-31))</f>
        <v/>
      </c>
      <c r="G43">
        <f>VALUE(MID(A43,FIND("@",A43)+1,FIND("-",A43)-FIND("@",A43)-1))</f>
        <v/>
      </c>
      <c r="H43">
        <f>VALUE(MID(A43,FIND("-",A43)+1,FIND("%",A43)-FIND("-",A43)-1))</f>
        <v/>
      </c>
      <c r="I43">
        <f>RIGHT(A43,3)</f>
        <v/>
      </c>
    </row>
    <row r="44">
      <c r="A44" t="inlineStr">
        <is>
          <t>21.03.2025|SO10022|C0001|P107x15@380-0%|DEL</t>
        </is>
      </c>
      <c r="B44" s="1">
        <f>DATE(MID(A44,7,4),MID(A44,4,2),LEFT(A44,2))</f>
        <v/>
      </c>
      <c r="C44">
        <f>VALUE(MID(A44,14,5))</f>
        <v/>
      </c>
      <c r="D44">
        <f>MID(A44,21,4)</f>
        <v/>
      </c>
      <c r="E44">
        <f>VALUE(MID(A44,27,3))</f>
        <v/>
      </c>
      <c r="F44">
        <f>VALUE(MID(A44,31,FIND("@",A44)-31))</f>
        <v/>
      </c>
      <c r="G44">
        <f>VALUE(MID(A44,FIND("@",A44)+1,FIND("-",A44)-FIND("@",A44)-1))</f>
        <v/>
      </c>
      <c r="H44">
        <f>VALUE(MID(A44,FIND("-",A44)+1,FIND("%",A44)-FIND("-",A44)-1))</f>
        <v/>
      </c>
      <c r="I44">
        <f>RIGHT(A44,3)</f>
        <v/>
      </c>
    </row>
    <row r="45">
      <c r="A45" t="inlineStr">
        <is>
          <t>21.03.2025|SO10023|C0008|P108x10@290-0%|DEL</t>
        </is>
      </c>
      <c r="B45" s="1">
        <f>DATE(MID(A45,7,4),MID(A45,4,2),LEFT(A45,2))</f>
        <v/>
      </c>
      <c r="C45">
        <f>VALUE(MID(A45,14,5))</f>
        <v/>
      </c>
      <c r="D45">
        <f>MID(A45,21,4)</f>
        <v/>
      </c>
      <c r="E45">
        <f>VALUE(MID(A45,27,3))</f>
        <v/>
      </c>
      <c r="F45">
        <f>VALUE(MID(A45,31,FIND("@",A45)-31))</f>
        <v/>
      </c>
      <c r="G45">
        <f>VALUE(MID(A45,FIND("@",A45)+1,FIND("-",A45)-FIND("@",A45)-1))</f>
        <v/>
      </c>
      <c r="H45">
        <f>VALUE(MID(A45,FIND("-",A45)+1,FIND("%",A45)-FIND("-",A45)-1))</f>
        <v/>
      </c>
      <c r="I45">
        <f>RIGHT(A45,3)</f>
        <v/>
      </c>
    </row>
    <row r="46">
      <c r="A46" t="inlineStr">
        <is>
          <t>22.03.2025|SO10024|C0007|P101x35@430-10%|DEL</t>
        </is>
      </c>
      <c r="B46" s="1">
        <f>DATE(MID(A46,7,4),MID(A46,4,2),LEFT(A46,2))</f>
        <v/>
      </c>
      <c r="C46">
        <f>VALUE(MID(A46,14,5))</f>
        <v/>
      </c>
      <c r="D46">
        <f>MID(A46,21,4)</f>
        <v/>
      </c>
      <c r="E46">
        <f>VALUE(MID(A46,27,3))</f>
        <v/>
      </c>
      <c r="F46">
        <f>VALUE(MID(A46,31,FIND("@",A46)-31))</f>
        <v/>
      </c>
      <c r="G46">
        <f>VALUE(MID(A46,FIND("@",A46)+1,FIND("-",A46)-FIND("@",A46)-1))</f>
        <v/>
      </c>
      <c r="H46">
        <f>VALUE(MID(A46,FIND("-",A46)+1,FIND("%",A46)-FIND("-",A46)-1))</f>
        <v/>
      </c>
      <c r="I46">
        <f>RIGHT(A46,3)</f>
        <v/>
      </c>
    </row>
    <row r="47">
      <c r="A47" t="inlineStr">
        <is>
          <t>22.03.2025|SO10024|C0007|P102x20@750-5%|DEL</t>
        </is>
      </c>
      <c r="B47" s="1">
        <f>DATE(MID(A47,7,4),MID(A47,4,2),LEFT(A47,2))</f>
        <v/>
      </c>
      <c r="C47">
        <f>VALUE(MID(A47,14,5))</f>
        <v/>
      </c>
      <c r="D47">
        <f>MID(A47,21,4)</f>
        <v/>
      </c>
      <c r="E47">
        <f>VALUE(MID(A47,27,3))</f>
        <v/>
      </c>
      <c r="F47">
        <f>VALUE(MID(A47,31,FIND("@",A47)-31))</f>
        <v/>
      </c>
      <c r="G47">
        <f>VALUE(MID(A47,FIND("@",A47)+1,FIND("-",A47)-FIND("@",A47)-1))</f>
        <v/>
      </c>
      <c r="H47">
        <f>VALUE(MID(A47,FIND("-",A47)+1,FIND("%",A47)-FIND("-",A47)-1))</f>
        <v/>
      </c>
      <c r="I47">
        <f>RIGHT(A47,3)</f>
        <v/>
      </c>
    </row>
    <row r="48">
      <c r="A48" t="inlineStr">
        <is>
          <t>22.03.2025|SO10025|C0010|P102x30@750-5%|DEL</t>
        </is>
      </c>
      <c r="B48" s="1">
        <f>DATE(MID(A48,7,4),MID(A48,4,2),LEFT(A48,2))</f>
        <v/>
      </c>
      <c r="C48">
        <f>VALUE(MID(A48,14,5))</f>
        <v/>
      </c>
      <c r="D48">
        <f>MID(A48,21,4)</f>
        <v/>
      </c>
      <c r="E48">
        <f>VALUE(MID(A48,27,3))</f>
        <v/>
      </c>
      <c r="F48">
        <f>VALUE(MID(A48,31,FIND("@",A48)-31))</f>
        <v/>
      </c>
      <c r="G48">
        <f>VALUE(MID(A48,FIND("@",A48)+1,FIND("-",A48)-FIND("@",A48)-1))</f>
        <v/>
      </c>
      <c r="H48">
        <f>VALUE(MID(A48,FIND("-",A48)+1,FIND("%",A48)-FIND("-",A48)-1))</f>
        <v/>
      </c>
      <c r="I48">
        <f>RIGHT(A48,3)</f>
        <v/>
      </c>
    </row>
    <row r="49">
      <c r="A49" t="inlineStr">
        <is>
          <t>26.03.2025|SO10026|C0012|P101x55@430-0%|DEL</t>
        </is>
      </c>
      <c r="B49" s="1">
        <f>DATE(MID(A49,7,4),MID(A49,4,2),LEFT(A49,2))</f>
        <v/>
      </c>
      <c r="C49">
        <f>VALUE(MID(A49,14,5))</f>
        <v/>
      </c>
      <c r="D49">
        <f>MID(A49,21,4)</f>
        <v/>
      </c>
      <c r="E49">
        <f>VALUE(MID(A49,27,3))</f>
        <v/>
      </c>
      <c r="F49">
        <f>VALUE(MID(A49,31,FIND("@",A49)-31))</f>
        <v/>
      </c>
      <c r="G49">
        <f>VALUE(MID(A49,FIND("@",A49)+1,FIND("-",A49)-FIND("@",A49)-1))</f>
        <v/>
      </c>
      <c r="H49">
        <f>VALUE(MID(A49,FIND("-",A49)+1,FIND("%",A49)-FIND("-",A49)-1))</f>
        <v/>
      </c>
      <c r="I49">
        <f>RIGHT(A49,3)</f>
        <v/>
      </c>
    </row>
    <row r="50">
      <c r="A50" t="inlineStr">
        <is>
          <t>26.03.2025|SO10026|C0012|P107x45@380-0%|DEL</t>
        </is>
      </c>
      <c r="B50" s="1">
        <f>DATE(MID(A50,7,4),MID(A50,4,2),LEFT(A50,2))</f>
        <v/>
      </c>
      <c r="C50">
        <f>VALUE(MID(A50,14,5))</f>
        <v/>
      </c>
      <c r="D50">
        <f>MID(A50,21,4)</f>
        <v/>
      </c>
      <c r="E50">
        <f>VALUE(MID(A50,27,3))</f>
        <v/>
      </c>
      <c r="F50">
        <f>VALUE(MID(A50,31,FIND("@",A50)-31))</f>
        <v/>
      </c>
      <c r="G50">
        <f>VALUE(MID(A50,FIND("@",A50)+1,FIND("-",A50)-FIND("@",A50)-1))</f>
        <v/>
      </c>
      <c r="H50">
        <f>VALUE(MID(A50,FIND("-",A50)+1,FIND("%",A50)-FIND("-",A50)-1))</f>
        <v/>
      </c>
      <c r="I50">
        <f>RIGHT(A50,3)</f>
        <v/>
      </c>
    </row>
    <row r="51">
      <c r="A51" t="inlineStr">
        <is>
          <t>27.03.2025|SO10027|C0013|P108x40@290-0%|DEL</t>
        </is>
      </c>
      <c r="B51" s="1">
        <f>DATE(MID(A51,7,4),MID(A51,4,2),LEFT(A51,2))</f>
        <v/>
      </c>
      <c r="C51">
        <f>VALUE(MID(A51,14,5))</f>
        <v/>
      </c>
      <c r="D51">
        <f>MID(A51,21,4)</f>
        <v/>
      </c>
      <c r="E51">
        <f>VALUE(MID(A51,27,3))</f>
        <v/>
      </c>
      <c r="F51">
        <f>VALUE(MID(A51,31,FIND("@",A51)-31))</f>
        <v/>
      </c>
      <c r="G51">
        <f>VALUE(MID(A51,FIND("@",A51)+1,FIND("-",A51)-FIND("@",A51)-1))</f>
        <v/>
      </c>
      <c r="H51">
        <f>VALUE(MID(A51,FIND("-",A51)+1,FIND("%",A51)-FIND("-",A51)-1))</f>
        <v/>
      </c>
      <c r="I51">
        <f>RIGHT(A51,3)</f>
        <v/>
      </c>
    </row>
    <row r="52">
      <c r="A52" t="inlineStr">
        <is>
          <t>28.03.2025|SO10028|C0001|P102x35@750-5%|DEL</t>
        </is>
      </c>
      <c r="B52" s="1">
        <f>DATE(MID(A52,7,4),MID(A52,4,2),LEFT(A52,2))</f>
        <v/>
      </c>
      <c r="C52">
        <f>VALUE(MID(A52,14,5))</f>
        <v/>
      </c>
      <c r="D52">
        <f>MID(A52,21,4)</f>
        <v/>
      </c>
      <c r="E52">
        <f>VALUE(MID(A52,27,3))</f>
        <v/>
      </c>
      <c r="F52">
        <f>VALUE(MID(A52,31,FIND("@",A52)-31))</f>
        <v/>
      </c>
      <c r="G52">
        <f>VALUE(MID(A52,FIND("@",A52)+1,FIND("-",A52)-FIND("@",A52)-1))</f>
        <v/>
      </c>
      <c r="H52">
        <f>VALUE(MID(A52,FIND("-",A52)+1,FIND("%",A52)-FIND("-",A52)-1))</f>
        <v/>
      </c>
      <c r="I52">
        <f>RIGHT(A52,3)</f>
        <v/>
      </c>
    </row>
    <row r="53">
      <c r="A53" t="inlineStr">
        <is>
          <t>28.03.2025|SO10029|C0002|P102x25@750-0%|DEL</t>
        </is>
      </c>
      <c r="B53" s="1">
        <f>DATE(MID(A53,7,4),MID(A53,4,2),LEFT(A53,2))</f>
        <v/>
      </c>
      <c r="C53">
        <f>VALUE(MID(A53,14,5))</f>
        <v/>
      </c>
      <c r="D53">
        <f>MID(A53,21,4)</f>
        <v/>
      </c>
      <c r="E53">
        <f>VALUE(MID(A53,27,3))</f>
        <v/>
      </c>
      <c r="F53">
        <f>VALUE(MID(A53,31,FIND("@",A53)-31))</f>
        <v/>
      </c>
      <c r="G53">
        <f>VALUE(MID(A53,FIND("@",A53)+1,FIND("-",A53)-FIND("@",A53)-1))</f>
        <v/>
      </c>
      <c r="H53">
        <f>VALUE(MID(A53,FIND("-",A53)+1,FIND("%",A53)-FIND("-",A53)-1))</f>
        <v/>
      </c>
      <c r="I53">
        <f>RIGHT(A53,3)</f>
        <v/>
      </c>
    </row>
    <row r="54">
      <c r="A54" t="inlineStr">
        <is>
          <t>28.03.2025|SO10029|C0002|P106x15@1150-5%|DEL</t>
        </is>
      </c>
      <c r="B54" s="1">
        <f>DATE(MID(A54,7,4),MID(A54,4,2),LEFT(A54,2))</f>
        <v/>
      </c>
      <c r="C54">
        <f>VALUE(MID(A54,14,5))</f>
        <v/>
      </c>
      <c r="D54">
        <f>MID(A54,21,4)</f>
        <v/>
      </c>
      <c r="E54">
        <f>VALUE(MID(A54,27,3))</f>
        <v/>
      </c>
      <c r="F54">
        <f>VALUE(MID(A54,31,FIND("@",A54)-31))</f>
        <v/>
      </c>
      <c r="G54">
        <f>VALUE(MID(A54,FIND("@",A54)+1,FIND("-",A54)-FIND("@",A54)-1))</f>
        <v/>
      </c>
      <c r="H54">
        <f>VALUE(MID(A54,FIND("-",A54)+1,FIND("%",A54)-FIND("-",A54)-1))</f>
        <v/>
      </c>
      <c r="I54">
        <f>RIGHT(A54,3)</f>
        <v/>
      </c>
    </row>
    <row r="55">
      <c r="A55" t="inlineStr">
        <is>
          <t>08.04.2025|SO10030|C0005|P107x35@380-5%|DEL</t>
        </is>
      </c>
      <c r="B55" s="1">
        <f>DATE(MID(A55,7,4),MID(A55,4,2),LEFT(A55,2))</f>
        <v/>
      </c>
      <c r="C55">
        <f>VALUE(MID(A55,14,5))</f>
        <v/>
      </c>
      <c r="D55">
        <f>MID(A55,21,4)</f>
        <v/>
      </c>
      <c r="E55">
        <f>VALUE(MID(A55,27,3))</f>
        <v/>
      </c>
      <c r="F55">
        <f>VALUE(MID(A55,31,FIND("@",A55)-31))</f>
        <v/>
      </c>
      <c r="G55">
        <f>VALUE(MID(A55,FIND("@",A55)+1,FIND("-",A55)-FIND("@",A55)-1))</f>
        <v/>
      </c>
      <c r="H55">
        <f>VALUE(MID(A55,FIND("-",A55)+1,FIND("%",A55)-FIND("-",A55)-1))</f>
        <v/>
      </c>
      <c r="I55">
        <f>RIGHT(A55,3)</f>
        <v/>
      </c>
    </row>
    <row r="56">
      <c r="A56" t="inlineStr">
        <is>
          <t>09.04.2025|SO10031|C0011|P101x15@430-8%|DEL</t>
        </is>
      </c>
      <c r="B56" s="1">
        <f>DATE(MID(A56,7,4),MID(A56,4,2),LEFT(A56,2))</f>
        <v/>
      </c>
      <c r="C56">
        <f>VALUE(MID(A56,14,5))</f>
        <v/>
      </c>
      <c r="D56">
        <f>MID(A56,21,4)</f>
        <v/>
      </c>
      <c r="E56">
        <f>VALUE(MID(A56,27,3))</f>
        <v/>
      </c>
      <c r="F56">
        <f>VALUE(MID(A56,31,FIND("@",A56)-31))</f>
        <v/>
      </c>
      <c r="G56">
        <f>VALUE(MID(A56,FIND("@",A56)+1,FIND("-",A56)-FIND("@",A56)-1))</f>
        <v/>
      </c>
      <c r="H56">
        <f>VALUE(MID(A56,FIND("-",A56)+1,FIND("%",A56)-FIND("-",A56)-1))</f>
        <v/>
      </c>
      <c r="I56">
        <f>RIGHT(A56,3)</f>
        <v/>
      </c>
    </row>
    <row r="57">
      <c r="A57" t="inlineStr">
        <is>
          <t>11.04.2025|SO10032|C0002|P101x30@430-0%|DEL</t>
        </is>
      </c>
      <c r="B57" s="1">
        <f>DATE(MID(A57,7,4),MID(A57,4,2),LEFT(A57,2))</f>
        <v/>
      </c>
      <c r="C57">
        <f>VALUE(MID(A57,14,5))</f>
        <v/>
      </c>
      <c r="D57">
        <f>MID(A57,21,4)</f>
        <v/>
      </c>
      <c r="E57">
        <f>VALUE(MID(A57,27,3))</f>
        <v/>
      </c>
      <c r="F57">
        <f>VALUE(MID(A57,31,FIND("@",A57)-31))</f>
        <v/>
      </c>
      <c r="G57">
        <f>VALUE(MID(A57,FIND("@",A57)+1,FIND("-",A57)-FIND("@",A57)-1))</f>
        <v/>
      </c>
      <c r="H57">
        <f>VALUE(MID(A57,FIND("-",A57)+1,FIND("%",A57)-FIND("-",A57)-1))</f>
        <v/>
      </c>
      <c r="I57">
        <f>RIGHT(A57,3)</f>
        <v/>
      </c>
    </row>
    <row r="58">
      <c r="A58" t="inlineStr">
        <is>
          <t>11.04.2025|SO10032|C0002|P103x35@115-0%|DEL</t>
        </is>
      </c>
      <c r="B58" s="1">
        <f>DATE(MID(A58,7,4),MID(A58,4,2),LEFT(A58,2))</f>
        <v/>
      </c>
      <c r="C58">
        <f>VALUE(MID(A58,14,5))</f>
        <v/>
      </c>
      <c r="D58">
        <f>MID(A58,21,4)</f>
        <v/>
      </c>
      <c r="E58">
        <f>VALUE(MID(A58,27,3))</f>
        <v/>
      </c>
      <c r="F58">
        <f>VALUE(MID(A58,31,FIND("@",A58)-31))</f>
        <v/>
      </c>
      <c r="G58">
        <f>VALUE(MID(A58,FIND("@",A58)+1,FIND("-",A58)-FIND("@",A58)-1))</f>
        <v/>
      </c>
      <c r="H58">
        <f>VALUE(MID(A58,FIND("-",A58)+1,FIND("%",A58)-FIND("-",A58)-1))</f>
        <v/>
      </c>
      <c r="I58">
        <f>RIGHT(A58,3)</f>
        <v/>
      </c>
    </row>
    <row r="59">
      <c r="A59" t="inlineStr">
        <is>
          <t>11.04.2025|SO10032|C0002|P108x10@290-0%|DEL</t>
        </is>
      </c>
      <c r="B59" s="1">
        <f>DATE(MID(A59,7,4),MID(A59,4,2),LEFT(A59,2))</f>
        <v/>
      </c>
      <c r="C59">
        <f>VALUE(MID(A59,14,5))</f>
        <v/>
      </c>
      <c r="D59">
        <f>MID(A59,21,4)</f>
        <v/>
      </c>
      <c r="E59">
        <f>VALUE(MID(A59,27,3))</f>
        <v/>
      </c>
      <c r="F59">
        <f>VALUE(MID(A59,31,FIND("@",A59)-31))</f>
        <v/>
      </c>
      <c r="G59">
        <f>VALUE(MID(A59,FIND("@",A59)+1,FIND("-",A59)-FIND("@",A59)-1))</f>
        <v/>
      </c>
      <c r="H59">
        <f>VALUE(MID(A59,FIND("-",A59)+1,FIND("%",A59)-FIND("-",A59)-1))</f>
        <v/>
      </c>
      <c r="I59">
        <f>RIGHT(A59,3)</f>
        <v/>
      </c>
    </row>
    <row r="60">
      <c r="A60" t="inlineStr">
        <is>
          <t>11.04.2025|SO10033|C0003|P104x10@620-5%|DEL</t>
        </is>
      </c>
      <c r="B60" s="1">
        <f>DATE(MID(A60,7,4),MID(A60,4,2),LEFT(A60,2))</f>
        <v/>
      </c>
      <c r="C60">
        <f>VALUE(MID(A60,14,5))</f>
        <v/>
      </c>
      <c r="D60">
        <f>MID(A60,21,4)</f>
        <v/>
      </c>
      <c r="E60">
        <f>VALUE(MID(A60,27,3))</f>
        <v/>
      </c>
      <c r="F60">
        <f>VALUE(MID(A60,31,FIND("@",A60)-31))</f>
        <v/>
      </c>
      <c r="G60">
        <f>VALUE(MID(A60,FIND("@",A60)+1,FIND("-",A60)-FIND("@",A60)-1))</f>
        <v/>
      </c>
      <c r="H60">
        <f>VALUE(MID(A60,FIND("-",A60)+1,FIND("%",A60)-FIND("-",A60)-1))</f>
        <v/>
      </c>
      <c r="I60">
        <f>RIGHT(A60,3)</f>
        <v/>
      </c>
    </row>
    <row r="61">
      <c r="A61" t="inlineStr">
        <is>
          <t>11.04.2025|SO10033|C0003|P107x20@380-5%|DEL</t>
        </is>
      </c>
      <c r="B61" s="1">
        <f>DATE(MID(A61,7,4),MID(A61,4,2),LEFT(A61,2))</f>
        <v/>
      </c>
      <c r="C61">
        <f>VALUE(MID(A61,14,5))</f>
        <v/>
      </c>
      <c r="D61">
        <f>MID(A61,21,4)</f>
        <v/>
      </c>
      <c r="E61">
        <f>VALUE(MID(A61,27,3))</f>
        <v/>
      </c>
      <c r="F61">
        <f>VALUE(MID(A61,31,FIND("@",A61)-31))</f>
        <v/>
      </c>
      <c r="G61">
        <f>VALUE(MID(A61,FIND("@",A61)+1,FIND("-",A61)-FIND("@",A61)-1))</f>
        <v/>
      </c>
      <c r="H61">
        <f>VALUE(MID(A61,FIND("-",A61)+1,FIND("%",A61)-FIND("-",A61)-1))</f>
        <v/>
      </c>
      <c r="I61">
        <f>RIGHT(A61,3)</f>
        <v/>
      </c>
    </row>
    <row r="62">
      <c r="A62" t="inlineStr">
        <is>
          <t>13.04.2025|SO10034|C0010|P104x40@620-0%|CAN</t>
        </is>
      </c>
      <c r="B62" s="1">
        <f>DATE(MID(A62,7,4),MID(A62,4,2),LEFT(A62,2))</f>
        <v/>
      </c>
      <c r="C62">
        <f>VALUE(MID(A62,14,5))</f>
        <v/>
      </c>
      <c r="D62">
        <f>MID(A62,21,4)</f>
        <v/>
      </c>
      <c r="E62">
        <f>VALUE(MID(A62,27,3))</f>
        <v/>
      </c>
      <c r="F62">
        <f>VALUE(MID(A62,31,FIND("@",A62)-31))</f>
        <v/>
      </c>
      <c r="G62">
        <f>VALUE(MID(A62,FIND("@",A62)+1,FIND("-",A62)-FIND("@",A62)-1))</f>
        <v/>
      </c>
      <c r="H62">
        <f>VALUE(MID(A62,FIND("-",A62)+1,FIND("%",A62)-FIND("-",A62)-1))</f>
        <v/>
      </c>
      <c r="I62">
        <f>RIGHT(A62,3)</f>
        <v/>
      </c>
    </row>
    <row r="63">
      <c r="A63" t="inlineStr">
        <is>
          <t>14.04.2025|SO10035|C0003|P101x25@430-5%|DEL</t>
        </is>
      </c>
      <c r="B63" s="1">
        <f>DATE(MID(A63,7,4),MID(A63,4,2),LEFT(A63,2))</f>
        <v/>
      </c>
      <c r="C63">
        <f>VALUE(MID(A63,14,5))</f>
        <v/>
      </c>
      <c r="D63">
        <f>MID(A63,21,4)</f>
        <v/>
      </c>
      <c r="E63">
        <f>VALUE(MID(A63,27,3))</f>
        <v/>
      </c>
      <c r="F63">
        <f>VALUE(MID(A63,31,FIND("@",A63)-31))</f>
        <v/>
      </c>
      <c r="G63">
        <f>VALUE(MID(A63,FIND("@",A63)+1,FIND("-",A63)-FIND("@",A63)-1))</f>
        <v/>
      </c>
      <c r="H63">
        <f>VALUE(MID(A63,FIND("-",A63)+1,FIND("%",A63)-FIND("-",A63)-1))</f>
        <v/>
      </c>
      <c r="I63">
        <f>RIGHT(A63,3)</f>
        <v/>
      </c>
    </row>
    <row r="64">
      <c r="A64" t="inlineStr">
        <is>
          <t>15.04.2025|SO10036|C0012|P103x35@115-0%|DEL</t>
        </is>
      </c>
      <c r="B64" s="1">
        <f>DATE(MID(A64,7,4),MID(A64,4,2),LEFT(A64,2))</f>
        <v/>
      </c>
      <c r="C64">
        <f>VALUE(MID(A64,14,5))</f>
        <v/>
      </c>
      <c r="D64">
        <f>MID(A64,21,4)</f>
        <v/>
      </c>
      <c r="E64">
        <f>VALUE(MID(A64,27,3))</f>
        <v/>
      </c>
      <c r="F64">
        <f>VALUE(MID(A64,31,FIND("@",A64)-31))</f>
        <v/>
      </c>
      <c r="G64">
        <f>VALUE(MID(A64,FIND("@",A64)+1,FIND("-",A64)-FIND("@",A64)-1))</f>
        <v/>
      </c>
      <c r="H64">
        <f>VALUE(MID(A64,FIND("-",A64)+1,FIND("%",A64)-FIND("-",A64)-1))</f>
        <v/>
      </c>
      <c r="I64">
        <f>RIGHT(A64,3)</f>
        <v/>
      </c>
    </row>
    <row r="65">
      <c r="A65" t="inlineStr">
        <is>
          <t>15.04.2025|SO10036|C0012|P104x30@620-5%|DEL</t>
        </is>
      </c>
      <c r="B65" s="1">
        <f>DATE(MID(A65,7,4),MID(A65,4,2),LEFT(A65,2))</f>
        <v/>
      </c>
      <c r="C65">
        <f>VALUE(MID(A65,14,5))</f>
        <v/>
      </c>
      <c r="D65">
        <f>MID(A65,21,4)</f>
        <v/>
      </c>
      <c r="E65">
        <f>VALUE(MID(A65,27,3))</f>
        <v/>
      </c>
      <c r="F65">
        <f>VALUE(MID(A65,31,FIND("@",A65)-31))</f>
        <v/>
      </c>
      <c r="G65">
        <f>VALUE(MID(A65,FIND("@",A65)+1,FIND("-",A65)-FIND("@",A65)-1))</f>
        <v/>
      </c>
      <c r="H65">
        <f>VALUE(MID(A65,FIND("-",A65)+1,FIND("%",A65)-FIND("-",A65)-1))</f>
        <v/>
      </c>
      <c r="I65">
        <f>RIGHT(A65,3)</f>
        <v/>
      </c>
    </row>
    <row r="66">
      <c r="A66" t="inlineStr">
        <is>
          <t>15.04.2025|SO10036|C0012|P107x35@380-0%|DEL</t>
        </is>
      </c>
      <c r="B66" s="1">
        <f>DATE(MID(A66,7,4),MID(A66,4,2),LEFT(A66,2))</f>
        <v/>
      </c>
      <c r="C66">
        <f>VALUE(MID(A66,14,5))</f>
        <v/>
      </c>
      <c r="D66">
        <f>MID(A66,21,4)</f>
        <v/>
      </c>
      <c r="E66">
        <f>VALUE(MID(A66,27,3))</f>
        <v/>
      </c>
      <c r="F66">
        <f>VALUE(MID(A66,31,FIND("@",A66)-31))</f>
        <v/>
      </c>
      <c r="G66">
        <f>VALUE(MID(A66,FIND("@",A66)+1,FIND("-",A66)-FIND("@",A66)-1))</f>
        <v/>
      </c>
      <c r="H66">
        <f>VALUE(MID(A66,FIND("-",A66)+1,FIND("%",A66)-FIND("-",A66)-1))</f>
        <v/>
      </c>
      <c r="I66">
        <f>RIGHT(A66,3)</f>
        <v/>
      </c>
    </row>
    <row r="67">
      <c r="A67" t="inlineStr">
        <is>
          <t>20.04.2025|SO10037|C0005|P101x45@430-0%|DEL</t>
        </is>
      </c>
      <c r="B67" s="1">
        <f>DATE(MID(A67,7,4),MID(A67,4,2),LEFT(A67,2))</f>
        <v/>
      </c>
      <c r="C67">
        <f>VALUE(MID(A67,14,5))</f>
        <v/>
      </c>
      <c r="D67">
        <f>MID(A67,21,4)</f>
        <v/>
      </c>
      <c r="E67">
        <f>VALUE(MID(A67,27,3))</f>
        <v/>
      </c>
      <c r="F67">
        <f>VALUE(MID(A67,31,FIND("@",A67)-31))</f>
        <v/>
      </c>
      <c r="G67">
        <f>VALUE(MID(A67,FIND("@",A67)+1,FIND("-",A67)-FIND("@",A67)-1))</f>
        <v/>
      </c>
      <c r="H67">
        <f>VALUE(MID(A67,FIND("-",A67)+1,FIND("%",A67)-FIND("-",A67)-1))</f>
        <v/>
      </c>
      <c r="I67">
        <f>RIGHT(A67,3)</f>
        <v/>
      </c>
    </row>
    <row r="68">
      <c r="A68" t="inlineStr">
        <is>
          <t>20.04.2025|SO10037|C0005|P108x30@290-5%|DEL</t>
        </is>
      </c>
      <c r="B68" s="1">
        <f>DATE(MID(A68,7,4),MID(A68,4,2),LEFT(A68,2))</f>
        <v/>
      </c>
      <c r="C68">
        <f>VALUE(MID(A68,14,5))</f>
        <v/>
      </c>
      <c r="D68">
        <f>MID(A68,21,4)</f>
        <v/>
      </c>
      <c r="E68">
        <f>VALUE(MID(A68,27,3))</f>
        <v/>
      </c>
      <c r="F68">
        <f>VALUE(MID(A68,31,FIND("@",A68)-31))</f>
        <v/>
      </c>
      <c r="G68">
        <f>VALUE(MID(A68,FIND("@",A68)+1,FIND("-",A68)-FIND("@",A68)-1))</f>
        <v/>
      </c>
      <c r="H68">
        <f>VALUE(MID(A68,FIND("-",A68)+1,FIND("%",A68)-FIND("-",A68)-1))</f>
        <v/>
      </c>
      <c r="I68">
        <f>RIGHT(A68,3)</f>
        <v/>
      </c>
    </row>
    <row r="69">
      <c r="A69" t="inlineStr">
        <is>
          <t>21.04.2025|SO10038|C0006|P107x50@380-0%|DEL</t>
        </is>
      </c>
      <c r="B69" s="1">
        <f>DATE(MID(A69,7,4),MID(A69,4,2),LEFT(A69,2))</f>
        <v/>
      </c>
      <c r="C69">
        <f>VALUE(MID(A69,14,5))</f>
        <v/>
      </c>
      <c r="D69">
        <f>MID(A69,21,4)</f>
        <v/>
      </c>
      <c r="E69">
        <f>VALUE(MID(A69,27,3))</f>
        <v/>
      </c>
      <c r="F69">
        <f>VALUE(MID(A69,31,FIND("@",A69)-31))</f>
        <v/>
      </c>
      <c r="G69">
        <f>VALUE(MID(A69,FIND("@",A69)+1,FIND("-",A69)-FIND("@",A69)-1))</f>
        <v/>
      </c>
      <c r="H69">
        <f>VALUE(MID(A69,FIND("-",A69)+1,FIND("%",A69)-FIND("-",A69)-1))</f>
        <v/>
      </c>
      <c r="I69">
        <f>RIGHT(A69,3)</f>
        <v/>
      </c>
    </row>
    <row r="70">
      <c r="A70" t="inlineStr">
        <is>
          <t>22.04.2025|SO10039|C0001|P102x15@750-5%|DEL</t>
        </is>
      </c>
      <c r="B70" s="1">
        <f>DATE(MID(A70,7,4),MID(A70,4,2),LEFT(A70,2))</f>
        <v/>
      </c>
      <c r="C70">
        <f>VALUE(MID(A70,14,5))</f>
        <v/>
      </c>
      <c r="D70">
        <f>MID(A70,21,4)</f>
        <v/>
      </c>
      <c r="E70">
        <f>VALUE(MID(A70,27,3))</f>
        <v/>
      </c>
      <c r="F70">
        <f>VALUE(MID(A70,31,FIND("@",A70)-31))</f>
        <v/>
      </c>
      <c r="G70">
        <f>VALUE(MID(A70,FIND("@",A70)+1,FIND("-",A70)-FIND("@",A70)-1))</f>
        <v/>
      </c>
      <c r="H70">
        <f>VALUE(MID(A70,FIND("-",A70)+1,FIND("%",A70)-FIND("-",A70)-1))</f>
        <v/>
      </c>
      <c r="I70">
        <f>RIGHT(A70,3)</f>
        <v/>
      </c>
    </row>
    <row r="71">
      <c r="A71" t="inlineStr">
        <is>
          <t>22.04.2025|SO10039|C0001|P104x35@620-0%|DEL</t>
        </is>
      </c>
      <c r="B71" s="1">
        <f>DATE(MID(A71,7,4),MID(A71,4,2),LEFT(A71,2))</f>
        <v/>
      </c>
      <c r="C71">
        <f>VALUE(MID(A71,14,5))</f>
        <v/>
      </c>
      <c r="D71">
        <f>MID(A71,21,4)</f>
        <v/>
      </c>
      <c r="E71">
        <f>VALUE(MID(A71,27,3))</f>
        <v/>
      </c>
      <c r="F71">
        <f>VALUE(MID(A71,31,FIND("@",A71)-31))</f>
        <v/>
      </c>
      <c r="G71">
        <f>VALUE(MID(A71,FIND("@",A71)+1,FIND("-",A71)-FIND("@",A71)-1))</f>
        <v/>
      </c>
      <c r="H71">
        <f>VALUE(MID(A71,FIND("-",A71)+1,FIND("%",A71)-FIND("-",A71)-1))</f>
        <v/>
      </c>
      <c r="I71">
        <f>RIGHT(A71,3)</f>
        <v/>
      </c>
    </row>
    <row r="72">
      <c r="A72" t="inlineStr">
        <is>
          <t>23.04.2025|SO10040|C0004|P108x25@290-5%|DEL</t>
        </is>
      </c>
      <c r="B72" s="1">
        <f>DATE(MID(A72,7,4),MID(A72,4,2),LEFT(A72,2))</f>
        <v/>
      </c>
      <c r="C72">
        <f>VALUE(MID(A72,14,5))</f>
        <v/>
      </c>
      <c r="D72">
        <f>MID(A72,21,4)</f>
        <v/>
      </c>
      <c r="E72">
        <f>VALUE(MID(A72,27,3))</f>
        <v/>
      </c>
      <c r="F72">
        <f>VALUE(MID(A72,31,FIND("@",A72)-31))</f>
        <v/>
      </c>
      <c r="G72">
        <f>VALUE(MID(A72,FIND("@",A72)+1,FIND("-",A72)-FIND("@",A72)-1))</f>
        <v/>
      </c>
      <c r="H72">
        <f>VALUE(MID(A72,FIND("-",A72)+1,FIND("%",A72)-FIND("-",A72)-1))</f>
        <v/>
      </c>
      <c r="I72">
        <f>RIGHT(A72,3)</f>
        <v/>
      </c>
    </row>
    <row r="73">
      <c r="A73" t="inlineStr">
        <is>
          <t>23.04.2025|SO10041|C0012|P103x35@115-0%|DEL</t>
        </is>
      </c>
      <c r="B73" s="1">
        <f>DATE(MID(A73,7,4),MID(A73,4,2),LEFT(A73,2))</f>
        <v/>
      </c>
      <c r="C73">
        <f>VALUE(MID(A73,14,5))</f>
        <v/>
      </c>
      <c r="D73">
        <f>MID(A73,21,4)</f>
        <v/>
      </c>
      <c r="E73">
        <f>VALUE(MID(A73,27,3))</f>
        <v/>
      </c>
      <c r="F73">
        <f>VALUE(MID(A73,31,FIND("@",A73)-31))</f>
        <v/>
      </c>
      <c r="G73">
        <f>VALUE(MID(A73,FIND("@",A73)+1,FIND("-",A73)-FIND("@",A73)-1))</f>
        <v/>
      </c>
      <c r="H73">
        <f>VALUE(MID(A73,FIND("-",A73)+1,FIND("%",A73)-FIND("-",A73)-1))</f>
        <v/>
      </c>
      <c r="I73">
        <f>RIGHT(A73,3)</f>
        <v/>
      </c>
    </row>
    <row r="74">
      <c r="A74" t="inlineStr">
        <is>
          <t>23.04.2025|SO10041|C0012|P108x60@290-5%|DEL</t>
        </is>
      </c>
      <c r="B74" s="1">
        <f>DATE(MID(A74,7,4),MID(A74,4,2),LEFT(A74,2))</f>
        <v/>
      </c>
      <c r="C74">
        <f>VALUE(MID(A74,14,5))</f>
        <v/>
      </c>
      <c r="D74">
        <f>MID(A74,21,4)</f>
        <v/>
      </c>
      <c r="E74">
        <f>VALUE(MID(A74,27,3))</f>
        <v/>
      </c>
      <c r="F74">
        <f>VALUE(MID(A74,31,FIND("@",A74)-31))</f>
        <v/>
      </c>
      <c r="G74">
        <f>VALUE(MID(A74,FIND("@",A74)+1,FIND("-",A74)-FIND("@",A74)-1))</f>
        <v/>
      </c>
      <c r="H74">
        <f>VALUE(MID(A74,FIND("-",A74)+1,FIND("%",A74)-FIND("-",A74)-1))</f>
        <v/>
      </c>
      <c r="I74">
        <f>RIGHT(A74,3)</f>
        <v/>
      </c>
    </row>
    <row r="75">
      <c r="A75" t="inlineStr">
        <is>
          <t>25.04.2025|SO10042|C0007|P102x10@750-5%|DEL</t>
        </is>
      </c>
      <c r="B75" s="1">
        <f>DATE(MID(A75,7,4),MID(A75,4,2),LEFT(A75,2))</f>
        <v/>
      </c>
      <c r="C75">
        <f>VALUE(MID(A75,14,5))</f>
        <v/>
      </c>
      <c r="D75">
        <f>MID(A75,21,4)</f>
        <v/>
      </c>
      <c r="E75">
        <f>VALUE(MID(A75,27,3))</f>
        <v/>
      </c>
      <c r="F75">
        <f>VALUE(MID(A75,31,FIND("@",A75)-31))</f>
        <v/>
      </c>
      <c r="G75">
        <f>VALUE(MID(A75,FIND("@",A75)+1,FIND("-",A75)-FIND("@",A75)-1))</f>
        <v/>
      </c>
      <c r="H75">
        <f>VALUE(MID(A75,FIND("-",A75)+1,FIND("%",A75)-FIND("-",A75)-1))</f>
        <v/>
      </c>
      <c r="I75">
        <f>RIGHT(A75,3)</f>
        <v/>
      </c>
    </row>
    <row r="76">
      <c r="A76" t="inlineStr">
        <is>
          <t>04.05.2025|SO10043|C0002|P102x15@750-0%|DEL</t>
        </is>
      </c>
      <c r="B76" s="1">
        <f>DATE(MID(A76,7,4),MID(A76,4,2),LEFT(A76,2))</f>
        <v/>
      </c>
      <c r="C76">
        <f>VALUE(MID(A76,14,5))</f>
        <v/>
      </c>
      <c r="D76">
        <f>MID(A76,21,4)</f>
        <v/>
      </c>
      <c r="E76">
        <f>VALUE(MID(A76,27,3))</f>
        <v/>
      </c>
      <c r="F76">
        <f>VALUE(MID(A76,31,FIND("@",A76)-31))</f>
        <v/>
      </c>
      <c r="G76">
        <f>VALUE(MID(A76,FIND("@",A76)+1,FIND("-",A76)-FIND("@",A76)-1))</f>
        <v/>
      </c>
      <c r="H76">
        <f>VALUE(MID(A76,FIND("-",A76)+1,FIND("%",A76)-FIND("-",A76)-1))</f>
        <v/>
      </c>
      <c r="I76">
        <f>RIGHT(A76,3)</f>
        <v/>
      </c>
    </row>
    <row r="77">
      <c r="A77" t="inlineStr">
        <is>
          <t>04.05.2025|SO10043|C0002|P104x20@620-0%|DEL</t>
        </is>
      </c>
      <c r="B77" s="1">
        <f>DATE(MID(A77,7,4),MID(A77,4,2),LEFT(A77,2))</f>
        <v/>
      </c>
      <c r="C77">
        <f>VALUE(MID(A77,14,5))</f>
        <v/>
      </c>
      <c r="D77">
        <f>MID(A77,21,4)</f>
        <v/>
      </c>
      <c r="E77">
        <f>VALUE(MID(A77,27,3))</f>
        <v/>
      </c>
      <c r="F77">
        <f>VALUE(MID(A77,31,FIND("@",A77)-31))</f>
        <v/>
      </c>
      <c r="G77">
        <f>VALUE(MID(A77,FIND("@",A77)+1,FIND("-",A77)-FIND("@",A77)-1))</f>
        <v/>
      </c>
      <c r="H77">
        <f>VALUE(MID(A77,FIND("-",A77)+1,FIND("%",A77)-FIND("-",A77)-1))</f>
        <v/>
      </c>
      <c r="I77">
        <f>RIGHT(A77,3)</f>
        <v/>
      </c>
    </row>
    <row r="78">
      <c r="A78" t="inlineStr">
        <is>
          <t>04.05.2025|SO10044|C0004|P101x15@430-8%|DEL</t>
        </is>
      </c>
      <c r="B78" s="1">
        <f>DATE(MID(A78,7,4),MID(A78,4,2),LEFT(A78,2))</f>
        <v/>
      </c>
      <c r="C78">
        <f>VALUE(MID(A78,14,5))</f>
        <v/>
      </c>
      <c r="D78">
        <f>MID(A78,21,4)</f>
        <v/>
      </c>
      <c r="E78">
        <f>VALUE(MID(A78,27,3))</f>
        <v/>
      </c>
      <c r="F78">
        <f>VALUE(MID(A78,31,FIND("@",A78)-31))</f>
        <v/>
      </c>
      <c r="G78">
        <f>VALUE(MID(A78,FIND("@",A78)+1,FIND("-",A78)-FIND("@",A78)-1))</f>
        <v/>
      </c>
      <c r="H78">
        <f>VALUE(MID(A78,FIND("-",A78)+1,FIND("%",A78)-FIND("-",A78)-1))</f>
        <v/>
      </c>
      <c r="I78">
        <f>RIGHT(A78,3)</f>
        <v/>
      </c>
    </row>
    <row r="79">
      <c r="A79" t="inlineStr">
        <is>
          <t>04.05.2025|SO10044|C0004|P105x35@1400-10%|DEL</t>
        </is>
      </c>
      <c r="B79" s="1">
        <f>DATE(MID(A79,7,4),MID(A79,4,2),LEFT(A79,2))</f>
        <v/>
      </c>
      <c r="C79">
        <f>VALUE(MID(A79,14,5))</f>
        <v/>
      </c>
      <c r="D79">
        <f>MID(A79,21,4)</f>
        <v/>
      </c>
      <c r="E79">
        <f>VALUE(MID(A79,27,3))</f>
        <v/>
      </c>
      <c r="F79">
        <f>VALUE(MID(A79,31,FIND("@",A79)-31))</f>
        <v/>
      </c>
      <c r="G79">
        <f>VALUE(MID(A79,FIND("@",A79)+1,FIND("-",A79)-FIND("@",A79)-1))</f>
        <v/>
      </c>
      <c r="H79">
        <f>VALUE(MID(A79,FIND("-",A79)+1,FIND("%",A79)-FIND("-",A79)-1))</f>
        <v/>
      </c>
      <c r="I79">
        <f>RIGHT(A79,3)</f>
        <v/>
      </c>
    </row>
    <row r="80">
      <c r="A80" t="inlineStr">
        <is>
          <t>04.05.2025|SO10044|C0004|P108x5@290-12%|DEL</t>
        </is>
      </c>
      <c r="B80" s="1">
        <f>DATE(MID(A80,7,4),MID(A80,4,2),LEFT(A80,2))</f>
        <v/>
      </c>
      <c r="C80">
        <f>VALUE(MID(A80,14,5))</f>
        <v/>
      </c>
      <c r="D80">
        <f>MID(A80,21,4)</f>
        <v/>
      </c>
      <c r="E80">
        <f>VALUE(MID(A80,27,3))</f>
        <v/>
      </c>
      <c r="F80">
        <f>VALUE(MID(A80,31,FIND("@",A80)-31))</f>
        <v/>
      </c>
      <c r="G80">
        <f>VALUE(MID(A80,FIND("@",A80)+1,FIND("-",A80)-FIND("@",A80)-1))</f>
        <v/>
      </c>
      <c r="H80">
        <f>VALUE(MID(A80,FIND("-",A80)+1,FIND("%",A80)-FIND("-",A80)-1))</f>
        <v/>
      </c>
      <c r="I80">
        <f>RIGHT(A80,3)</f>
        <v/>
      </c>
    </row>
    <row r="81">
      <c r="A81" t="inlineStr">
        <is>
          <t>04.05.2025|SO10045|C0013|P102x25@750-0%|DEL</t>
        </is>
      </c>
      <c r="B81" s="1">
        <f>DATE(MID(A81,7,4),MID(A81,4,2),LEFT(A81,2))</f>
        <v/>
      </c>
      <c r="C81">
        <f>VALUE(MID(A81,14,5))</f>
        <v/>
      </c>
      <c r="D81">
        <f>MID(A81,21,4)</f>
        <v/>
      </c>
      <c r="E81">
        <f>VALUE(MID(A81,27,3))</f>
        <v/>
      </c>
      <c r="F81">
        <f>VALUE(MID(A81,31,FIND("@",A81)-31))</f>
        <v/>
      </c>
      <c r="G81">
        <f>VALUE(MID(A81,FIND("@",A81)+1,FIND("-",A81)-FIND("@",A81)-1))</f>
        <v/>
      </c>
      <c r="H81">
        <f>VALUE(MID(A81,FIND("-",A81)+1,FIND("%",A81)-FIND("-",A81)-1))</f>
        <v/>
      </c>
      <c r="I81">
        <f>RIGHT(A81,3)</f>
        <v/>
      </c>
    </row>
    <row r="82">
      <c r="A82" t="inlineStr">
        <is>
          <t>04.05.2025|SO10045|C0013|P103x35@115-0%|DEL</t>
        </is>
      </c>
      <c r="B82" s="1">
        <f>DATE(MID(A82,7,4),MID(A82,4,2),LEFT(A82,2))</f>
        <v/>
      </c>
      <c r="C82">
        <f>VALUE(MID(A82,14,5))</f>
        <v/>
      </c>
      <c r="D82">
        <f>MID(A82,21,4)</f>
        <v/>
      </c>
      <c r="E82">
        <f>VALUE(MID(A82,27,3))</f>
        <v/>
      </c>
      <c r="F82">
        <f>VALUE(MID(A82,31,FIND("@",A82)-31))</f>
        <v/>
      </c>
      <c r="G82">
        <f>VALUE(MID(A82,FIND("@",A82)+1,FIND("-",A82)-FIND("@",A82)-1))</f>
        <v/>
      </c>
      <c r="H82">
        <f>VALUE(MID(A82,FIND("-",A82)+1,FIND("%",A82)-FIND("-",A82)-1))</f>
        <v/>
      </c>
      <c r="I82">
        <f>RIGHT(A82,3)</f>
        <v/>
      </c>
    </row>
    <row r="83">
      <c r="A83" t="inlineStr">
        <is>
          <t>06.05.2025|SO10046|C0014|P101x15@430-10%|DEL</t>
        </is>
      </c>
      <c r="B83" s="1">
        <f>DATE(MID(A83,7,4),MID(A83,4,2),LEFT(A83,2))</f>
        <v/>
      </c>
      <c r="C83">
        <f>VALUE(MID(A83,14,5))</f>
        <v/>
      </c>
      <c r="D83">
        <f>MID(A83,21,4)</f>
        <v/>
      </c>
      <c r="E83">
        <f>VALUE(MID(A83,27,3))</f>
        <v/>
      </c>
      <c r="F83">
        <f>VALUE(MID(A83,31,FIND("@",A83)-31))</f>
        <v/>
      </c>
      <c r="G83">
        <f>VALUE(MID(A83,FIND("@",A83)+1,FIND("-",A83)-FIND("@",A83)-1))</f>
        <v/>
      </c>
      <c r="H83">
        <f>VALUE(MID(A83,FIND("-",A83)+1,FIND("%",A83)-FIND("-",A83)-1))</f>
        <v/>
      </c>
      <c r="I83">
        <f>RIGHT(A83,3)</f>
        <v/>
      </c>
    </row>
    <row r="84">
      <c r="A84" t="inlineStr">
        <is>
          <t>07.05.2025|SO10047|C0001|P106x15@1150-0%|DEL</t>
        </is>
      </c>
      <c r="B84" s="1">
        <f>DATE(MID(A84,7,4),MID(A84,4,2),LEFT(A84,2))</f>
        <v/>
      </c>
      <c r="C84">
        <f>VALUE(MID(A84,14,5))</f>
        <v/>
      </c>
      <c r="D84">
        <f>MID(A84,21,4)</f>
        <v/>
      </c>
      <c r="E84">
        <f>VALUE(MID(A84,27,3))</f>
        <v/>
      </c>
      <c r="F84">
        <f>VALUE(MID(A84,31,FIND("@",A84)-31))</f>
        <v/>
      </c>
      <c r="G84">
        <f>VALUE(MID(A84,FIND("@",A84)+1,FIND("-",A84)-FIND("@",A84)-1))</f>
        <v/>
      </c>
      <c r="H84">
        <f>VALUE(MID(A84,FIND("-",A84)+1,FIND("%",A84)-FIND("-",A84)-1))</f>
        <v/>
      </c>
      <c r="I84">
        <f>RIGHT(A84,3)</f>
        <v/>
      </c>
    </row>
    <row r="85">
      <c r="A85" t="inlineStr">
        <is>
          <t>08.05.2025|SO10048|C0005|P103x20@115-0%|DEL</t>
        </is>
      </c>
      <c r="B85" s="1">
        <f>DATE(MID(A85,7,4),MID(A85,4,2),LEFT(A85,2))</f>
        <v/>
      </c>
      <c r="C85">
        <f>VALUE(MID(A85,14,5))</f>
        <v/>
      </c>
      <c r="D85">
        <f>MID(A85,21,4)</f>
        <v/>
      </c>
      <c r="E85">
        <f>VALUE(MID(A85,27,3))</f>
        <v/>
      </c>
      <c r="F85">
        <f>VALUE(MID(A85,31,FIND("@",A85)-31))</f>
        <v/>
      </c>
      <c r="G85">
        <f>VALUE(MID(A85,FIND("@",A85)+1,FIND("-",A85)-FIND("@",A85)-1))</f>
        <v/>
      </c>
      <c r="H85">
        <f>VALUE(MID(A85,FIND("-",A85)+1,FIND("%",A85)-FIND("-",A85)-1))</f>
        <v/>
      </c>
      <c r="I85">
        <f>RIGHT(A85,3)</f>
        <v/>
      </c>
    </row>
    <row r="86">
      <c r="A86" t="inlineStr">
        <is>
          <t>08.05.2025|SO10048|C0005|P107x15@380-0%|DEL</t>
        </is>
      </c>
      <c r="B86" s="1">
        <f>DATE(MID(A86,7,4),MID(A86,4,2),LEFT(A86,2))</f>
        <v/>
      </c>
      <c r="C86">
        <f>VALUE(MID(A86,14,5))</f>
        <v/>
      </c>
      <c r="D86">
        <f>MID(A86,21,4)</f>
        <v/>
      </c>
      <c r="E86">
        <f>VALUE(MID(A86,27,3))</f>
        <v/>
      </c>
      <c r="F86">
        <f>VALUE(MID(A86,31,FIND("@",A86)-31))</f>
        <v/>
      </c>
      <c r="G86">
        <f>VALUE(MID(A86,FIND("@",A86)+1,FIND("-",A86)-FIND("@",A86)-1))</f>
        <v/>
      </c>
      <c r="H86">
        <f>VALUE(MID(A86,FIND("-",A86)+1,FIND("%",A86)-FIND("-",A86)-1))</f>
        <v/>
      </c>
      <c r="I86">
        <f>RIGHT(A86,3)</f>
        <v/>
      </c>
    </row>
    <row r="87">
      <c r="A87" t="inlineStr">
        <is>
          <t>13.05.2025|SO10049|C0007|P102x20@750-12%|DEL</t>
        </is>
      </c>
      <c r="B87" s="1">
        <f>DATE(MID(A87,7,4),MID(A87,4,2),LEFT(A87,2))</f>
        <v/>
      </c>
      <c r="C87">
        <f>VALUE(MID(A87,14,5))</f>
        <v/>
      </c>
      <c r="D87">
        <f>MID(A87,21,4)</f>
        <v/>
      </c>
      <c r="E87">
        <f>VALUE(MID(A87,27,3))</f>
        <v/>
      </c>
      <c r="F87">
        <f>VALUE(MID(A87,31,FIND("@",A87)-31))</f>
        <v/>
      </c>
      <c r="G87">
        <f>VALUE(MID(A87,FIND("@",A87)+1,FIND("-",A87)-FIND("@",A87)-1))</f>
        <v/>
      </c>
      <c r="H87">
        <f>VALUE(MID(A87,FIND("-",A87)+1,FIND("%",A87)-FIND("-",A87)-1))</f>
        <v/>
      </c>
      <c r="I87">
        <f>RIGHT(A87,3)</f>
        <v/>
      </c>
    </row>
    <row r="88">
      <c r="A88" t="inlineStr">
        <is>
          <t>13.05.2025|SO10049|C0007|P108x35@290-10%|DEL</t>
        </is>
      </c>
      <c r="B88" s="1">
        <f>DATE(MID(A88,7,4),MID(A88,4,2),LEFT(A88,2))</f>
        <v/>
      </c>
      <c r="C88">
        <f>VALUE(MID(A88,14,5))</f>
        <v/>
      </c>
      <c r="D88">
        <f>MID(A88,21,4)</f>
        <v/>
      </c>
      <c r="E88">
        <f>VALUE(MID(A88,27,3))</f>
        <v/>
      </c>
      <c r="F88">
        <f>VALUE(MID(A88,31,FIND("@",A88)-31))</f>
        <v/>
      </c>
      <c r="G88">
        <f>VALUE(MID(A88,FIND("@",A88)+1,FIND("-",A88)-FIND("@",A88)-1))</f>
        <v/>
      </c>
      <c r="H88">
        <f>VALUE(MID(A88,FIND("-",A88)+1,FIND("%",A88)-FIND("-",A88)-1))</f>
        <v/>
      </c>
      <c r="I88">
        <f>RIGHT(A88,3)</f>
        <v/>
      </c>
    </row>
    <row r="89">
      <c r="A89" t="inlineStr">
        <is>
          <t>15.05.2025|SO10050|C0007|P101x40@430-10%|DEL</t>
        </is>
      </c>
      <c r="B89" s="1">
        <f>DATE(MID(A89,7,4),MID(A89,4,2),LEFT(A89,2))</f>
        <v/>
      </c>
      <c r="C89">
        <f>VALUE(MID(A89,14,5))</f>
        <v/>
      </c>
      <c r="D89">
        <f>MID(A89,21,4)</f>
        <v/>
      </c>
      <c r="E89">
        <f>VALUE(MID(A89,27,3))</f>
        <v/>
      </c>
      <c r="F89">
        <f>VALUE(MID(A89,31,FIND("@",A89)-31))</f>
        <v/>
      </c>
      <c r="G89">
        <f>VALUE(MID(A89,FIND("@",A89)+1,FIND("-",A89)-FIND("@",A89)-1))</f>
        <v/>
      </c>
      <c r="H89">
        <f>VALUE(MID(A89,FIND("-",A89)+1,FIND("%",A89)-FIND("-",A89)-1))</f>
        <v/>
      </c>
      <c r="I89">
        <f>RIGHT(A89,3)</f>
        <v/>
      </c>
    </row>
    <row r="90">
      <c r="A90" t="inlineStr">
        <is>
          <t>15.05.2025|SO10050|C0007|P102x15@750-5%|DEL</t>
        </is>
      </c>
      <c r="B90" s="1">
        <f>DATE(MID(A90,7,4),MID(A90,4,2),LEFT(A90,2))</f>
        <v/>
      </c>
      <c r="C90">
        <f>VALUE(MID(A90,14,5))</f>
        <v/>
      </c>
      <c r="D90">
        <f>MID(A90,21,4)</f>
        <v/>
      </c>
      <c r="E90">
        <f>VALUE(MID(A90,27,3))</f>
        <v/>
      </c>
      <c r="F90">
        <f>VALUE(MID(A90,31,FIND("@",A90)-31))</f>
        <v/>
      </c>
      <c r="G90">
        <f>VALUE(MID(A90,FIND("@",A90)+1,FIND("-",A90)-FIND("@",A90)-1))</f>
        <v/>
      </c>
      <c r="H90">
        <f>VALUE(MID(A90,FIND("-",A90)+1,FIND("%",A90)-FIND("-",A90)-1))</f>
        <v/>
      </c>
      <c r="I90">
        <f>RIGHT(A90,3)</f>
        <v/>
      </c>
    </row>
    <row r="91">
      <c r="A91" t="inlineStr">
        <is>
          <t>15.05.2025|SO10050|C0007|P108x40@290-10%|DEL</t>
        </is>
      </c>
      <c r="B91" s="1">
        <f>DATE(MID(A91,7,4),MID(A91,4,2),LEFT(A91,2))</f>
        <v/>
      </c>
      <c r="C91">
        <f>VALUE(MID(A91,14,5))</f>
        <v/>
      </c>
      <c r="D91">
        <f>MID(A91,21,4)</f>
        <v/>
      </c>
      <c r="E91">
        <f>VALUE(MID(A91,27,3))</f>
        <v/>
      </c>
      <c r="F91">
        <f>VALUE(MID(A91,31,FIND("@",A91)-31))</f>
        <v/>
      </c>
      <c r="G91">
        <f>VALUE(MID(A91,FIND("@",A91)+1,FIND("-",A91)-FIND("@",A91)-1))</f>
        <v/>
      </c>
      <c r="H91">
        <f>VALUE(MID(A91,FIND("-",A91)+1,FIND("%",A91)-FIND("-",A91)-1))</f>
        <v/>
      </c>
      <c r="I91">
        <f>RIGHT(A91,3)</f>
        <v/>
      </c>
    </row>
    <row r="92">
      <c r="A92" t="inlineStr">
        <is>
          <t>16.05.2025|SO10051|C0012|P103x55@115-0%|DEL</t>
        </is>
      </c>
      <c r="B92" s="1">
        <f>DATE(MID(A92,7,4),MID(A92,4,2),LEFT(A92,2))</f>
        <v/>
      </c>
      <c r="C92">
        <f>VALUE(MID(A92,14,5))</f>
        <v/>
      </c>
      <c r="D92">
        <f>MID(A92,21,4)</f>
        <v/>
      </c>
      <c r="E92">
        <f>VALUE(MID(A92,27,3))</f>
        <v/>
      </c>
      <c r="F92">
        <f>VALUE(MID(A92,31,FIND("@",A92)-31))</f>
        <v/>
      </c>
      <c r="G92">
        <f>VALUE(MID(A92,FIND("@",A92)+1,FIND("-",A92)-FIND("@",A92)-1))</f>
        <v/>
      </c>
      <c r="H92">
        <f>VALUE(MID(A92,FIND("-",A92)+1,FIND("%",A92)-FIND("-",A92)-1))</f>
        <v/>
      </c>
      <c r="I92">
        <f>RIGHT(A92,3)</f>
        <v/>
      </c>
    </row>
    <row r="93">
      <c r="A93" t="inlineStr">
        <is>
          <t>16.05.2025|SO10051|C0012|P104x25@620-5%|DEL</t>
        </is>
      </c>
      <c r="B93" s="1">
        <f>DATE(MID(A93,7,4),MID(A93,4,2),LEFT(A93,2))</f>
        <v/>
      </c>
      <c r="C93">
        <f>VALUE(MID(A93,14,5))</f>
        <v/>
      </c>
      <c r="D93">
        <f>MID(A93,21,4)</f>
        <v/>
      </c>
      <c r="E93">
        <f>VALUE(MID(A93,27,3))</f>
        <v/>
      </c>
      <c r="F93">
        <f>VALUE(MID(A93,31,FIND("@",A93)-31))</f>
        <v/>
      </c>
      <c r="G93">
        <f>VALUE(MID(A93,FIND("@",A93)+1,FIND("-",A93)-FIND("@",A93)-1))</f>
        <v/>
      </c>
      <c r="H93">
        <f>VALUE(MID(A93,FIND("-",A93)+1,FIND("%",A93)-FIND("-",A93)-1))</f>
        <v/>
      </c>
      <c r="I93">
        <f>RIGHT(A93,3)</f>
        <v/>
      </c>
    </row>
    <row r="94">
      <c r="A94" t="inlineStr">
        <is>
          <t>20.05.2025|SO10052|C0003|P101x35@430-0%|DEL</t>
        </is>
      </c>
      <c r="B94" s="1">
        <f>DATE(MID(A94,7,4),MID(A94,4,2),LEFT(A94,2))</f>
        <v/>
      </c>
      <c r="C94">
        <f>VALUE(MID(A94,14,5))</f>
        <v/>
      </c>
      <c r="D94">
        <f>MID(A94,21,4)</f>
        <v/>
      </c>
      <c r="E94">
        <f>VALUE(MID(A94,27,3))</f>
        <v/>
      </c>
      <c r="F94">
        <f>VALUE(MID(A94,31,FIND("@",A94)-31))</f>
        <v/>
      </c>
      <c r="G94">
        <f>VALUE(MID(A94,FIND("@",A94)+1,FIND("-",A94)-FIND("@",A94)-1))</f>
        <v/>
      </c>
      <c r="H94">
        <f>VALUE(MID(A94,FIND("-",A94)+1,FIND("%",A94)-FIND("-",A94)-1))</f>
        <v/>
      </c>
      <c r="I94">
        <f>RIGHT(A94,3)</f>
        <v/>
      </c>
    </row>
    <row r="95">
      <c r="A95" t="inlineStr">
        <is>
          <t>20.05.2025|SO10052|C0003|P103x10@115-0%|DEL</t>
        </is>
      </c>
      <c r="B95" s="1">
        <f>DATE(MID(A95,7,4),MID(A95,4,2),LEFT(A95,2))</f>
        <v/>
      </c>
      <c r="C95">
        <f>VALUE(MID(A95,14,5))</f>
        <v/>
      </c>
      <c r="D95">
        <f>MID(A95,21,4)</f>
        <v/>
      </c>
      <c r="E95">
        <f>VALUE(MID(A95,27,3))</f>
        <v/>
      </c>
      <c r="F95">
        <f>VALUE(MID(A95,31,FIND("@",A95)-31))</f>
        <v/>
      </c>
      <c r="G95">
        <f>VALUE(MID(A95,FIND("@",A95)+1,FIND("-",A95)-FIND("@",A95)-1))</f>
        <v/>
      </c>
      <c r="H95">
        <f>VALUE(MID(A95,FIND("-",A95)+1,FIND("%",A95)-FIND("-",A95)-1))</f>
        <v/>
      </c>
      <c r="I95">
        <f>RIGHT(A95,3)</f>
        <v/>
      </c>
    </row>
    <row r="96">
      <c r="A96" t="inlineStr">
        <is>
          <t>20.05.2025|SO10052|C0003|P104x20@620-0%|DEL</t>
        </is>
      </c>
      <c r="B96" s="1">
        <f>DATE(MID(A96,7,4),MID(A96,4,2),LEFT(A96,2))</f>
        <v/>
      </c>
      <c r="C96">
        <f>VALUE(MID(A96,14,5))</f>
        <v/>
      </c>
      <c r="D96">
        <f>MID(A96,21,4)</f>
        <v/>
      </c>
      <c r="E96">
        <f>VALUE(MID(A96,27,3))</f>
        <v/>
      </c>
      <c r="F96">
        <f>VALUE(MID(A96,31,FIND("@",A96)-31))</f>
        <v/>
      </c>
      <c r="G96">
        <f>VALUE(MID(A96,FIND("@",A96)+1,FIND("-",A96)-FIND("@",A96)-1))</f>
        <v/>
      </c>
      <c r="H96">
        <f>VALUE(MID(A96,FIND("-",A96)+1,FIND("%",A96)-FIND("-",A96)-1))</f>
        <v/>
      </c>
      <c r="I96">
        <f>RIGHT(A96,3)</f>
        <v/>
      </c>
    </row>
    <row r="97">
      <c r="A97" t="inlineStr">
        <is>
          <t>20.05.2025|SO10053|C0003|P103x40@115-5%|DEL</t>
        </is>
      </c>
      <c r="B97" s="1">
        <f>DATE(MID(A97,7,4),MID(A97,4,2),LEFT(A97,2))</f>
        <v/>
      </c>
      <c r="C97">
        <f>VALUE(MID(A97,14,5))</f>
        <v/>
      </c>
      <c r="D97">
        <f>MID(A97,21,4)</f>
        <v/>
      </c>
      <c r="E97">
        <f>VALUE(MID(A97,27,3))</f>
        <v/>
      </c>
      <c r="F97">
        <f>VALUE(MID(A97,31,FIND("@",A97)-31))</f>
        <v/>
      </c>
      <c r="G97">
        <f>VALUE(MID(A97,FIND("@",A97)+1,FIND("-",A97)-FIND("@",A97)-1))</f>
        <v/>
      </c>
      <c r="H97">
        <f>VALUE(MID(A97,FIND("-",A97)+1,FIND("%",A97)-FIND("-",A97)-1))</f>
        <v/>
      </c>
      <c r="I97">
        <f>RIGHT(A97,3)</f>
        <v/>
      </c>
    </row>
    <row r="98">
      <c r="A98" t="inlineStr">
        <is>
          <t>20.05.2025|SO10053|C0003|P107x10@380-0%|DEL</t>
        </is>
      </c>
      <c r="B98" s="1">
        <f>DATE(MID(A98,7,4),MID(A98,4,2),LEFT(A98,2))</f>
        <v/>
      </c>
      <c r="C98">
        <f>VALUE(MID(A98,14,5))</f>
        <v/>
      </c>
      <c r="D98">
        <f>MID(A98,21,4)</f>
        <v/>
      </c>
      <c r="E98">
        <f>VALUE(MID(A98,27,3))</f>
        <v/>
      </c>
      <c r="F98">
        <f>VALUE(MID(A98,31,FIND("@",A98)-31))</f>
        <v/>
      </c>
      <c r="G98">
        <f>VALUE(MID(A98,FIND("@",A98)+1,FIND("-",A98)-FIND("@",A98)-1))</f>
        <v/>
      </c>
      <c r="H98">
        <f>VALUE(MID(A98,FIND("-",A98)+1,FIND("%",A98)-FIND("-",A98)-1))</f>
        <v/>
      </c>
      <c r="I98">
        <f>RIGHT(A98,3)</f>
        <v/>
      </c>
    </row>
    <row r="99">
      <c r="A99" t="inlineStr">
        <is>
          <t>20.05.2025|SO10053|C0003|P108x50@290-5%|DEL</t>
        </is>
      </c>
      <c r="B99" s="1">
        <f>DATE(MID(A99,7,4),MID(A99,4,2),LEFT(A99,2))</f>
        <v/>
      </c>
      <c r="C99">
        <f>VALUE(MID(A99,14,5))</f>
        <v/>
      </c>
      <c r="D99">
        <f>MID(A99,21,4)</f>
        <v/>
      </c>
      <c r="E99">
        <f>VALUE(MID(A99,27,3))</f>
        <v/>
      </c>
      <c r="F99">
        <f>VALUE(MID(A99,31,FIND("@",A99)-31))</f>
        <v/>
      </c>
      <c r="G99">
        <f>VALUE(MID(A99,FIND("@",A99)+1,FIND("-",A99)-FIND("@",A99)-1))</f>
        <v/>
      </c>
      <c r="H99">
        <f>VALUE(MID(A99,FIND("-",A99)+1,FIND("%",A99)-FIND("-",A99)-1))</f>
        <v/>
      </c>
      <c r="I99">
        <f>RIGHT(A99,3)</f>
        <v/>
      </c>
    </row>
    <row r="100">
      <c r="A100" t="inlineStr">
        <is>
          <t>21.05.2025|SO10054|C0006|P107x35@380-5%|DEL</t>
        </is>
      </c>
      <c r="B100" s="1">
        <f>DATE(MID(A100,7,4),MID(A100,4,2),LEFT(A100,2))</f>
        <v/>
      </c>
      <c r="C100">
        <f>VALUE(MID(A100,14,5))</f>
        <v/>
      </c>
      <c r="D100">
        <f>MID(A100,21,4)</f>
        <v/>
      </c>
      <c r="E100">
        <f>VALUE(MID(A100,27,3))</f>
        <v/>
      </c>
      <c r="F100">
        <f>VALUE(MID(A100,31,FIND("@",A100)-31))</f>
        <v/>
      </c>
      <c r="G100">
        <f>VALUE(MID(A100,FIND("@",A100)+1,FIND("-",A100)-FIND("@",A100)-1))</f>
        <v/>
      </c>
      <c r="H100">
        <f>VALUE(MID(A100,FIND("-",A100)+1,FIND("%",A100)-FIND("-",A100)-1))</f>
        <v/>
      </c>
      <c r="I100">
        <f>RIGHT(A100,3)</f>
        <v/>
      </c>
    </row>
    <row r="101">
      <c r="A101" t="inlineStr">
        <is>
          <t>21.05.2025|SO10055|C0008|P103x20@115-0%|DEL</t>
        </is>
      </c>
      <c r="B101" s="1">
        <f>DATE(MID(A101,7,4),MID(A101,4,2),LEFT(A101,2))</f>
        <v/>
      </c>
      <c r="C101">
        <f>VALUE(MID(A101,14,5))</f>
        <v/>
      </c>
      <c r="D101">
        <f>MID(A101,21,4)</f>
        <v/>
      </c>
      <c r="E101">
        <f>VALUE(MID(A101,27,3))</f>
        <v/>
      </c>
      <c r="F101">
        <f>VALUE(MID(A101,31,FIND("@",A101)-31))</f>
        <v/>
      </c>
      <c r="G101">
        <f>VALUE(MID(A101,FIND("@",A101)+1,FIND("-",A101)-FIND("@",A101)-1))</f>
        <v/>
      </c>
      <c r="H101">
        <f>VALUE(MID(A101,FIND("-",A101)+1,FIND("%",A101)-FIND("-",A101)-1))</f>
        <v/>
      </c>
      <c r="I101">
        <f>RIGHT(A101,3)</f>
        <v/>
      </c>
    </row>
    <row r="102">
      <c r="A102" t="inlineStr">
        <is>
          <t>22.05.2025|SO10056|C0009|P103x25@115-5%|DEL</t>
        </is>
      </c>
      <c r="B102" s="1">
        <f>DATE(MID(A102,7,4),MID(A102,4,2),LEFT(A102,2))</f>
        <v/>
      </c>
      <c r="C102">
        <f>VALUE(MID(A102,14,5))</f>
        <v/>
      </c>
      <c r="D102">
        <f>MID(A102,21,4)</f>
        <v/>
      </c>
      <c r="E102">
        <f>VALUE(MID(A102,27,3))</f>
        <v/>
      </c>
      <c r="F102">
        <f>VALUE(MID(A102,31,FIND("@",A102)-31))</f>
        <v/>
      </c>
      <c r="G102">
        <f>VALUE(MID(A102,FIND("@",A102)+1,FIND("-",A102)-FIND("@",A102)-1))</f>
        <v/>
      </c>
      <c r="H102">
        <f>VALUE(MID(A102,FIND("-",A102)+1,FIND("%",A102)-FIND("-",A102)-1))</f>
        <v/>
      </c>
      <c r="I102">
        <f>RIGHT(A102,3)</f>
        <v/>
      </c>
    </row>
    <row r="103">
      <c r="A103" t="inlineStr">
        <is>
          <t>22.05.2025|SO10056|C0009|P108x30@290-5%|DEL</t>
        </is>
      </c>
      <c r="B103" s="1">
        <f>DATE(MID(A103,7,4),MID(A103,4,2),LEFT(A103,2))</f>
        <v/>
      </c>
      <c r="C103">
        <f>VALUE(MID(A103,14,5))</f>
        <v/>
      </c>
      <c r="D103">
        <f>MID(A103,21,4)</f>
        <v/>
      </c>
      <c r="E103">
        <f>VALUE(MID(A103,27,3))</f>
        <v/>
      </c>
      <c r="F103">
        <f>VALUE(MID(A103,31,FIND("@",A103)-31))</f>
        <v/>
      </c>
      <c r="G103">
        <f>VALUE(MID(A103,FIND("@",A103)+1,FIND("-",A103)-FIND("@",A103)-1))</f>
        <v/>
      </c>
      <c r="H103">
        <f>VALUE(MID(A103,FIND("-",A103)+1,FIND("%",A103)-FIND("-",A103)-1))</f>
        <v/>
      </c>
      <c r="I103">
        <f>RIGHT(A103,3)</f>
        <v/>
      </c>
    </row>
    <row r="104">
      <c r="A104" t="inlineStr">
        <is>
          <t>27.05.2025|SO10057|C0011|P105x35@1400-10%|DEL</t>
        </is>
      </c>
      <c r="B104" s="1">
        <f>DATE(MID(A104,7,4),MID(A104,4,2),LEFT(A104,2))</f>
        <v/>
      </c>
      <c r="C104">
        <f>VALUE(MID(A104,14,5))</f>
        <v/>
      </c>
      <c r="D104">
        <f>MID(A104,21,4)</f>
        <v/>
      </c>
      <c r="E104">
        <f>VALUE(MID(A104,27,3))</f>
        <v/>
      </c>
      <c r="F104">
        <f>VALUE(MID(A104,31,FIND("@",A104)-31))</f>
        <v/>
      </c>
      <c r="G104">
        <f>VALUE(MID(A104,FIND("@",A104)+1,FIND("-",A104)-FIND("@",A104)-1))</f>
        <v/>
      </c>
      <c r="H104">
        <f>VALUE(MID(A104,FIND("-",A104)+1,FIND("%",A104)-FIND("-",A104)-1))</f>
        <v/>
      </c>
      <c r="I104">
        <f>RIGHT(A104,3)</f>
        <v/>
      </c>
    </row>
    <row r="105">
      <c r="A105" t="inlineStr">
        <is>
          <t>01.06.2025|SO10058|C0012|P101x30@430-0%|DEL</t>
        </is>
      </c>
      <c r="B105" s="1">
        <f>DATE(MID(A105,7,4),MID(A105,4,2),LEFT(A105,2))</f>
        <v/>
      </c>
      <c r="C105">
        <f>VALUE(MID(A105,14,5))</f>
        <v/>
      </c>
      <c r="D105">
        <f>MID(A105,21,4)</f>
        <v/>
      </c>
      <c r="E105">
        <f>VALUE(MID(A105,27,3))</f>
        <v/>
      </c>
      <c r="F105">
        <f>VALUE(MID(A105,31,FIND("@",A105)-31))</f>
        <v/>
      </c>
      <c r="G105">
        <f>VALUE(MID(A105,FIND("@",A105)+1,FIND("-",A105)-FIND("@",A105)-1))</f>
        <v/>
      </c>
      <c r="H105">
        <f>VALUE(MID(A105,FIND("-",A105)+1,FIND("%",A105)-FIND("-",A105)-1))</f>
        <v/>
      </c>
      <c r="I105">
        <f>RIGHT(A105,3)</f>
        <v/>
      </c>
    </row>
    <row r="106">
      <c r="A106" t="inlineStr">
        <is>
          <t>01.06.2025|SO10058|C0012|P108x25@290-5%|DEL</t>
        </is>
      </c>
      <c r="B106" s="1">
        <f>DATE(MID(A106,7,4),MID(A106,4,2),LEFT(A106,2))</f>
        <v/>
      </c>
      <c r="C106">
        <f>VALUE(MID(A106,14,5))</f>
        <v/>
      </c>
      <c r="D106">
        <f>MID(A106,21,4)</f>
        <v/>
      </c>
      <c r="E106">
        <f>VALUE(MID(A106,27,3))</f>
        <v/>
      </c>
      <c r="F106">
        <f>VALUE(MID(A106,31,FIND("@",A106)-31))</f>
        <v/>
      </c>
      <c r="G106">
        <f>VALUE(MID(A106,FIND("@",A106)+1,FIND("-",A106)-FIND("@",A106)-1))</f>
        <v/>
      </c>
      <c r="H106">
        <f>VALUE(MID(A106,FIND("-",A106)+1,FIND("%",A106)-FIND("-",A106)-1))</f>
        <v/>
      </c>
      <c r="I106">
        <f>RIGHT(A106,3)</f>
        <v/>
      </c>
    </row>
    <row r="107">
      <c r="A107" t="inlineStr">
        <is>
          <t>04.06.2025|SO10059|C0001|P102x5@750-0%|DEL</t>
        </is>
      </c>
      <c r="B107" s="1">
        <f>DATE(MID(A107,7,4),MID(A107,4,2),LEFT(A107,2))</f>
        <v/>
      </c>
      <c r="C107">
        <f>VALUE(MID(A107,14,5))</f>
        <v/>
      </c>
      <c r="D107">
        <f>MID(A107,21,4)</f>
        <v/>
      </c>
      <c r="E107">
        <f>VALUE(MID(A107,27,3))</f>
        <v/>
      </c>
      <c r="F107">
        <f>VALUE(MID(A107,31,FIND("@",A107)-31))</f>
        <v/>
      </c>
      <c r="G107">
        <f>VALUE(MID(A107,FIND("@",A107)+1,FIND("-",A107)-FIND("@",A107)-1))</f>
        <v/>
      </c>
      <c r="H107">
        <f>VALUE(MID(A107,FIND("-",A107)+1,FIND("%",A107)-FIND("-",A107)-1))</f>
        <v/>
      </c>
      <c r="I107">
        <f>RIGHT(A107,3)</f>
        <v/>
      </c>
    </row>
    <row r="108">
      <c r="A108" t="inlineStr">
        <is>
          <t>06.06.2025|SO10060|C0004|P108x30@290-5%|DEL</t>
        </is>
      </c>
      <c r="B108" s="1">
        <f>DATE(MID(A108,7,4),MID(A108,4,2),LEFT(A108,2))</f>
        <v/>
      </c>
      <c r="C108">
        <f>VALUE(MID(A108,14,5))</f>
        <v/>
      </c>
      <c r="D108">
        <f>MID(A108,21,4)</f>
        <v/>
      </c>
      <c r="E108">
        <f>VALUE(MID(A108,27,3))</f>
        <v/>
      </c>
      <c r="F108">
        <f>VALUE(MID(A108,31,FIND("@",A108)-31))</f>
        <v/>
      </c>
      <c r="G108">
        <f>VALUE(MID(A108,FIND("@",A108)+1,FIND("-",A108)-FIND("@",A108)-1))</f>
        <v/>
      </c>
      <c r="H108">
        <f>VALUE(MID(A108,FIND("-",A108)+1,FIND("%",A108)-FIND("-",A108)-1))</f>
        <v/>
      </c>
      <c r="I108">
        <f>RIGHT(A108,3)</f>
        <v/>
      </c>
    </row>
    <row r="109">
      <c r="A109" t="inlineStr">
        <is>
          <t>09.06.2025|SO10061|C0015|P108x5@290-5%|DEL</t>
        </is>
      </c>
      <c r="B109" s="1">
        <f>DATE(MID(A109,7,4),MID(A109,4,2),LEFT(A109,2))</f>
        <v/>
      </c>
      <c r="C109">
        <f>VALUE(MID(A109,14,5))</f>
        <v/>
      </c>
      <c r="D109">
        <f>MID(A109,21,4)</f>
        <v/>
      </c>
      <c r="E109">
        <f>VALUE(MID(A109,27,3))</f>
        <v/>
      </c>
      <c r="F109">
        <f>VALUE(MID(A109,31,FIND("@",A109)-31))</f>
        <v/>
      </c>
      <c r="G109">
        <f>VALUE(MID(A109,FIND("@",A109)+1,FIND("-",A109)-FIND("@",A109)-1))</f>
        <v/>
      </c>
      <c r="H109">
        <f>VALUE(MID(A109,FIND("-",A109)+1,FIND("%",A109)-FIND("-",A109)-1))</f>
        <v/>
      </c>
      <c r="I109">
        <f>RIGHT(A109,3)</f>
        <v/>
      </c>
    </row>
    <row r="110">
      <c r="A110" t="inlineStr">
        <is>
          <t>10.06.2025|SO10062|C0002|P104x10@620-5%|DEL</t>
        </is>
      </c>
      <c r="B110" s="1">
        <f>DATE(MID(A110,7,4),MID(A110,4,2),LEFT(A110,2))</f>
        <v/>
      </c>
      <c r="C110">
        <f>VALUE(MID(A110,14,5))</f>
        <v/>
      </c>
      <c r="D110">
        <f>MID(A110,21,4)</f>
        <v/>
      </c>
      <c r="E110">
        <f>VALUE(MID(A110,27,3))</f>
        <v/>
      </c>
      <c r="F110">
        <f>VALUE(MID(A110,31,FIND("@",A110)-31))</f>
        <v/>
      </c>
      <c r="G110">
        <f>VALUE(MID(A110,FIND("@",A110)+1,FIND("-",A110)-FIND("@",A110)-1))</f>
        <v/>
      </c>
      <c r="H110">
        <f>VALUE(MID(A110,FIND("-",A110)+1,FIND("%",A110)-FIND("-",A110)-1))</f>
        <v/>
      </c>
      <c r="I110">
        <f>RIGHT(A110,3)</f>
        <v/>
      </c>
    </row>
    <row r="111">
      <c r="A111" t="inlineStr">
        <is>
          <t>10.06.2025|SO10062|C0002|P108x30@290-5%|DEL</t>
        </is>
      </c>
      <c r="B111" s="1">
        <f>DATE(MID(A111,7,4),MID(A111,4,2),LEFT(A111,2))</f>
        <v/>
      </c>
      <c r="C111">
        <f>VALUE(MID(A111,14,5))</f>
        <v/>
      </c>
      <c r="D111">
        <f>MID(A111,21,4)</f>
        <v/>
      </c>
      <c r="E111">
        <f>VALUE(MID(A111,27,3))</f>
        <v/>
      </c>
      <c r="F111">
        <f>VALUE(MID(A111,31,FIND("@",A111)-31))</f>
        <v/>
      </c>
      <c r="G111">
        <f>VALUE(MID(A111,FIND("@",A111)+1,FIND("-",A111)-FIND("@",A111)-1))</f>
        <v/>
      </c>
      <c r="H111">
        <f>VALUE(MID(A111,FIND("-",A111)+1,FIND("%",A111)-FIND("-",A111)-1))</f>
        <v/>
      </c>
      <c r="I111">
        <f>RIGHT(A111,3)</f>
        <v/>
      </c>
    </row>
    <row r="112">
      <c r="A112" t="inlineStr">
        <is>
          <t>10.06.2025|SO10063|C0006|P101x20@430-0%|DEL</t>
        </is>
      </c>
      <c r="B112" s="1">
        <f>DATE(MID(A112,7,4),MID(A112,4,2),LEFT(A112,2))</f>
        <v/>
      </c>
      <c r="C112">
        <f>VALUE(MID(A112,14,5))</f>
        <v/>
      </c>
      <c r="D112">
        <f>MID(A112,21,4)</f>
        <v/>
      </c>
      <c r="E112">
        <f>VALUE(MID(A112,27,3))</f>
        <v/>
      </c>
      <c r="F112">
        <f>VALUE(MID(A112,31,FIND("@",A112)-31))</f>
        <v/>
      </c>
      <c r="G112">
        <f>VALUE(MID(A112,FIND("@",A112)+1,FIND("-",A112)-FIND("@",A112)-1))</f>
        <v/>
      </c>
      <c r="H112">
        <f>VALUE(MID(A112,FIND("-",A112)+1,FIND("%",A112)-FIND("-",A112)-1))</f>
        <v/>
      </c>
      <c r="I112">
        <f>RIGHT(A112,3)</f>
        <v/>
      </c>
    </row>
    <row r="113">
      <c r="A113" t="inlineStr">
        <is>
          <t>10.06.2025|SO10063|C0006|P103x15@115-5%|DEL</t>
        </is>
      </c>
      <c r="B113" s="1">
        <f>DATE(MID(A113,7,4),MID(A113,4,2),LEFT(A113,2))</f>
        <v/>
      </c>
      <c r="C113">
        <f>VALUE(MID(A113,14,5))</f>
        <v/>
      </c>
      <c r="D113">
        <f>MID(A113,21,4)</f>
        <v/>
      </c>
      <c r="E113">
        <f>VALUE(MID(A113,27,3))</f>
        <v/>
      </c>
      <c r="F113">
        <f>VALUE(MID(A113,31,FIND("@",A113)-31))</f>
        <v/>
      </c>
      <c r="G113">
        <f>VALUE(MID(A113,FIND("@",A113)+1,FIND("-",A113)-FIND("@",A113)-1))</f>
        <v/>
      </c>
      <c r="H113">
        <f>VALUE(MID(A113,FIND("-",A113)+1,FIND("%",A113)-FIND("-",A113)-1))</f>
        <v/>
      </c>
      <c r="I113">
        <f>RIGHT(A113,3)</f>
        <v/>
      </c>
    </row>
    <row r="114">
      <c r="A114" t="inlineStr">
        <is>
          <t>10.06.2025|SO10064|C0011|P101x15@430-12%|DEL</t>
        </is>
      </c>
      <c r="B114" s="1">
        <f>DATE(MID(A114,7,4),MID(A114,4,2),LEFT(A114,2))</f>
        <v/>
      </c>
      <c r="C114">
        <f>VALUE(MID(A114,14,5))</f>
        <v/>
      </c>
      <c r="D114">
        <f>MID(A114,21,4)</f>
        <v/>
      </c>
      <c r="E114">
        <f>VALUE(MID(A114,27,3))</f>
        <v/>
      </c>
      <c r="F114">
        <f>VALUE(MID(A114,31,FIND("@",A114)-31))</f>
        <v/>
      </c>
      <c r="G114">
        <f>VALUE(MID(A114,FIND("@",A114)+1,FIND("-",A114)-FIND("@",A114)-1))</f>
        <v/>
      </c>
      <c r="H114">
        <f>VALUE(MID(A114,FIND("-",A114)+1,FIND("%",A114)-FIND("-",A114)-1))</f>
        <v/>
      </c>
      <c r="I114">
        <f>RIGHT(A114,3)</f>
        <v/>
      </c>
    </row>
    <row r="115">
      <c r="A115" t="inlineStr">
        <is>
          <t>10.06.2025|SO10064|C0011|P102x15@750-5%|DEL</t>
        </is>
      </c>
      <c r="B115" s="1">
        <f>DATE(MID(A115,7,4),MID(A115,4,2),LEFT(A115,2))</f>
        <v/>
      </c>
      <c r="C115">
        <f>VALUE(MID(A115,14,5))</f>
        <v/>
      </c>
      <c r="D115">
        <f>MID(A115,21,4)</f>
        <v/>
      </c>
      <c r="E115">
        <f>VALUE(MID(A115,27,3))</f>
        <v/>
      </c>
      <c r="F115">
        <f>VALUE(MID(A115,31,FIND("@",A115)-31))</f>
        <v/>
      </c>
      <c r="G115">
        <f>VALUE(MID(A115,FIND("@",A115)+1,FIND("-",A115)-FIND("@",A115)-1))</f>
        <v/>
      </c>
      <c r="H115">
        <f>VALUE(MID(A115,FIND("-",A115)+1,FIND("%",A115)-FIND("-",A115)-1))</f>
        <v/>
      </c>
      <c r="I115">
        <f>RIGHT(A115,3)</f>
        <v/>
      </c>
    </row>
    <row r="116">
      <c r="A116" t="inlineStr">
        <is>
          <t>10.06.2025|SO10064|C0011|P105x5@1400-12%|DEL</t>
        </is>
      </c>
      <c r="B116" s="1">
        <f>DATE(MID(A116,7,4),MID(A116,4,2),LEFT(A116,2))</f>
        <v/>
      </c>
      <c r="C116">
        <f>VALUE(MID(A116,14,5))</f>
        <v/>
      </c>
      <c r="D116">
        <f>MID(A116,21,4)</f>
        <v/>
      </c>
      <c r="E116">
        <f>VALUE(MID(A116,27,3))</f>
        <v/>
      </c>
      <c r="F116">
        <f>VALUE(MID(A116,31,FIND("@",A116)-31))</f>
        <v/>
      </c>
      <c r="G116">
        <f>VALUE(MID(A116,FIND("@",A116)+1,FIND("-",A116)-FIND("@",A116)-1))</f>
        <v/>
      </c>
      <c r="H116">
        <f>VALUE(MID(A116,FIND("-",A116)+1,FIND("%",A116)-FIND("-",A116)-1))</f>
        <v/>
      </c>
      <c r="I116">
        <f>RIGHT(A116,3)</f>
        <v/>
      </c>
    </row>
    <row r="117">
      <c r="A117" t="inlineStr">
        <is>
          <t>10.06.2025|SO10065|C0015|P101x5@430-5%|DEL</t>
        </is>
      </c>
      <c r="B117" s="1">
        <f>DATE(MID(A117,7,4),MID(A117,4,2),LEFT(A117,2))</f>
        <v/>
      </c>
      <c r="C117">
        <f>VALUE(MID(A117,14,5))</f>
        <v/>
      </c>
      <c r="D117">
        <f>MID(A117,21,4)</f>
        <v/>
      </c>
      <c r="E117">
        <f>VALUE(MID(A117,27,3))</f>
        <v/>
      </c>
      <c r="F117">
        <f>VALUE(MID(A117,31,FIND("@",A117)-31))</f>
        <v/>
      </c>
      <c r="G117">
        <f>VALUE(MID(A117,FIND("@",A117)+1,FIND("-",A117)-FIND("@",A117)-1))</f>
        <v/>
      </c>
      <c r="H117">
        <f>VALUE(MID(A117,FIND("-",A117)+1,FIND("%",A117)-FIND("-",A117)-1))</f>
        <v/>
      </c>
      <c r="I117">
        <f>RIGHT(A117,3)</f>
        <v/>
      </c>
    </row>
    <row r="118">
      <c r="A118" t="inlineStr">
        <is>
          <t>13.06.2025|SO10066|C0007|P105x20@1400-5%|DEL</t>
        </is>
      </c>
      <c r="B118" s="1">
        <f>DATE(MID(A118,7,4),MID(A118,4,2),LEFT(A118,2))</f>
        <v/>
      </c>
      <c r="C118">
        <f>VALUE(MID(A118,14,5))</f>
        <v/>
      </c>
      <c r="D118">
        <f>MID(A118,21,4)</f>
        <v/>
      </c>
      <c r="E118">
        <f>VALUE(MID(A118,27,3))</f>
        <v/>
      </c>
      <c r="F118">
        <f>VALUE(MID(A118,31,FIND("@",A118)-31))</f>
        <v/>
      </c>
      <c r="G118">
        <f>VALUE(MID(A118,FIND("@",A118)+1,FIND("-",A118)-FIND("@",A118)-1))</f>
        <v/>
      </c>
      <c r="H118">
        <f>VALUE(MID(A118,FIND("-",A118)+1,FIND("%",A118)-FIND("-",A118)-1))</f>
        <v/>
      </c>
      <c r="I118">
        <f>RIGHT(A118,3)</f>
        <v/>
      </c>
    </row>
    <row r="119">
      <c r="A119" t="inlineStr">
        <is>
          <t>13.06.2025|SO10066|C0007|P108x15@290-8%|DEL</t>
        </is>
      </c>
      <c r="B119" s="1">
        <f>DATE(MID(A119,7,4),MID(A119,4,2),LEFT(A119,2))</f>
        <v/>
      </c>
      <c r="C119">
        <f>VALUE(MID(A119,14,5))</f>
        <v/>
      </c>
      <c r="D119">
        <f>MID(A119,21,4)</f>
        <v/>
      </c>
      <c r="E119">
        <f>VALUE(MID(A119,27,3))</f>
        <v/>
      </c>
      <c r="F119">
        <f>VALUE(MID(A119,31,FIND("@",A119)-31))</f>
        <v/>
      </c>
      <c r="G119">
        <f>VALUE(MID(A119,FIND("@",A119)+1,FIND("-",A119)-FIND("@",A119)-1))</f>
        <v/>
      </c>
      <c r="H119">
        <f>VALUE(MID(A119,FIND("-",A119)+1,FIND("%",A119)-FIND("-",A119)-1))</f>
        <v/>
      </c>
      <c r="I119">
        <f>RIGHT(A119,3)</f>
        <v/>
      </c>
    </row>
    <row r="120">
      <c r="A120" t="inlineStr">
        <is>
          <t>14.06.2025|SO10067|C0013|P103x25@115-5%|DEL</t>
        </is>
      </c>
      <c r="B120" s="1">
        <f>DATE(MID(A120,7,4),MID(A120,4,2),LEFT(A120,2))</f>
        <v/>
      </c>
      <c r="C120">
        <f>VALUE(MID(A120,14,5))</f>
        <v/>
      </c>
      <c r="D120">
        <f>MID(A120,21,4)</f>
        <v/>
      </c>
      <c r="E120">
        <f>VALUE(MID(A120,27,3))</f>
        <v/>
      </c>
      <c r="F120">
        <f>VALUE(MID(A120,31,FIND("@",A120)-31))</f>
        <v/>
      </c>
      <c r="G120">
        <f>VALUE(MID(A120,FIND("@",A120)+1,FIND("-",A120)-FIND("@",A120)-1))</f>
        <v/>
      </c>
      <c r="H120">
        <f>VALUE(MID(A120,FIND("-",A120)+1,FIND("%",A120)-FIND("-",A120)-1))</f>
        <v/>
      </c>
      <c r="I120">
        <f>RIGHT(A120,3)</f>
        <v/>
      </c>
    </row>
    <row r="121">
      <c r="A121" t="inlineStr">
        <is>
          <t>14.06.2025|SO10067|C0013|P108x25@290-0%|DEL</t>
        </is>
      </c>
      <c r="B121" s="1">
        <f>DATE(MID(A121,7,4),MID(A121,4,2),LEFT(A121,2))</f>
        <v/>
      </c>
      <c r="C121">
        <f>VALUE(MID(A121,14,5))</f>
        <v/>
      </c>
      <c r="D121">
        <f>MID(A121,21,4)</f>
        <v/>
      </c>
      <c r="E121">
        <f>VALUE(MID(A121,27,3))</f>
        <v/>
      </c>
      <c r="F121">
        <f>VALUE(MID(A121,31,FIND("@",A121)-31))</f>
        <v/>
      </c>
      <c r="G121">
        <f>VALUE(MID(A121,FIND("@",A121)+1,FIND("-",A121)-FIND("@",A121)-1))</f>
        <v/>
      </c>
      <c r="H121">
        <f>VALUE(MID(A121,FIND("-",A121)+1,FIND("%",A121)-FIND("-",A121)-1))</f>
        <v/>
      </c>
      <c r="I121">
        <f>RIGHT(A121,3)</f>
        <v/>
      </c>
    </row>
    <row r="122">
      <c r="A122" t="inlineStr">
        <is>
          <t>18.06.2025|SO10068|C0005|P101x15@430-0%|DEL</t>
        </is>
      </c>
      <c r="B122" s="1">
        <f>DATE(MID(A122,7,4),MID(A122,4,2),LEFT(A122,2))</f>
        <v/>
      </c>
      <c r="C122">
        <f>VALUE(MID(A122,14,5))</f>
        <v/>
      </c>
      <c r="D122">
        <f>MID(A122,21,4)</f>
        <v/>
      </c>
      <c r="E122">
        <f>VALUE(MID(A122,27,3))</f>
        <v/>
      </c>
      <c r="F122">
        <f>VALUE(MID(A122,31,FIND("@",A122)-31))</f>
        <v/>
      </c>
      <c r="G122">
        <f>VALUE(MID(A122,FIND("@",A122)+1,FIND("-",A122)-FIND("@",A122)-1))</f>
        <v/>
      </c>
      <c r="H122">
        <f>VALUE(MID(A122,FIND("-",A122)+1,FIND("%",A122)-FIND("-",A122)-1))</f>
        <v/>
      </c>
      <c r="I122">
        <f>RIGHT(A122,3)</f>
        <v/>
      </c>
    </row>
    <row r="123">
      <c r="A123" t="inlineStr">
        <is>
          <t>24.06.2025|SO10069|C0003|P101x20@430-0%|DEL</t>
        </is>
      </c>
      <c r="B123" s="1">
        <f>DATE(MID(A123,7,4),MID(A123,4,2),LEFT(A123,2))</f>
        <v/>
      </c>
      <c r="C123">
        <f>VALUE(MID(A123,14,5))</f>
        <v/>
      </c>
      <c r="D123">
        <f>MID(A123,21,4)</f>
        <v/>
      </c>
      <c r="E123">
        <f>VALUE(MID(A123,27,3))</f>
        <v/>
      </c>
      <c r="F123">
        <f>VALUE(MID(A123,31,FIND("@",A123)-31))</f>
        <v/>
      </c>
      <c r="G123">
        <f>VALUE(MID(A123,FIND("@",A123)+1,FIND("-",A123)-FIND("@",A123)-1))</f>
        <v/>
      </c>
      <c r="H123">
        <f>VALUE(MID(A123,FIND("-",A123)+1,FIND("%",A123)-FIND("-",A123)-1))</f>
        <v/>
      </c>
      <c r="I123">
        <f>RIGHT(A123,3)</f>
        <v/>
      </c>
    </row>
    <row r="124">
      <c r="A124" t="inlineStr">
        <is>
          <t>24.06.2025|SO10069|C0003|P104x25@620-5%|DEL</t>
        </is>
      </c>
      <c r="B124" s="1">
        <f>DATE(MID(A124,7,4),MID(A124,4,2),LEFT(A124,2))</f>
        <v/>
      </c>
      <c r="C124">
        <f>VALUE(MID(A124,14,5))</f>
        <v/>
      </c>
      <c r="D124">
        <f>MID(A124,21,4)</f>
        <v/>
      </c>
      <c r="E124">
        <f>VALUE(MID(A124,27,3))</f>
        <v/>
      </c>
      <c r="F124">
        <f>VALUE(MID(A124,31,FIND("@",A124)-31))</f>
        <v/>
      </c>
      <c r="G124">
        <f>VALUE(MID(A124,FIND("@",A124)+1,FIND("-",A124)-FIND("@",A124)-1))</f>
        <v/>
      </c>
      <c r="H124">
        <f>VALUE(MID(A124,FIND("-",A124)+1,FIND("%",A124)-FIND("-",A124)-1))</f>
        <v/>
      </c>
      <c r="I124">
        <f>RIGHT(A124,3)</f>
        <v/>
      </c>
    </row>
    <row r="125">
      <c r="A125" t="inlineStr">
        <is>
          <t>28.06.2025|SO10070|C0014|P105x20@1400-5%|DEL</t>
        </is>
      </c>
      <c r="B125" s="1">
        <f>DATE(MID(A125,7,4),MID(A125,4,2),LEFT(A125,2))</f>
        <v/>
      </c>
      <c r="C125">
        <f>VALUE(MID(A125,14,5))</f>
        <v/>
      </c>
      <c r="D125">
        <f>MID(A125,21,4)</f>
        <v/>
      </c>
      <c r="E125">
        <f>VALUE(MID(A125,27,3))</f>
        <v/>
      </c>
      <c r="F125">
        <f>VALUE(MID(A125,31,FIND("@",A125)-31))</f>
        <v/>
      </c>
      <c r="G125">
        <f>VALUE(MID(A125,FIND("@",A125)+1,FIND("-",A125)-FIND("@",A125)-1))</f>
        <v/>
      </c>
      <c r="H125">
        <f>VALUE(MID(A125,FIND("-",A125)+1,FIND("%",A125)-FIND("-",A125)-1))</f>
        <v/>
      </c>
      <c r="I125">
        <f>RIGHT(A125,3)</f>
        <v/>
      </c>
    </row>
    <row r="126">
      <c r="A126" t="inlineStr">
        <is>
          <t>28.06.2025|SO10070|C0014|P108x30@290-10%|DEL</t>
        </is>
      </c>
      <c r="B126" s="1">
        <f>DATE(MID(A126,7,4),MID(A126,4,2),LEFT(A126,2))</f>
        <v/>
      </c>
      <c r="C126">
        <f>VALUE(MID(A126,14,5))</f>
        <v/>
      </c>
      <c r="D126">
        <f>MID(A126,21,4)</f>
        <v/>
      </c>
      <c r="E126">
        <f>VALUE(MID(A126,27,3))</f>
        <v/>
      </c>
      <c r="F126">
        <f>VALUE(MID(A126,31,FIND("@",A126)-31))</f>
        <v/>
      </c>
      <c r="G126">
        <f>VALUE(MID(A126,FIND("@",A126)+1,FIND("-",A126)-FIND("@",A126)-1))</f>
        <v/>
      </c>
      <c r="H126">
        <f>VALUE(MID(A126,FIND("-",A126)+1,FIND("%",A126)-FIND("-",A126)-1))</f>
        <v/>
      </c>
      <c r="I126">
        <f>RIGHT(A126,3)</f>
        <v/>
      </c>
    </row>
    <row r="127">
      <c r="A127" t="inlineStr">
        <is>
          <t>03.07.2025|SO10071|C0015|P104x30@620-0%|DEL</t>
        </is>
      </c>
      <c r="B127" s="1">
        <f>DATE(MID(A127,7,4),MID(A127,4,2),LEFT(A127,2))</f>
        <v/>
      </c>
      <c r="C127">
        <f>VALUE(MID(A127,14,5))</f>
        <v/>
      </c>
      <c r="D127">
        <f>MID(A127,21,4)</f>
        <v/>
      </c>
      <c r="E127">
        <f>VALUE(MID(A127,27,3))</f>
        <v/>
      </c>
      <c r="F127">
        <f>VALUE(MID(A127,31,FIND("@",A127)-31))</f>
        <v/>
      </c>
      <c r="G127">
        <f>VALUE(MID(A127,FIND("@",A127)+1,FIND("-",A127)-FIND("@",A127)-1))</f>
        <v/>
      </c>
      <c r="H127">
        <f>VALUE(MID(A127,FIND("-",A127)+1,FIND("%",A127)-FIND("-",A127)-1))</f>
        <v/>
      </c>
      <c r="I127">
        <f>RIGHT(A127,3)</f>
        <v/>
      </c>
    </row>
    <row r="128">
      <c r="A128" t="inlineStr">
        <is>
          <t>03.07.2025|SO10071|C0015|P107x25@380-5%|DEL</t>
        </is>
      </c>
      <c r="B128" s="1">
        <f>DATE(MID(A128,7,4),MID(A128,4,2),LEFT(A128,2))</f>
        <v/>
      </c>
      <c r="C128">
        <f>VALUE(MID(A128,14,5))</f>
        <v/>
      </c>
      <c r="D128">
        <f>MID(A128,21,4)</f>
        <v/>
      </c>
      <c r="E128">
        <f>VALUE(MID(A128,27,3))</f>
        <v/>
      </c>
      <c r="F128">
        <f>VALUE(MID(A128,31,FIND("@",A128)-31))</f>
        <v/>
      </c>
      <c r="G128">
        <f>VALUE(MID(A128,FIND("@",A128)+1,FIND("-",A128)-FIND("@",A128)-1))</f>
        <v/>
      </c>
      <c r="H128">
        <f>VALUE(MID(A128,FIND("-",A128)+1,FIND("%",A128)-FIND("-",A128)-1))</f>
        <v/>
      </c>
      <c r="I128">
        <f>RIGHT(A128,3)</f>
        <v/>
      </c>
    </row>
    <row r="129">
      <c r="A129" t="inlineStr">
        <is>
          <t>03.07.2025|SO10071|C0015|P108x25@290-5%|DEL</t>
        </is>
      </c>
      <c r="B129" s="1">
        <f>DATE(MID(A129,7,4),MID(A129,4,2),LEFT(A129,2))</f>
        <v/>
      </c>
      <c r="C129">
        <f>VALUE(MID(A129,14,5))</f>
        <v/>
      </c>
      <c r="D129">
        <f>MID(A129,21,4)</f>
        <v/>
      </c>
      <c r="E129">
        <f>VALUE(MID(A129,27,3))</f>
        <v/>
      </c>
      <c r="F129">
        <f>VALUE(MID(A129,31,FIND("@",A129)-31))</f>
        <v/>
      </c>
      <c r="G129">
        <f>VALUE(MID(A129,FIND("@",A129)+1,FIND("-",A129)-FIND("@",A129)-1))</f>
        <v/>
      </c>
      <c r="H129">
        <f>VALUE(MID(A129,FIND("-",A129)+1,FIND("%",A129)-FIND("-",A129)-1))</f>
        <v/>
      </c>
      <c r="I129">
        <f>RIGHT(A129,3)</f>
        <v/>
      </c>
    </row>
    <row r="130">
      <c r="A130" t="inlineStr">
        <is>
          <t>07.07.2025|SO10072|C0003|P107x35@380-0%|DEL</t>
        </is>
      </c>
      <c r="B130" s="1">
        <f>DATE(MID(A130,7,4),MID(A130,4,2),LEFT(A130,2))</f>
        <v/>
      </c>
      <c r="C130">
        <f>VALUE(MID(A130,14,5))</f>
        <v/>
      </c>
      <c r="D130">
        <f>MID(A130,21,4)</f>
        <v/>
      </c>
      <c r="E130">
        <f>VALUE(MID(A130,27,3))</f>
        <v/>
      </c>
      <c r="F130">
        <f>VALUE(MID(A130,31,FIND("@",A130)-31))</f>
        <v/>
      </c>
      <c r="G130">
        <f>VALUE(MID(A130,FIND("@",A130)+1,FIND("-",A130)-FIND("@",A130)-1))</f>
        <v/>
      </c>
      <c r="H130">
        <f>VALUE(MID(A130,FIND("-",A130)+1,FIND("%",A130)-FIND("-",A130)-1))</f>
        <v/>
      </c>
      <c r="I130">
        <f>RIGHT(A130,3)</f>
        <v/>
      </c>
    </row>
    <row r="131">
      <c r="A131" t="inlineStr">
        <is>
          <t>10.07.2025|SO10073|C0005|P103x5@115-0%|DEL</t>
        </is>
      </c>
      <c r="B131" s="1">
        <f>DATE(MID(A131,7,4),MID(A131,4,2),LEFT(A131,2))</f>
        <v/>
      </c>
      <c r="C131">
        <f>VALUE(MID(A131,14,5))</f>
        <v/>
      </c>
      <c r="D131">
        <f>MID(A131,21,4)</f>
        <v/>
      </c>
      <c r="E131">
        <f>VALUE(MID(A131,27,3))</f>
        <v/>
      </c>
      <c r="F131">
        <f>VALUE(MID(A131,31,FIND("@",A131)-31))</f>
        <v/>
      </c>
      <c r="G131">
        <f>VALUE(MID(A131,FIND("@",A131)+1,FIND("-",A131)-FIND("@",A131)-1))</f>
        <v/>
      </c>
      <c r="H131">
        <f>VALUE(MID(A131,FIND("-",A131)+1,FIND("%",A131)-FIND("-",A131)-1))</f>
        <v/>
      </c>
      <c r="I131">
        <f>RIGHT(A131,3)</f>
        <v/>
      </c>
    </row>
    <row r="132">
      <c r="A132" t="inlineStr">
        <is>
          <t>10.07.2025|SO10073|C0005|P104x20@620-5%|DEL</t>
        </is>
      </c>
      <c r="B132" s="1">
        <f>DATE(MID(A132,7,4),MID(A132,4,2),LEFT(A132,2))</f>
        <v/>
      </c>
      <c r="C132">
        <f>VALUE(MID(A132,14,5))</f>
        <v/>
      </c>
      <c r="D132">
        <f>MID(A132,21,4)</f>
        <v/>
      </c>
      <c r="E132">
        <f>VALUE(MID(A132,27,3))</f>
        <v/>
      </c>
      <c r="F132">
        <f>VALUE(MID(A132,31,FIND("@",A132)-31))</f>
        <v/>
      </c>
      <c r="G132">
        <f>VALUE(MID(A132,FIND("@",A132)+1,FIND("-",A132)-FIND("@",A132)-1))</f>
        <v/>
      </c>
      <c r="H132">
        <f>VALUE(MID(A132,FIND("-",A132)+1,FIND("%",A132)-FIND("-",A132)-1))</f>
        <v/>
      </c>
      <c r="I132">
        <f>RIGHT(A132,3)</f>
        <v/>
      </c>
    </row>
    <row r="133">
      <c r="A133" t="inlineStr">
        <is>
          <t>15.07.2025|SO10074|C0008|P104x15@620-0%|DEL</t>
        </is>
      </c>
      <c r="B133" s="1">
        <f>DATE(MID(A133,7,4),MID(A133,4,2),LEFT(A133,2))</f>
        <v/>
      </c>
      <c r="C133">
        <f>VALUE(MID(A133,14,5))</f>
        <v/>
      </c>
      <c r="D133">
        <f>MID(A133,21,4)</f>
        <v/>
      </c>
      <c r="E133">
        <f>VALUE(MID(A133,27,3))</f>
        <v/>
      </c>
      <c r="F133">
        <f>VALUE(MID(A133,31,FIND("@",A133)-31))</f>
        <v/>
      </c>
      <c r="G133">
        <f>VALUE(MID(A133,FIND("@",A133)+1,FIND("-",A133)-FIND("@",A133)-1))</f>
        <v/>
      </c>
      <c r="H133">
        <f>VALUE(MID(A133,FIND("-",A133)+1,FIND("%",A133)-FIND("-",A133)-1))</f>
        <v/>
      </c>
      <c r="I133">
        <f>RIGHT(A133,3)</f>
        <v/>
      </c>
    </row>
    <row r="134">
      <c r="A134" t="inlineStr">
        <is>
          <t>15.07.2025|SO10074|C0008|P107x20@380-0%|DEL</t>
        </is>
      </c>
      <c r="B134" s="1">
        <f>DATE(MID(A134,7,4),MID(A134,4,2),LEFT(A134,2))</f>
        <v/>
      </c>
      <c r="C134">
        <f>VALUE(MID(A134,14,5))</f>
        <v/>
      </c>
      <c r="D134">
        <f>MID(A134,21,4)</f>
        <v/>
      </c>
      <c r="E134">
        <f>VALUE(MID(A134,27,3))</f>
        <v/>
      </c>
      <c r="F134">
        <f>VALUE(MID(A134,31,FIND("@",A134)-31))</f>
        <v/>
      </c>
      <c r="G134">
        <f>VALUE(MID(A134,FIND("@",A134)+1,FIND("-",A134)-FIND("@",A134)-1))</f>
        <v/>
      </c>
      <c r="H134">
        <f>VALUE(MID(A134,FIND("-",A134)+1,FIND("%",A134)-FIND("-",A134)-1))</f>
        <v/>
      </c>
      <c r="I134">
        <f>RIGHT(A134,3)</f>
        <v/>
      </c>
    </row>
    <row r="135">
      <c r="A135" t="inlineStr">
        <is>
          <t>15.07.2025|SO10075|C0012|P101x20@430-0%|DEL</t>
        </is>
      </c>
      <c r="B135" s="1">
        <f>DATE(MID(A135,7,4),MID(A135,4,2),LEFT(A135,2))</f>
        <v/>
      </c>
      <c r="C135">
        <f>VALUE(MID(A135,14,5))</f>
        <v/>
      </c>
      <c r="D135">
        <f>MID(A135,21,4)</f>
        <v/>
      </c>
      <c r="E135">
        <f>VALUE(MID(A135,27,3))</f>
        <v/>
      </c>
      <c r="F135">
        <f>VALUE(MID(A135,31,FIND("@",A135)-31))</f>
        <v/>
      </c>
      <c r="G135">
        <f>VALUE(MID(A135,FIND("@",A135)+1,FIND("-",A135)-FIND("@",A135)-1))</f>
        <v/>
      </c>
      <c r="H135">
        <f>VALUE(MID(A135,FIND("-",A135)+1,FIND("%",A135)-FIND("-",A135)-1))</f>
        <v/>
      </c>
      <c r="I135">
        <f>RIGHT(A135,3)</f>
        <v/>
      </c>
    </row>
    <row r="136">
      <c r="A136" t="inlineStr">
        <is>
          <t>15.07.2025|SO10075|C0012|P104x20@620-0%|DEL</t>
        </is>
      </c>
      <c r="B136" s="1">
        <f>DATE(MID(A136,7,4),MID(A136,4,2),LEFT(A136,2))</f>
        <v/>
      </c>
      <c r="C136">
        <f>VALUE(MID(A136,14,5))</f>
        <v/>
      </c>
      <c r="D136">
        <f>MID(A136,21,4)</f>
        <v/>
      </c>
      <c r="E136">
        <f>VALUE(MID(A136,27,3))</f>
        <v/>
      </c>
      <c r="F136">
        <f>VALUE(MID(A136,31,FIND("@",A136)-31))</f>
        <v/>
      </c>
      <c r="G136">
        <f>VALUE(MID(A136,FIND("@",A136)+1,FIND("-",A136)-FIND("@",A136)-1))</f>
        <v/>
      </c>
      <c r="H136">
        <f>VALUE(MID(A136,FIND("-",A136)+1,FIND("%",A136)-FIND("-",A136)-1))</f>
        <v/>
      </c>
      <c r="I136">
        <f>RIGHT(A136,3)</f>
        <v/>
      </c>
    </row>
    <row r="137">
      <c r="A137" t="inlineStr">
        <is>
          <t>15.07.2025|SO10075|C0012|P107x5@380-5%|DEL</t>
        </is>
      </c>
      <c r="B137" s="1">
        <f>DATE(MID(A137,7,4),MID(A137,4,2),LEFT(A137,2))</f>
        <v/>
      </c>
      <c r="C137">
        <f>VALUE(MID(A137,14,5))</f>
        <v/>
      </c>
      <c r="D137">
        <f>MID(A137,21,4)</f>
        <v/>
      </c>
      <c r="E137">
        <f>VALUE(MID(A137,27,3))</f>
        <v/>
      </c>
      <c r="F137">
        <f>VALUE(MID(A137,31,FIND("@",A137)-31))</f>
        <v/>
      </c>
      <c r="G137">
        <f>VALUE(MID(A137,FIND("@",A137)+1,FIND("-",A137)-FIND("@",A137)-1))</f>
        <v/>
      </c>
      <c r="H137">
        <f>VALUE(MID(A137,FIND("-",A137)+1,FIND("%",A137)-FIND("-",A137)-1))</f>
        <v/>
      </c>
      <c r="I137">
        <f>RIGHT(A137,3)</f>
        <v/>
      </c>
    </row>
    <row r="138">
      <c r="A138" t="inlineStr">
        <is>
          <t>20.07.2025|SO10076|C0015|P103x5@115-5%|DEL</t>
        </is>
      </c>
      <c r="B138" s="1">
        <f>DATE(MID(A138,7,4),MID(A138,4,2),LEFT(A138,2))</f>
        <v/>
      </c>
      <c r="C138">
        <f>VALUE(MID(A138,14,5))</f>
        <v/>
      </c>
      <c r="D138">
        <f>MID(A138,21,4)</f>
        <v/>
      </c>
      <c r="E138">
        <f>VALUE(MID(A138,27,3))</f>
        <v/>
      </c>
      <c r="F138">
        <f>VALUE(MID(A138,31,FIND("@",A138)-31))</f>
        <v/>
      </c>
      <c r="G138">
        <f>VALUE(MID(A138,FIND("@",A138)+1,FIND("-",A138)-FIND("@",A138)-1))</f>
        <v/>
      </c>
      <c r="H138">
        <f>VALUE(MID(A138,FIND("-",A138)+1,FIND("%",A138)-FIND("-",A138)-1))</f>
        <v/>
      </c>
      <c r="I138">
        <f>RIGHT(A138,3)</f>
        <v/>
      </c>
    </row>
    <row r="139">
      <c r="A139" t="inlineStr">
        <is>
          <t>20.07.2025|SO10076|C0015|P104x10@620-0%|DEL</t>
        </is>
      </c>
      <c r="B139" s="1">
        <f>DATE(MID(A139,7,4),MID(A139,4,2),LEFT(A139,2))</f>
        <v/>
      </c>
      <c r="C139">
        <f>VALUE(MID(A139,14,5))</f>
        <v/>
      </c>
      <c r="D139">
        <f>MID(A139,21,4)</f>
        <v/>
      </c>
      <c r="E139">
        <f>VALUE(MID(A139,27,3))</f>
        <v/>
      </c>
      <c r="F139">
        <f>VALUE(MID(A139,31,FIND("@",A139)-31))</f>
        <v/>
      </c>
      <c r="G139">
        <f>VALUE(MID(A139,FIND("@",A139)+1,FIND("-",A139)-FIND("@",A139)-1))</f>
        <v/>
      </c>
      <c r="H139">
        <f>VALUE(MID(A139,FIND("-",A139)+1,FIND("%",A139)-FIND("-",A139)-1))</f>
        <v/>
      </c>
      <c r="I139">
        <f>RIGHT(A139,3)</f>
        <v/>
      </c>
    </row>
    <row r="140">
      <c r="A140" t="inlineStr">
        <is>
          <t>21.07.2025|SO10077|C0005|P107x15@380-5%|DEL</t>
        </is>
      </c>
      <c r="B140" s="1">
        <f>DATE(MID(A140,7,4),MID(A140,4,2),LEFT(A140,2))</f>
        <v/>
      </c>
      <c r="C140">
        <f>VALUE(MID(A140,14,5))</f>
        <v/>
      </c>
      <c r="D140">
        <f>MID(A140,21,4)</f>
        <v/>
      </c>
      <c r="E140">
        <f>VALUE(MID(A140,27,3))</f>
        <v/>
      </c>
      <c r="F140">
        <f>VALUE(MID(A140,31,FIND("@",A140)-31))</f>
        <v/>
      </c>
      <c r="G140">
        <f>VALUE(MID(A140,FIND("@",A140)+1,FIND("-",A140)-FIND("@",A140)-1))</f>
        <v/>
      </c>
      <c r="H140">
        <f>VALUE(MID(A140,FIND("-",A140)+1,FIND("%",A140)-FIND("-",A140)-1))</f>
        <v/>
      </c>
      <c r="I140">
        <f>RIGHT(A140,3)</f>
        <v/>
      </c>
    </row>
    <row r="141">
      <c r="A141" t="inlineStr">
        <is>
          <t>21.07.2025|SO10077|C0005|P108x10@290-5%|DEL</t>
        </is>
      </c>
      <c r="B141" s="1">
        <f>DATE(MID(A141,7,4),MID(A141,4,2),LEFT(A141,2))</f>
        <v/>
      </c>
      <c r="C141">
        <f>VALUE(MID(A141,14,5))</f>
        <v/>
      </c>
      <c r="D141">
        <f>MID(A141,21,4)</f>
        <v/>
      </c>
      <c r="E141">
        <f>VALUE(MID(A141,27,3))</f>
        <v/>
      </c>
      <c r="F141">
        <f>VALUE(MID(A141,31,FIND("@",A141)-31))</f>
        <v/>
      </c>
      <c r="G141">
        <f>VALUE(MID(A141,FIND("@",A141)+1,FIND("-",A141)-FIND("@",A141)-1))</f>
        <v/>
      </c>
      <c r="H141">
        <f>VALUE(MID(A141,FIND("-",A141)+1,FIND("%",A141)-FIND("-",A141)-1))</f>
        <v/>
      </c>
      <c r="I141">
        <f>RIGHT(A141,3)</f>
        <v/>
      </c>
    </row>
    <row r="142">
      <c r="A142" t="inlineStr">
        <is>
          <t>21.07.2025|SO10078|C0018|P102x15@750-5%|DEL</t>
        </is>
      </c>
      <c r="B142" s="1">
        <f>DATE(MID(A142,7,4),MID(A142,4,2),LEFT(A142,2))</f>
        <v/>
      </c>
      <c r="C142">
        <f>VALUE(MID(A142,14,5))</f>
        <v/>
      </c>
      <c r="D142">
        <f>MID(A142,21,4)</f>
        <v/>
      </c>
      <c r="E142">
        <f>VALUE(MID(A142,27,3))</f>
        <v/>
      </c>
      <c r="F142">
        <f>VALUE(MID(A142,31,FIND("@",A142)-31))</f>
        <v/>
      </c>
      <c r="G142">
        <f>VALUE(MID(A142,FIND("@",A142)+1,FIND("-",A142)-FIND("@",A142)-1))</f>
        <v/>
      </c>
      <c r="H142">
        <f>VALUE(MID(A142,FIND("-",A142)+1,FIND("%",A142)-FIND("-",A142)-1))</f>
        <v/>
      </c>
      <c r="I142">
        <f>RIGHT(A142,3)</f>
        <v/>
      </c>
    </row>
    <row r="143">
      <c r="A143" t="inlineStr">
        <is>
          <t>22.07.2025|SO10079|C0013|P101x5@430-5%|DEL</t>
        </is>
      </c>
      <c r="B143" s="1">
        <f>DATE(MID(A143,7,4),MID(A143,4,2),LEFT(A143,2))</f>
        <v/>
      </c>
      <c r="C143">
        <f>VALUE(MID(A143,14,5))</f>
        <v/>
      </c>
      <c r="D143">
        <f>MID(A143,21,4)</f>
        <v/>
      </c>
      <c r="E143">
        <f>VALUE(MID(A143,27,3))</f>
        <v/>
      </c>
      <c r="F143">
        <f>VALUE(MID(A143,31,FIND("@",A143)-31))</f>
        <v/>
      </c>
      <c r="G143">
        <f>VALUE(MID(A143,FIND("@",A143)+1,FIND("-",A143)-FIND("@",A143)-1))</f>
        <v/>
      </c>
      <c r="H143">
        <f>VALUE(MID(A143,FIND("-",A143)+1,FIND("%",A143)-FIND("-",A143)-1))</f>
        <v/>
      </c>
      <c r="I143">
        <f>RIGHT(A143,3)</f>
        <v/>
      </c>
    </row>
    <row r="144">
      <c r="A144" t="inlineStr">
        <is>
          <t>22.07.2025|SO10079|C0013|P104x20@620-0%|DEL</t>
        </is>
      </c>
      <c r="B144" s="1">
        <f>DATE(MID(A144,7,4),MID(A144,4,2),LEFT(A144,2))</f>
        <v/>
      </c>
      <c r="C144">
        <f>VALUE(MID(A144,14,5))</f>
        <v/>
      </c>
      <c r="D144">
        <f>MID(A144,21,4)</f>
        <v/>
      </c>
      <c r="E144">
        <f>VALUE(MID(A144,27,3))</f>
        <v/>
      </c>
      <c r="F144">
        <f>VALUE(MID(A144,31,FIND("@",A144)-31))</f>
        <v/>
      </c>
      <c r="G144">
        <f>VALUE(MID(A144,FIND("@",A144)+1,FIND("-",A144)-FIND("@",A144)-1))</f>
        <v/>
      </c>
      <c r="H144">
        <f>VALUE(MID(A144,FIND("-",A144)+1,FIND("%",A144)-FIND("-",A144)-1))</f>
        <v/>
      </c>
      <c r="I144">
        <f>RIGHT(A144,3)</f>
        <v/>
      </c>
    </row>
    <row r="145">
      <c r="A145" t="inlineStr">
        <is>
          <t>22.07.2025|SO10079|C0013|P107x20@380-0%|DEL</t>
        </is>
      </c>
      <c r="B145" s="1">
        <f>DATE(MID(A145,7,4),MID(A145,4,2),LEFT(A145,2))</f>
        <v/>
      </c>
      <c r="C145">
        <f>VALUE(MID(A145,14,5))</f>
        <v/>
      </c>
      <c r="D145">
        <f>MID(A145,21,4)</f>
        <v/>
      </c>
      <c r="E145">
        <f>VALUE(MID(A145,27,3))</f>
        <v/>
      </c>
      <c r="F145">
        <f>VALUE(MID(A145,31,FIND("@",A145)-31))</f>
        <v/>
      </c>
      <c r="G145">
        <f>VALUE(MID(A145,FIND("@",A145)+1,FIND("-",A145)-FIND("@",A145)-1))</f>
        <v/>
      </c>
      <c r="H145">
        <f>VALUE(MID(A145,FIND("-",A145)+1,FIND("%",A145)-FIND("-",A145)-1))</f>
        <v/>
      </c>
      <c r="I145">
        <f>RIGHT(A145,3)</f>
        <v/>
      </c>
    </row>
    <row r="146">
      <c r="A146" t="inlineStr">
        <is>
          <t>25.07.2025|SO10080|C0014|P101x15@430-5%|DEL</t>
        </is>
      </c>
      <c r="B146" s="1">
        <f>DATE(MID(A146,7,4),MID(A146,4,2),LEFT(A146,2))</f>
        <v/>
      </c>
      <c r="C146">
        <f>VALUE(MID(A146,14,5))</f>
        <v/>
      </c>
      <c r="D146">
        <f>MID(A146,21,4)</f>
        <v/>
      </c>
      <c r="E146">
        <f>VALUE(MID(A146,27,3))</f>
        <v/>
      </c>
      <c r="F146">
        <f>VALUE(MID(A146,31,FIND("@",A146)-31))</f>
        <v/>
      </c>
      <c r="G146">
        <f>VALUE(MID(A146,FIND("@",A146)+1,FIND("-",A146)-FIND("@",A146)-1))</f>
        <v/>
      </c>
      <c r="H146">
        <f>VALUE(MID(A146,FIND("-",A146)+1,FIND("%",A146)-FIND("-",A146)-1))</f>
        <v/>
      </c>
      <c r="I146">
        <f>RIGHT(A146,3)</f>
        <v/>
      </c>
    </row>
    <row r="147">
      <c r="A147" t="inlineStr">
        <is>
          <t>25.07.2025|SO10080|C0014|P108x20@290-8%|DEL</t>
        </is>
      </c>
      <c r="B147" s="1">
        <f>DATE(MID(A147,7,4),MID(A147,4,2),LEFT(A147,2))</f>
        <v/>
      </c>
      <c r="C147">
        <f>VALUE(MID(A147,14,5))</f>
        <v/>
      </c>
      <c r="D147">
        <f>MID(A147,21,4)</f>
        <v/>
      </c>
      <c r="E147">
        <f>VALUE(MID(A147,27,3))</f>
        <v/>
      </c>
      <c r="F147">
        <f>VALUE(MID(A147,31,FIND("@",A147)-31))</f>
        <v/>
      </c>
      <c r="G147">
        <f>VALUE(MID(A147,FIND("@",A147)+1,FIND("-",A147)-FIND("@",A147)-1))</f>
        <v/>
      </c>
      <c r="H147">
        <f>VALUE(MID(A147,FIND("-",A147)+1,FIND("%",A147)-FIND("-",A147)-1))</f>
        <v/>
      </c>
      <c r="I147">
        <f>RIGHT(A147,3)</f>
        <v/>
      </c>
    </row>
    <row r="148">
      <c r="A148" t="inlineStr">
        <is>
          <t>26.07.2025|SO10081|C0001|P101x15@430-0%|DEL</t>
        </is>
      </c>
      <c r="B148" s="1">
        <f>DATE(MID(A148,7,4),MID(A148,4,2),LEFT(A148,2))</f>
        <v/>
      </c>
      <c r="C148">
        <f>VALUE(MID(A148,14,5))</f>
        <v/>
      </c>
      <c r="D148">
        <f>MID(A148,21,4)</f>
        <v/>
      </c>
      <c r="E148">
        <f>VALUE(MID(A148,27,3))</f>
        <v/>
      </c>
      <c r="F148">
        <f>VALUE(MID(A148,31,FIND("@",A148)-31))</f>
        <v/>
      </c>
      <c r="G148">
        <f>VALUE(MID(A148,FIND("@",A148)+1,FIND("-",A148)-FIND("@",A148)-1))</f>
        <v/>
      </c>
      <c r="H148">
        <f>VALUE(MID(A148,FIND("-",A148)+1,FIND("%",A148)-FIND("-",A148)-1))</f>
        <v/>
      </c>
      <c r="I148">
        <f>RIGHT(A148,3)</f>
        <v/>
      </c>
    </row>
    <row r="149">
      <c r="A149" t="inlineStr">
        <is>
          <t>26.07.2025|SO10081|C0001|P104x15@620-5%|DEL</t>
        </is>
      </c>
      <c r="B149" s="1">
        <f>DATE(MID(A149,7,4),MID(A149,4,2),LEFT(A149,2))</f>
        <v/>
      </c>
      <c r="C149">
        <f>VALUE(MID(A149,14,5))</f>
        <v/>
      </c>
      <c r="D149">
        <f>MID(A149,21,4)</f>
        <v/>
      </c>
      <c r="E149">
        <f>VALUE(MID(A149,27,3))</f>
        <v/>
      </c>
      <c r="F149">
        <f>VALUE(MID(A149,31,FIND("@",A149)-31))</f>
        <v/>
      </c>
      <c r="G149">
        <f>VALUE(MID(A149,FIND("@",A149)+1,FIND("-",A149)-FIND("@",A149)-1))</f>
        <v/>
      </c>
      <c r="H149">
        <f>VALUE(MID(A149,FIND("-",A149)+1,FIND("%",A149)-FIND("-",A149)-1))</f>
        <v/>
      </c>
      <c r="I149">
        <f>RIGHT(A149,3)</f>
        <v/>
      </c>
    </row>
    <row r="150">
      <c r="A150" t="inlineStr">
        <is>
          <t>26.07.2025|SO10082|C0004|P101x25@430-12%|DEL</t>
        </is>
      </c>
      <c r="B150" s="1">
        <f>DATE(MID(A150,7,4),MID(A150,4,2),LEFT(A150,2))</f>
        <v/>
      </c>
      <c r="C150">
        <f>VALUE(MID(A150,14,5))</f>
        <v/>
      </c>
      <c r="D150">
        <f>MID(A150,21,4)</f>
        <v/>
      </c>
      <c r="E150">
        <f>VALUE(MID(A150,27,3))</f>
        <v/>
      </c>
      <c r="F150">
        <f>VALUE(MID(A150,31,FIND("@",A150)-31))</f>
        <v/>
      </c>
      <c r="G150">
        <f>VALUE(MID(A150,FIND("@",A150)+1,FIND("-",A150)-FIND("@",A150)-1))</f>
        <v/>
      </c>
      <c r="H150">
        <f>VALUE(MID(A150,FIND("-",A150)+1,FIND("%",A150)-FIND("-",A150)-1))</f>
        <v/>
      </c>
      <c r="I150">
        <f>RIGHT(A150,3)</f>
        <v/>
      </c>
    </row>
    <row r="151">
      <c r="A151" t="inlineStr">
        <is>
          <t>26.07.2025|SO10082|C0004|P102x5@750-5%|DEL</t>
        </is>
      </c>
      <c r="B151" s="1">
        <f>DATE(MID(A151,7,4),MID(A151,4,2),LEFT(A151,2))</f>
        <v/>
      </c>
      <c r="C151">
        <f>VALUE(MID(A151,14,5))</f>
        <v/>
      </c>
      <c r="D151">
        <f>MID(A151,21,4)</f>
        <v/>
      </c>
      <c r="E151">
        <f>VALUE(MID(A151,27,3))</f>
        <v/>
      </c>
      <c r="F151">
        <f>VALUE(MID(A151,31,FIND("@",A151)-31))</f>
        <v/>
      </c>
      <c r="G151">
        <f>VALUE(MID(A151,FIND("@",A151)+1,FIND("-",A151)-FIND("@",A151)-1))</f>
        <v/>
      </c>
      <c r="H151">
        <f>VALUE(MID(A151,FIND("-",A151)+1,FIND("%",A151)-FIND("-",A151)-1))</f>
        <v/>
      </c>
      <c r="I151">
        <f>RIGHT(A151,3)</f>
        <v/>
      </c>
    </row>
    <row r="152">
      <c r="A152" t="inlineStr">
        <is>
          <t>26.07.2025|SO10082|C0004|P105x20@1400-12%|DEL</t>
        </is>
      </c>
      <c r="B152" s="1">
        <f>DATE(MID(A152,7,4),MID(A152,4,2),LEFT(A152,2))</f>
        <v/>
      </c>
      <c r="C152">
        <f>VALUE(MID(A152,14,5))</f>
        <v/>
      </c>
      <c r="D152">
        <f>MID(A152,21,4)</f>
        <v/>
      </c>
      <c r="E152">
        <f>VALUE(MID(A152,27,3))</f>
        <v/>
      </c>
      <c r="F152">
        <f>VALUE(MID(A152,31,FIND("@",A152)-31))</f>
        <v/>
      </c>
      <c r="G152">
        <f>VALUE(MID(A152,FIND("@",A152)+1,FIND("-",A152)-FIND("@",A152)-1))</f>
        <v/>
      </c>
      <c r="H152">
        <f>VALUE(MID(A152,FIND("-",A152)+1,FIND("%",A152)-FIND("-",A152)-1))</f>
        <v/>
      </c>
      <c r="I152">
        <f>RIGHT(A152,3)</f>
        <v/>
      </c>
    </row>
    <row r="153">
      <c r="A153" t="inlineStr">
        <is>
          <t>26.07.2025|SO10083|C0011|P102x15@750-5%|DEL</t>
        </is>
      </c>
      <c r="B153" s="1">
        <f>DATE(MID(A153,7,4),MID(A153,4,2),LEFT(A153,2))</f>
        <v/>
      </c>
      <c r="C153">
        <f>VALUE(MID(A153,14,5))</f>
        <v/>
      </c>
      <c r="D153">
        <f>MID(A153,21,4)</f>
        <v/>
      </c>
      <c r="E153">
        <f>VALUE(MID(A153,27,3))</f>
        <v/>
      </c>
      <c r="F153">
        <f>VALUE(MID(A153,31,FIND("@",A153)-31))</f>
        <v/>
      </c>
      <c r="G153">
        <f>VALUE(MID(A153,FIND("@",A153)+1,FIND("-",A153)-FIND("@",A153)-1))</f>
        <v/>
      </c>
      <c r="H153">
        <f>VALUE(MID(A153,FIND("-",A153)+1,FIND("%",A153)-FIND("-",A153)-1))</f>
        <v/>
      </c>
      <c r="I153">
        <f>RIGHT(A153,3)</f>
        <v/>
      </c>
    </row>
    <row r="154">
      <c r="A154" t="inlineStr">
        <is>
          <t>26.07.2025|SO10083|C0011|P105x5@1400-12%|DEL</t>
        </is>
      </c>
      <c r="B154" s="1">
        <f>DATE(MID(A154,7,4),MID(A154,4,2),LEFT(A154,2))</f>
        <v/>
      </c>
      <c r="C154">
        <f>VALUE(MID(A154,14,5))</f>
        <v/>
      </c>
      <c r="D154">
        <f>MID(A154,21,4)</f>
        <v/>
      </c>
      <c r="E154">
        <f>VALUE(MID(A154,27,3))</f>
        <v/>
      </c>
      <c r="F154">
        <f>VALUE(MID(A154,31,FIND("@",A154)-31))</f>
        <v/>
      </c>
      <c r="G154">
        <f>VALUE(MID(A154,FIND("@",A154)+1,FIND("-",A154)-FIND("@",A154)-1))</f>
        <v/>
      </c>
      <c r="H154">
        <f>VALUE(MID(A154,FIND("-",A154)+1,FIND("%",A154)-FIND("-",A154)-1))</f>
        <v/>
      </c>
      <c r="I154">
        <f>RIGHT(A154,3)</f>
        <v/>
      </c>
    </row>
    <row r="155">
      <c r="A155" t="inlineStr">
        <is>
          <t>26.07.2025|SO10083|C0011|P108x15@290-10%|DEL</t>
        </is>
      </c>
      <c r="B155" s="1">
        <f>DATE(MID(A155,7,4),MID(A155,4,2),LEFT(A155,2))</f>
        <v/>
      </c>
      <c r="C155">
        <f>VALUE(MID(A155,14,5))</f>
        <v/>
      </c>
      <c r="D155">
        <f>MID(A155,21,4)</f>
        <v/>
      </c>
      <c r="E155">
        <f>VALUE(MID(A155,27,3))</f>
        <v/>
      </c>
      <c r="F155">
        <f>VALUE(MID(A155,31,FIND("@",A155)-31))</f>
        <v/>
      </c>
      <c r="G155">
        <f>VALUE(MID(A155,FIND("@",A155)+1,FIND("-",A155)-FIND("@",A155)-1))</f>
        <v/>
      </c>
      <c r="H155">
        <f>VALUE(MID(A155,FIND("-",A155)+1,FIND("%",A155)-FIND("-",A155)-1))</f>
        <v/>
      </c>
      <c r="I155">
        <f>RIGHT(A155,3)</f>
        <v/>
      </c>
    </row>
    <row r="156">
      <c r="A156" t="inlineStr">
        <is>
          <t>03.08.2025|SO10084|C0003|P101x40@430-5%|DEL</t>
        </is>
      </c>
      <c r="B156" s="1">
        <f>DATE(MID(A156,7,4),MID(A156,4,2),LEFT(A156,2))</f>
        <v/>
      </c>
      <c r="C156">
        <f>VALUE(MID(A156,14,5))</f>
        <v/>
      </c>
      <c r="D156">
        <f>MID(A156,21,4)</f>
        <v/>
      </c>
      <c r="E156">
        <f>VALUE(MID(A156,27,3))</f>
        <v/>
      </c>
      <c r="F156">
        <f>VALUE(MID(A156,31,FIND("@",A156)-31))</f>
        <v/>
      </c>
      <c r="G156">
        <f>VALUE(MID(A156,FIND("@",A156)+1,FIND("-",A156)-FIND("@",A156)-1))</f>
        <v/>
      </c>
      <c r="H156">
        <f>VALUE(MID(A156,FIND("-",A156)+1,FIND("%",A156)-FIND("-",A156)-1))</f>
        <v/>
      </c>
      <c r="I156">
        <f>RIGHT(A156,3)</f>
        <v/>
      </c>
    </row>
    <row r="157">
      <c r="A157" t="inlineStr">
        <is>
          <t>03.08.2025|SO10084|C0003|P104x15@620-0%|DEL</t>
        </is>
      </c>
      <c r="B157" s="1">
        <f>DATE(MID(A157,7,4),MID(A157,4,2),LEFT(A157,2))</f>
        <v/>
      </c>
      <c r="C157">
        <f>VALUE(MID(A157,14,5))</f>
        <v/>
      </c>
      <c r="D157">
        <f>MID(A157,21,4)</f>
        <v/>
      </c>
      <c r="E157">
        <f>VALUE(MID(A157,27,3))</f>
        <v/>
      </c>
      <c r="F157">
        <f>VALUE(MID(A157,31,FIND("@",A157)-31))</f>
        <v/>
      </c>
      <c r="G157">
        <f>VALUE(MID(A157,FIND("@",A157)+1,FIND("-",A157)-FIND("@",A157)-1))</f>
        <v/>
      </c>
      <c r="H157">
        <f>VALUE(MID(A157,FIND("-",A157)+1,FIND("%",A157)-FIND("-",A157)-1))</f>
        <v/>
      </c>
      <c r="I157">
        <f>RIGHT(A157,3)</f>
        <v/>
      </c>
    </row>
    <row r="158">
      <c r="A158" t="inlineStr">
        <is>
          <t>04.08.2025|SO10085|C0018|P101x15@430-0%|DEL</t>
        </is>
      </c>
      <c r="B158" s="1">
        <f>DATE(MID(A158,7,4),MID(A158,4,2),LEFT(A158,2))</f>
        <v/>
      </c>
      <c r="C158">
        <f>VALUE(MID(A158,14,5))</f>
        <v/>
      </c>
      <c r="D158">
        <f>MID(A158,21,4)</f>
        <v/>
      </c>
      <c r="E158">
        <f>VALUE(MID(A158,27,3))</f>
        <v/>
      </c>
      <c r="F158">
        <f>VALUE(MID(A158,31,FIND("@",A158)-31))</f>
        <v/>
      </c>
      <c r="G158">
        <f>VALUE(MID(A158,FIND("@",A158)+1,FIND("-",A158)-FIND("@",A158)-1))</f>
        <v/>
      </c>
      <c r="H158">
        <f>VALUE(MID(A158,FIND("-",A158)+1,FIND("%",A158)-FIND("-",A158)-1))</f>
        <v/>
      </c>
      <c r="I158">
        <f>RIGHT(A158,3)</f>
        <v/>
      </c>
    </row>
    <row r="159">
      <c r="A159" t="inlineStr">
        <is>
          <t>04.08.2025|SO10085|C0018|P102x20@750-5%|DEL</t>
        </is>
      </c>
      <c r="B159" s="1">
        <f>DATE(MID(A159,7,4),MID(A159,4,2),LEFT(A159,2))</f>
        <v/>
      </c>
      <c r="C159">
        <f>VALUE(MID(A159,14,5))</f>
        <v/>
      </c>
      <c r="D159">
        <f>MID(A159,21,4)</f>
        <v/>
      </c>
      <c r="E159">
        <f>VALUE(MID(A159,27,3))</f>
        <v/>
      </c>
      <c r="F159">
        <f>VALUE(MID(A159,31,FIND("@",A159)-31))</f>
        <v/>
      </c>
      <c r="G159">
        <f>VALUE(MID(A159,FIND("@",A159)+1,FIND("-",A159)-FIND("@",A159)-1))</f>
        <v/>
      </c>
      <c r="H159">
        <f>VALUE(MID(A159,FIND("-",A159)+1,FIND("%",A159)-FIND("-",A159)-1))</f>
        <v/>
      </c>
      <c r="I159">
        <f>RIGHT(A159,3)</f>
        <v/>
      </c>
    </row>
    <row r="160">
      <c r="A160" t="inlineStr">
        <is>
          <t>04.08.2025|SO10085|C0018|P103x40@115-5%|DEL</t>
        </is>
      </c>
      <c r="B160" s="1">
        <f>DATE(MID(A160,7,4),MID(A160,4,2),LEFT(A160,2))</f>
        <v/>
      </c>
      <c r="C160">
        <f>VALUE(MID(A160,14,5))</f>
        <v/>
      </c>
      <c r="D160">
        <f>MID(A160,21,4)</f>
        <v/>
      </c>
      <c r="E160">
        <f>VALUE(MID(A160,27,3))</f>
        <v/>
      </c>
      <c r="F160">
        <f>VALUE(MID(A160,31,FIND("@",A160)-31))</f>
        <v/>
      </c>
      <c r="G160">
        <f>VALUE(MID(A160,FIND("@",A160)+1,FIND("-",A160)-FIND("@",A160)-1))</f>
        <v/>
      </c>
      <c r="H160">
        <f>VALUE(MID(A160,FIND("-",A160)+1,FIND("%",A160)-FIND("-",A160)-1))</f>
        <v/>
      </c>
      <c r="I160">
        <f>RIGHT(A160,3)</f>
        <v/>
      </c>
    </row>
    <row r="161">
      <c r="A161" t="inlineStr">
        <is>
          <t>11.08.2025|SO10086|C0005|P107x40@380-0%|DEL</t>
        </is>
      </c>
      <c r="B161" s="1">
        <f>DATE(MID(A161,7,4),MID(A161,4,2),LEFT(A161,2))</f>
        <v/>
      </c>
      <c r="C161">
        <f>VALUE(MID(A161,14,5))</f>
        <v/>
      </c>
      <c r="D161">
        <f>MID(A161,21,4)</f>
        <v/>
      </c>
      <c r="E161">
        <f>VALUE(MID(A161,27,3))</f>
        <v/>
      </c>
      <c r="F161">
        <f>VALUE(MID(A161,31,FIND("@",A161)-31))</f>
        <v/>
      </c>
      <c r="G161">
        <f>VALUE(MID(A161,FIND("@",A161)+1,FIND("-",A161)-FIND("@",A161)-1))</f>
        <v/>
      </c>
      <c r="H161">
        <f>VALUE(MID(A161,FIND("-",A161)+1,FIND("%",A161)-FIND("-",A161)-1))</f>
        <v/>
      </c>
      <c r="I161">
        <f>RIGHT(A161,3)</f>
        <v/>
      </c>
    </row>
    <row r="162">
      <c r="A162" t="inlineStr">
        <is>
          <t>11.08.2025|SO10086|C0005|P108x25@290-0%|DEL</t>
        </is>
      </c>
      <c r="B162" s="1">
        <f>DATE(MID(A162,7,4),MID(A162,4,2),LEFT(A162,2))</f>
        <v/>
      </c>
      <c r="C162">
        <f>VALUE(MID(A162,14,5))</f>
        <v/>
      </c>
      <c r="D162">
        <f>MID(A162,21,4)</f>
        <v/>
      </c>
      <c r="E162">
        <f>VALUE(MID(A162,27,3))</f>
        <v/>
      </c>
      <c r="F162">
        <f>VALUE(MID(A162,31,FIND("@",A162)-31))</f>
        <v/>
      </c>
      <c r="G162">
        <f>VALUE(MID(A162,FIND("@",A162)+1,FIND("-",A162)-FIND("@",A162)-1))</f>
        <v/>
      </c>
      <c r="H162">
        <f>VALUE(MID(A162,FIND("-",A162)+1,FIND("%",A162)-FIND("-",A162)-1))</f>
        <v/>
      </c>
      <c r="I162">
        <f>RIGHT(A162,3)</f>
        <v/>
      </c>
    </row>
    <row r="163">
      <c r="A163" t="inlineStr">
        <is>
          <t>11.08.2025|SO10087|C0014|P101x10@430-10%|DEL</t>
        </is>
      </c>
      <c r="B163" s="1">
        <f>DATE(MID(A163,7,4),MID(A163,4,2),LEFT(A163,2))</f>
        <v/>
      </c>
      <c r="C163">
        <f>VALUE(MID(A163,14,5))</f>
        <v/>
      </c>
      <c r="D163">
        <f>MID(A163,21,4)</f>
        <v/>
      </c>
      <c r="E163">
        <f>VALUE(MID(A163,27,3))</f>
        <v/>
      </c>
      <c r="F163">
        <f>VALUE(MID(A163,31,FIND("@",A163)-31))</f>
        <v/>
      </c>
      <c r="G163">
        <f>VALUE(MID(A163,FIND("@",A163)+1,FIND("-",A163)-FIND("@",A163)-1))</f>
        <v/>
      </c>
      <c r="H163">
        <f>VALUE(MID(A163,FIND("-",A163)+1,FIND("%",A163)-FIND("-",A163)-1))</f>
        <v/>
      </c>
      <c r="I163">
        <f>RIGHT(A163,3)</f>
        <v/>
      </c>
    </row>
    <row r="164">
      <c r="A164" t="inlineStr">
        <is>
          <t>11.08.2025|SO10087|C0014|P102x15@750-12%|DEL</t>
        </is>
      </c>
      <c r="B164" s="1">
        <f>DATE(MID(A164,7,4),MID(A164,4,2),LEFT(A164,2))</f>
        <v/>
      </c>
      <c r="C164">
        <f>VALUE(MID(A164,14,5))</f>
        <v/>
      </c>
      <c r="D164">
        <f>MID(A164,21,4)</f>
        <v/>
      </c>
      <c r="E164">
        <f>VALUE(MID(A164,27,3))</f>
        <v/>
      </c>
      <c r="F164">
        <f>VALUE(MID(A164,31,FIND("@",A164)-31))</f>
        <v/>
      </c>
      <c r="G164">
        <f>VALUE(MID(A164,FIND("@",A164)+1,FIND("-",A164)-FIND("@",A164)-1))</f>
        <v/>
      </c>
      <c r="H164">
        <f>VALUE(MID(A164,FIND("-",A164)+1,FIND("%",A164)-FIND("-",A164)-1))</f>
        <v/>
      </c>
      <c r="I164">
        <f>RIGHT(A164,3)</f>
        <v/>
      </c>
    </row>
    <row r="165">
      <c r="A165" t="inlineStr">
        <is>
          <t>11.08.2025|SO10087|C0014|P105x25@1400-12%|DEL</t>
        </is>
      </c>
      <c r="B165" s="1">
        <f>DATE(MID(A165,7,4),MID(A165,4,2),LEFT(A165,2))</f>
        <v/>
      </c>
      <c r="C165">
        <f>VALUE(MID(A165,14,5))</f>
        <v/>
      </c>
      <c r="D165">
        <f>MID(A165,21,4)</f>
        <v/>
      </c>
      <c r="E165">
        <f>VALUE(MID(A165,27,3))</f>
        <v/>
      </c>
      <c r="F165">
        <f>VALUE(MID(A165,31,FIND("@",A165)-31))</f>
        <v/>
      </c>
      <c r="G165">
        <f>VALUE(MID(A165,FIND("@",A165)+1,FIND("-",A165)-FIND("@",A165)-1))</f>
        <v/>
      </c>
      <c r="H165">
        <f>VALUE(MID(A165,FIND("-",A165)+1,FIND("%",A165)-FIND("-",A165)-1))</f>
        <v/>
      </c>
      <c r="I165">
        <f>RIGHT(A165,3)</f>
        <v/>
      </c>
    </row>
    <row r="166">
      <c r="A166" t="inlineStr">
        <is>
          <t>12.08.2025|SO10088|C0001|P101x35@430-5%|DEL</t>
        </is>
      </c>
      <c r="B166" s="1">
        <f>DATE(MID(A166,7,4),MID(A166,4,2),LEFT(A166,2))</f>
        <v/>
      </c>
      <c r="C166">
        <f>VALUE(MID(A166,14,5))</f>
        <v/>
      </c>
      <c r="D166">
        <f>MID(A166,21,4)</f>
        <v/>
      </c>
      <c r="E166">
        <f>VALUE(MID(A166,27,3))</f>
        <v/>
      </c>
      <c r="F166">
        <f>VALUE(MID(A166,31,FIND("@",A166)-31))</f>
        <v/>
      </c>
      <c r="G166">
        <f>VALUE(MID(A166,FIND("@",A166)+1,FIND("-",A166)-FIND("@",A166)-1))</f>
        <v/>
      </c>
      <c r="H166">
        <f>VALUE(MID(A166,FIND("-",A166)+1,FIND("%",A166)-FIND("-",A166)-1))</f>
        <v/>
      </c>
      <c r="I166">
        <f>RIGHT(A166,3)</f>
        <v/>
      </c>
    </row>
    <row r="167">
      <c r="A167" t="inlineStr">
        <is>
          <t>12.08.2025|SO10088|C0001|P103x40@115-0%|DEL</t>
        </is>
      </c>
      <c r="B167" s="1">
        <f>DATE(MID(A167,7,4),MID(A167,4,2),LEFT(A167,2))</f>
        <v/>
      </c>
      <c r="C167">
        <f>VALUE(MID(A167,14,5))</f>
        <v/>
      </c>
      <c r="D167">
        <f>MID(A167,21,4)</f>
        <v/>
      </c>
      <c r="E167">
        <f>VALUE(MID(A167,27,3))</f>
        <v/>
      </c>
      <c r="F167">
        <f>VALUE(MID(A167,31,FIND("@",A167)-31))</f>
        <v/>
      </c>
      <c r="G167">
        <f>VALUE(MID(A167,FIND("@",A167)+1,FIND("-",A167)-FIND("@",A167)-1))</f>
        <v/>
      </c>
      <c r="H167">
        <f>VALUE(MID(A167,FIND("-",A167)+1,FIND("%",A167)-FIND("-",A167)-1))</f>
        <v/>
      </c>
      <c r="I167">
        <f>RIGHT(A167,3)</f>
        <v/>
      </c>
    </row>
    <row r="168">
      <c r="A168" t="inlineStr">
        <is>
          <t>13.08.2025|SO10089|C0018|P104x10@620-0%|DEL</t>
        </is>
      </c>
      <c r="B168" s="1">
        <f>DATE(MID(A168,7,4),MID(A168,4,2),LEFT(A168,2))</f>
        <v/>
      </c>
      <c r="C168">
        <f>VALUE(MID(A168,14,5))</f>
        <v/>
      </c>
      <c r="D168">
        <f>MID(A168,21,4)</f>
        <v/>
      </c>
      <c r="E168">
        <f>VALUE(MID(A168,27,3))</f>
        <v/>
      </c>
      <c r="F168">
        <f>VALUE(MID(A168,31,FIND("@",A168)-31))</f>
        <v/>
      </c>
      <c r="G168">
        <f>VALUE(MID(A168,FIND("@",A168)+1,FIND("-",A168)-FIND("@",A168)-1))</f>
        <v/>
      </c>
      <c r="H168">
        <f>VALUE(MID(A168,FIND("-",A168)+1,FIND("%",A168)-FIND("-",A168)-1))</f>
        <v/>
      </c>
      <c r="I168">
        <f>RIGHT(A168,3)</f>
        <v/>
      </c>
    </row>
    <row r="169">
      <c r="A169" t="inlineStr">
        <is>
          <t>13.08.2025|SO10089|C0018|P107x20@380-0%|DEL</t>
        </is>
      </c>
      <c r="B169" s="1">
        <f>DATE(MID(A169,7,4),MID(A169,4,2),LEFT(A169,2))</f>
        <v/>
      </c>
      <c r="C169">
        <f>VALUE(MID(A169,14,5))</f>
        <v/>
      </c>
      <c r="D169">
        <f>MID(A169,21,4)</f>
        <v/>
      </c>
      <c r="E169">
        <f>VALUE(MID(A169,27,3))</f>
        <v/>
      </c>
      <c r="F169">
        <f>VALUE(MID(A169,31,FIND("@",A169)-31))</f>
        <v/>
      </c>
      <c r="G169">
        <f>VALUE(MID(A169,FIND("@",A169)+1,FIND("-",A169)-FIND("@",A169)-1))</f>
        <v/>
      </c>
      <c r="H169">
        <f>VALUE(MID(A169,FIND("-",A169)+1,FIND("%",A169)-FIND("-",A169)-1))</f>
        <v/>
      </c>
      <c r="I169">
        <f>RIGHT(A169,3)</f>
        <v/>
      </c>
    </row>
    <row r="170">
      <c r="A170" t="inlineStr">
        <is>
          <t>13.08.2025|SO10089|C0018|P108x40@290-5%|DEL</t>
        </is>
      </c>
      <c r="B170" s="1">
        <f>DATE(MID(A170,7,4),MID(A170,4,2),LEFT(A170,2))</f>
        <v/>
      </c>
      <c r="C170">
        <f>VALUE(MID(A170,14,5))</f>
        <v/>
      </c>
      <c r="D170">
        <f>MID(A170,21,4)</f>
        <v/>
      </c>
      <c r="E170">
        <f>VALUE(MID(A170,27,3))</f>
        <v/>
      </c>
      <c r="F170">
        <f>VALUE(MID(A170,31,FIND("@",A170)-31))</f>
        <v/>
      </c>
      <c r="G170">
        <f>VALUE(MID(A170,FIND("@",A170)+1,FIND("-",A170)-FIND("@",A170)-1))</f>
        <v/>
      </c>
      <c r="H170">
        <f>VALUE(MID(A170,FIND("-",A170)+1,FIND("%",A170)-FIND("-",A170)-1))</f>
        <v/>
      </c>
      <c r="I170">
        <f>RIGHT(A170,3)</f>
        <v/>
      </c>
    </row>
    <row r="171">
      <c r="A171" t="inlineStr">
        <is>
          <t>14.08.2025|SO10090|C0002|P101x35@430-0%|DEL</t>
        </is>
      </c>
      <c r="B171" s="1">
        <f>DATE(MID(A171,7,4),MID(A171,4,2),LEFT(A171,2))</f>
        <v/>
      </c>
      <c r="C171">
        <f>VALUE(MID(A171,14,5))</f>
        <v/>
      </c>
      <c r="D171">
        <f>MID(A171,21,4)</f>
        <v/>
      </c>
      <c r="E171">
        <f>VALUE(MID(A171,27,3))</f>
        <v/>
      </c>
      <c r="F171">
        <f>VALUE(MID(A171,31,FIND("@",A171)-31))</f>
        <v/>
      </c>
      <c r="G171">
        <f>VALUE(MID(A171,FIND("@",A171)+1,FIND("-",A171)-FIND("@",A171)-1))</f>
        <v/>
      </c>
      <c r="H171">
        <f>VALUE(MID(A171,FIND("-",A171)+1,FIND("%",A171)-FIND("-",A171)-1))</f>
        <v/>
      </c>
      <c r="I171">
        <f>RIGHT(A171,3)</f>
        <v/>
      </c>
    </row>
    <row r="172">
      <c r="A172" t="inlineStr">
        <is>
          <t>14.08.2025|SO10090|C0002|P104x40@620-5%|DEL</t>
        </is>
      </c>
      <c r="B172" s="1">
        <f>DATE(MID(A172,7,4),MID(A172,4,2),LEFT(A172,2))</f>
        <v/>
      </c>
      <c r="C172">
        <f>VALUE(MID(A172,14,5))</f>
        <v/>
      </c>
      <c r="D172">
        <f>MID(A172,21,4)</f>
        <v/>
      </c>
      <c r="E172">
        <f>VALUE(MID(A172,27,3))</f>
        <v/>
      </c>
      <c r="F172">
        <f>VALUE(MID(A172,31,FIND("@",A172)-31))</f>
        <v/>
      </c>
      <c r="G172">
        <f>VALUE(MID(A172,FIND("@",A172)+1,FIND("-",A172)-FIND("@",A172)-1))</f>
        <v/>
      </c>
      <c r="H172">
        <f>VALUE(MID(A172,FIND("-",A172)+1,FIND("%",A172)-FIND("-",A172)-1))</f>
        <v/>
      </c>
      <c r="I172">
        <f>RIGHT(A172,3)</f>
        <v/>
      </c>
    </row>
    <row r="173">
      <c r="A173" t="inlineStr">
        <is>
          <t>15.08.2025|SO10091|C0015|P107x50@380-0%|DEL</t>
        </is>
      </c>
      <c r="B173" s="1">
        <f>DATE(MID(A173,7,4),MID(A173,4,2),LEFT(A173,2))</f>
        <v/>
      </c>
      <c r="C173">
        <f>VALUE(MID(A173,14,5))</f>
        <v/>
      </c>
      <c r="D173">
        <f>MID(A173,21,4)</f>
        <v/>
      </c>
      <c r="E173">
        <f>VALUE(MID(A173,27,3))</f>
        <v/>
      </c>
      <c r="F173">
        <f>VALUE(MID(A173,31,FIND("@",A173)-31))</f>
        <v/>
      </c>
      <c r="G173">
        <f>VALUE(MID(A173,FIND("@",A173)+1,FIND("-",A173)-FIND("@",A173)-1))</f>
        <v/>
      </c>
      <c r="H173">
        <f>VALUE(MID(A173,FIND("-",A173)+1,FIND("%",A173)-FIND("-",A173)-1))</f>
        <v/>
      </c>
      <c r="I173">
        <f>RIGHT(A173,3)</f>
        <v/>
      </c>
    </row>
    <row r="174">
      <c r="A174" t="inlineStr">
        <is>
          <t>15.08.2025|SO10092|C0019|P105x20@1400-5%|DEL</t>
        </is>
      </c>
      <c r="B174" s="1">
        <f>DATE(MID(A174,7,4),MID(A174,4,2),LEFT(A174,2))</f>
        <v/>
      </c>
      <c r="C174">
        <f>VALUE(MID(A174,14,5))</f>
        <v/>
      </c>
      <c r="D174">
        <f>MID(A174,21,4)</f>
        <v/>
      </c>
      <c r="E174">
        <f>VALUE(MID(A174,27,3))</f>
        <v/>
      </c>
      <c r="F174">
        <f>VALUE(MID(A174,31,FIND("@",A174)-31))</f>
        <v/>
      </c>
      <c r="G174">
        <f>VALUE(MID(A174,FIND("@",A174)+1,FIND("-",A174)-FIND("@",A174)-1))</f>
        <v/>
      </c>
      <c r="H174">
        <f>VALUE(MID(A174,FIND("-",A174)+1,FIND("%",A174)-FIND("-",A174)-1))</f>
        <v/>
      </c>
      <c r="I174">
        <f>RIGHT(A174,3)</f>
        <v/>
      </c>
    </row>
    <row r="175">
      <c r="A175" t="inlineStr">
        <is>
          <t>15.08.2025|SO10092|C0019|P108x25@290-5%|DEL</t>
        </is>
      </c>
      <c r="B175" s="1">
        <f>DATE(MID(A175,7,4),MID(A175,4,2),LEFT(A175,2))</f>
        <v/>
      </c>
      <c r="C175">
        <f>VALUE(MID(A175,14,5))</f>
        <v/>
      </c>
      <c r="D175">
        <f>MID(A175,21,4)</f>
        <v/>
      </c>
      <c r="E175">
        <f>VALUE(MID(A175,27,3))</f>
        <v/>
      </c>
      <c r="F175">
        <f>VALUE(MID(A175,31,FIND("@",A175)-31))</f>
        <v/>
      </c>
      <c r="G175">
        <f>VALUE(MID(A175,FIND("@",A175)+1,FIND("-",A175)-FIND("@",A175)-1))</f>
        <v/>
      </c>
      <c r="H175">
        <f>VALUE(MID(A175,FIND("-",A175)+1,FIND("%",A175)-FIND("-",A175)-1))</f>
        <v/>
      </c>
      <c r="I175">
        <f>RIGHT(A175,3)</f>
        <v/>
      </c>
    </row>
    <row r="176">
      <c r="A176" t="inlineStr">
        <is>
          <t>19.08.2025|SO10093|C0014|P101x20@430-12%|DEL</t>
        </is>
      </c>
      <c r="B176" s="1">
        <f>DATE(MID(A176,7,4),MID(A176,4,2),LEFT(A176,2))</f>
        <v/>
      </c>
      <c r="C176">
        <f>VALUE(MID(A176,14,5))</f>
        <v/>
      </c>
      <c r="D176">
        <f>MID(A176,21,4)</f>
        <v/>
      </c>
      <c r="E176">
        <f>VALUE(MID(A176,27,3))</f>
        <v/>
      </c>
      <c r="F176">
        <f>VALUE(MID(A176,31,FIND("@",A176)-31))</f>
        <v/>
      </c>
      <c r="G176">
        <f>VALUE(MID(A176,FIND("@",A176)+1,FIND("-",A176)-FIND("@",A176)-1))</f>
        <v/>
      </c>
      <c r="H176">
        <f>VALUE(MID(A176,FIND("-",A176)+1,FIND("%",A176)-FIND("-",A176)-1))</f>
        <v/>
      </c>
      <c r="I176">
        <f>RIGHT(A176,3)</f>
        <v/>
      </c>
    </row>
    <row r="177">
      <c r="A177" t="inlineStr">
        <is>
          <t>19.08.2025|SO10093|C0014|P102x10@750-12%|DEL</t>
        </is>
      </c>
      <c r="B177" s="1">
        <f>DATE(MID(A177,7,4),MID(A177,4,2),LEFT(A177,2))</f>
        <v/>
      </c>
      <c r="C177">
        <f>VALUE(MID(A177,14,5))</f>
        <v/>
      </c>
      <c r="D177">
        <f>MID(A177,21,4)</f>
        <v/>
      </c>
      <c r="E177">
        <f>VALUE(MID(A177,27,3))</f>
        <v/>
      </c>
      <c r="F177">
        <f>VALUE(MID(A177,31,FIND("@",A177)-31))</f>
        <v/>
      </c>
      <c r="G177">
        <f>VALUE(MID(A177,FIND("@",A177)+1,FIND("-",A177)-FIND("@",A177)-1))</f>
        <v/>
      </c>
      <c r="H177">
        <f>VALUE(MID(A177,FIND("-",A177)+1,FIND("%",A177)-FIND("-",A177)-1))</f>
        <v/>
      </c>
      <c r="I177">
        <f>RIGHT(A177,3)</f>
        <v/>
      </c>
    </row>
    <row r="178">
      <c r="A178" t="inlineStr">
        <is>
          <t>23.08.2025|SO10094|C0012|P101x40@430-0%|DEL</t>
        </is>
      </c>
      <c r="B178" s="1">
        <f>DATE(MID(A178,7,4),MID(A178,4,2),LEFT(A178,2))</f>
        <v/>
      </c>
      <c r="C178">
        <f>VALUE(MID(A178,14,5))</f>
        <v/>
      </c>
      <c r="D178">
        <f>MID(A178,21,4)</f>
        <v/>
      </c>
      <c r="E178">
        <f>VALUE(MID(A178,27,3))</f>
        <v/>
      </c>
      <c r="F178">
        <f>VALUE(MID(A178,31,FIND("@",A178)-31))</f>
        <v/>
      </c>
      <c r="G178">
        <f>VALUE(MID(A178,FIND("@",A178)+1,FIND("-",A178)-FIND("@",A178)-1))</f>
        <v/>
      </c>
      <c r="H178">
        <f>VALUE(MID(A178,FIND("-",A178)+1,FIND("%",A178)-FIND("-",A178)-1))</f>
        <v/>
      </c>
      <c r="I178">
        <f>RIGHT(A178,3)</f>
        <v/>
      </c>
    </row>
    <row r="179">
      <c r="A179" t="inlineStr">
        <is>
          <t>24.08.2025|SO10095|C0011|P101x15@430-8%|DEL</t>
        </is>
      </c>
      <c r="B179" s="1">
        <f>DATE(MID(A179,7,4),MID(A179,4,2),LEFT(A179,2))</f>
        <v/>
      </c>
      <c r="C179">
        <f>VALUE(MID(A179,14,5))</f>
        <v/>
      </c>
      <c r="D179">
        <f>MID(A179,21,4)</f>
        <v/>
      </c>
      <c r="E179">
        <f>VALUE(MID(A179,27,3))</f>
        <v/>
      </c>
      <c r="F179">
        <f>VALUE(MID(A179,31,FIND("@",A179)-31))</f>
        <v/>
      </c>
      <c r="G179">
        <f>VALUE(MID(A179,FIND("@",A179)+1,FIND("-",A179)-FIND("@",A179)-1))</f>
        <v/>
      </c>
      <c r="H179">
        <f>VALUE(MID(A179,FIND("-",A179)+1,FIND("%",A179)-FIND("-",A179)-1))</f>
        <v/>
      </c>
      <c r="I179">
        <f>RIGHT(A179,3)</f>
        <v/>
      </c>
    </row>
    <row r="180">
      <c r="A180" t="inlineStr">
        <is>
          <t>24.08.2025|SO10095|C0011|P102x35@750-10%|DEL</t>
        </is>
      </c>
      <c r="B180" s="1">
        <f>DATE(MID(A180,7,4),MID(A180,4,2),LEFT(A180,2))</f>
        <v/>
      </c>
      <c r="C180">
        <f>VALUE(MID(A180,14,5))</f>
        <v/>
      </c>
      <c r="D180">
        <f>MID(A180,21,4)</f>
        <v/>
      </c>
      <c r="E180">
        <f>VALUE(MID(A180,27,3))</f>
        <v/>
      </c>
      <c r="F180">
        <f>VALUE(MID(A180,31,FIND("@",A180)-31))</f>
        <v/>
      </c>
      <c r="G180">
        <f>VALUE(MID(A180,FIND("@",A180)+1,FIND("-",A180)-FIND("@",A180)-1))</f>
        <v/>
      </c>
      <c r="H180">
        <f>VALUE(MID(A180,FIND("-",A180)+1,FIND("%",A180)-FIND("-",A180)-1))</f>
        <v/>
      </c>
      <c r="I180">
        <f>RIGHT(A180,3)</f>
        <v/>
      </c>
    </row>
    <row r="181">
      <c r="A181" t="inlineStr">
        <is>
          <t>26.08.2025|SO10096|C0004|P102x10@750-12%|DEL</t>
        </is>
      </c>
      <c r="B181" s="1">
        <f>DATE(MID(A181,7,4),MID(A181,4,2),LEFT(A181,2))</f>
        <v/>
      </c>
      <c r="C181">
        <f>VALUE(MID(A181,14,5))</f>
        <v/>
      </c>
      <c r="D181">
        <f>MID(A181,21,4)</f>
        <v/>
      </c>
      <c r="E181">
        <f>VALUE(MID(A181,27,3))</f>
        <v/>
      </c>
      <c r="F181">
        <f>VALUE(MID(A181,31,FIND("@",A181)-31))</f>
        <v/>
      </c>
      <c r="G181">
        <f>VALUE(MID(A181,FIND("@",A181)+1,FIND("-",A181)-FIND("@",A181)-1))</f>
        <v/>
      </c>
      <c r="H181">
        <f>VALUE(MID(A181,FIND("-",A181)+1,FIND("%",A181)-FIND("-",A181)-1))</f>
        <v/>
      </c>
      <c r="I181">
        <f>RIGHT(A181,3)</f>
        <v/>
      </c>
    </row>
    <row r="182">
      <c r="A182" t="inlineStr">
        <is>
          <t>27.08.2025|SO10097|C0007|P102x10@750-12%|DEL</t>
        </is>
      </c>
      <c r="B182" s="1">
        <f>DATE(MID(A182,7,4),MID(A182,4,2),LEFT(A182,2))</f>
        <v/>
      </c>
      <c r="C182">
        <f>VALUE(MID(A182,14,5))</f>
        <v/>
      </c>
      <c r="D182">
        <f>MID(A182,21,4)</f>
        <v/>
      </c>
      <c r="E182">
        <f>VALUE(MID(A182,27,3))</f>
        <v/>
      </c>
      <c r="F182">
        <f>VALUE(MID(A182,31,FIND("@",A182)-31))</f>
        <v/>
      </c>
      <c r="G182">
        <f>VALUE(MID(A182,FIND("@",A182)+1,FIND("-",A182)-FIND("@",A182)-1))</f>
        <v/>
      </c>
      <c r="H182">
        <f>VALUE(MID(A182,FIND("-",A182)+1,FIND("%",A182)-FIND("-",A182)-1))</f>
        <v/>
      </c>
      <c r="I182">
        <f>RIGHT(A182,3)</f>
        <v/>
      </c>
    </row>
    <row r="183">
      <c r="A183" t="inlineStr">
        <is>
          <t>27.08.2025|SO10097|C0007|P108x10@290-10%|DEL</t>
        </is>
      </c>
      <c r="B183" s="1">
        <f>DATE(MID(A183,7,4),MID(A183,4,2),LEFT(A183,2))</f>
        <v/>
      </c>
      <c r="C183">
        <f>VALUE(MID(A183,14,5))</f>
        <v/>
      </c>
      <c r="D183">
        <f>MID(A183,21,4)</f>
        <v/>
      </c>
      <c r="E183">
        <f>VALUE(MID(A183,27,3))</f>
        <v/>
      </c>
      <c r="F183">
        <f>VALUE(MID(A183,31,FIND("@",A183)-31))</f>
        <v/>
      </c>
      <c r="G183">
        <f>VALUE(MID(A183,FIND("@",A183)+1,FIND("-",A183)-FIND("@",A183)-1))</f>
        <v/>
      </c>
      <c r="H183">
        <f>VALUE(MID(A183,FIND("-",A183)+1,FIND("%",A183)-FIND("-",A183)-1))</f>
        <v/>
      </c>
      <c r="I183">
        <f>RIGHT(A183,3)</f>
        <v/>
      </c>
    </row>
    <row r="184">
      <c r="A184" t="inlineStr">
        <is>
          <t>02.09.2025|SO10098|C0018|P101x40@430-0%|DEL</t>
        </is>
      </c>
      <c r="B184" s="1">
        <f>DATE(MID(A184,7,4),MID(A184,4,2),LEFT(A184,2))</f>
        <v/>
      </c>
      <c r="C184">
        <f>VALUE(MID(A184,14,5))</f>
        <v/>
      </c>
      <c r="D184">
        <f>MID(A184,21,4)</f>
        <v/>
      </c>
      <c r="E184">
        <f>VALUE(MID(A184,27,3))</f>
        <v/>
      </c>
      <c r="F184">
        <f>VALUE(MID(A184,31,FIND("@",A184)-31))</f>
        <v/>
      </c>
      <c r="G184">
        <f>VALUE(MID(A184,FIND("@",A184)+1,FIND("-",A184)-FIND("@",A184)-1))</f>
        <v/>
      </c>
      <c r="H184">
        <f>VALUE(MID(A184,FIND("-",A184)+1,FIND("%",A184)-FIND("-",A184)-1))</f>
        <v/>
      </c>
      <c r="I184">
        <f>RIGHT(A184,3)</f>
        <v/>
      </c>
    </row>
    <row r="185">
      <c r="A185" t="inlineStr">
        <is>
          <t>02.09.2025|SO10098|C0018|P108x10@290-0%|DEL</t>
        </is>
      </c>
      <c r="B185" s="1">
        <f>DATE(MID(A185,7,4),MID(A185,4,2),LEFT(A185,2))</f>
        <v/>
      </c>
      <c r="C185">
        <f>VALUE(MID(A185,14,5))</f>
        <v/>
      </c>
      <c r="D185">
        <f>MID(A185,21,4)</f>
        <v/>
      </c>
      <c r="E185">
        <f>VALUE(MID(A185,27,3))</f>
        <v/>
      </c>
      <c r="F185">
        <f>VALUE(MID(A185,31,FIND("@",A185)-31))</f>
        <v/>
      </c>
      <c r="G185">
        <f>VALUE(MID(A185,FIND("@",A185)+1,FIND("-",A185)-FIND("@",A185)-1))</f>
        <v/>
      </c>
      <c r="H185">
        <f>VALUE(MID(A185,FIND("-",A185)+1,FIND("%",A185)-FIND("-",A185)-1))</f>
        <v/>
      </c>
      <c r="I185">
        <f>RIGHT(A185,3)</f>
        <v/>
      </c>
    </row>
    <row r="186">
      <c r="A186" t="inlineStr">
        <is>
          <t>02.09.2025|SO10099|C0019|P102x15@750-5%|DEL</t>
        </is>
      </c>
      <c r="B186" s="1">
        <f>DATE(MID(A186,7,4),MID(A186,4,2),LEFT(A186,2))</f>
        <v/>
      </c>
      <c r="C186">
        <f>VALUE(MID(A186,14,5))</f>
        <v/>
      </c>
      <c r="D186">
        <f>MID(A186,21,4)</f>
        <v/>
      </c>
      <c r="E186">
        <f>VALUE(MID(A186,27,3))</f>
        <v/>
      </c>
      <c r="F186">
        <f>VALUE(MID(A186,31,FIND("@",A186)-31))</f>
        <v/>
      </c>
      <c r="G186">
        <f>VALUE(MID(A186,FIND("@",A186)+1,FIND("-",A186)-FIND("@",A186)-1))</f>
        <v/>
      </c>
      <c r="H186">
        <f>VALUE(MID(A186,FIND("-",A186)+1,FIND("%",A186)-FIND("-",A186)-1))</f>
        <v/>
      </c>
      <c r="I186">
        <f>RIGHT(A186,3)</f>
        <v/>
      </c>
    </row>
    <row r="187">
      <c r="A187" t="inlineStr">
        <is>
          <t>02.09.2025|SO10099|C0019|P105x35@1400-10%|DEL</t>
        </is>
      </c>
      <c r="B187" s="1">
        <f>DATE(MID(A187,7,4),MID(A187,4,2),LEFT(A187,2))</f>
        <v/>
      </c>
      <c r="C187">
        <f>VALUE(MID(A187,14,5))</f>
        <v/>
      </c>
      <c r="D187">
        <f>MID(A187,21,4)</f>
        <v/>
      </c>
      <c r="E187">
        <f>VALUE(MID(A187,27,3))</f>
        <v/>
      </c>
      <c r="F187">
        <f>VALUE(MID(A187,31,FIND("@",A187)-31))</f>
        <v/>
      </c>
      <c r="G187">
        <f>VALUE(MID(A187,FIND("@",A187)+1,FIND("-",A187)-FIND("@",A187)-1))</f>
        <v/>
      </c>
      <c r="H187">
        <f>VALUE(MID(A187,FIND("-",A187)+1,FIND("%",A187)-FIND("-",A187)-1))</f>
        <v/>
      </c>
      <c r="I187">
        <f>RIGHT(A187,3)</f>
        <v/>
      </c>
    </row>
    <row r="188">
      <c r="A188" t="inlineStr">
        <is>
          <t>02.09.2025|SO10099|C0019|P108x15@290-5%|DEL</t>
        </is>
      </c>
      <c r="B188" s="1">
        <f>DATE(MID(A188,7,4),MID(A188,4,2),LEFT(A188,2))</f>
        <v/>
      </c>
      <c r="C188">
        <f>VALUE(MID(A188,14,5))</f>
        <v/>
      </c>
      <c r="D188">
        <f>MID(A188,21,4)</f>
        <v/>
      </c>
      <c r="E188">
        <f>VALUE(MID(A188,27,3))</f>
        <v/>
      </c>
      <c r="F188">
        <f>VALUE(MID(A188,31,FIND("@",A188)-31))</f>
        <v/>
      </c>
      <c r="G188">
        <f>VALUE(MID(A188,FIND("@",A188)+1,FIND("-",A188)-FIND("@",A188)-1))</f>
        <v/>
      </c>
      <c r="H188">
        <f>VALUE(MID(A188,FIND("-",A188)+1,FIND("%",A188)-FIND("-",A188)-1))</f>
        <v/>
      </c>
      <c r="I188">
        <f>RIGHT(A188,3)</f>
        <v/>
      </c>
    </row>
    <row r="189">
      <c r="A189" t="inlineStr">
        <is>
          <t>03.09.2025|SO10100|C0021|P101x15@430-5%|DEL</t>
        </is>
      </c>
      <c r="B189" s="1">
        <f>DATE(MID(A189,7,4),MID(A189,4,2),LEFT(A189,2))</f>
        <v/>
      </c>
      <c r="C189">
        <f>VALUE(MID(A189,14,5))</f>
        <v/>
      </c>
      <c r="D189">
        <f>MID(A189,21,4)</f>
        <v/>
      </c>
      <c r="E189">
        <f>VALUE(MID(A189,27,3))</f>
        <v/>
      </c>
      <c r="F189">
        <f>VALUE(MID(A189,31,FIND("@",A189)-31))</f>
        <v/>
      </c>
      <c r="G189">
        <f>VALUE(MID(A189,FIND("@",A189)+1,FIND("-",A189)-FIND("@",A189)-1))</f>
        <v/>
      </c>
      <c r="H189">
        <f>VALUE(MID(A189,FIND("-",A189)+1,FIND("%",A189)-FIND("-",A189)-1))</f>
        <v/>
      </c>
      <c r="I189">
        <f>RIGHT(A189,3)</f>
        <v/>
      </c>
    </row>
    <row r="190">
      <c r="A190" t="inlineStr">
        <is>
          <t>03.09.2025|SO10100|C0021|P104x35@620-0%|DEL</t>
        </is>
      </c>
      <c r="B190" s="1">
        <f>DATE(MID(A190,7,4),MID(A190,4,2),LEFT(A190,2))</f>
        <v/>
      </c>
      <c r="C190">
        <f>VALUE(MID(A190,14,5))</f>
        <v/>
      </c>
      <c r="D190">
        <f>MID(A190,21,4)</f>
        <v/>
      </c>
      <c r="E190">
        <f>VALUE(MID(A190,27,3))</f>
        <v/>
      </c>
      <c r="F190">
        <f>VALUE(MID(A190,31,FIND("@",A190)-31))</f>
        <v/>
      </c>
      <c r="G190">
        <f>VALUE(MID(A190,FIND("@",A190)+1,FIND("-",A190)-FIND("@",A190)-1))</f>
        <v/>
      </c>
      <c r="H190">
        <f>VALUE(MID(A190,FIND("-",A190)+1,FIND("%",A190)-FIND("-",A190)-1))</f>
        <v/>
      </c>
      <c r="I190">
        <f>RIGHT(A190,3)</f>
        <v/>
      </c>
    </row>
    <row r="191">
      <c r="A191" t="inlineStr">
        <is>
          <t>03.09.2025|SO10100|C0021|P108x20@290-0%|DEL</t>
        </is>
      </c>
      <c r="B191" s="1">
        <f>DATE(MID(A191,7,4),MID(A191,4,2),LEFT(A191,2))</f>
        <v/>
      </c>
      <c r="C191">
        <f>VALUE(MID(A191,14,5))</f>
        <v/>
      </c>
      <c r="D191">
        <f>MID(A191,21,4)</f>
        <v/>
      </c>
      <c r="E191">
        <f>VALUE(MID(A191,27,3))</f>
        <v/>
      </c>
      <c r="F191">
        <f>VALUE(MID(A191,31,FIND("@",A191)-31))</f>
        <v/>
      </c>
      <c r="G191">
        <f>VALUE(MID(A191,FIND("@",A191)+1,FIND("-",A191)-FIND("@",A191)-1))</f>
        <v/>
      </c>
      <c r="H191">
        <f>VALUE(MID(A191,FIND("-",A191)+1,FIND("%",A191)-FIND("-",A191)-1))</f>
        <v/>
      </c>
      <c r="I191">
        <f>RIGHT(A191,3)</f>
        <v/>
      </c>
    </row>
    <row r="192">
      <c r="A192" t="inlineStr">
        <is>
          <t>07.09.2025|SO10101|C0014|P101x10@430-12%|DEL</t>
        </is>
      </c>
      <c r="B192" s="1">
        <f>DATE(MID(A192,7,4),MID(A192,4,2),LEFT(A192,2))</f>
        <v/>
      </c>
      <c r="C192">
        <f>VALUE(MID(A192,14,5))</f>
        <v/>
      </c>
      <c r="D192">
        <f>MID(A192,21,4)</f>
        <v/>
      </c>
      <c r="E192">
        <f>VALUE(MID(A192,27,3))</f>
        <v/>
      </c>
      <c r="F192">
        <f>VALUE(MID(A192,31,FIND("@",A192)-31))</f>
        <v/>
      </c>
      <c r="G192">
        <f>VALUE(MID(A192,FIND("@",A192)+1,FIND("-",A192)-FIND("@",A192)-1))</f>
        <v/>
      </c>
      <c r="H192">
        <f>VALUE(MID(A192,FIND("-",A192)+1,FIND("%",A192)-FIND("-",A192)-1))</f>
        <v/>
      </c>
      <c r="I192">
        <f>RIGHT(A192,3)</f>
        <v/>
      </c>
    </row>
    <row r="193">
      <c r="A193" t="inlineStr">
        <is>
          <t>07.09.2025|SO10101|C0014|P105x35@1400-5%|DEL</t>
        </is>
      </c>
      <c r="B193" s="1">
        <f>DATE(MID(A193,7,4),MID(A193,4,2),LEFT(A193,2))</f>
        <v/>
      </c>
      <c r="C193">
        <f>VALUE(MID(A193,14,5))</f>
        <v/>
      </c>
      <c r="D193">
        <f>MID(A193,21,4)</f>
        <v/>
      </c>
      <c r="E193">
        <f>VALUE(MID(A193,27,3))</f>
        <v/>
      </c>
      <c r="F193">
        <f>VALUE(MID(A193,31,FIND("@",A193)-31))</f>
        <v/>
      </c>
      <c r="G193">
        <f>VALUE(MID(A193,FIND("@",A193)+1,FIND("-",A193)-FIND("@",A193)-1))</f>
        <v/>
      </c>
      <c r="H193">
        <f>VALUE(MID(A193,FIND("-",A193)+1,FIND("%",A193)-FIND("-",A193)-1))</f>
        <v/>
      </c>
      <c r="I193">
        <f>RIGHT(A193,3)</f>
        <v/>
      </c>
    </row>
    <row r="194">
      <c r="A194" t="inlineStr">
        <is>
          <t>09.09.2025|SO10102|C0017|P101x10@430-5%|DEL</t>
        </is>
      </c>
      <c r="B194" s="1">
        <f>DATE(MID(A194,7,4),MID(A194,4,2),LEFT(A194,2))</f>
        <v/>
      </c>
      <c r="C194">
        <f>VALUE(MID(A194,14,5))</f>
        <v/>
      </c>
      <c r="D194">
        <f>MID(A194,21,4)</f>
        <v/>
      </c>
      <c r="E194">
        <f>VALUE(MID(A194,27,3))</f>
        <v/>
      </c>
      <c r="F194">
        <f>VALUE(MID(A194,31,FIND("@",A194)-31))</f>
        <v/>
      </c>
      <c r="G194">
        <f>VALUE(MID(A194,FIND("@",A194)+1,FIND("-",A194)-FIND("@",A194)-1))</f>
        <v/>
      </c>
      <c r="H194">
        <f>VALUE(MID(A194,FIND("-",A194)+1,FIND("%",A194)-FIND("-",A194)-1))</f>
        <v/>
      </c>
      <c r="I194">
        <f>RIGHT(A194,3)</f>
        <v/>
      </c>
    </row>
    <row r="195">
      <c r="A195" t="inlineStr">
        <is>
          <t>09.09.2025|SO10102|C0017|P107x25@380-0%|DEL</t>
        </is>
      </c>
      <c r="B195" s="1">
        <f>DATE(MID(A195,7,4),MID(A195,4,2),LEFT(A195,2))</f>
        <v/>
      </c>
      <c r="C195">
        <f>VALUE(MID(A195,14,5))</f>
        <v/>
      </c>
      <c r="D195">
        <f>MID(A195,21,4)</f>
        <v/>
      </c>
      <c r="E195">
        <f>VALUE(MID(A195,27,3))</f>
        <v/>
      </c>
      <c r="F195">
        <f>VALUE(MID(A195,31,FIND("@",A195)-31))</f>
        <v/>
      </c>
      <c r="G195">
        <f>VALUE(MID(A195,FIND("@",A195)+1,FIND("-",A195)-FIND("@",A195)-1))</f>
        <v/>
      </c>
      <c r="H195">
        <f>VALUE(MID(A195,FIND("-",A195)+1,FIND("%",A195)-FIND("-",A195)-1))</f>
        <v/>
      </c>
      <c r="I195">
        <f>RIGHT(A195,3)</f>
        <v/>
      </c>
    </row>
    <row r="196">
      <c r="A196" t="inlineStr">
        <is>
          <t>11.09.2025|SO10103|C0004|P102x20@750-8%|DEL</t>
        </is>
      </c>
      <c r="B196" s="1">
        <f>DATE(MID(A196,7,4),MID(A196,4,2),LEFT(A196,2))</f>
        <v/>
      </c>
      <c r="C196">
        <f>VALUE(MID(A196,14,5))</f>
        <v/>
      </c>
      <c r="D196">
        <f>MID(A196,21,4)</f>
        <v/>
      </c>
      <c r="E196">
        <f>VALUE(MID(A196,27,3))</f>
        <v/>
      </c>
      <c r="F196">
        <f>VALUE(MID(A196,31,FIND("@",A196)-31))</f>
        <v/>
      </c>
      <c r="G196">
        <f>VALUE(MID(A196,FIND("@",A196)+1,FIND("-",A196)-FIND("@",A196)-1))</f>
        <v/>
      </c>
      <c r="H196">
        <f>VALUE(MID(A196,FIND("-",A196)+1,FIND("%",A196)-FIND("-",A196)-1))</f>
        <v/>
      </c>
      <c r="I196">
        <f>RIGHT(A196,3)</f>
        <v/>
      </c>
    </row>
    <row r="197">
      <c r="A197" t="inlineStr">
        <is>
          <t>11.09.2025|SO10104|C0012|P103x55@115-5%|DEL</t>
        </is>
      </c>
      <c r="B197" s="1">
        <f>DATE(MID(A197,7,4),MID(A197,4,2),LEFT(A197,2))</f>
        <v/>
      </c>
      <c r="C197">
        <f>VALUE(MID(A197,14,5))</f>
        <v/>
      </c>
      <c r="D197">
        <f>MID(A197,21,4)</f>
        <v/>
      </c>
      <c r="E197">
        <f>VALUE(MID(A197,27,3))</f>
        <v/>
      </c>
      <c r="F197">
        <f>VALUE(MID(A197,31,FIND("@",A197)-31))</f>
        <v/>
      </c>
      <c r="G197">
        <f>VALUE(MID(A197,FIND("@",A197)+1,FIND("-",A197)-FIND("@",A197)-1))</f>
        <v/>
      </c>
      <c r="H197">
        <f>VALUE(MID(A197,FIND("-",A197)+1,FIND("%",A197)-FIND("-",A197)-1))</f>
        <v/>
      </c>
      <c r="I197">
        <f>RIGHT(A197,3)</f>
        <v/>
      </c>
    </row>
    <row r="198">
      <c r="A198" t="inlineStr">
        <is>
          <t>11.09.2025|SO10104|C0012|P107x30@380-0%|DEL</t>
        </is>
      </c>
      <c r="B198" s="1">
        <f>DATE(MID(A198,7,4),MID(A198,4,2),LEFT(A198,2))</f>
        <v/>
      </c>
      <c r="C198">
        <f>VALUE(MID(A198,14,5))</f>
        <v/>
      </c>
      <c r="D198">
        <f>MID(A198,21,4)</f>
        <v/>
      </c>
      <c r="E198">
        <f>VALUE(MID(A198,27,3))</f>
        <v/>
      </c>
      <c r="F198">
        <f>VALUE(MID(A198,31,FIND("@",A198)-31))</f>
        <v/>
      </c>
      <c r="G198">
        <f>VALUE(MID(A198,FIND("@",A198)+1,FIND("-",A198)-FIND("@",A198)-1))</f>
        <v/>
      </c>
      <c r="H198">
        <f>VALUE(MID(A198,FIND("-",A198)+1,FIND("%",A198)-FIND("-",A198)-1))</f>
        <v/>
      </c>
      <c r="I198">
        <f>RIGHT(A198,3)</f>
        <v/>
      </c>
    </row>
    <row r="199">
      <c r="A199" t="inlineStr">
        <is>
          <t>11.09.2025|SO10104|C0012|P108x35@290-0%|DEL</t>
        </is>
      </c>
      <c r="B199" s="1">
        <f>DATE(MID(A199,7,4),MID(A199,4,2),LEFT(A199,2))</f>
        <v/>
      </c>
      <c r="C199">
        <f>VALUE(MID(A199,14,5))</f>
        <v/>
      </c>
      <c r="D199">
        <f>MID(A199,21,4)</f>
        <v/>
      </c>
      <c r="E199">
        <f>VALUE(MID(A199,27,3))</f>
        <v/>
      </c>
      <c r="F199">
        <f>VALUE(MID(A199,31,FIND("@",A199)-31))</f>
        <v/>
      </c>
      <c r="G199">
        <f>VALUE(MID(A199,FIND("@",A199)+1,FIND("-",A199)-FIND("@",A199)-1))</f>
        <v/>
      </c>
      <c r="H199">
        <f>VALUE(MID(A199,FIND("-",A199)+1,FIND("%",A199)-FIND("-",A199)-1))</f>
        <v/>
      </c>
      <c r="I199">
        <f>RIGHT(A199,3)</f>
        <v/>
      </c>
    </row>
    <row r="200">
      <c r="A200" t="inlineStr">
        <is>
          <t>12.09.2025|SO10105|C0020|P101x10@430-0%|DEL</t>
        </is>
      </c>
      <c r="B200" s="1">
        <f>DATE(MID(A200,7,4),MID(A200,4,2),LEFT(A200,2))</f>
        <v/>
      </c>
      <c r="C200">
        <f>VALUE(MID(A200,14,5))</f>
        <v/>
      </c>
      <c r="D200">
        <f>MID(A200,21,4)</f>
        <v/>
      </c>
      <c r="E200">
        <f>VALUE(MID(A200,27,3))</f>
        <v/>
      </c>
      <c r="F200">
        <f>VALUE(MID(A200,31,FIND("@",A200)-31))</f>
        <v/>
      </c>
      <c r="G200">
        <f>VALUE(MID(A200,FIND("@",A200)+1,FIND("-",A200)-FIND("@",A200)-1))</f>
        <v/>
      </c>
      <c r="H200">
        <f>VALUE(MID(A200,FIND("-",A200)+1,FIND("%",A200)-FIND("-",A200)-1))</f>
        <v/>
      </c>
      <c r="I200">
        <f>RIGHT(A200,3)</f>
        <v/>
      </c>
    </row>
    <row r="201">
      <c r="A201" t="inlineStr">
        <is>
          <t>12.09.2025|SO10105|C0020|P103x60@115-0%|DEL</t>
        </is>
      </c>
      <c r="B201" s="1">
        <f>DATE(MID(A201,7,4),MID(A201,4,2),LEFT(A201,2))</f>
        <v/>
      </c>
      <c r="C201">
        <f>VALUE(MID(A201,14,5))</f>
        <v/>
      </c>
      <c r="D201">
        <f>MID(A201,21,4)</f>
        <v/>
      </c>
      <c r="E201">
        <f>VALUE(MID(A201,27,3))</f>
        <v/>
      </c>
      <c r="F201">
        <f>VALUE(MID(A201,31,FIND("@",A201)-31))</f>
        <v/>
      </c>
      <c r="G201">
        <f>VALUE(MID(A201,FIND("@",A201)+1,FIND("-",A201)-FIND("@",A201)-1))</f>
        <v/>
      </c>
      <c r="H201">
        <f>VALUE(MID(A201,FIND("-",A201)+1,FIND("%",A201)-FIND("-",A201)-1))</f>
        <v/>
      </c>
      <c r="I201">
        <f>RIGHT(A201,3)</f>
        <v/>
      </c>
    </row>
    <row r="202">
      <c r="A202" t="inlineStr">
        <is>
          <t>12.09.2025|SO10105|C0020|P104x45@620-0%|DEL</t>
        </is>
      </c>
      <c r="B202" s="1">
        <f>DATE(MID(A202,7,4),MID(A202,4,2),LEFT(A202,2))</f>
        <v/>
      </c>
      <c r="C202">
        <f>VALUE(MID(A202,14,5))</f>
        <v/>
      </c>
      <c r="D202">
        <f>MID(A202,21,4)</f>
        <v/>
      </c>
      <c r="E202">
        <f>VALUE(MID(A202,27,3))</f>
        <v/>
      </c>
      <c r="F202">
        <f>VALUE(MID(A202,31,FIND("@",A202)-31))</f>
        <v/>
      </c>
      <c r="G202">
        <f>VALUE(MID(A202,FIND("@",A202)+1,FIND("-",A202)-FIND("@",A202)-1))</f>
        <v/>
      </c>
      <c r="H202">
        <f>VALUE(MID(A202,FIND("-",A202)+1,FIND("%",A202)-FIND("-",A202)-1))</f>
        <v/>
      </c>
      <c r="I202">
        <f>RIGHT(A202,3)</f>
        <v/>
      </c>
    </row>
    <row r="203">
      <c r="A203" t="inlineStr">
        <is>
          <t>13.09.2025|SO10106|C0011|P105x30@1400-5%|DEL</t>
        </is>
      </c>
      <c r="B203" s="1">
        <f>DATE(MID(A203,7,4),MID(A203,4,2),LEFT(A203,2))</f>
        <v/>
      </c>
      <c r="C203">
        <f>VALUE(MID(A203,14,5))</f>
        <v/>
      </c>
      <c r="D203">
        <f>MID(A203,21,4)</f>
        <v/>
      </c>
      <c r="E203">
        <f>VALUE(MID(A203,27,3))</f>
        <v/>
      </c>
      <c r="F203">
        <f>VALUE(MID(A203,31,FIND("@",A203)-31))</f>
        <v/>
      </c>
      <c r="G203">
        <f>VALUE(MID(A203,FIND("@",A203)+1,FIND("-",A203)-FIND("@",A203)-1))</f>
        <v/>
      </c>
      <c r="H203">
        <f>VALUE(MID(A203,FIND("-",A203)+1,FIND("%",A203)-FIND("-",A203)-1))</f>
        <v/>
      </c>
      <c r="I203">
        <f>RIGHT(A203,3)</f>
        <v/>
      </c>
    </row>
    <row r="204">
      <c r="A204" t="inlineStr">
        <is>
          <t>13.09.2025|SO10106|C0011|P108x30@290-5%|DEL</t>
        </is>
      </c>
      <c r="B204" s="1">
        <f>DATE(MID(A204,7,4),MID(A204,4,2),LEFT(A204,2))</f>
        <v/>
      </c>
      <c r="C204">
        <f>VALUE(MID(A204,14,5))</f>
        <v/>
      </c>
      <c r="D204">
        <f>MID(A204,21,4)</f>
        <v/>
      </c>
      <c r="E204">
        <f>VALUE(MID(A204,27,3))</f>
        <v/>
      </c>
      <c r="F204">
        <f>VALUE(MID(A204,31,FIND("@",A204)-31))</f>
        <v/>
      </c>
      <c r="G204">
        <f>VALUE(MID(A204,FIND("@",A204)+1,FIND("-",A204)-FIND("@",A204)-1))</f>
        <v/>
      </c>
      <c r="H204">
        <f>VALUE(MID(A204,FIND("-",A204)+1,FIND("%",A204)-FIND("-",A204)-1))</f>
        <v/>
      </c>
      <c r="I204">
        <f>RIGHT(A204,3)</f>
        <v/>
      </c>
    </row>
    <row r="205">
      <c r="A205" t="inlineStr">
        <is>
          <t>13.09.2025|SO10107|C0014|P101x10@430-10%|DEL</t>
        </is>
      </c>
      <c r="B205" s="1">
        <f>DATE(MID(A205,7,4),MID(A205,4,2),LEFT(A205,2))</f>
        <v/>
      </c>
      <c r="C205">
        <f>VALUE(MID(A205,14,5))</f>
        <v/>
      </c>
      <c r="D205">
        <f>MID(A205,21,4)</f>
        <v/>
      </c>
      <c r="E205">
        <f>VALUE(MID(A205,27,3))</f>
        <v/>
      </c>
      <c r="F205">
        <f>VALUE(MID(A205,31,FIND("@",A205)-31))</f>
        <v/>
      </c>
      <c r="G205">
        <f>VALUE(MID(A205,FIND("@",A205)+1,FIND("-",A205)-FIND("@",A205)-1))</f>
        <v/>
      </c>
      <c r="H205">
        <f>VALUE(MID(A205,FIND("-",A205)+1,FIND("%",A205)-FIND("-",A205)-1))</f>
        <v/>
      </c>
      <c r="I205">
        <f>RIGHT(A205,3)</f>
        <v/>
      </c>
    </row>
    <row r="206">
      <c r="A206" t="inlineStr">
        <is>
          <t>13.09.2025|SO10107|C0014|P105x45@1400-10%|DEL</t>
        </is>
      </c>
      <c r="B206" s="1">
        <f>DATE(MID(A206,7,4),MID(A206,4,2),LEFT(A206,2))</f>
        <v/>
      </c>
      <c r="C206">
        <f>VALUE(MID(A206,14,5))</f>
        <v/>
      </c>
      <c r="D206">
        <f>MID(A206,21,4)</f>
        <v/>
      </c>
      <c r="E206">
        <f>VALUE(MID(A206,27,3))</f>
        <v/>
      </c>
      <c r="F206">
        <f>VALUE(MID(A206,31,FIND("@",A206)-31))</f>
        <v/>
      </c>
      <c r="G206">
        <f>VALUE(MID(A206,FIND("@",A206)+1,FIND("-",A206)-FIND("@",A206)-1))</f>
        <v/>
      </c>
      <c r="H206">
        <f>VALUE(MID(A206,FIND("-",A206)+1,FIND("%",A206)-FIND("-",A206)-1))</f>
        <v/>
      </c>
      <c r="I206">
        <f>RIGHT(A206,3)</f>
        <v/>
      </c>
    </row>
    <row r="207">
      <c r="A207" t="inlineStr">
        <is>
          <t>15.09.2025|SO10108|C0022|P101x30@430-0%|DEL</t>
        </is>
      </c>
      <c r="B207" s="1">
        <f>DATE(MID(A207,7,4),MID(A207,4,2),LEFT(A207,2))</f>
        <v/>
      </c>
      <c r="C207">
        <f>VALUE(MID(A207,14,5))</f>
        <v/>
      </c>
      <c r="D207">
        <f>MID(A207,21,4)</f>
        <v/>
      </c>
      <c r="E207">
        <f>VALUE(MID(A207,27,3))</f>
        <v/>
      </c>
      <c r="F207">
        <f>VALUE(MID(A207,31,FIND("@",A207)-31))</f>
        <v/>
      </c>
      <c r="G207">
        <f>VALUE(MID(A207,FIND("@",A207)+1,FIND("-",A207)-FIND("@",A207)-1))</f>
        <v/>
      </c>
      <c r="H207">
        <f>VALUE(MID(A207,FIND("-",A207)+1,FIND("%",A207)-FIND("-",A207)-1))</f>
        <v/>
      </c>
      <c r="I207">
        <f>RIGHT(A207,3)</f>
        <v/>
      </c>
    </row>
    <row r="208">
      <c r="A208" t="inlineStr">
        <is>
          <t>15.09.2025|SO10108|C0022|P107x35@380-0%|DEL</t>
        </is>
      </c>
      <c r="B208" s="1">
        <f>DATE(MID(A208,7,4),MID(A208,4,2),LEFT(A208,2))</f>
        <v/>
      </c>
      <c r="C208">
        <f>VALUE(MID(A208,14,5))</f>
        <v/>
      </c>
      <c r="D208">
        <f>MID(A208,21,4)</f>
        <v/>
      </c>
      <c r="E208">
        <f>VALUE(MID(A208,27,3))</f>
        <v/>
      </c>
      <c r="F208">
        <f>VALUE(MID(A208,31,FIND("@",A208)-31))</f>
        <v/>
      </c>
      <c r="G208">
        <f>VALUE(MID(A208,FIND("@",A208)+1,FIND("-",A208)-FIND("@",A208)-1))</f>
        <v/>
      </c>
      <c r="H208">
        <f>VALUE(MID(A208,FIND("-",A208)+1,FIND("%",A208)-FIND("-",A208)-1))</f>
        <v/>
      </c>
      <c r="I208">
        <f>RIGHT(A208,3)</f>
        <v/>
      </c>
    </row>
    <row r="209">
      <c r="A209" t="inlineStr">
        <is>
          <t>18.09.2025|SO10109|C0009|P107x15@380-0%|DEL</t>
        </is>
      </c>
      <c r="B209" s="1">
        <f>DATE(MID(A209,7,4),MID(A209,4,2),LEFT(A209,2))</f>
        <v/>
      </c>
      <c r="C209">
        <f>VALUE(MID(A209,14,5))</f>
        <v/>
      </c>
      <c r="D209">
        <f>MID(A209,21,4)</f>
        <v/>
      </c>
      <c r="E209">
        <f>VALUE(MID(A209,27,3))</f>
        <v/>
      </c>
      <c r="F209">
        <f>VALUE(MID(A209,31,FIND("@",A209)-31))</f>
        <v/>
      </c>
      <c r="G209">
        <f>VALUE(MID(A209,FIND("@",A209)+1,FIND("-",A209)-FIND("@",A209)-1))</f>
        <v/>
      </c>
      <c r="H209">
        <f>VALUE(MID(A209,FIND("-",A209)+1,FIND("%",A209)-FIND("-",A209)-1))</f>
        <v/>
      </c>
      <c r="I209">
        <f>RIGHT(A209,3)</f>
        <v/>
      </c>
    </row>
    <row r="210">
      <c r="A210" t="inlineStr">
        <is>
          <t>18.09.2025|SO10109|C0009|P108x35@290-0%|DEL</t>
        </is>
      </c>
      <c r="B210" s="1">
        <f>DATE(MID(A210,7,4),MID(A210,4,2),LEFT(A210,2))</f>
        <v/>
      </c>
      <c r="C210">
        <f>VALUE(MID(A210,14,5))</f>
        <v/>
      </c>
      <c r="D210">
        <f>MID(A210,21,4)</f>
        <v/>
      </c>
      <c r="E210">
        <f>VALUE(MID(A210,27,3))</f>
        <v/>
      </c>
      <c r="F210">
        <f>VALUE(MID(A210,31,FIND("@",A210)-31))</f>
        <v/>
      </c>
      <c r="G210">
        <f>VALUE(MID(A210,FIND("@",A210)+1,FIND("-",A210)-FIND("@",A210)-1))</f>
        <v/>
      </c>
      <c r="H210">
        <f>VALUE(MID(A210,FIND("-",A210)+1,FIND("%",A210)-FIND("-",A210)-1))</f>
        <v/>
      </c>
      <c r="I210">
        <f>RIGHT(A210,3)</f>
        <v/>
      </c>
    </row>
    <row r="211">
      <c r="A211" t="inlineStr">
        <is>
          <t>21.09.2025|SO10110|C0001|P104x35@620-0%|DEL</t>
        </is>
      </c>
      <c r="B211" s="1">
        <f>DATE(MID(A211,7,4),MID(A211,4,2),LEFT(A211,2))</f>
        <v/>
      </c>
      <c r="C211">
        <f>VALUE(MID(A211,14,5))</f>
        <v/>
      </c>
      <c r="D211">
        <f>MID(A211,21,4)</f>
        <v/>
      </c>
      <c r="E211">
        <f>VALUE(MID(A211,27,3))</f>
        <v/>
      </c>
      <c r="F211">
        <f>VALUE(MID(A211,31,FIND("@",A211)-31))</f>
        <v/>
      </c>
      <c r="G211">
        <f>VALUE(MID(A211,FIND("@",A211)+1,FIND("-",A211)-FIND("@",A211)-1))</f>
        <v/>
      </c>
      <c r="H211">
        <f>VALUE(MID(A211,FIND("-",A211)+1,FIND("%",A211)-FIND("-",A211)-1))</f>
        <v/>
      </c>
      <c r="I211">
        <f>RIGHT(A211,3)</f>
        <v/>
      </c>
    </row>
    <row r="212">
      <c r="A212" t="inlineStr">
        <is>
          <t>21.09.2025|SO10110|C0001|P107x25@380-5%|DEL</t>
        </is>
      </c>
      <c r="B212" s="1">
        <f>DATE(MID(A212,7,4),MID(A212,4,2),LEFT(A212,2))</f>
        <v/>
      </c>
      <c r="C212">
        <f>VALUE(MID(A212,14,5))</f>
        <v/>
      </c>
      <c r="D212">
        <f>MID(A212,21,4)</f>
        <v/>
      </c>
      <c r="E212">
        <f>VALUE(MID(A212,27,3))</f>
        <v/>
      </c>
      <c r="F212">
        <f>VALUE(MID(A212,31,FIND("@",A212)-31))</f>
        <v/>
      </c>
      <c r="G212">
        <f>VALUE(MID(A212,FIND("@",A212)+1,FIND("-",A212)-FIND("@",A212)-1))</f>
        <v/>
      </c>
      <c r="H212">
        <f>VALUE(MID(A212,FIND("-",A212)+1,FIND("%",A212)-FIND("-",A212)-1))</f>
        <v/>
      </c>
      <c r="I212">
        <f>RIGHT(A212,3)</f>
        <v/>
      </c>
    </row>
    <row r="213">
      <c r="A213" t="inlineStr">
        <is>
          <t>22.09.2025|SO10111|C0003|P101x30@430-0%|DEL</t>
        </is>
      </c>
      <c r="B213" s="1">
        <f>DATE(MID(A213,7,4),MID(A213,4,2),LEFT(A213,2))</f>
        <v/>
      </c>
      <c r="C213">
        <f>VALUE(MID(A213,14,5))</f>
        <v/>
      </c>
      <c r="D213">
        <f>MID(A213,21,4)</f>
        <v/>
      </c>
      <c r="E213">
        <f>VALUE(MID(A213,27,3))</f>
        <v/>
      </c>
      <c r="F213">
        <f>VALUE(MID(A213,31,FIND("@",A213)-31))</f>
        <v/>
      </c>
      <c r="G213">
        <f>VALUE(MID(A213,FIND("@",A213)+1,FIND("-",A213)-FIND("@",A213)-1))</f>
        <v/>
      </c>
      <c r="H213">
        <f>VALUE(MID(A213,FIND("-",A213)+1,FIND("%",A213)-FIND("-",A213)-1))</f>
        <v/>
      </c>
      <c r="I213">
        <f>RIGHT(A213,3)</f>
        <v/>
      </c>
    </row>
    <row r="214">
      <c r="A214" t="inlineStr">
        <is>
          <t>22.09.2025|SO10112|C0003|P101x10@430-5%|DEL</t>
        </is>
      </c>
      <c r="B214" s="1">
        <f>DATE(MID(A214,7,4),MID(A214,4,2),LEFT(A214,2))</f>
        <v/>
      </c>
      <c r="C214">
        <f>VALUE(MID(A214,14,5))</f>
        <v/>
      </c>
      <c r="D214">
        <f>MID(A214,21,4)</f>
        <v/>
      </c>
      <c r="E214">
        <f>VALUE(MID(A214,27,3))</f>
        <v/>
      </c>
      <c r="F214">
        <f>VALUE(MID(A214,31,FIND("@",A214)-31))</f>
        <v/>
      </c>
      <c r="G214">
        <f>VALUE(MID(A214,FIND("@",A214)+1,FIND("-",A214)-FIND("@",A214)-1))</f>
        <v/>
      </c>
      <c r="H214">
        <f>VALUE(MID(A214,FIND("-",A214)+1,FIND("%",A214)-FIND("-",A214)-1))</f>
        <v/>
      </c>
      <c r="I214">
        <f>RIGHT(A214,3)</f>
        <v/>
      </c>
    </row>
    <row r="215">
      <c r="A215" t="inlineStr">
        <is>
          <t>22.09.2025|SO10112|C0003|P104x15@620-5%|DEL</t>
        </is>
      </c>
      <c r="B215" s="1">
        <f>DATE(MID(A215,7,4),MID(A215,4,2),LEFT(A215,2))</f>
        <v/>
      </c>
      <c r="C215">
        <f>VALUE(MID(A215,14,5))</f>
        <v/>
      </c>
      <c r="D215">
        <f>MID(A215,21,4)</f>
        <v/>
      </c>
      <c r="E215">
        <f>VALUE(MID(A215,27,3))</f>
        <v/>
      </c>
      <c r="F215">
        <f>VALUE(MID(A215,31,FIND("@",A215)-31))</f>
        <v/>
      </c>
      <c r="G215">
        <f>VALUE(MID(A215,FIND("@",A215)+1,FIND("-",A215)-FIND("@",A215)-1))</f>
        <v/>
      </c>
      <c r="H215">
        <f>VALUE(MID(A215,FIND("-",A215)+1,FIND("%",A215)-FIND("-",A215)-1))</f>
        <v/>
      </c>
      <c r="I215">
        <f>RIGHT(A215,3)</f>
        <v/>
      </c>
    </row>
    <row r="216">
      <c r="A216" t="inlineStr">
        <is>
          <t>22.09.2025|SO10112|C0003|P107x60@380-5%|DEL</t>
        </is>
      </c>
      <c r="B216" s="1">
        <f>DATE(MID(A216,7,4),MID(A216,4,2),LEFT(A216,2))</f>
        <v/>
      </c>
      <c r="C216">
        <f>VALUE(MID(A216,14,5))</f>
        <v/>
      </c>
      <c r="D216">
        <f>MID(A216,21,4)</f>
        <v/>
      </c>
      <c r="E216">
        <f>VALUE(MID(A216,27,3))</f>
        <v/>
      </c>
      <c r="F216">
        <f>VALUE(MID(A216,31,FIND("@",A216)-31))</f>
        <v/>
      </c>
      <c r="G216">
        <f>VALUE(MID(A216,FIND("@",A216)+1,FIND("-",A216)-FIND("@",A216)-1))</f>
        <v/>
      </c>
      <c r="H216">
        <f>VALUE(MID(A216,FIND("-",A216)+1,FIND("%",A216)-FIND("-",A216)-1))</f>
        <v/>
      </c>
      <c r="I216">
        <f>RIGHT(A216,3)</f>
        <v/>
      </c>
    </row>
    <row r="217">
      <c r="A217" t="inlineStr">
        <is>
          <t>23.09.2025|SO10113|C0005|P101x25@430-5%|DEL</t>
        </is>
      </c>
      <c r="B217" s="1">
        <f>DATE(MID(A217,7,4),MID(A217,4,2),LEFT(A217,2))</f>
        <v/>
      </c>
      <c r="C217">
        <f>VALUE(MID(A217,14,5))</f>
        <v/>
      </c>
      <c r="D217">
        <f>MID(A217,21,4)</f>
        <v/>
      </c>
      <c r="E217">
        <f>VALUE(MID(A217,27,3))</f>
        <v/>
      </c>
      <c r="F217">
        <f>VALUE(MID(A217,31,FIND("@",A217)-31))</f>
        <v/>
      </c>
      <c r="G217">
        <f>VALUE(MID(A217,FIND("@",A217)+1,FIND("-",A217)-FIND("@",A217)-1))</f>
        <v/>
      </c>
      <c r="H217">
        <f>VALUE(MID(A217,FIND("-",A217)+1,FIND("%",A217)-FIND("-",A217)-1))</f>
        <v/>
      </c>
      <c r="I217">
        <f>RIGHT(A217,3)</f>
        <v/>
      </c>
    </row>
    <row r="218">
      <c r="A218" t="inlineStr">
        <is>
          <t>23.09.2025|SO10113|C0005|P102x10@750-0%|DEL</t>
        </is>
      </c>
      <c r="B218" s="1">
        <f>DATE(MID(A218,7,4),MID(A218,4,2),LEFT(A218,2))</f>
        <v/>
      </c>
      <c r="C218">
        <f>VALUE(MID(A218,14,5))</f>
        <v/>
      </c>
      <c r="D218">
        <f>MID(A218,21,4)</f>
        <v/>
      </c>
      <c r="E218">
        <f>VALUE(MID(A218,27,3))</f>
        <v/>
      </c>
      <c r="F218">
        <f>VALUE(MID(A218,31,FIND("@",A218)-31))</f>
        <v/>
      </c>
      <c r="G218">
        <f>VALUE(MID(A218,FIND("@",A218)+1,FIND("-",A218)-FIND("@",A218)-1))</f>
        <v/>
      </c>
      <c r="H218">
        <f>VALUE(MID(A218,FIND("-",A218)+1,FIND("%",A218)-FIND("-",A218)-1))</f>
        <v/>
      </c>
      <c r="I218">
        <f>RIGHT(A218,3)</f>
        <v/>
      </c>
    </row>
    <row r="219">
      <c r="A219" t="inlineStr">
        <is>
          <t>23.09.2025|SO10113|C0005|P107x20@380-5%|DEL</t>
        </is>
      </c>
      <c r="B219" s="1">
        <f>DATE(MID(A219,7,4),MID(A219,4,2),LEFT(A219,2))</f>
        <v/>
      </c>
      <c r="C219">
        <f>VALUE(MID(A219,14,5))</f>
        <v/>
      </c>
      <c r="D219">
        <f>MID(A219,21,4)</f>
        <v/>
      </c>
      <c r="E219">
        <f>VALUE(MID(A219,27,3))</f>
        <v/>
      </c>
      <c r="F219">
        <f>VALUE(MID(A219,31,FIND("@",A219)-31))</f>
        <v/>
      </c>
      <c r="G219">
        <f>VALUE(MID(A219,FIND("@",A219)+1,FIND("-",A219)-FIND("@",A219)-1))</f>
        <v/>
      </c>
      <c r="H219">
        <f>VALUE(MID(A219,FIND("-",A219)+1,FIND("%",A219)-FIND("-",A219)-1))</f>
        <v/>
      </c>
      <c r="I219">
        <f>RIGHT(A219,3)</f>
        <v/>
      </c>
    </row>
    <row r="220">
      <c r="A220" t="inlineStr">
        <is>
          <t>24.09.2025|SO10114|C0007|P101x25@430-12%|DEL</t>
        </is>
      </c>
      <c r="B220" s="1">
        <f>DATE(MID(A220,7,4),MID(A220,4,2),LEFT(A220,2))</f>
        <v/>
      </c>
      <c r="C220">
        <f>VALUE(MID(A220,14,5))</f>
        <v/>
      </c>
      <c r="D220">
        <f>MID(A220,21,4)</f>
        <v/>
      </c>
      <c r="E220">
        <f>VALUE(MID(A220,27,3))</f>
        <v/>
      </c>
      <c r="F220">
        <f>VALUE(MID(A220,31,FIND("@",A220)-31))</f>
        <v/>
      </c>
      <c r="G220">
        <f>VALUE(MID(A220,FIND("@",A220)+1,FIND("-",A220)-FIND("@",A220)-1))</f>
        <v/>
      </c>
      <c r="H220">
        <f>VALUE(MID(A220,FIND("-",A220)+1,FIND("%",A220)-FIND("-",A220)-1))</f>
        <v/>
      </c>
      <c r="I220">
        <f>RIGHT(A220,3)</f>
        <v/>
      </c>
    </row>
    <row r="221">
      <c r="A221" t="inlineStr">
        <is>
          <t>24.09.2025|SO10114|C0007|P102x30@750-5%|DEL</t>
        </is>
      </c>
      <c r="B221" s="1">
        <f>DATE(MID(A221,7,4),MID(A221,4,2),LEFT(A221,2))</f>
        <v/>
      </c>
      <c r="C221">
        <f>VALUE(MID(A221,14,5))</f>
        <v/>
      </c>
      <c r="D221">
        <f>MID(A221,21,4)</f>
        <v/>
      </c>
      <c r="E221">
        <f>VALUE(MID(A221,27,3))</f>
        <v/>
      </c>
      <c r="F221">
        <f>VALUE(MID(A221,31,FIND("@",A221)-31))</f>
        <v/>
      </c>
      <c r="G221">
        <f>VALUE(MID(A221,FIND("@",A221)+1,FIND("-",A221)-FIND("@",A221)-1))</f>
        <v/>
      </c>
      <c r="H221">
        <f>VALUE(MID(A221,FIND("-",A221)+1,FIND("%",A221)-FIND("-",A221)-1))</f>
        <v/>
      </c>
      <c r="I221">
        <f>RIGHT(A221,3)</f>
        <v/>
      </c>
    </row>
    <row r="222">
      <c r="A222" t="inlineStr">
        <is>
          <t>24.09.2025|SO10114|C0007|P108x35@290-12%|DEL</t>
        </is>
      </c>
      <c r="B222" s="1">
        <f>DATE(MID(A222,7,4),MID(A222,4,2),LEFT(A222,2))</f>
        <v/>
      </c>
      <c r="C222">
        <f>VALUE(MID(A222,14,5))</f>
        <v/>
      </c>
      <c r="D222">
        <f>MID(A222,21,4)</f>
        <v/>
      </c>
      <c r="E222">
        <f>VALUE(MID(A222,27,3))</f>
        <v/>
      </c>
      <c r="F222">
        <f>VALUE(MID(A222,31,FIND("@",A222)-31))</f>
        <v/>
      </c>
      <c r="G222">
        <f>VALUE(MID(A222,FIND("@",A222)+1,FIND("-",A222)-FIND("@",A222)-1))</f>
        <v/>
      </c>
      <c r="H222">
        <f>VALUE(MID(A222,FIND("-",A222)+1,FIND("%",A222)-FIND("-",A222)-1))</f>
        <v/>
      </c>
      <c r="I222">
        <f>RIGHT(A222,3)</f>
        <v/>
      </c>
    </row>
    <row r="223">
      <c r="A223" t="inlineStr">
        <is>
          <t>28.09.2025|SO10115|C0015|P107x20@380-0%|DEL</t>
        </is>
      </c>
      <c r="B223" s="1">
        <f>DATE(MID(A223,7,4),MID(A223,4,2),LEFT(A223,2))</f>
        <v/>
      </c>
      <c r="C223">
        <f>VALUE(MID(A223,14,5))</f>
        <v/>
      </c>
      <c r="D223">
        <f>MID(A223,21,4)</f>
        <v/>
      </c>
      <c r="E223">
        <f>VALUE(MID(A223,27,3))</f>
        <v/>
      </c>
      <c r="F223">
        <f>VALUE(MID(A223,31,FIND("@",A223)-31))</f>
        <v/>
      </c>
      <c r="G223">
        <f>VALUE(MID(A223,FIND("@",A223)+1,FIND("-",A223)-FIND("@",A223)-1))</f>
        <v/>
      </c>
      <c r="H223">
        <f>VALUE(MID(A223,FIND("-",A223)+1,FIND("%",A223)-FIND("-",A223)-1))</f>
        <v/>
      </c>
      <c r="I223">
        <f>RIGHT(A223,3)</f>
        <v/>
      </c>
    </row>
    <row r="224">
      <c r="A224" t="inlineStr">
        <is>
          <t>02.10.2025|SO10116|C0005|P101x20@430-0%|DEL</t>
        </is>
      </c>
      <c r="B224" s="1">
        <f>DATE(MID(A224,7,4),MID(A224,4,2),LEFT(A224,2))</f>
        <v/>
      </c>
      <c r="C224">
        <f>VALUE(MID(A224,14,5))</f>
        <v/>
      </c>
      <c r="D224">
        <f>MID(A224,21,4)</f>
        <v/>
      </c>
      <c r="E224">
        <f>VALUE(MID(A224,27,3))</f>
        <v/>
      </c>
      <c r="F224">
        <f>VALUE(MID(A224,31,FIND("@",A224)-31))</f>
        <v/>
      </c>
      <c r="G224">
        <f>VALUE(MID(A224,FIND("@",A224)+1,FIND("-",A224)-FIND("@",A224)-1))</f>
        <v/>
      </c>
      <c r="H224">
        <f>VALUE(MID(A224,FIND("-",A224)+1,FIND("%",A224)-FIND("-",A224)-1))</f>
        <v/>
      </c>
      <c r="I224">
        <f>RIGHT(A224,3)</f>
        <v/>
      </c>
    </row>
    <row r="225">
      <c r="A225" t="inlineStr">
        <is>
          <t>02.10.2025|SO10116|C0005|P102x60@750-0%|DEL</t>
        </is>
      </c>
      <c r="B225" s="1">
        <f>DATE(MID(A225,7,4),MID(A225,4,2),LEFT(A225,2))</f>
        <v/>
      </c>
      <c r="C225">
        <f>VALUE(MID(A225,14,5))</f>
        <v/>
      </c>
      <c r="D225">
        <f>MID(A225,21,4)</f>
        <v/>
      </c>
      <c r="E225">
        <f>VALUE(MID(A225,27,3))</f>
        <v/>
      </c>
      <c r="F225">
        <f>VALUE(MID(A225,31,FIND("@",A225)-31))</f>
        <v/>
      </c>
      <c r="G225">
        <f>VALUE(MID(A225,FIND("@",A225)+1,FIND("-",A225)-FIND("@",A225)-1))</f>
        <v/>
      </c>
      <c r="H225">
        <f>VALUE(MID(A225,FIND("-",A225)+1,FIND("%",A225)-FIND("-",A225)-1))</f>
        <v/>
      </c>
      <c r="I225">
        <f>RIGHT(A225,3)</f>
        <v/>
      </c>
    </row>
    <row r="226">
      <c r="A226" t="inlineStr">
        <is>
          <t>02.10.2025|SO10116|C0005|P103x30@115-0%|DEL</t>
        </is>
      </c>
      <c r="B226" s="1">
        <f>DATE(MID(A226,7,4),MID(A226,4,2),LEFT(A226,2))</f>
        <v/>
      </c>
      <c r="C226">
        <f>VALUE(MID(A226,14,5))</f>
        <v/>
      </c>
      <c r="D226">
        <f>MID(A226,21,4)</f>
        <v/>
      </c>
      <c r="E226">
        <f>VALUE(MID(A226,27,3))</f>
        <v/>
      </c>
      <c r="F226">
        <f>VALUE(MID(A226,31,FIND("@",A226)-31))</f>
        <v/>
      </c>
      <c r="G226">
        <f>VALUE(MID(A226,FIND("@",A226)+1,FIND("-",A226)-FIND("@",A226)-1))</f>
        <v/>
      </c>
      <c r="H226">
        <f>VALUE(MID(A226,FIND("-",A226)+1,FIND("%",A226)-FIND("-",A226)-1))</f>
        <v/>
      </c>
      <c r="I226">
        <f>RIGHT(A226,3)</f>
        <v/>
      </c>
    </row>
    <row r="227">
      <c r="A227" t="inlineStr">
        <is>
          <t>02.10.2025|SO10117|C0021|P102x15@750-0%|DEL</t>
        </is>
      </c>
      <c r="B227" s="1">
        <f>DATE(MID(A227,7,4),MID(A227,4,2),LEFT(A227,2))</f>
        <v/>
      </c>
      <c r="C227">
        <f>VALUE(MID(A227,14,5))</f>
        <v/>
      </c>
      <c r="D227">
        <f>MID(A227,21,4)</f>
        <v/>
      </c>
      <c r="E227">
        <f>VALUE(MID(A227,27,3))</f>
        <v/>
      </c>
      <c r="F227">
        <f>VALUE(MID(A227,31,FIND("@",A227)-31))</f>
        <v/>
      </c>
      <c r="G227">
        <f>VALUE(MID(A227,FIND("@",A227)+1,FIND("-",A227)-FIND("@",A227)-1))</f>
        <v/>
      </c>
      <c r="H227">
        <f>VALUE(MID(A227,FIND("-",A227)+1,FIND("%",A227)-FIND("-",A227)-1))</f>
        <v/>
      </c>
      <c r="I227">
        <f>RIGHT(A227,3)</f>
        <v/>
      </c>
    </row>
    <row r="228">
      <c r="A228" t="inlineStr">
        <is>
          <t>02.10.2025|SO10117|C0021|P107x65@380-0%|DEL</t>
        </is>
      </c>
      <c r="B228" s="1">
        <f>DATE(MID(A228,7,4),MID(A228,4,2),LEFT(A228,2))</f>
        <v/>
      </c>
      <c r="C228">
        <f>VALUE(MID(A228,14,5))</f>
        <v/>
      </c>
      <c r="D228">
        <f>MID(A228,21,4)</f>
        <v/>
      </c>
      <c r="E228">
        <f>VALUE(MID(A228,27,3))</f>
        <v/>
      </c>
      <c r="F228">
        <f>VALUE(MID(A228,31,FIND("@",A228)-31))</f>
        <v/>
      </c>
      <c r="G228">
        <f>VALUE(MID(A228,FIND("@",A228)+1,FIND("-",A228)-FIND("@",A228)-1))</f>
        <v/>
      </c>
      <c r="H228">
        <f>VALUE(MID(A228,FIND("-",A228)+1,FIND("%",A228)-FIND("-",A228)-1))</f>
        <v/>
      </c>
      <c r="I228">
        <f>RIGHT(A228,3)</f>
        <v/>
      </c>
    </row>
    <row r="229">
      <c r="A229" t="inlineStr">
        <is>
          <t>03.10.2025|SO10118|C0003|P103x80@115-0%|DEL</t>
        </is>
      </c>
      <c r="B229" s="1">
        <f>DATE(MID(A229,7,4),MID(A229,4,2),LEFT(A229,2))</f>
        <v/>
      </c>
      <c r="C229">
        <f>VALUE(MID(A229,14,5))</f>
        <v/>
      </c>
      <c r="D229">
        <f>MID(A229,21,4)</f>
        <v/>
      </c>
      <c r="E229">
        <f>VALUE(MID(A229,27,3))</f>
        <v/>
      </c>
      <c r="F229">
        <f>VALUE(MID(A229,31,FIND("@",A229)-31))</f>
        <v/>
      </c>
      <c r="G229">
        <f>VALUE(MID(A229,FIND("@",A229)+1,FIND("-",A229)-FIND("@",A229)-1))</f>
        <v/>
      </c>
      <c r="H229">
        <f>VALUE(MID(A229,FIND("-",A229)+1,FIND("%",A229)-FIND("-",A229)-1))</f>
        <v/>
      </c>
      <c r="I229">
        <f>RIGHT(A229,3)</f>
        <v/>
      </c>
    </row>
    <row r="230">
      <c r="A230" t="inlineStr">
        <is>
          <t>03.10.2025|SO10118|C0003|P107x85@380-0%|DEL</t>
        </is>
      </c>
      <c r="B230" s="1">
        <f>DATE(MID(A230,7,4),MID(A230,4,2),LEFT(A230,2))</f>
        <v/>
      </c>
      <c r="C230">
        <f>VALUE(MID(A230,14,5))</f>
        <v/>
      </c>
      <c r="D230">
        <f>MID(A230,21,4)</f>
        <v/>
      </c>
      <c r="E230">
        <f>VALUE(MID(A230,27,3))</f>
        <v/>
      </c>
      <c r="F230">
        <f>VALUE(MID(A230,31,FIND("@",A230)-31))</f>
        <v/>
      </c>
      <c r="G230">
        <f>VALUE(MID(A230,FIND("@",A230)+1,FIND("-",A230)-FIND("@",A230)-1))</f>
        <v/>
      </c>
      <c r="H230">
        <f>VALUE(MID(A230,FIND("-",A230)+1,FIND("%",A230)-FIND("-",A230)-1))</f>
        <v/>
      </c>
      <c r="I230">
        <f>RIGHT(A230,3)</f>
        <v/>
      </c>
    </row>
    <row r="231">
      <c r="A231" t="inlineStr">
        <is>
          <t>03.10.2025|SO10119|C0012|P101x80@430-5%|DEL</t>
        </is>
      </c>
      <c r="B231" s="1">
        <f>DATE(MID(A231,7,4),MID(A231,4,2),LEFT(A231,2))</f>
        <v/>
      </c>
      <c r="C231">
        <f>VALUE(MID(A231,14,5))</f>
        <v/>
      </c>
      <c r="D231">
        <f>MID(A231,21,4)</f>
        <v/>
      </c>
      <c r="E231">
        <f>VALUE(MID(A231,27,3))</f>
        <v/>
      </c>
      <c r="F231">
        <f>VALUE(MID(A231,31,FIND("@",A231)-31))</f>
        <v/>
      </c>
      <c r="G231">
        <f>VALUE(MID(A231,FIND("@",A231)+1,FIND("-",A231)-FIND("@",A231)-1))</f>
        <v/>
      </c>
      <c r="H231">
        <f>VALUE(MID(A231,FIND("-",A231)+1,FIND("%",A231)-FIND("-",A231)-1))</f>
        <v/>
      </c>
      <c r="I231">
        <f>RIGHT(A231,3)</f>
        <v/>
      </c>
    </row>
    <row r="232">
      <c r="A232" t="inlineStr">
        <is>
          <t>03.10.2025|SO10119|C0012|P107x65@380-0%|DEL</t>
        </is>
      </c>
      <c r="B232" s="1">
        <f>DATE(MID(A232,7,4),MID(A232,4,2),LEFT(A232,2))</f>
        <v/>
      </c>
      <c r="C232">
        <f>VALUE(MID(A232,14,5))</f>
        <v/>
      </c>
      <c r="D232">
        <f>MID(A232,21,4)</f>
        <v/>
      </c>
      <c r="E232">
        <f>VALUE(MID(A232,27,3))</f>
        <v/>
      </c>
      <c r="F232">
        <f>VALUE(MID(A232,31,FIND("@",A232)-31))</f>
        <v/>
      </c>
      <c r="G232">
        <f>VALUE(MID(A232,FIND("@",A232)+1,FIND("-",A232)-FIND("@",A232)-1))</f>
        <v/>
      </c>
      <c r="H232">
        <f>VALUE(MID(A232,FIND("-",A232)+1,FIND("%",A232)-FIND("-",A232)-1))</f>
        <v/>
      </c>
      <c r="I232">
        <f>RIGHT(A232,3)</f>
        <v/>
      </c>
    </row>
    <row r="233">
      <c r="A233" t="inlineStr">
        <is>
          <t>05.10.2025|SO10120|C0003|P103x40@115-0%|DEL</t>
        </is>
      </c>
      <c r="B233" s="1">
        <f>DATE(MID(A233,7,4),MID(A233,4,2),LEFT(A233,2))</f>
        <v/>
      </c>
      <c r="C233">
        <f>VALUE(MID(A233,14,5))</f>
        <v/>
      </c>
      <c r="D233">
        <f>MID(A233,21,4)</f>
        <v/>
      </c>
      <c r="E233">
        <f>VALUE(MID(A233,27,3))</f>
        <v/>
      </c>
      <c r="F233">
        <f>VALUE(MID(A233,31,FIND("@",A233)-31))</f>
        <v/>
      </c>
      <c r="G233">
        <f>VALUE(MID(A233,FIND("@",A233)+1,FIND("-",A233)-FIND("@",A233)-1))</f>
        <v/>
      </c>
      <c r="H233">
        <f>VALUE(MID(A233,FIND("-",A233)+1,FIND("%",A233)-FIND("-",A233)-1))</f>
        <v/>
      </c>
      <c r="I233">
        <f>RIGHT(A233,3)</f>
        <v/>
      </c>
    </row>
    <row r="234">
      <c r="A234" t="inlineStr">
        <is>
          <t>05.10.2025|SO10120|C0003|P108x20@290-0%|DEL</t>
        </is>
      </c>
      <c r="B234" s="1">
        <f>DATE(MID(A234,7,4),MID(A234,4,2),LEFT(A234,2))</f>
        <v/>
      </c>
      <c r="C234">
        <f>VALUE(MID(A234,14,5))</f>
        <v/>
      </c>
      <c r="D234">
        <f>MID(A234,21,4)</f>
        <v/>
      </c>
      <c r="E234">
        <f>VALUE(MID(A234,27,3))</f>
        <v/>
      </c>
      <c r="F234">
        <f>VALUE(MID(A234,31,FIND("@",A234)-31))</f>
        <v/>
      </c>
      <c r="G234">
        <f>VALUE(MID(A234,FIND("@",A234)+1,FIND("-",A234)-FIND("@",A234)-1))</f>
        <v/>
      </c>
      <c r="H234">
        <f>VALUE(MID(A234,FIND("-",A234)+1,FIND("%",A234)-FIND("-",A234)-1))</f>
        <v/>
      </c>
      <c r="I234">
        <f>RIGHT(A234,3)</f>
        <v/>
      </c>
    </row>
    <row r="235">
      <c r="A235" t="inlineStr">
        <is>
          <t>06.10.2025|SO10121|C0023|P107x55@380-5%|DEL</t>
        </is>
      </c>
      <c r="B235" s="1">
        <f>DATE(MID(A235,7,4),MID(A235,4,2),LEFT(A235,2))</f>
        <v/>
      </c>
      <c r="C235">
        <f>VALUE(MID(A235,14,5))</f>
        <v/>
      </c>
      <c r="D235">
        <f>MID(A235,21,4)</f>
        <v/>
      </c>
      <c r="E235">
        <f>VALUE(MID(A235,27,3))</f>
        <v/>
      </c>
      <c r="F235">
        <f>VALUE(MID(A235,31,FIND("@",A235)-31))</f>
        <v/>
      </c>
      <c r="G235">
        <f>VALUE(MID(A235,FIND("@",A235)+1,FIND("-",A235)-FIND("@",A235)-1))</f>
        <v/>
      </c>
      <c r="H235">
        <f>VALUE(MID(A235,FIND("-",A235)+1,FIND("%",A235)-FIND("-",A235)-1))</f>
        <v/>
      </c>
      <c r="I235">
        <f>RIGHT(A235,3)</f>
        <v/>
      </c>
    </row>
    <row r="236">
      <c r="A236" t="inlineStr">
        <is>
          <t>06.10.2025|SO10121|C0023|P108x45@290-5%|DEL</t>
        </is>
      </c>
      <c r="B236" s="1">
        <f>DATE(MID(A236,7,4),MID(A236,4,2),LEFT(A236,2))</f>
        <v/>
      </c>
      <c r="C236">
        <f>VALUE(MID(A236,14,5))</f>
        <v/>
      </c>
      <c r="D236">
        <f>MID(A236,21,4)</f>
        <v/>
      </c>
      <c r="E236">
        <f>VALUE(MID(A236,27,3))</f>
        <v/>
      </c>
      <c r="F236">
        <f>VALUE(MID(A236,31,FIND("@",A236)-31))</f>
        <v/>
      </c>
      <c r="G236">
        <f>VALUE(MID(A236,FIND("@",A236)+1,FIND("-",A236)-FIND("@",A236)-1))</f>
        <v/>
      </c>
      <c r="H236">
        <f>VALUE(MID(A236,FIND("-",A236)+1,FIND("%",A236)-FIND("-",A236)-1))</f>
        <v/>
      </c>
      <c r="I236">
        <f>RIGHT(A236,3)</f>
        <v/>
      </c>
    </row>
    <row r="237">
      <c r="A237" t="inlineStr">
        <is>
          <t>07.10.2025|SO10122|C0019|P102x40@750-5%|DEL</t>
        </is>
      </c>
      <c r="B237" s="1">
        <f>DATE(MID(A237,7,4),MID(A237,4,2),LEFT(A237,2))</f>
        <v/>
      </c>
      <c r="C237">
        <f>VALUE(MID(A237,14,5))</f>
        <v/>
      </c>
      <c r="D237">
        <f>MID(A237,21,4)</f>
        <v/>
      </c>
      <c r="E237">
        <f>VALUE(MID(A237,27,3))</f>
        <v/>
      </c>
      <c r="F237">
        <f>VALUE(MID(A237,31,FIND("@",A237)-31))</f>
        <v/>
      </c>
      <c r="G237">
        <f>VALUE(MID(A237,FIND("@",A237)+1,FIND("-",A237)-FIND("@",A237)-1))</f>
        <v/>
      </c>
      <c r="H237">
        <f>VALUE(MID(A237,FIND("-",A237)+1,FIND("%",A237)-FIND("-",A237)-1))</f>
        <v/>
      </c>
      <c r="I237">
        <f>RIGHT(A237,3)</f>
        <v/>
      </c>
    </row>
    <row r="238">
      <c r="A238" t="inlineStr">
        <is>
          <t>07.10.2025|SO10122|C0019|P108x65@290-10%|DEL</t>
        </is>
      </c>
      <c r="B238" s="1">
        <f>DATE(MID(A238,7,4),MID(A238,4,2),LEFT(A238,2))</f>
        <v/>
      </c>
      <c r="C238">
        <f>VALUE(MID(A238,14,5))</f>
        <v/>
      </c>
      <c r="D238">
        <f>MID(A238,21,4)</f>
        <v/>
      </c>
      <c r="E238">
        <f>VALUE(MID(A238,27,3))</f>
        <v/>
      </c>
      <c r="F238">
        <f>VALUE(MID(A238,31,FIND("@",A238)-31))</f>
        <v/>
      </c>
      <c r="G238">
        <f>VALUE(MID(A238,FIND("@",A238)+1,FIND("-",A238)-FIND("@",A238)-1))</f>
        <v/>
      </c>
      <c r="H238">
        <f>VALUE(MID(A238,FIND("-",A238)+1,FIND("%",A238)-FIND("-",A238)-1))</f>
        <v/>
      </c>
      <c r="I238">
        <f>RIGHT(A238,3)</f>
        <v/>
      </c>
    </row>
    <row r="239">
      <c r="A239" t="inlineStr">
        <is>
          <t>08.10.2025|SO10123|C0015|P103x20@115-0%|DEL</t>
        </is>
      </c>
      <c r="B239" s="1">
        <f>DATE(MID(A239,7,4),MID(A239,4,2),LEFT(A239,2))</f>
        <v/>
      </c>
      <c r="C239">
        <f>VALUE(MID(A239,14,5))</f>
        <v/>
      </c>
      <c r="D239">
        <f>MID(A239,21,4)</f>
        <v/>
      </c>
      <c r="E239">
        <f>VALUE(MID(A239,27,3))</f>
        <v/>
      </c>
      <c r="F239">
        <f>VALUE(MID(A239,31,FIND("@",A239)-31))</f>
        <v/>
      </c>
      <c r="G239">
        <f>VALUE(MID(A239,FIND("@",A239)+1,FIND("-",A239)-FIND("@",A239)-1))</f>
        <v/>
      </c>
      <c r="H239">
        <f>VALUE(MID(A239,FIND("-",A239)+1,FIND("%",A239)-FIND("-",A239)-1))</f>
        <v/>
      </c>
      <c r="I239">
        <f>RIGHT(A239,3)</f>
        <v/>
      </c>
    </row>
    <row r="240">
      <c r="A240" t="inlineStr">
        <is>
          <t>08.10.2025|SO10123|C0015|P108x30@290-5%|DEL</t>
        </is>
      </c>
      <c r="B240" s="1">
        <f>DATE(MID(A240,7,4),MID(A240,4,2),LEFT(A240,2))</f>
        <v/>
      </c>
      <c r="C240">
        <f>VALUE(MID(A240,14,5))</f>
        <v/>
      </c>
      <c r="D240">
        <f>MID(A240,21,4)</f>
        <v/>
      </c>
      <c r="E240">
        <f>VALUE(MID(A240,27,3))</f>
        <v/>
      </c>
      <c r="F240">
        <f>VALUE(MID(A240,31,FIND("@",A240)-31))</f>
        <v/>
      </c>
      <c r="G240">
        <f>VALUE(MID(A240,FIND("@",A240)+1,FIND("-",A240)-FIND("@",A240)-1))</f>
        <v/>
      </c>
      <c r="H240">
        <f>VALUE(MID(A240,FIND("-",A240)+1,FIND("%",A240)-FIND("-",A240)-1))</f>
        <v/>
      </c>
      <c r="I240">
        <f>RIGHT(A240,3)</f>
        <v/>
      </c>
    </row>
    <row r="241">
      <c r="A241" t="inlineStr">
        <is>
          <t>08.10.2025|SO10124|C0018|P102x50@750-0%|DEL</t>
        </is>
      </c>
      <c r="B241" s="1">
        <f>DATE(MID(A241,7,4),MID(A241,4,2),LEFT(A241,2))</f>
        <v/>
      </c>
      <c r="C241">
        <f>VALUE(MID(A241,14,5))</f>
        <v/>
      </c>
      <c r="D241">
        <f>MID(A241,21,4)</f>
        <v/>
      </c>
      <c r="E241">
        <f>VALUE(MID(A241,27,3))</f>
        <v/>
      </c>
      <c r="F241">
        <f>VALUE(MID(A241,31,FIND("@",A241)-31))</f>
        <v/>
      </c>
      <c r="G241">
        <f>VALUE(MID(A241,FIND("@",A241)+1,FIND("-",A241)-FIND("@",A241)-1))</f>
        <v/>
      </c>
      <c r="H241">
        <f>VALUE(MID(A241,FIND("-",A241)+1,FIND("%",A241)-FIND("-",A241)-1))</f>
        <v/>
      </c>
      <c r="I241">
        <f>RIGHT(A241,3)</f>
        <v/>
      </c>
    </row>
    <row r="242">
      <c r="A242" t="inlineStr">
        <is>
          <t>08.10.2025|SO10124|C0018|P104x30@620-0%|DEL</t>
        </is>
      </c>
      <c r="B242" s="1">
        <f>DATE(MID(A242,7,4),MID(A242,4,2),LEFT(A242,2))</f>
        <v/>
      </c>
      <c r="C242">
        <f>VALUE(MID(A242,14,5))</f>
        <v/>
      </c>
      <c r="D242">
        <f>MID(A242,21,4)</f>
        <v/>
      </c>
      <c r="E242">
        <f>VALUE(MID(A242,27,3))</f>
        <v/>
      </c>
      <c r="F242">
        <f>VALUE(MID(A242,31,FIND("@",A242)-31))</f>
        <v/>
      </c>
      <c r="G242">
        <f>VALUE(MID(A242,FIND("@",A242)+1,FIND("-",A242)-FIND("@",A242)-1))</f>
        <v/>
      </c>
      <c r="H242">
        <f>VALUE(MID(A242,FIND("-",A242)+1,FIND("%",A242)-FIND("-",A242)-1))</f>
        <v/>
      </c>
      <c r="I242">
        <f>RIGHT(A242,3)</f>
        <v/>
      </c>
    </row>
    <row r="243">
      <c r="A243" t="inlineStr">
        <is>
          <t>12.10.2025|SO10125|C0014|P101x40@430-12%|DEL</t>
        </is>
      </c>
      <c r="B243" s="1">
        <f>DATE(MID(A243,7,4),MID(A243,4,2),LEFT(A243,2))</f>
        <v/>
      </c>
      <c r="C243">
        <f>VALUE(MID(A243,14,5))</f>
        <v/>
      </c>
      <c r="D243">
        <f>MID(A243,21,4)</f>
        <v/>
      </c>
      <c r="E243">
        <f>VALUE(MID(A243,27,3))</f>
        <v/>
      </c>
      <c r="F243">
        <f>VALUE(MID(A243,31,FIND("@",A243)-31))</f>
        <v/>
      </c>
      <c r="G243">
        <f>VALUE(MID(A243,FIND("@",A243)+1,FIND("-",A243)-FIND("@",A243)-1))</f>
        <v/>
      </c>
      <c r="H243">
        <f>VALUE(MID(A243,FIND("-",A243)+1,FIND("%",A243)-FIND("-",A243)-1))</f>
        <v/>
      </c>
      <c r="I243">
        <f>RIGHT(A243,3)</f>
        <v/>
      </c>
    </row>
    <row r="244">
      <c r="A244" t="inlineStr">
        <is>
          <t>13.10.2025|SO10126|C0011|P101x55@430-8%|DEL</t>
        </is>
      </c>
      <c r="B244" s="1">
        <f>DATE(MID(A244,7,4),MID(A244,4,2),LEFT(A244,2))</f>
        <v/>
      </c>
      <c r="C244">
        <f>VALUE(MID(A244,14,5))</f>
        <v/>
      </c>
      <c r="D244">
        <f>MID(A244,21,4)</f>
        <v/>
      </c>
      <c r="E244">
        <f>VALUE(MID(A244,27,3))</f>
        <v/>
      </c>
      <c r="F244">
        <f>VALUE(MID(A244,31,FIND("@",A244)-31))</f>
        <v/>
      </c>
      <c r="G244">
        <f>VALUE(MID(A244,FIND("@",A244)+1,FIND("-",A244)-FIND("@",A244)-1))</f>
        <v/>
      </c>
      <c r="H244">
        <f>VALUE(MID(A244,FIND("-",A244)+1,FIND("%",A244)-FIND("-",A244)-1))</f>
        <v/>
      </c>
      <c r="I244">
        <f>RIGHT(A244,3)</f>
        <v/>
      </c>
    </row>
    <row r="245">
      <c r="A245" t="inlineStr">
        <is>
          <t>13.10.2025|SO10126|C0011|P102x40@750-10%|DEL</t>
        </is>
      </c>
      <c r="B245" s="1">
        <f>DATE(MID(A245,7,4),MID(A245,4,2),LEFT(A245,2))</f>
        <v/>
      </c>
      <c r="C245">
        <f>VALUE(MID(A245,14,5))</f>
        <v/>
      </c>
      <c r="D245">
        <f>MID(A245,21,4)</f>
        <v/>
      </c>
      <c r="E245">
        <f>VALUE(MID(A245,27,3))</f>
        <v/>
      </c>
      <c r="F245">
        <f>VALUE(MID(A245,31,FIND("@",A245)-31))</f>
        <v/>
      </c>
      <c r="G245">
        <f>VALUE(MID(A245,FIND("@",A245)+1,FIND("-",A245)-FIND("@",A245)-1))</f>
        <v/>
      </c>
      <c r="H245">
        <f>VALUE(MID(A245,FIND("-",A245)+1,FIND("%",A245)-FIND("-",A245)-1))</f>
        <v/>
      </c>
      <c r="I245">
        <f>RIGHT(A245,3)</f>
        <v/>
      </c>
    </row>
    <row r="246">
      <c r="A246" t="inlineStr">
        <is>
          <t>13.10.2025|SO10126|C0011|P105x40@1400-8%|DEL</t>
        </is>
      </c>
      <c r="B246" s="1">
        <f>DATE(MID(A246,7,4),MID(A246,4,2),LEFT(A246,2))</f>
        <v/>
      </c>
      <c r="C246">
        <f>VALUE(MID(A246,14,5))</f>
        <v/>
      </c>
      <c r="D246">
        <f>MID(A246,21,4)</f>
        <v/>
      </c>
      <c r="E246">
        <f>VALUE(MID(A246,27,3))</f>
        <v/>
      </c>
      <c r="F246">
        <f>VALUE(MID(A246,31,FIND("@",A246)-31))</f>
        <v/>
      </c>
      <c r="G246">
        <f>VALUE(MID(A246,FIND("@",A246)+1,FIND("-",A246)-FIND("@",A246)-1))</f>
        <v/>
      </c>
      <c r="H246">
        <f>VALUE(MID(A246,FIND("-",A246)+1,FIND("%",A246)-FIND("-",A246)-1))</f>
        <v/>
      </c>
      <c r="I246">
        <f>RIGHT(A246,3)</f>
        <v/>
      </c>
    </row>
    <row r="247">
      <c r="A247" t="inlineStr">
        <is>
          <t>14.10.2025|SO10127|C0005|P102x40@750-5%|DEL</t>
        </is>
      </c>
      <c r="B247" s="1">
        <f>DATE(MID(A247,7,4),MID(A247,4,2),LEFT(A247,2))</f>
        <v/>
      </c>
      <c r="C247">
        <f>VALUE(MID(A247,14,5))</f>
        <v/>
      </c>
      <c r="D247">
        <f>MID(A247,21,4)</f>
        <v/>
      </c>
      <c r="E247">
        <f>VALUE(MID(A247,27,3))</f>
        <v/>
      </c>
      <c r="F247">
        <f>VALUE(MID(A247,31,FIND("@",A247)-31))</f>
        <v/>
      </c>
      <c r="G247">
        <f>VALUE(MID(A247,FIND("@",A247)+1,FIND("-",A247)-FIND("@",A247)-1))</f>
        <v/>
      </c>
      <c r="H247">
        <f>VALUE(MID(A247,FIND("-",A247)+1,FIND("%",A247)-FIND("-",A247)-1))</f>
        <v/>
      </c>
      <c r="I247">
        <f>RIGHT(A247,3)</f>
        <v/>
      </c>
    </row>
    <row r="248">
      <c r="A248" t="inlineStr">
        <is>
          <t>15.10.2025|SO10128|C0009|P103x65@115-5%|DEL</t>
        </is>
      </c>
      <c r="B248" s="1">
        <f>DATE(MID(A248,7,4),MID(A248,4,2),LEFT(A248,2))</f>
        <v/>
      </c>
      <c r="C248">
        <f>VALUE(MID(A248,14,5))</f>
        <v/>
      </c>
      <c r="D248">
        <f>MID(A248,21,4)</f>
        <v/>
      </c>
      <c r="E248">
        <f>VALUE(MID(A248,27,3))</f>
        <v/>
      </c>
      <c r="F248">
        <f>VALUE(MID(A248,31,FIND("@",A248)-31))</f>
        <v/>
      </c>
      <c r="G248">
        <f>VALUE(MID(A248,FIND("@",A248)+1,FIND("-",A248)-FIND("@",A248)-1))</f>
        <v/>
      </c>
      <c r="H248">
        <f>VALUE(MID(A248,FIND("-",A248)+1,FIND("%",A248)-FIND("-",A248)-1))</f>
        <v/>
      </c>
      <c r="I248">
        <f>RIGHT(A248,3)</f>
        <v/>
      </c>
    </row>
    <row r="249">
      <c r="A249" t="inlineStr">
        <is>
          <t>15.10.2025|SO10128|C0009|P107x70@380-5%|DEL</t>
        </is>
      </c>
      <c r="B249" s="1">
        <f>DATE(MID(A249,7,4),MID(A249,4,2),LEFT(A249,2))</f>
        <v/>
      </c>
      <c r="C249">
        <f>VALUE(MID(A249,14,5))</f>
        <v/>
      </c>
      <c r="D249">
        <f>MID(A249,21,4)</f>
        <v/>
      </c>
      <c r="E249">
        <f>VALUE(MID(A249,27,3))</f>
        <v/>
      </c>
      <c r="F249">
        <f>VALUE(MID(A249,31,FIND("@",A249)-31))</f>
        <v/>
      </c>
      <c r="G249">
        <f>VALUE(MID(A249,FIND("@",A249)+1,FIND("-",A249)-FIND("@",A249)-1))</f>
        <v/>
      </c>
      <c r="H249">
        <f>VALUE(MID(A249,FIND("-",A249)+1,FIND("%",A249)-FIND("-",A249)-1))</f>
        <v/>
      </c>
      <c r="I249">
        <f>RIGHT(A249,3)</f>
        <v/>
      </c>
    </row>
    <row r="250">
      <c r="A250" t="inlineStr">
        <is>
          <t>15.10.2025|SO10129|C0018|P101x20@430-0%|DEL</t>
        </is>
      </c>
      <c r="B250" s="1">
        <f>DATE(MID(A250,7,4),MID(A250,4,2),LEFT(A250,2))</f>
        <v/>
      </c>
      <c r="C250">
        <f>VALUE(MID(A250,14,5))</f>
        <v/>
      </c>
      <c r="D250">
        <f>MID(A250,21,4)</f>
        <v/>
      </c>
      <c r="E250">
        <f>VALUE(MID(A250,27,3))</f>
        <v/>
      </c>
      <c r="F250">
        <f>VALUE(MID(A250,31,FIND("@",A250)-31))</f>
        <v/>
      </c>
      <c r="G250">
        <f>VALUE(MID(A250,FIND("@",A250)+1,FIND("-",A250)-FIND("@",A250)-1))</f>
        <v/>
      </c>
      <c r="H250">
        <f>VALUE(MID(A250,FIND("-",A250)+1,FIND("%",A250)-FIND("-",A250)-1))</f>
        <v/>
      </c>
      <c r="I250">
        <f>RIGHT(A250,3)</f>
        <v/>
      </c>
    </row>
    <row r="251">
      <c r="A251" t="inlineStr">
        <is>
          <t>18.10.2025|SO10130|C0007|P102x20@750-10%|DEL</t>
        </is>
      </c>
      <c r="B251" s="1">
        <f>DATE(MID(A251,7,4),MID(A251,4,2),LEFT(A251,2))</f>
        <v/>
      </c>
      <c r="C251">
        <f>VALUE(MID(A251,14,5))</f>
        <v/>
      </c>
      <c r="D251">
        <f>MID(A251,21,4)</f>
        <v/>
      </c>
      <c r="E251">
        <f>VALUE(MID(A251,27,3))</f>
        <v/>
      </c>
      <c r="F251">
        <f>VALUE(MID(A251,31,FIND("@",A251)-31))</f>
        <v/>
      </c>
      <c r="G251">
        <f>VALUE(MID(A251,FIND("@",A251)+1,FIND("-",A251)-FIND("@",A251)-1))</f>
        <v/>
      </c>
      <c r="H251">
        <f>VALUE(MID(A251,FIND("-",A251)+1,FIND("%",A251)-FIND("-",A251)-1))</f>
        <v/>
      </c>
      <c r="I251">
        <f>RIGHT(A251,3)</f>
        <v/>
      </c>
    </row>
    <row r="252">
      <c r="A252" t="inlineStr">
        <is>
          <t>18.10.2025|SO10131|C0022|P103x70@115-0%|CAN</t>
        </is>
      </c>
      <c r="B252" s="1">
        <f>DATE(MID(A252,7,4),MID(A252,4,2),LEFT(A252,2))</f>
        <v/>
      </c>
      <c r="C252">
        <f>VALUE(MID(A252,14,5))</f>
        <v/>
      </c>
      <c r="D252">
        <f>MID(A252,21,4)</f>
        <v/>
      </c>
      <c r="E252">
        <f>VALUE(MID(A252,27,3))</f>
        <v/>
      </c>
      <c r="F252">
        <f>VALUE(MID(A252,31,FIND("@",A252)-31))</f>
        <v/>
      </c>
      <c r="G252">
        <f>VALUE(MID(A252,FIND("@",A252)+1,FIND("-",A252)-FIND("@",A252)-1))</f>
        <v/>
      </c>
      <c r="H252">
        <f>VALUE(MID(A252,FIND("-",A252)+1,FIND("%",A252)-FIND("-",A252)-1))</f>
        <v/>
      </c>
      <c r="I252">
        <f>RIGHT(A252,3)</f>
        <v/>
      </c>
    </row>
    <row r="253">
      <c r="A253" t="inlineStr">
        <is>
          <t>18.10.2025|SO10131|C0022|P107x25@380-0%|CAN</t>
        </is>
      </c>
      <c r="B253" s="1">
        <f>DATE(MID(A253,7,4),MID(A253,4,2),LEFT(A253,2))</f>
        <v/>
      </c>
      <c r="C253">
        <f>VALUE(MID(A253,14,5))</f>
        <v/>
      </c>
      <c r="D253">
        <f>MID(A253,21,4)</f>
        <v/>
      </c>
      <c r="E253">
        <f>VALUE(MID(A253,27,3))</f>
        <v/>
      </c>
      <c r="F253">
        <f>VALUE(MID(A253,31,FIND("@",A253)-31))</f>
        <v/>
      </c>
      <c r="G253">
        <f>VALUE(MID(A253,FIND("@",A253)+1,FIND("-",A253)-FIND("@",A253)-1))</f>
        <v/>
      </c>
      <c r="H253">
        <f>VALUE(MID(A253,FIND("-",A253)+1,FIND("%",A253)-FIND("-",A253)-1))</f>
        <v/>
      </c>
      <c r="I253">
        <f>RIGHT(A253,3)</f>
        <v/>
      </c>
    </row>
    <row r="254">
      <c r="A254" t="inlineStr">
        <is>
          <t>18.10.2025|SO10131|C0022|P108x70@290-0%|CAN</t>
        </is>
      </c>
      <c r="B254" s="1">
        <f>DATE(MID(A254,7,4),MID(A254,4,2),LEFT(A254,2))</f>
        <v/>
      </c>
      <c r="C254">
        <f>VALUE(MID(A254,14,5))</f>
        <v/>
      </c>
      <c r="D254">
        <f>MID(A254,21,4)</f>
        <v/>
      </c>
      <c r="E254">
        <f>VALUE(MID(A254,27,3))</f>
        <v/>
      </c>
      <c r="F254">
        <f>VALUE(MID(A254,31,FIND("@",A254)-31))</f>
        <v/>
      </c>
      <c r="G254">
        <f>VALUE(MID(A254,FIND("@",A254)+1,FIND("-",A254)-FIND("@",A254)-1))</f>
        <v/>
      </c>
      <c r="H254">
        <f>VALUE(MID(A254,FIND("-",A254)+1,FIND("%",A254)-FIND("-",A254)-1))</f>
        <v/>
      </c>
      <c r="I254">
        <f>RIGHT(A254,3)</f>
        <v/>
      </c>
    </row>
    <row r="255">
      <c r="A255" t="inlineStr">
        <is>
          <t>20.10.2025|SO10132|C0001|P101x65@430-0%|DEL</t>
        </is>
      </c>
      <c r="B255" s="1">
        <f>DATE(MID(A255,7,4),MID(A255,4,2),LEFT(A255,2))</f>
        <v/>
      </c>
      <c r="C255">
        <f>VALUE(MID(A255,14,5))</f>
        <v/>
      </c>
      <c r="D255">
        <f>MID(A255,21,4)</f>
        <v/>
      </c>
      <c r="E255">
        <f>VALUE(MID(A255,27,3))</f>
        <v/>
      </c>
      <c r="F255">
        <f>VALUE(MID(A255,31,FIND("@",A255)-31))</f>
        <v/>
      </c>
      <c r="G255">
        <f>VALUE(MID(A255,FIND("@",A255)+1,FIND("-",A255)-FIND("@",A255)-1))</f>
        <v/>
      </c>
      <c r="H255">
        <f>VALUE(MID(A255,FIND("-",A255)+1,FIND("%",A255)-FIND("-",A255)-1))</f>
        <v/>
      </c>
      <c r="I255">
        <f>RIGHT(A255,3)</f>
        <v/>
      </c>
    </row>
    <row r="256">
      <c r="A256" t="inlineStr">
        <is>
          <t>25.10.2025|SO10133|C0001|P102x70@750-5%|DEL</t>
        </is>
      </c>
      <c r="B256" s="1">
        <f>DATE(MID(A256,7,4),MID(A256,4,2),LEFT(A256,2))</f>
        <v/>
      </c>
      <c r="C256">
        <f>VALUE(MID(A256,14,5))</f>
        <v/>
      </c>
      <c r="D256">
        <f>MID(A256,21,4)</f>
        <v/>
      </c>
      <c r="E256">
        <f>VALUE(MID(A256,27,3))</f>
        <v/>
      </c>
      <c r="F256">
        <f>VALUE(MID(A256,31,FIND("@",A256)-31))</f>
        <v/>
      </c>
      <c r="G256">
        <f>VALUE(MID(A256,FIND("@",A256)+1,FIND("-",A256)-FIND("@",A256)-1))</f>
        <v/>
      </c>
      <c r="H256">
        <f>VALUE(MID(A256,FIND("-",A256)+1,FIND("%",A256)-FIND("-",A256)-1))</f>
        <v/>
      </c>
      <c r="I256">
        <f>RIGHT(A256,3)</f>
        <v/>
      </c>
    </row>
    <row r="257">
      <c r="A257" t="inlineStr">
        <is>
          <t>25.10.2025|SO10133|C0001|P107x50@380-0%|DEL</t>
        </is>
      </c>
      <c r="B257" s="1">
        <f>DATE(MID(A257,7,4),MID(A257,4,2),LEFT(A257,2))</f>
        <v/>
      </c>
      <c r="C257">
        <f>VALUE(MID(A257,14,5))</f>
        <v/>
      </c>
      <c r="D257">
        <f>MID(A257,21,4)</f>
        <v/>
      </c>
      <c r="E257">
        <f>VALUE(MID(A257,27,3))</f>
        <v/>
      </c>
      <c r="F257">
        <f>VALUE(MID(A257,31,FIND("@",A257)-31))</f>
        <v/>
      </c>
      <c r="G257">
        <f>VALUE(MID(A257,FIND("@",A257)+1,FIND("-",A257)-FIND("@",A257)-1))</f>
        <v/>
      </c>
      <c r="H257">
        <f>VALUE(MID(A257,FIND("-",A257)+1,FIND("%",A257)-FIND("-",A257)-1))</f>
        <v/>
      </c>
      <c r="I257">
        <f>RIGHT(A257,3)</f>
        <v/>
      </c>
    </row>
    <row r="258">
      <c r="A258" t="inlineStr">
        <is>
          <t>26.10.2025|SO10134|C0020|P103x50@115-0%|DEL</t>
        </is>
      </c>
      <c r="B258" s="1">
        <f>DATE(MID(A258,7,4),MID(A258,4,2),LEFT(A258,2))</f>
        <v/>
      </c>
      <c r="C258">
        <f>VALUE(MID(A258,14,5))</f>
        <v/>
      </c>
      <c r="D258">
        <f>MID(A258,21,4)</f>
        <v/>
      </c>
      <c r="E258">
        <f>VALUE(MID(A258,27,3))</f>
        <v/>
      </c>
      <c r="F258">
        <f>VALUE(MID(A258,31,FIND("@",A258)-31))</f>
        <v/>
      </c>
      <c r="G258">
        <f>VALUE(MID(A258,FIND("@",A258)+1,FIND("-",A258)-FIND("@",A258)-1))</f>
        <v/>
      </c>
      <c r="H258">
        <f>VALUE(MID(A258,FIND("-",A258)+1,FIND("%",A258)-FIND("-",A258)-1))</f>
        <v/>
      </c>
      <c r="I258">
        <f>RIGHT(A258,3)</f>
        <v/>
      </c>
    </row>
    <row r="259">
      <c r="A259" t="inlineStr">
        <is>
          <t>27.10.2025|SO10135|C0004|P102x15@750-12%|DEL</t>
        </is>
      </c>
      <c r="B259" s="1">
        <f>DATE(MID(A259,7,4),MID(A259,4,2),LEFT(A259,2))</f>
        <v/>
      </c>
      <c r="C259">
        <f>VALUE(MID(A259,14,5))</f>
        <v/>
      </c>
      <c r="D259">
        <f>MID(A259,21,4)</f>
        <v/>
      </c>
      <c r="E259">
        <f>VALUE(MID(A259,27,3))</f>
        <v/>
      </c>
      <c r="F259">
        <f>VALUE(MID(A259,31,FIND("@",A259)-31))</f>
        <v/>
      </c>
      <c r="G259">
        <f>VALUE(MID(A259,FIND("@",A259)+1,FIND("-",A259)-FIND("@",A259)-1))</f>
        <v/>
      </c>
      <c r="H259">
        <f>VALUE(MID(A259,FIND("-",A259)+1,FIND("%",A259)-FIND("-",A259)-1))</f>
        <v/>
      </c>
      <c r="I259">
        <f>RIGHT(A259,3)</f>
        <v/>
      </c>
    </row>
    <row r="260">
      <c r="A260" t="inlineStr">
        <is>
          <t>27.10.2025|SO10135|C0004|P108x40@290-12%|DEL</t>
        </is>
      </c>
      <c r="B260" s="1">
        <f>DATE(MID(A260,7,4),MID(A260,4,2),LEFT(A260,2))</f>
        <v/>
      </c>
      <c r="C260">
        <f>VALUE(MID(A260,14,5))</f>
        <v/>
      </c>
      <c r="D260">
        <f>MID(A260,21,4)</f>
        <v/>
      </c>
      <c r="E260">
        <f>VALUE(MID(A260,27,3))</f>
        <v/>
      </c>
      <c r="F260">
        <f>VALUE(MID(A260,31,FIND("@",A260)-31))</f>
        <v/>
      </c>
      <c r="G260">
        <f>VALUE(MID(A260,FIND("@",A260)+1,FIND("-",A260)-FIND("@",A260)-1))</f>
        <v/>
      </c>
      <c r="H260">
        <f>VALUE(MID(A260,FIND("-",A260)+1,FIND("%",A260)-FIND("-",A260)-1))</f>
        <v/>
      </c>
      <c r="I260">
        <f>RIGHT(A260,3)</f>
        <v/>
      </c>
    </row>
    <row r="261">
      <c r="A261" t="inlineStr">
        <is>
          <t>27.10.2025|SO10136|C0019|P108x50@290-8%|DEL</t>
        </is>
      </c>
      <c r="B261" s="1">
        <f>DATE(MID(A261,7,4),MID(A261,4,2),LEFT(A261,2))</f>
        <v/>
      </c>
      <c r="C261">
        <f>VALUE(MID(A261,14,5))</f>
        <v/>
      </c>
      <c r="D261">
        <f>MID(A261,21,4)</f>
        <v/>
      </c>
      <c r="E261">
        <f>VALUE(MID(A261,27,3))</f>
        <v/>
      </c>
      <c r="F261">
        <f>VALUE(MID(A261,31,FIND("@",A261)-31))</f>
        <v/>
      </c>
      <c r="G261">
        <f>VALUE(MID(A261,FIND("@",A261)+1,FIND("-",A261)-FIND("@",A261)-1))</f>
        <v/>
      </c>
      <c r="H261">
        <f>VALUE(MID(A261,FIND("-",A261)+1,FIND("%",A261)-FIND("-",A261)-1))</f>
        <v/>
      </c>
      <c r="I261">
        <f>RIGHT(A261,3)</f>
        <v/>
      </c>
    </row>
    <row r="262">
      <c r="A262" t="inlineStr">
        <is>
          <t>04.11.2025|SO10137|C0012|P108x15@290-5%|DEL</t>
        </is>
      </c>
      <c r="B262" s="1">
        <f>DATE(MID(A262,7,4),MID(A262,4,2),LEFT(A262,2))</f>
        <v/>
      </c>
      <c r="C262">
        <f>VALUE(MID(A262,14,5))</f>
        <v/>
      </c>
      <c r="D262">
        <f>MID(A262,21,4)</f>
        <v/>
      </c>
      <c r="E262">
        <f>VALUE(MID(A262,27,3))</f>
        <v/>
      </c>
      <c r="F262">
        <f>VALUE(MID(A262,31,FIND("@",A262)-31))</f>
        <v/>
      </c>
      <c r="G262">
        <f>VALUE(MID(A262,FIND("@",A262)+1,FIND("-",A262)-FIND("@",A262)-1))</f>
        <v/>
      </c>
      <c r="H262">
        <f>VALUE(MID(A262,FIND("-",A262)+1,FIND("%",A262)-FIND("-",A262)-1))</f>
        <v/>
      </c>
      <c r="I262">
        <f>RIGHT(A262,3)</f>
        <v/>
      </c>
    </row>
    <row r="263">
      <c r="A263" t="inlineStr">
        <is>
          <t>05.11.2025|SO10138|C0003|P103x15@115-5%|DEL</t>
        </is>
      </c>
      <c r="B263" s="1">
        <f>DATE(MID(A263,7,4),MID(A263,4,2),LEFT(A263,2))</f>
        <v/>
      </c>
      <c r="C263">
        <f>VALUE(MID(A263,14,5))</f>
        <v/>
      </c>
      <c r="D263">
        <f>MID(A263,21,4)</f>
        <v/>
      </c>
      <c r="E263">
        <f>VALUE(MID(A263,27,3))</f>
        <v/>
      </c>
      <c r="F263">
        <f>VALUE(MID(A263,31,FIND("@",A263)-31))</f>
        <v/>
      </c>
      <c r="G263">
        <f>VALUE(MID(A263,FIND("@",A263)+1,FIND("-",A263)-FIND("@",A263)-1))</f>
        <v/>
      </c>
      <c r="H263">
        <f>VALUE(MID(A263,FIND("-",A263)+1,FIND("%",A263)-FIND("-",A263)-1))</f>
        <v/>
      </c>
      <c r="I263">
        <f>RIGHT(A263,3)</f>
        <v/>
      </c>
    </row>
    <row r="264">
      <c r="A264" t="inlineStr">
        <is>
          <t>05.11.2025|SO10138|C0003|P108x55@290-0%|DEL</t>
        </is>
      </c>
      <c r="B264" s="1">
        <f>DATE(MID(A264,7,4),MID(A264,4,2),LEFT(A264,2))</f>
        <v/>
      </c>
      <c r="C264">
        <f>VALUE(MID(A264,14,5))</f>
        <v/>
      </c>
      <c r="D264">
        <f>MID(A264,21,4)</f>
        <v/>
      </c>
      <c r="E264">
        <f>VALUE(MID(A264,27,3))</f>
        <v/>
      </c>
      <c r="F264">
        <f>VALUE(MID(A264,31,FIND("@",A264)-31))</f>
        <v/>
      </c>
      <c r="G264">
        <f>VALUE(MID(A264,FIND("@",A264)+1,FIND("-",A264)-FIND("@",A264)-1))</f>
        <v/>
      </c>
      <c r="H264">
        <f>VALUE(MID(A264,FIND("-",A264)+1,FIND("%",A264)-FIND("-",A264)-1))</f>
        <v/>
      </c>
      <c r="I264">
        <f>RIGHT(A264,3)</f>
        <v/>
      </c>
    </row>
    <row r="265">
      <c r="A265" t="inlineStr">
        <is>
          <t>06.11.2025|SO10139|C0011|P101x60@430-8%|DEL</t>
        </is>
      </c>
      <c r="B265" s="1">
        <f>DATE(MID(A265,7,4),MID(A265,4,2),LEFT(A265,2))</f>
        <v/>
      </c>
      <c r="C265">
        <f>VALUE(MID(A265,14,5))</f>
        <v/>
      </c>
      <c r="D265">
        <f>MID(A265,21,4)</f>
        <v/>
      </c>
      <c r="E265">
        <f>VALUE(MID(A265,27,3))</f>
        <v/>
      </c>
      <c r="F265">
        <f>VALUE(MID(A265,31,FIND("@",A265)-31))</f>
        <v/>
      </c>
      <c r="G265">
        <f>VALUE(MID(A265,FIND("@",A265)+1,FIND("-",A265)-FIND("@",A265)-1))</f>
        <v/>
      </c>
      <c r="H265">
        <f>VALUE(MID(A265,FIND("-",A265)+1,FIND("%",A265)-FIND("-",A265)-1))</f>
        <v/>
      </c>
      <c r="I265">
        <f>RIGHT(A265,3)</f>
        <v/>
      </c>
    </row>
    <row r="266">
      <c r="A266" t="inlineStr">
        <is>
          <t>06.11.2025|SO10139|C0011|P105x20@1400-12%|DEL</t>
        </is>
      </c>
      <c r="B266" s="1">
        <f>DATE(MID(A266,7,4),MID(A266,4,2),LEFT(A266,2))</f>
        <v/>
      </c>
      <c r="C266">
        <f>VALUE(MID(A266,14,5))</f>
        <v/>
      </c>
      <c r="D266">
        <f>MID(A266,21,4)</f>
        <v/>
      </c>
      <c r="E266">
        <f>VALUE(MID(A266,27,3))</f>
        <v/>
      </c>
      <c r="F266">
        <f>VALUE(MID(A266,31,FIND("@",A266)-31))</f>
        <v/>
      </c>
      <c r="G266">
        <f>VALUE(MID(A266,FIND("@",A266)+1,FIND("-",A266)-FIND("@",A266)-1))</f>
        <v/>
      </c>
      <c r="H266">
        <f>VALUE(MID(A266,FIND("-",A266)+1,FIND("%",A266)-FIND("-",A266)-1))</f>
        <v/>
      </c>
      <c r="I266">
        <f>RIGHT(A266,3)</f>
        <v/>
      </c>
    </row>
    <row r="267">
      <c r="A267" t="inlineStr">
        <is>
          <t>09.11.2025|SO10140|C0002|P103x65@115-0%|DEL</t>
        </is>
      </c>
      <c r="B267" s="1">
        <f>DATE(MID(A267,7,4),MID(A267,4,2),LEFT(A267,2))</f>
        <v/>
      </c>
      <c r="C267">
        <f>VALUE(MID(A267,14,5))</f>
        <v/>
      </c>
      <c r="D267">
        <f>MID(A267,21,4)</f>
        <v/>
      </c>
      <c r="E267">
        <f>VALUE(MID(A267,27,3))</f>
        <v/>
      </c>
      <c r="F267">
        <f>VALUE(MID(A267,31,FIND("@",A267)-31))</f>
        <v/>
      </c>
      <c r="G267">
        <f>VALUE(MID(A267,FIND("@",A267)+1,FIND("-",A267)-FIND("@",A267)-1))</f>
        <v/>
      </c>
      <c r="H267">
        <f>VALUE(MID(A267,FIND("-",A267)+1,FIND("%",A267)-FIND("-",A267)-1))</f>
        <v/>
      </c>
      <c r="I267">
        <f>RIGHT(A267,3)</f>
        <v/>
      </c>
    </row>
    <row r="268">
      <c r="A268" t="inlineStr">
        <is>
          <t>09.11.2025|SO10140|C0002|P104x55@620-5%|DEL</t>
        </is>
      </c>
      <c r="B268" s="1">
        <f>DATE(MID(A268,7,4),MID(A268,4,2),LEFT(A268,2))</f>
        <v/>
      </c>
      <c r="C268">
        <f>VALUE(MID(A268,14,5))</f>
        <v/>
      </c>
      <c r="D268">
        <f>MID(A268,21,4)</f>
        <v/>
      </c>
      <c r="E268">
        <f>VALUE(MID(A268,27,3))</f>
        <v/>
      </c>
      <c r="F268">
        <f>VALUE(MID(A268,31,FIND("@",A268)-31))</f>
        <v/>
      </c>
      <c r="G268">
        <f>VALUE(MID(A268,FIND("@",A268)+1,FIND("-",A268)-FIND("@",A268)-1))</f>
        <v/>
      </c>
      <c r="H268">
        <f>VALUE(MID(A268,FIND("-",A268)+1,FIND("%",A268)-FIND("-",A268)-1))</f>
        <v/>
      </c>
      <c r="I268">
        <f>RIGHT(A268,3)</f>
        <v/>
      </c>
    </row>
    <row r="269">
      <c r="A269" t="inlineStr">
        <is>
          <t>09.11.2025|SO10141|C0008|P104x10@620-0%|DEL</t>
        </is>
      </c>
      <c r="B269" s="1">
        <f>DATE(MID(A269,7,4),MID(A269,4,2),LEFT(A269,2))</f>
        <v/>
      </c>
      <c r="C269">
        <f>VALUE(MID(A269,14,5))</f>
        <v/>
      </c>
      <c r="D269">
        <f>MID(A269,21,4)</f>
        <v/>
      </c>
      <c r="E269">
        <f>VALUE(MID(A269,27,3))</f>
        <v/>
      </c>
      <c r="F269">
        <f>VALUE(MID(A269,31,FIND("@",A269)-31))</f>
        <v/>
      </c>
      <c r="G269">
        <f>VALUE(MID(A269,FIND("@",A269)+1,FIND("-",A269)-FIND("@",A269)-1))</f>
        <v/>
      </c>
      <c r="H269">
        <f>VALUE(MID(A269,FIND("-",A269)+1,FIND("%",A269)-FIND("-",A269)-1))</f>
        <v/>
      </c>
      <c r="I269">
        <f>RIGHT(A269,3)</f>
        <v/>
      </c>
    </row>
    <row r="270">
      <c r="A270" t="inlineStr">
        <is>
          <t>09.11.2025|SO10141|C0008|P108x65@290-5%|DEL</t>
        </is>
      </c>
      <c r="B270" s="1">
        <f>DATE(MID(A270,7,4),MID(A270,4,2),LEFT(A270,2))</f>
        <v/>
      </c>
      <c r="C270">
        <f>VALUE(MID(A270,14,5))</f>
        <v/>
      </c>
      <c r="D270">
        <f>MID(A270,21,4)</f>
        <v/>
      </c>
      <c r="E270">
        <f>VALUE(MID(A270,27,3))</f>
        <v/>
      </c>
      <c r="F270">
        <f>VALUE(MID(A270,31,FIND("@",A270)-31))</f>
        <v/>
      </c>
      <c r="G270">
        <f>VALUE(MID(A270,FIND("@",A270)+1,FIND("-",A270)-FIND("@",A270)-1))</f>
        <v/>
      </c>
      <c r="H270">
        <f>VALUE(MID(A270,FIND("-",A270)+1,FIND("%",A270)-FIND("-",A270)-1))</f>
        <v/>
      </c>
      <c r="I270">
        <f>RIGHT(A270,3)</f>
        <v/>
      </c>
    </row>
    <row r="271">
      <c r="A271" t="inlineStr">
        <is>
          <t>09.11.2025|SO10142|C0015|P104x60@620-5%|DEL</t>
        </is>
      </c>
      <c r="B271" s="1">
        <f>DATE(MID(A271,7,4),MID(A271,4,2),LEFT(A271,2))</f>
        <v/>
      </c>
      <c r="C271">
        <f>VALUE(MID(A271,14,5))</f>
        <v/>
      </c>
      <c r="D271">
        <f>MID(A271,21,4)</f>
        <v/>
      </c>
      <c r="E271">
        <f>VALUE(MID(A271,27,3))</f>
        <v/>
      </c>
      <c r="F271">
        <f>VALUE(MID(A271,31,FIND("@",A271)-31))</f>
        <v/>
      </c>
      <c r="G271">
        <f>VALUE(MID(A271,FIND("@",A271)+1,FIND("-",A271)-FIND("@",A271)-1))</f>
        <v/>
      </c>
      <c r="H271">
        <f>VALUE(MID(A271,FIND("-",A271)+1,FIND("%",A271)-FIND("-",A271)-1))</f>
        <v/>
      </c>
      <c r="I271">
        <f>RIGHT(A271,3)</f>
        <v/>
      </c>
    </row>
    <row r="272">
      <c r="A272" t="inlineStr">
        <is>
          <t>09.11.2025|SO10142|C0015|P108x60@290-5%|DEL</t>
        </is>
      </c>
      <c r="B272" s="1">
        <f>DATE(MID(A272,7,4),MID(A272,4,2),LEFT(A272,2))</f>
        <v/>
      </c>
      <c r="C272">
        <f>VALUE(MID(A272,14,5))</f>
        <v/>
      </c>
      <c r="D272">
        <f>MID(A272,21,4)</f>
        <v/>
      </c>
      <c r="E272">
        <f>VALUE(MID(A272,27,3))</f>
        <v/>
      </c>
      <c r="F272">
        <f>VALUE(MID(A272,31,FIND("@",A272)-31))</f>
        <v/>
      </c>
      <c r="G272">
        <f>VALUE(MID(A272,FIND("@",A272)+1,FIND("-",A272)-FIND("@",A272)-1))</f>
        <v/>
      </c>
      <c r="H272">
        <f>VALUE(MID(A272,FIND("-",A272)+1,FIND("%",A272)-FIND("-",A272)-1))</f>
        <v/>
      </c>
      <c r="I272">
        <f>RIGHT(A272,3)</f>
        <v/>
      </c>
    </row>
    <row r="273">
      <c r="A273" t="inlineStr">
        <is>
          <t>11.11.2025|SO10143|C0007|P101x55@430-12%|DEL</t>
        </is>
      </c>
      <c r="B273" s="1">
        <f>DATE(MID(A273,7,4),MID(A273,4,2),LEFT(A273,2))</f>
        <v/>
      </c>
      <c r="C273">
        <f>VALUE(MID(A273,14,5))</f>
        <v/>
      </c>
      <c r="D273">
        <f>MID(A273,21,4)</f>
        <v/>
      </c>
      <c r="E273">
        <f>VALUE(MID(A273,27,3))</f>
        <v/>
      </c>
      <c r="F273">
        <f>VALUE(MID(A273,31,FIND("@",A273)-31))</f>
        <v/>
      </c>
      <c r="G273">
        <f>VALUE(MID(A273,FIND("@",A273)+1,FIND("-",A273)-FIND("@",A273)-1))</f>
        <v/>
      </c>
      <c r="H273">
        <f>VALUE(MID(A273,FIND("-",A273)+1,FIND("%",A273)-FIND("-",A273)-1))</f>
        <v/>
      </c>
      <c r="I273">
        <f>RIGHT(A273,3)</f>
        <v/>
      </c>
    </row>
    <row r="274">
      <c r="A274" t="inlineStr">
        <is>
          <t>11.11.2025|SO10143|C0007|P105x25@1400-8%|DEL</t>
        </is>
      </c>
      <c r="B274" s="1">
        <f>DATE(MID(A274,7,4),MID(A274,4,2),LEFT(A274,2))</f>
        <v/>
      </c>
      <c r="C274">
        <f>VALUE(MID(A274,14,5))</f>
        <v/>
      </c>
      <c r="D274">
        <f>MID(A274,21,4)</f>
        <v/>
      </c>
      <c r="E274">
        <f>VALUE(MID(A274,27,3))</f>
        <v/>
      </c>
      <c r="F274">
        <f>VALUE(MID(A274,31,FIND("@",A274)-31))</f>
        <v/>
      </c>
      <c r="G274">
        <f>VALUE(MID(A274,FIND("@",A274)+1,FIND("-",A274)-FIND("@",A274)-1))</f>
        <v/>
      </c>
      <c r="H274">
        <f>VALUE(MID(A274,FIND("-",A274)+1,FIND("%",A274)-FIND("-",A274)-1))</f>
        <v/>
      </c>
      <c r="I274">
        <f>RIGHT(A274,3)</f>
        <v/>
      </c>
    </row>
    <row r="275">
      <c r="A275" t="inlineStr">
        <is>
          <t>12.11.2025|SO10144|C0014|P101x15@430-5%|DEL</t>
        </is>
      </c>
      <c r="B275" s="1">
        <f>DATE(MID(A275,7,4),MID(A275,4,2),LEFT(A275,2))</f>
        <v/>
      </c>
      <c r="C275">
        <f>VALUE(MID(A275,14,5))</f>
        <v/>
      </c>
      <c r="D275">
        <f>MID(A275,21,4)</f>
        <v/>
      </c>
      <c r="E275">
        <f>VALUE(MID(A275,27,3))</f>
        <v/>
      </c>
      <c r="F275">
        <f>VALUE(MID(A275,31,FIND("@",A275)-31))</f>
        <v/>
      </c>
      <c r="G275">
        <f>VALUE(MID(A275,FIND("@",A275)+1,FIND("-",A275)-FIND("@",A275)-1))</f>
        <v/>
      </c>
      <c r="H275">
        <f>VALUE(MID(A275,FIND("-",A275)+1,FIND("%",A275)-FIND("-",A275)-1))</f>
        <v/>
      </c>
      <c r="I275">
        <f>RIGHT(A275,3)</f>
        <v/>
      </c>
    </row>
    <row r="276">
      <c r="A276" t="inlineStr">
        <is>
          <t>12.11.2025|SO10144|C0014|P108x25@290-12%|DEL</t>
        </is>
      </c>
      <c r="B276" s="1">
        <f>DATE(MID(A276,7,4),MID(A276,4,2),LEFT(A276,2))</f>
        <v/>
      </c>
      <c r="C276">
        <f>VALUE(MID(A276,14,5))</f>
        <v/>
      </c>
      <c r="D276">
        <f>MID(A276,21,4)</f>
        <v/>
      </c>
      <c r="E276">
        <f>VALUE(MID(A276,27,3))</f>
        <v/>
      </c>
      <c r="F276">
        <f>VALUE(MID(A276,31,FIND("@",A276)-31))</f>
        <v/>
      </c>
      <c r="G276">
        <f>VALUE(MID(A276,FIND("@",A276)+1,FIND("-",A276)-FIND("@",A276)-1))</f>
        <v/>
      </c>
      <c r="H276">
        <f>VALUE(MID(A276,FIND("-",A276)+1,FIND("%",A276)-FIND("-",A276)-1))</f>
        <v/>
      </c>
      <c r="I276">
        <f>RIGHT(A276,3)</f>
        <v/>
      </c>
    </row>
    <row r="277">
      <c r="A277" t="inlineStr">
        <is>
          <t>12.11.2025|SO10145|C0021|P107x15@380-0%|DEL</t>
        </is>
      </c>
      <c r="B277" s="1">
        <f>DATE(MID(A277,7,4),MID(A277,4,2),LEFT(A277,2))</f>
        <v/>
      </c>
      <c r="C277">
        <f>VALUE(MID(A277,14,5))</f>
        <v/>
      </c>
      <c r="D277">
        <f>MID(A277,21,4)</f>
        <v/>
      </c>
      <c r="E277">
        <f>VALUE(MID(A277,27,3))</f>
        <v/>
      </c>
      <c r="F277">
        <f>VALUE(MID(A277,31,FIND("@",A277)-31))</f>
        <v/>
      </c>
      <c r="G277">
        <f>VALUE(MID(A277,FIND("@",A277)+1,FIND("-",A277)-FIND("@",A277)-1))</f>
        <v/>
      </c>
      <c r="H277">
        <f>VALUE(MID(A277,FIND("-",A277)+1,FIND("%",A277)-FIND("-",A277)-1))</f>
        <v/>
      </c>
      <c r="I277">
        <f>RIGHT(A277,3)</f>
        <v/>
      </c>
    </row>
    <row r="278">
      <c r="A278" t="inlineStr">
        <is>
          <t>12.11.2025|SO10145|C0021|P108x55@290-0%|DEL</t>
        </is>
      </c>
      <c r="B278" s="1">
        <f>DATE(MID(A278,7,4),MID(A278,4,2),LEFT(A278,2))</f>
        <v/>
      </c>
      <c r="C278">
        <f>VALUE(MID(A278,14,5))</f>
        <v/>
      </c>
      <c r="D278">
        <f>MID(A278,21,4)</f>
        <v/>
      </c>
      <c r="E278">
        <f>VALUE(MID(A278,27,3))</f>
        <v/>
      </c>
      <c r="F278">
        <f>VALUE(MID(A278,31,FIND("@",A278)-31))</f>
        <v/>
      </c>
      <c r="G278">
        <f>VALUE(MID(A278,FIND("@",A278)+1,FIND("-",A278)-FIND("@",A278)-1))</f>
        <v/>
      </c>
      <c r="H278">
        <f>VALUE(MID(A278,FIND("-",A278)+1,FIND("%",A278)-FIND("-",A278)-1))</f>
        <v/>
      </c>
      <c r="I278">
        <f>RIGHT(A278,3)</f>
        <v/>
      </c>
    </row>
    <row r="279">
      <c r="A279" t="inlineStr">
        <is>
          <t>16.11.2025|SO10146|C0001|P102x65@750-0%|DEL</t>
        </is>
      </c>
      <c r="B279" s="1">
        <f>DATE(MID(A279,7,4),MID(A279,4,2),LEFT(A279,2))</f>
        <v/>
      </c>
      <c r="C279">
        <f>VALUE(MID(A279,14,5))</f>
        <v/>
      </c>
      <c r="D279">
        <f>MID(A279,21,4)</f>
        <v/>
      </c>
      <c r="E279">
        <f>VALUE(MID(A279,27,3))</f>
        <v/>
      </c>
      <c r="F279">
        <f>VALUE(MID(A279,31,FIND("@",A279)-31))</f>
        <v/>
      </c>
      <c r="G279">
        <f>VALUE(MID(A279,FIND("@",A279)+1,FIND("-",A279)-FIND("@",A279)-1))</f>
        <v/>
      </c>
      <c r="H279">
        <f>VALUE(MID(A279,FIND("-",A279)+1,FIND("%",A279)-FIND("-",A279)-1))</f>
        <v/>
      </c>
      <c r="I279">
        <f>RIGHT(A279,3)</f>
        <v/>
      </c>
    </row>
    <row r="280">
      <c r="A280" t="inlineStr">
        <is>
          <t>16.11.2025|SO10146|C0001|P107x50@380-0%|DEL</t>
        </is>
      </c>
      <c r="B280" s="1">
        <f>DATE(MID(A280,7,4),MID(A280,4,2),LEFT(A280,2))</f>
        <v/>
      </c>
      <c r="C280">
        <f>VALUE(MID(A280,14,5))</f>
        <v/>
      </c>
      <c r="D280">
        <f>MID(A280,21,4)</f>
        <v/>
      </c>
      <c r="E280">
        <f>VALUE(MID(A280,27,3))</f>
        <v/>
      </c>
      <c r="F280">
        <f>VALUE(MID(A280,31,FIND("@",A280)-31))</f>
        <v/>
      </c>
      <c r="G280">
        <f>VALUE(MID(A280,FIND("@",A280)+1,FIND("-",A280)-FIND("@",A280)-1))</f>
        <v/>
      </c>
      <c r="H280">
        <f>VALUE(MID(A280,FIND("-",A280)+1,FIND("%",A280)-FIND("-",A280)-1))</f>
        <v/>
      </c>
      <c r="I280">
        <f>RIGHT(A280,3)</f>
        <v/>
      </c>
    </row>
    <row r="281">
      <c r="A281" t="inlineStr">
        <is>
          <t>16.11.2025|SO10146|C0001|P108x50@290-0%|DEL</t>
        </is>
      </c>
      <c r="B281" s="1">
        <f>DATE(MID(A281,7,4),MID(A281,4,2),LEFT(A281,2))</f>
        <v/>
      </c>
      <c r="C281">
        <f>VALUE(MID(A281,14,5))</f>
        <v/>
      </c>
      <c r="D281">
        <f>MID(A281,21,4)</f>
        <v/>
      </c>
      <c r="E281">
        <f>VALUE(MID(A281,27,3))</f>
        <v/>
      </c>
      <c r="F281">
        <f>VALUE(MID(A281,31,FIND("@",A281)-31))</f>
        <v/>
      </c>
      <c r="G281">
        <f>VALUE(MID(A281,FIND("@",A281)+1,FIND("-",A281)-FIND("@",A281)-1))</f>
        <v/>
      </c>
      <c r="H281">
        <f>VALUE(MID(A281,FIND("-",A281)+1,FIND("%",A281)-FIND("-",A281)-1))</f>
        <v/>
      </c>
      <c r="I281">
        <f>RIGHT(A281,3)</f>
        <v/>
      </c>
    </row>
    <row r="282">
      <c r="A282" t="inlineStr">
        <is>
          <t>16.11.2025|SO10147|C0019|P101x30@430-5%|DEL</t>
        </is>
      </c>
      <c r="B282" s="1">
        <f>DATE(MID(A282,7,4),MID(A282,4,2),LEFT(A282,2))</f>
        <v/>
      </c>
      <c r="C282">
        <f>VALUE(MID(A282,14,5))</f>
        <v/>
      </c>
      <c r="D282">
        <f>MID(A282,21,4)</f>
        <v/>
      </c>
      <c r="E282">
        <f>VALUE(MID(A282,27,3))</f>
        <v/>
      </c>
      <c r="F282">
        <f>VALUE(MID(A282,31,FIND("@",A282)-31))</f>
        <v/>
      </c>
      <c r="G282">
        <f>VALUE(MID(A282,FIND("@",A282)+1,FIND("-",A282)-FIND("@",A282)-1))</f>
        <v/>
      </c>
      <c r="H282">
        <f>VALUE(MID(A282,FIND("-",A282)+1,FIND("%",A282)-FIND("-",A282)-1))</f>
        <v/>
      </c>
      <c r="I282">
        <f>RIGHT(A282,3)</f>
        <v/>
      </c>
    </row>
    <row r="283">
      <c r="A283" t="inlineStr">
        <is>
          <t>16.11.2025|SO10147|C0019|P105x30@1400-8%|DEL</t>
        </is>
      </c>
      <c r="B283" s="1">
        <f>DATE(MID(A283,7,4),MID(A283,4,2),LEFT(A283,2))</f>
        <v/>
      </c>
      <c r="C283">
        <f>VALUE(MID(A283,14,5))</f>
        <v/>
      </c>
      <c r="D283">
        <f>MID(A283,21,4)</f>
        <v/>
      </c>
      <c r="E283">
        <f>VALUE(MID(A283,27,3))</f>
        <v/>
      </c>
      <c r="F283">
        <f>VALUE(MID(A283,31,FIND("@",A283)-31))</f>
        <v/>
      </c>
      <c r="G283">
        <f>VALUE(MID(A283,FIND("@",A283)+1,FIND("-",A283)-FIND("@",A283)-1))</f>
        <v/>
      </c>
      <c r="H283">
        <f>VALUE(MID(A283,FIND("-",A283)+1,FIND("%",A283)-FIND("-",A283)-1))</f>
        <v/>
      </c>
      <c r="I283">
        <f>RIGHT(A283,3)</f>
        <v/>
      </c>
    </row>
    <row r="284">
      <c r="A284" t="inlineStr">
        <is>
          <t>16.11.2025|SO10148|C0019|P102x45@750-12%|DEL</t>
        </is>
      </c>
      <c r="B284" s="1">
        <f>DATE(MID(A284,7,4),MID(A284,4,2),LEFT(A284,2))</f>
        <v/>
      </c>
      <c r="C284">
        <f>VALUE(MID(A284,14,5))</f>
        <v/>
      </c>
      <c r="D284">
        <f>MID(A284,21,4)</f>
        <v/>
      </c>
      <c r="E284">
        <f>VALUE(MID(A284,27,3))</f>
        <v/>
      </c>
      <c r="F284">
        <f>VALUE(MID(A284,31,FIND("@",A284)-31))</f>
        <v/>
      </c>
      <c r="G284">
        <f>VALUE(MID(A284,FIND("@",A284)+1,FIND("-",A284)-FIND("@",A284)-1))</f>
        <v/>
      </c>
      <c r="H284">
        <f>VALUE(MID(A284,FIND("-",A284)+1,FIND("%",A284)-FIND("-",A284)-1))</f>
        <v/>
      </c>
      <c r="I284">
        <f>RIGHT(A284,3)</f>
        <v/>
      </c>
    </row>
    <row r="285">
      <c r="A285" t="inlineStr">
        <is>
          <t>16.11.2025|SO10148|C0019|P108x50@290-10%|DEL</t>
        </is>
      </c>
      <c r="B285" s="1">
        <f>DATE(MID(A285,7,4),MID(A285,4,2),LEFT(A285,2))</f>
        <v/>
      </c>
      <c r="C285">
        <f>VALUE(MID(A285,14,5))</f>
        <v/>
      </c>
      <c r="D285">
        <f>MID(A285,21,4)</f>
        <v/>
      </c>
      <c r="E285">
        <f>VALUE(MID(A285,27,3))</f>
        <v/>
      </c>
      <c r="F285">
        <f>VALUE(MID(A285,31,FIND("@",A285)-31))</f>
        <v/>
      </c>
      <c r="G285">
        <f>VALUE(MID(A285,FIND("@",A285)+1,FIND("-",A285)-FIND("@",A285)-1))</f>
        <v/>
      </c>
      <c r="H285">
        <f>VALUE(MID(A285,FIND("-",A285)+1,FIND("%",A285)-FIND("-",A285)-1))</f>
        <v/>
      </c>
      <c r="I285">
        <f>RIGHT(A285,3)</f>
        <v/>
      </c>
    </row>
    <row r="286">
      <c r="A286" t="inlineStr">
        <is>
          <t>18.11.2025|SO10149|C0004|P102x45@750-8%|DEL</t>
        </is>
      </c>
      <c r="B286" s="1">
        <f>DATE(MID(A286,7,4),MID(A286,4,2),LEFT(A286,2))</f>
        <v/>
      </c>
      <c r="C286">
        <f>VALUE(MID(A286,14,5))</f>
        <v/>
      </c>
      <c r="D286">
        <f>MID(A286,21,4)</f>
        <v/>
      </c>
      <c r="E286">
        <f>VALUE(MID(A286,27,3))</f>
        <v/>
      </c>
      <c r="F286">
        <f>VALUE(MID(A286,31,FIND("@",A286)-31))</f>
        <v/>
      </c>
      <c r="G286">
        <f>VALUE(MID(A286,FIND("@",A286)+1,FIND("-",A286)-FIND("@",A286)-1))</f>
        <v/>
      </c>
      <c r="H286">
        <f>VALUE(MID(A286,FIND("-",A286)+1,FIND("%",A286)-FIND("-",A286)-1))</f>
        <v/>
      </c>
      <c r="I286">
        <f>RIGHT(A286,3)</f>
        <v/>
      </c>
    </row>
    <row r="287">
      <c r="A287" t="inlineStr">
        <is>
          <t>18.11.2025|SO10149|C0004|P105x15@1400-12%|DEL</t>
        </is>
      </c>
      <c r="B287" s="1">
        <f>DATE(MID(A287,7,4),MID(A287,4,2),LEFT(A287,2))</f>
        <v/>
      </c>
      <c r="C287">
        <f>VALUE(MID(A287,14,5))</f>
        <v/>
      </c>
      <c r="D287">
        <f>MID(A287,21,4)</f>
        <v/>
      </c>
      <c r="E287">
        <f>VALUE(MID(A287,27,3))</f>
        <v/>
      </c>
      <c r="F287">
        <f>VALUE(MID(A287,31,FIND("@",A287)-31))</f>
        <v/>
      </c>
      <c r="G287">
        <f>VALUE(MID(A287,FIND("@",A287)+1,FIND("-",A287)-FIND("@",A287)-1))</f>
        <v/>
      </c>
      <c r="H287">
        <f>VALUE(MID(A287,FIND("-",A287)+1,FIND("%",A287)-FIND("-",A287)-1))</f>
        <v/>
      </c>
      <c r="I287">
        <f>RIGHT(A287,3)</f>
        <v/>
      </c>
    </row>
    <row r="288">
      <c r="A288" t="inlineStr">
        <is>
          <t>19.11.2025|SO10150|C0022|P103x70@115-0%|DEL</t>
        </is>
      </c>
      <c r="B288" s="1">
        <f>DATE(MID(A288,7,4),MID(A288,4,2),LEFT(A288,2))</f>
        <v/>
      </c>
      <c r="C288">
        <f>VALUE(MID(A288,14,5))</f>
        <v/>
      </c>
      <c r="D288">
        <f>MID(A288,21,4)</f>
        <v/>
      </c>
      <c r="E288">
        <f>VALUE(MID(A288,27,3))</f>
        <v/>
      </c>
      <c r="F288">
        <f>VALUE(MID(A288,31,FIND("@",A288)-31))</f>
        <v/>
      </c>
      <c r="G288">
        <f>VALUE(MID(A288,FIND("@",A288)+1,FIND("-",A288)-FIND("@",A288)-1))</f>
        <v/>
      </c>
      <c r="H288">
        <f>VALUE(MID(A288,FIND("-",A288)+1,FIND("%",A288)-FIND("-",A288)-1))</f>
        <v/>
      </c>
      <c r="I288">
        <f>RIGHT(A288,3)</f>
        <v/>
      </c>
    </row>
    <row r="289">
      <c r="A289" t="inlineStr">
        <is>
          <t>22.11.2025|SO10151|C0011|P102x35@750-5%|DEL</t>
        </is>
      </c>
      <c r="B289" s="1">
        <f>DATE(MID(A289,7,4),MID(A289,4,2),LEFT(A289,2))</f>
        <v/>
      </c>
      <c r="C289">
        <f>VALUE(MID(A289,14,5))</f>
        <v/>
      </c>
      <c r="D289">
        <f>MID(A289,21,4)</f>
        <v/>
      </c>
      <c r="E289">
        <f>VALUE(MID(A289,27,3))</f>
        <v/>
      </c>
      <c r="F289">
        <f>VALUE(MID(A289,31,FIND("@",A289)-31))</f>
        <v/>
      </c>
      <c r="G289">
        <f>VALUE(MID(A289,FIND("@",A289)+1,FIND("-",A289)-FIND("@",A289)-1))</f>
        <v/>
      </c>
      <c r="H289">
        <f>VALUE(MID(A289,FIND("-",A289)+1,FIND("%",A289)-FIND("-",A289)-1))</f>
        <v/>
      </c>
      <c r="I289">
        <f>RIGHT(A289,3)</f>
        <v/>
      </c>
    </row>
    <row r="290">
      <c r="A290" t="inlineStr">
        <is>
          <t>22.11.2025|SO10151|C0011|P105x40@1400-12%|DEL</t>
        </is>
      </c>
      <c r="B290" s="1">
        <f>DATE(MID(A290,7,4),MID(A290,4,2),LEFT(A290,2))</f>
        <v/>
      </c>
      <c r="C290">
        <f>VALUE(MID(A290,14,5))</f>
        <v/>
      </c>
      <c r="D290">
        <f>MID(A290,21,4)</f>
        <v/>
      </c>
      <c r="E290">
        <f>VALUE(MID(A290,27,3))</f>
        <v/>
      </c>
      <c r="F290">
        <f>VALUE(MID(A290,31,FIND("@",A290)-31))</f>
        <v/>
      </c>
      <c r="G290">
        <f>VALUE(MID(A290,FIND("@",A290)+1,FIND("-",A290)-FIND("@",A290)-1))</f>
        <v/>
      </c>
      <c r="H290">
        <f>VALUE(MID(A290,FIND("-",A290)+1,FIND("%",A290)-FIND("-",A290)-1))</f>
        <v/>
      </c>
      <c r="I290">
        <f>RIGHT(A290,3)</f>
        <v/>
      </c>
    </row>
    <row r="291">
      <c r="A291" t="inlineStr">
        <is>
          <t>22.11.2025|SO10152|C0014|P108x45@290-5%|DEL</t>
        </is>
      </c>
      <c r="B291" s="1">
        <f>DATE(MID(A291,7,4),MID(A291,4,2),LEFT(A291,2))</f>
        <v/>
      </c>
      <c r="C291">
        <f>VALUE(MID(A291,14,5))</f>
        <v/>
      </c>
      <c r="D291">
        <f>MID(A291,21,4)</f>
        <v/>
      </c>
      <c r="E291">
        <f>VALUE(MID(A291,27,3))</f>
        <v/>
      </c>
      <c r="F291">
        <f>VALUE(MID(A291,31,FIND("@",A291)-31))</f>
        <v/>
      </c>
      <c r="G291">
        <f>VALUE(MID(A291,FIND("@",A291)+1,FIND("-",A291)-FIND("@",A291)-1))</f>
        <v/>
      </c>
      <c r="H291">
        <f>VALUE(MID(A291,FIND("-",A291)+1,FIND("%",A291)-FIND("-",A291)-1))</f>
        <v/>
      </c>
      <c r="I291">
        <f>RIGHT(A291,3)</f>
        <v/>
      </c>
    </row>
    <row r="292">
      <c r="A292" t="inlineStr">
        <is>
          <t>23.11.2025|SO10153|C0017|P103x25@115-5%|DEL</t>
        </is>
      </c>
      <c r="B292" s="1">
        <f>DATE(MID(A292,7,4),MID(A292,4,2),LEFT(A292,2))</f>
        <v/>
      </c>
      <c r="C292">
        <f>VALUE(MID(A292,14,5))</f>
        <v/>
      </c>
      <c r="D292">
        <f>MID(A292,21,4)</f>
        <v/>
      </c>
      <c r="E292">
        <f>VALUE(MID(A292,27,3))</f>
        <v/>
      </c>
      <c r="F292">
        <f>VALUE(MID(A292,31,FIND("@",A292)-31))</f>
        <v/>
      </c>
      <c r="G292">
        <f>VALUE(MID(A292,FIND("@",A292)+1,FIND("-",A292)-FIND("@",A292)-1))</f>
        <v/>
      </c>
      <c r="H292">
        <f>VALUE(MID(A292,FIND("-",A292)+1,FIND("%",A292)-FIND("-",A292)-1))</f>
        <v/>
      </c>
      <c r="I292">
        <f>RIGHT(A292,3)</f>
        <v/>
      </c>
    </row>
    <row r="293">
      <c r="A293" t="inlineStr">
        <is>
          <t>25.11.2025|SO10154|C0015|P101x25@430-5%|DEL</t>
        </is>
      </c>
      <c r="B293" s="1">
        <f>DATE(MID(A293,7,4),MID(A293,4,2),LEFT(A293,2))</f>
        <v/>
      </c>
      <c r="C293">
        <f>VALUE(MID(A293,14,5))</f>
        <v/>
      </c>
      <c r="D293">
        <f>MID(A293,21,4)</f>
        <v/>
      </c>
      <c r="E293">
        <f>VALUE(MID(A293,27,3))</f>
        <v/>
      </c>
      <c r="F293">
        <f>VALUE(MID(A293,31,FIND("@",A293)-31))</f>
        <v/>
      </c>
      <c r="G293">
        <f>VALUE(MID(A293,FIND("@",A293)+1,FIND("-",A293)-FIND("@",A293)-1))</f>
        <v/>
      </c>
      <c r="H293">
        <f>VALUE(MID(A293,FIND("-",A293)+1,FIND("%",A293)-FIND("-",A293)-1))</f>
        <v/>
      </c>
      <c r="I293">
        <f>RIGHT(A293,3)</f>
        <v/>
      </c>
    </row>
    <row r="294">
      <c r="A294" t="inlineStr">
        <is>
          <t>26.11.2025|SO10155|C0003|P107x10@380-5%|DEL</t>
        </is>
      </c>
      <c r="B294" s="1">
        <f>DATE(MID(A294,7,4),MID(A294,4,2),LEFT(A294,2))</f>
        <v/>
      </c>
      <c r="C294">
        <f>VALUE(MID(A294,14,5))</f>
        <v/>
      </c>
      <c r="D294">
        <f>MID(A294,21,4)</f>
        <v/>
      </c>
      <c r="E294">
        <f>VALUE(MID(A294,27,3))</f>
        <v/>
      </c>
      <c r="F294">
        <f>VALUE(MID(A294,31,FIND("@",A294)-31))</f>
        <v/>
      </c>
      <c r="G294">
        <f>VALUE(MID(A294,FIND("@",A294)+1,FIND("-",A294)-FIND("@",A294)-1))</f>
        <v/>
      </c>
      <c r="H294">
        <f>VALUE(MID(A294,FIND("-",A294)+1,FIND("%",A294)-FIND("-",A294)-1))</f>
        <v/>
      </c>
      <c r="I294">
        <f>RIGHT(A294,3)</f>
        <v/>
      </c>
    </row>
    <row r="295">
      <c r="A295" t="inlineStr">
        <is>
          <t>26.11.2025|SO10156|C0005|P101x15@430-0%|DEL</t>
        </is>
      </c>
      <c r="B295" s="1">
        <f>DATE(MID(A295,7,4),MID(A295,4,2),LEFT(A295,2))</f>
        <v/>
      </c>
      <c r="C295">
        <f>VALUE(MID(A295,14,5))</f>
        <v/>
      </c>
      <c r="D295">
        <f>MID(A295,21,4)</f>
        <v/>
      </c>
      <c r="E295">
        <f>VALUE(MID(A295,27,3))</f>
        <v/>
      </c>
      <c r="F295">
        <f>VALUE(MID(A295,31,FIND("@",A295)-31))</f>
        <v/>
      </c>
      <c r="G295">
        <f>VALUE(MID(A295,FIND("@",A295)+1,FIND("-",A295)-FIND("@",A295)-1))</f>
        <v/>
      </c>
      <c r="H295">
        <f>VALUE(MID(A295,FIND("-",A295)+1,FIND("%",A295)-FIND("-",A295)-1))</f>
        <v/>
      </c>
      <c r="I295">
        <f>RIGHT(A295,3)</f>
        <v/>
      </c>
    </row>
    <row r="296">
      <c r="A296" t="inlineStr">
        <is>
          <t>28.11.2025|SO10157|C0018|P101x40@430-0%|DEL</t>
        </is>
      </c>
      <c r="B296" s="1">
        <f>DATE(MID(A296,7,4),MID(A296,4,2),LEFT(A296,2))</f>
        <v/>
      </c>
      <c r="C296">
        <f>VALUE(MID(A296,14,5))</f>
        <v/>
      </c>
      <c r="D296">
        <f>MID(A296,21,4)</f>
        <v/>
      </c>
      <c r="E296">
        <f>VALUE(MID(A296,27,3))</f>
        <v/>
      </c>
      <c r="F296">
        <f>VALUE(MID(A296,31,FIND("@",A296)-31))</f>
        <v/>
      </c>
      <c r="G296">
        <f>VALUE(MID(A296,FIND("@",A296)+1,FIND("-",A296)-FIND("@",A296)-1))</f>
        <v/>
      </c>
      <c r="H296">
        <f>VALUE(MID(A296,FIND("-",A296)+1,FIND("%",A296)-FIND("-",A296)-1))</f>
        <v/>
      </c>
      <c r="I296">
        <f>RIGHT(A296,3)</f>
        <v/>
      </c>
    </row>
    <row r="297">
      <c r="A297" t="inlineStr">
        <is>
          <t>01.12.2025|SO10158|C0023|P103x5@115-0%|DEL</t>
        </is>
      </c>
      <c r="B297" s="1">
        <f>DATE(MID(A297,7,4),MID(A297,4,2),LEFT(A297,2))</f>
        <v/>
      </c>
      <c r="C297">
        <f>VALUE(MID(A297,14,5))</f>
        <v/>
      </c>
      <c r="D297">
        <f>MID(A297,21,4)</f>
        <v/>
      </c>
      <c r="E297">
        <f>VALUE(MID(A297,27,3))</f>
        <v/>
      </c>
      <c r="F297">
        <f>VALUE(MID(A297,31,FIND("@",A297)-31))</f>
        <v/>
      </c>
      <c r="G297">
        <f>VALUE(MID(A297,FIND("@",A297)+1,FIND("-",A297)-FIND("@",A297)-1))</f>
        <v/>
      </c>
      <c r="H297">
        <f>VALUE(MID(A297,FIND("-",A297)+1,FIND("%",A297)-FIND("-",A297)-1))</f>
        <v/>
      </c>
      <c r="I297">
        <f>RIGHT(A297,3)</f>
        <v/>
      </c>
    </row>
    <row r="298">
      <c r="A298" t="inlineStr">
        <is>
          <t>01.12.2025|SO10158|C0023|P104x40@620-0%|DEL</t>
        </is>
      </c>
      <c r="B298" s="1">
        <f>DATE(MID(A298,7,4),MID(A298,4,2),LEFT(A298,2))</f>
        <v/>
      </c>
      <c r="C298">
        <f>VALUE(MID(A298,14,5))</f>
        <v/>
      </c>
      <c r="D298">
        <f>MID(A298,21,4)</f>
        <v/>
      </c>
      <c r="E298">
        <f>VALUE(MID(A298,27,3))</f>
        <v/>
      </c>
      <c r="F298">
        <f>VALUE(MID(A298,31,FIND("@",A298)-31))</f>
        <v/>
      </c>
      <c r="G298">
        <f>VALUE(MID(A298,FIND("@",A298)+1,FIND("-",A298)-FIND("@",A298)-1))</f>
        <v/>
      </c>
      <c r="H298">
        <f>VALUE(MID(A298,FIND("-",A298)+1,FIND("%",A298)-FIND("-",A298)-1))</f>
        <v/>
      </c>
      <c r="I298">
        <f>RIGHT(A298,3)</f>
        <v/>
      </c>
    </row>
    <row r="299">
      <c r="A299" t="inlineStr">
        <is>
          <t>01.12.2025|SO10159|C0024|P101x35@430-10%|DEL</t>
        </is>
      </c>
      <c r="B299" s="1">
        <f>DATE(MID(A299,7,4),MID(A299,4,2),LEFT(A299,2))</f>
        <v/>
      </c>
      <c r="C299">
        <f>VALUE(MID(A299,14,5))</f>
        <v/>
      </c>
      <c r="D299">
        <f>MID(A299,21,4)</f>
        <v/>
      </c>
      <c r="E299">
        <f>VALUE(MID(A299,27,3))</f>
        <v/>
      </c>
      <c r="F299">
        <f>VALUE(MID(A299,31,FIND("@",A299)-31))</f>
        <v/>
      </c>
      <c r="G299">
        <f>VALUE(MID(A299,FIND("@",A299)+1,FIND("-",A299)-FIND("@",A299)-1))</f>
        <v/>
      </c>
      <c r="H299">
        <f>VALUE(MID(A299,FIND("-",A299)+1,FIND("%",A299)-FIND("-",A299)-1))</f>
        <v/>
      </c>
      <c r="I299">
        <f>RIGHT(A299,3)</f>
        <v/>
      </c>
    </row>
    <row r="300">
      <c r="A300" t="inlineStr">
        <is>
          <t>01.12.2025|SO10159|C0024|P102x35@750-5%|DEL</t>
        </is>
      </c>
      <c r="B300" s="1">
        <f>DATE(MID(A300,7,4),MID(A300,4,2),LEFT(A300,2))</f>
        <v/>
      </c>
      <c r="C300">
        <f>VALUE(MID(A300,14,5))</f>
        <v/>
      </c>
      <c r="D300">
        <f>MID(A300,21,4)</f>
        <v/>
      </c>
      <c r="E300">
        <f>VALUE(MID(A300,27,3))</f>
        <v/>
      </c>
      <c r="F300">
        <f>VALUE(MID(A300,31,FIND("@",A300)-31))</f>
        <v/>
      </c>
      <c r="G300">
        <f>VALUE(MID(A300,FIND("@",A300)+1,FIND("-",A300)-FIND("@",A300)-1))</f>
        <v/>
      </c>
      <c r="H300">
        <f>VALUE(MID(A300,FIND("-",A300)+1,FIND("%",A300)-FIND("-",A300)-1))</f>
        <v/>
      </c>
      <c r="I300">
        <f>RIGHT(A300,3)</f>
        <v/>
      </c>
    </row>
    <row r="301">
      <c r="A301" t="inlineStr">
        <is>
          <t>01.12.2025|SO10159|C0024|P108x30@290-8%|DEL</t>
        </is>
      </c>
      <c r="B301" s="1">
        <f>DATE(MID(A301,7,4),MID(A301,4,2),LEFT(A301,2))</f>
        <v/>
      </c>
      <c r="C301">
        <f>VALUE(MID(A301,14,5))</f>
        <v/>
      </c>
      <c r="D301">
        <f>MID(A301,21,4)</f>
        <v/>
      </c>
      <c r="E301">
        <f>VALUE(MID(A301,27,3))</f>
        <v/>
      </c>
      <c r="F301">
        <f>VALUE(MID(A301,31,FIND("@",A301)-31))</f>
        <v/>
      </c>
      <c r="G301">
        <f>VALUE(MID(A301,FIND("@",A301)+1,FIND("-",A301)-FIND("@",A301)-1))</f>
        <v/>
      </c>
      <c r="H301">
        <f>VALUE(MID(A301,FIND("-",A301)+1,FIND("%",A301)-FIND("-",A301)-1))</f>
        <v/>
      </c>
      <c r="I301">
        <f>RIGHT(A301,3)</f>
        <v/>
      </c>
    </row>
    <row r="302">
      <c r="A302" t="inlineStr">
        <is>
          <t>04.12.2025|SO10160|C0007|P101x15@430-12%|DEL</t>
        </is>
      </c>
      <c r="B302" s="1">
        <f>DATE(MID(A302,7,4),MID(A302,4,2),LEFT(A302,2))</f>
        <v/>
      </c>
      <c r="C302">
        <f>VALUE(MID(A302,14,5))</f>
        <v/>
      </c>
      <c r="D302">
        <f>MID(A302,21,4)</f>
        <v/>
      </c>
      <c r="E302">
        <f>VALUE(MID(A302,27,3))</f>
        <v/>
      </c>
      <c r="F302">
        <f>VALUE(MID(A302,31,FIND("@",A302)-31))</f>
        <v/>
      </c>
      <c r="G302">
        <f>VALUE(MID(A302,FIND("@",A302)+1,FIND("-",A302)-FIND("@",A302)-1))</f>
        <v/>
      </c>
      <c r="H302">
        <f>VALUE(MID(A302,FIND("-",A302)+1,FIND("%",A302)-FIND("-",A302)-1))</f>
        <v/>
      </c>
      <c r="I302">
        <f>RIGHT(A302,3)</f>
        <v/>
      </c>
    </row>
    <row r="303">
      <c r="A303" t="inlineStr">
        <is>
          <t>04.12.2025|SO10160|C0007|P108x15@290-5%|DEL</t>
        </is>
      </c>
      <c r="B303" s="1">
        <f>DATE(MID(A303,7,4),MID(A303,4,2),LEFT(A303,2))</f>
        <v/>
      </c>
      <c r="C303">
        <f>VALUE(MID(A303,14,5))</f>
        <v/>
      </c>
      <c r="D303">
        <f>MID(A303,21,4)</f>
        <v/>
      </c>
      <c r="E303">
        <f>VALUE(MID(A303,27,3))</f>
        <v/>
      </c>
      <c r="F303">
        <f>VALUE(MID(A303,31,FIND("@",A303)-31))</f>
        <v/>
      </c>
      <c r="G303">
        <f>VALUE(MID(A303,FIND("@",A303)+1,FIND("-",A303)-FIND("@",A303)-1))</f>
        <v/>
      </c>
      <c r="H303">
        <f>VALUE(MID(A303,FIND("-",A303)+1,FIND("%",A303)-FIND("-",A303)-1))</f>
        <v/>
      </c>
      <c r="I303">
        <f>RIGHT(A303,3)</f>
        <v/>
      </c>
    </row>
    <row r="304">
      <c r="A304" t="inlineStr">
        <is>
          <t>05.12.2025|SO10161|C0001|P103x25@115-0%|DEL</t>
        </is>
      </c>
      <c r="B304" s="1">
        <f>DATE(MID(A304,7,4),MID(A304,4,2),LEFT(A304,2))</f>
        <v/>
      </c>
      <c r="C304">
        <f>VALUE(MID(A304,14,5))</f>
        <v/>
      </c>
      <c r="D304">
        <f>MID(A304,21,4)</f>
        <v/>
      </c>
      <c r="E304">
        <f>VALUE(MID(A304,27,3))</f>
        <v/>
      </c>
      <c r="F304">
        <f>VALUE(MID(A304,31,FIND("@",A304)-31))</f>
        <v/>
      </c>
      <c r="G304">
        <f>VALUE(MID(A304,FIND("@",A304)+1,FIND("-",A304)-FIND("@",A304)-1))</f>
        <v/>
      </c>
      <c r="H304">
        <f>VALUE(MID(A304,FIND("-",A304)+1,FIND("%",A304)-FIND("-",A304)-1))</f>
        <v/>
      </c>
      <c r="I304">
        <f>RIGHT(A304,3)</f>
        <v/>
      </c>
    </row>
    <row r="305">
      <c r="A305" t="inlineStr">
        <is>
          <t>05.12.2025|SO10161|C0001|P107x30@380-5%|DEL</t>
        </is>
      </c>
      <c r="B305" s="1">
        <f>DATE(MID(A305,7,4),MID(A305,4,2),LEFT(A305,2))</f>
        <v/>
      </c>
      <c r="C305">
        <f>VALUE(MID(A305,14,5))</f>
        <v/>
      </c>
      <c r="D305">
        <f>MID(A305,21,4)</f>
        <v/>
      </c>
      <c r="E305">
        <f>VALUE(MID(A305,27,3))</f>
        <v/>
      </c>
      <c r="F305">
        <f>VALUE(MID(A305,31,FIND("@",A305)-31))</f>
        <v/>
      </c>
      <c r="G305">
        <f>VALUE(MID(A305,FIND("@",A305)+1,FIND("-",A305)-FIND("@",A305)-1))</f>
        <v/>
      </c>
      <c r="H305">
        <f>VALUE(MID(A305,FIND("-",A305)+1,FIND("%",A305)-FIND("-",A305)-1))</f>
        <v/>
      </c>
      <c r="I305">
        <f>RIGHT(A305,3)</f>
        <v/>
      </c>
    </row>
    <row r="306">
      <c r="A306" t="inlineStr">
        <is>
          <t>08.12.2025|SO10162|C0007|P101x35@430-5%|DEL</t>
        </is>
      </c>
      <c r="B306" s="1">
        <f>DATE(MID(A306,7,4),MID(A306,4,2),LEFT(A306,2))</f>
        <v/>
      </c>
      <c r="C306">
        <f>VALUE(MID(A306,14,5))</f>
        <v/>
      </c>
      <c r="D306">
        <f>MID(A306,21,4)</f>
        <v/>
      </c>
      <c r="E306">
        <f>VALUE(MID(A306,27,3))</f>
        <v/>
      </c>
      <c r="F306">
        <f>VALUE(MID(A306,31,FIND("@",A306)-31))</f>
        <v/>
      </c>
      <c r="G306">
        <f>VALUE(MID(A306,FIND("@",A306)+1,FIND("-",A306)-FIND("@",A306)-1))</f>
        <v/>
      </c>
      <c r="H306">
        <f>VALUE(MID(A306,FIND("-",A306)+1,FIND("%",A306)-FIND("-",A306)-1))</f>
        <v/>
      </c>
      <c r="I306">
        <f>RIGHT(A306,3)</f>
        <v/>
      </c>
    </row>
    <row r="307">
      <c r="A307" t="inlineStr">
        <is>
          <t>08.12.2025|SO10162|C0007|P105x40@1400-8%|DEL</t>
        </is>
      </c>
      <c r="B307" s="1">
        <f>DATE(MID(A307,7,4),MID(A307,4,2),LEFT(A307,2))</f>
        <v/>
      </c>
      <c r="C307">
        <f>VALUE(MID(A307,14,5))</f>
        <v/>
      </c>
      <c r="D307">
        <f>MID(A307,21,4)</f>
        <v/>
      </c>
      <c r="E307">
        <f>VALUE(MID(A307,27,3))</f>
        <v/>
      </c>
      <c r="F307">
        <f>VALUE(MID(A307,31,FIND("@",A307)-31))</f>
        <v/>
      </c>
      <c r="G307">
        <f>VALUE(MID(A307,FIND("@",A307)+1,FIND("-",A307)-FIND("@",A307)-1))</f>
        <v/>
      </c>
      <c r="H307">
        <f>VALUE(MID(A307,FIND("-",A307)+1,FIND("%",A307)-FIND("-",A307)-1))</f>
        <v/>
      </c>
      <c r="I307">
        <f>RIGHT(A307,3)</f>
        <v/>
      </c>
    </row>
    <row r="308">
      <c r="A308" t="inlineStr">
        <is>
          <t>10.12.2025|SO10163|C0004|P108x15@290-12%|DEL</t>
        </is>
      </c>
      <c r="B308" s="1">
        <f>DATE(MID(A308,7,4),MID(A308,4,2),LEFT(A308,2))</f>
        <v/>
      </c>
      <c r="C308">
        <f>VALUE(MID(A308,14,5))</f>
        <v/>
      </c>
      <c r="D308">
        <f>MID(A308,21,4)</f>
        <v/>
      </c>
      <c r="E308">
        <f>VALUE(MID(A308,27,3))</f>
        <v/>
      </c>
      <c r="F308">
        <f>VALUE(MID(A308,31,FIND("@",A308)-31))</f>
        <v/>
      </c>
      <c r="G308">
        <f>VALUE(MID(A308,FIND("@",A308)+1,FIND("-",A308)-FIND("@",A308)-1))</f>
        <v/>
      </c>
      <c r="H308">
        <f>VALUE(MID(A308,FIND("-",A308)+1,FIND("%",A308)-FIND("-",A308)-1))</f>
        <v/>
      </c>
      <c r="I308">
        <f>RIGHT(A308,3)</f>
        <v/>
      </c>
    </row>
    <row r="309">
      <c r="A309" t="inlineStr">
        <is>
          <t>10.12.2025|SO10164|C0019|P101x10@430-10%|DEL</t>
        </is>
      </c>
      <c r="B309" s="1">
        <f>DATE(MID(A309,7,4),MID(A309,4,2),LEFT(A309,2))</f>
        <v/>
      </c>
      <c r="C309">
        <f>VALUE(MID(A309,14,5))</f>
        <v/>
      </c>
      <c r="D309">
        <f>MID(A309,21,4)</f>
        <v/>
      </c>
      <c r="E309">
        <f>VALUE(MID(A309,27,3))</f>
        <v/>
      </c>
      <c r="F309">
        <f>VALUE(MID(A309,31,FIND("@",A309)-31))</f>
        <v/>
      </c>
      <c r="G309">
        <f>VALUE(MID(A309,FIND("@",A309)+1,FIND("-",A309)-FIND("@",A309)-1))</f>
        <v/>
      </c>
      <c r="H309">
        <f>VALUE(MID(A309,FIND("-",A309)+1,FIND("%",A309)-FIND("-",A309)-1))</f>
        <v/>
      </c>
      <c r="I309">
        <f>RIGHT(A309,3)</f>
        <v/>
      </c>
    </row>
    <row r="310">
      <c r="A310" t="inlineStr">
        <is>
          <t>12.12.2025|SO10165|C0024|P102x15@750-12%|DEL</t>
        </is>
      </c>
      <c r="B310" s="1">
        <f>DATE(MID(A310,7,4),MID(A310,4,2),LEFT(A310,2))</f>
        <v/>
      </c>
      <c r="C310">
        <f>VALUE(MID(A310,14,5))</f>
        <v/>
      </c>
      <c r="D310">
        <f>MID(A310,21,4)</f>
        <v/>
      </c>
      <c r="E310">
        <f>VALUE(MID(A310,27,3))</f>
        <v/>
      </c>
      <c r="F310">
        <f>VALUE(MID(A310,31,FIND("@",A310)-31))</f>
        <v/>
      </c>
      <c r="G310">
        <f>VALUE(MID(A310,FIND("@",A310)+1,FIND("-",A310)-FIND("@",A310)-1))</f>
        <v/>
      </c>
      <c r="H310">
        <f>VALUE(MID(A310,FIND("-",A310)+1,FIND("%",A310)-FIND("-",A310)-1))</f>
        <v/>
      </c>
      <c r="I310">
        <f>RIGHT(A310,3)</f>
        <v/>
      </c>
    </row>
    <row r="311">
      <c r="A311" t="inlineStr">
        <is>
          <t>12.12.2025|SO10165|C0024|P108x35@290-10%|DEL</t>
        </is>
      </c>
      <c r="B311" s="1">
        <f>DATE(MID(A311,7,4),MID(A311,4,2),LEFT(A311,2))</f>
        <v/>
      </c>
      <c r="C311">
        <f>VALUE(MID(A311,14,5))</f>
        <v/>
      </c>
      <c r="D311">
        <f>MID(A311,21,4)</f>
        <v/>
      </c>
      <c r="E311">
        <f>VALUE(MID(A311,27,3))</f>
        <v/>
      </c>
      <c r="F311">
        <f>VALUE(MID(A311,31,FIND("@",A311)-31))</f>
        <v/>
      </c>
      <c r="G311">
        <f>VALUE(MID(A311,FIND("@",A311)+1,FIND("-",A311)-FIND("@",A311)-1))</f>
        <v/>
      </c>
      <c r="H311">
        <f>VALUE(MID(A311,FIND("-",A311)+1,FIND("%",A311)-FIND("-",A311)-1))</f>
        <v/>
      </c>
      <c r="I311">
        <f>RIGHT(A311,3)</f>
        <v/>
      </c>
    </row>
    <row r="312">
      <c r="A312" t="inlineStr">
        <is>
          <t>13.12.2025|SO10166|C0023|P101x10@430-0%|DEL</t>
        </is>
      </c>
      <c r="B312" s="1">
        <f>DATE(MID(A312,7,4),MID(A312,4,2),LEFT(A312,2))</f>
        <v/>
      </c>
      <c r="C312">
        <f>VALUE(MID(A312,14,5))</f>
        <v/>
      </c>
      <c r="D312">
        <f>MID(A312,21,4)</f>
        <v/>
      </c>
      <c r="E312">
        <f>VALUE(MID(A312,27,3))</f>
        <v/>
      </c>
      <c r="F312">
        <f>VALUE(MID(A312,31,FIND("@",A312)-31))</f>
        <v/>
      </c>
      <c r="G312">
        <f>VALUE(MID(A312,FIND("@",A312)+1,FIND("-",A312)-FIND("@",A312)-1))</f>
        <v/>
      </c>
      <c r="H312">
        <f>VALUE(MID(A312,FIND("-",A312)+1,FIND("%",A312)-FIND("-",A312)-1))</f>
        <v/>
      </c>
      <c r="I312">
        <f>RIGHT(A312,3)</f>
        <v/>
      </c>
    </row>
    <row r="313">
      <c r="A313" t="inlineStr">
        <is>
          <t>13.12.2025|SO10166|C0023|P104x50@620-0%|DEL</t>
        </is>
      </c>
      <c r="B313" s="1">
        <f>DATE(MID(A313,7,4),MID(A313,4,2),LEFT(A313,2))</f>
        <v/>
      </c>
      <c r="C313">
        <f>VALUE(MID(A313,14,5))</f>
        <v/>
      </c>
      <c r="D313">
        <f>MID(A313,21,4)</f>
        <v/>
      </c>
      <c r="E313">
        <f>VALUE(MID(A313,27,3))</f>
        <v/>
      </c>
      <c r="F313">
        <f>VALUE(MID(A313,31,FIND("@",A313)-31))</f>
        <v/>
      </c>
      <c r="G313">
        <f>VALUE(MID(A313,FIND("@",A313)+1,FIND("-",A313)-FIND("@",A313)-1))</f>
        <v/>
      </c>
      <c r="H313">
        <f>VALUE(MID(A313,FIND("-",A313)+1,FIND("%",A313)-FIND("-",A313)-1))</f>
        <v/>
      </c>
      <c r="I313">
        <f>RIGHT(A313,3)</f>
        <v/>
      </c>
    </row>
    <row r="314">
      <c r="A314" t="inlineStr">
        <is>
          <t>14.12.2025|SO10167|C0011|P101x35@430-10%|DEL</t>
        </is>
      </c>
      <c r="B314" s="1">
        <f>DATE(MID(A314,7,4),MID(A314,4,2),LEFT(A314,2))</f>
        <v/>
      </c>
      <c r="C314">
        <f>VALUE(MID(A314,14,5))</f>
        <v/>
      </c>
      <c r="D314">
        <f>MID(A314,21,4)</f>
        <v/>
      </c>
      <c r="E314">
        <f>VALUE(MID(A314,27,3))</f>
        <v/>
      </c>
      <c r="F314">
        <f>VALUE(MID(A314,31,FIND("@",A314)-31))</f>
        <v/>
      </c>
      <c r="G314">
        <f>VALUE(MID(A314,FIND("@",A314)+1,FIND("-",A314)-FIND("@",A314)-1))</f>
        <v/>
      </c>
      <c r="H314">
        <f>VALUE(MID(A314,FIND("-",A314)+1,FIND("%",A314)-FIND("-",A314)-1))</f>
        <v/>
      </c>
      <c r="I314">
        <f>RIGHT(A314,3)</f>
        <v/>
      </c>
    </row>
    <row r="315">
      <c r="A315" t="inlineStr">
        <is>
          <t>14.12.2025|SO10167|C0011|P108x20@290-10%|DEL</t>
        </is>
      </c>
      <c r="B315" s="1">
        <f>DATE(MID(A315,7,4),MID(A315,4,2),LEFT(A315,2))</f>
        <v/>
      </c>
      <c r="C315">
        <f>VALUE(MID(A315,14,5))</f>
        <v/>
      </c>
      <c r="D315">
        <f>MID(A315,21,4)</f>
        <v/>
      </c>
      <c r="E315">
        <f>VALUE(MID(A315,27,3))</f>
        <v/>
      </c>
      <c r="F315">
        <f>VALUE(MID(A315,31,FIND("@",A315)-31))</f>
        <v/>
      </c>
      <c r="G315">
        <f>VALUE(MID(A315,FIND("@",A315)+1,FIND("-",A315)-FIND("@",A315)-1))</f>
        <v/>
      </c>
      <c r="H315">
        <f>VALUE(MID(A315,FIND("-",A315)+1,FIND("%",A315)-FIND("-",A315)-1))</f>
        <v/>
      </c>
      <c r="I315">
        <f>RIGHT(A315,3)</f>
        <v/>
      </c>
    </row>
    <row r="316">
      <c r="A316" t="inlineStr">
        <is>
          <t>16.12.2025|SO10168|C0005|P101x35@430-0%|DEL</t>
        </is>
      </c>
      <c r="B316" s="1">
        <f>DATE(MID(A316,7,4),MID(A316,4,2),LEFT(A316,2))</f>
        <v/>
      </c>
      <c r="C316">
        <f>VALUE(MID(A316,14,5))</f>
        <v/>
      </c>
      <c r="D316">
        <f>MID(A316,21,4)</f>
        <v/>
      </c>
      <c r="E316">
        <f>VALUE(MID(A316,27,3))</f>
        <v/>
      </c>
      <c r="F316">
        <f>VALUE(MID(A316,31,FIND("@",A316)-31))</f>
        <v/>
      </c>
      <c r="G316">
        <f>VALUE(MID(A316,FIND("@",A316)+1,FIND("-",A316)-FIND("@",A316)-1))</f>
        <v/>
      </c>
      <c r="H316">
        <f>VALUE(MID(A316,FIND("-",A316)+1,FIND("%",A316)-FIND("-",A316)-1))</f>
        <v/>
      </c>
      <c r="I316">
        <f>RIGHT(A316,3)</f>
        <v/>
      </c>
    </row>
    <row r="317">
      <c r="A317" t="inlineStr">
        <is>
          <t>16.12.2025|SO10168|C0005|P103x20@115-0%|DEL</t>
        </is>
      </c>
      <c r="B317" s="1">
        <f>DATE(MID(A317,7,4),MID(A317,4,2),LEFT(A317,2))</f>
        <v/>
      </c>
      <c r="C317">
        <f>VALUE(MID(A317,14,5))</f>
        <v/>
      </c>
      <c r="D317">
        <f>MID(A317,21,4)</f>
        <v/>
      </c>
      <c r="E317">
        <f>VALUE(MID(A317,27,3))</f>
        <v/>
      </c>
      <c r="F317">
        <f>VALUE(MID(A317,31,FIND("@",A317)-31))</f>
        <v/>
      </c>
      <c r="G317">
        <f>VALUE(MID(A317,FIND("@",A317)+1,FIND("-",A317)-FIND("@",A317)-1))</f>
        <v/>
      </c>
      <c r="H317">
        <f>VALUE(MID(A317,FIND("-",A317)+1,FIND("%",A317)-FIND("-",A317)-1))</f>
        <v/>
      </c>
      <c r="I317">
        <f>RIGHT(A317,3)</f>
        <v/>
      </c>
    </row>
    <row r="318">
      <c r="A318" t="inlineStr">
        <is>
          <t>16.12.2025|SO10169|C0018|P101x25@430-5%|DEL</t>
        </is>
      </c>
      <c r="B318" s="1">
        <f>DATE(MID(A318,7,4),MID(A318,4,2),LEFT(A318,2))</f>
        <v/>
      </c>
      <c r="C318">
        <f>VALUE(MID(A318,14,5))</f>
        <v/>
      </c>
      <c r="D318">
        <f>MID(A318,21,4)</f>
        <v/>
      </c>
      <c r="E318">
        <f>VALUE(MID(A318,27,3))</f>
        <v/>
      </c>
      <c r="F318">
        <f>VALUE(MID(A318,31,FIND("@",A318)-31))</f>
        <v/>
      </c>
      <c r="G318">
        <f>VALUE(MID(A318,FIND("@",A318)+1,FIND("-",A318)-FIND("@",A318)-1))</f>
        <v/>
      </c>
      <c r="H318">
        <f>VALUE(MID(A318,FIND("-",A318)+1,FIND("%",A318)-FIND("-",A318)-1))</f>
        <v/>
      </c>
      <c r="I318">
        <f>RIGHT(A318,3)</f>
        <v/>
      </c>
    </row>
    <row r="319">
      <c r="A319" t="inlineStr">
        <is>
          <t>16.12.2025|SO10169|C0018|P104x30@620-0%|DEL</t>
        </is>
      </c>
      <c r="B319" s="1">
        <f>DATE(MID(A319,7,4),MID(A319,4,2),LEFT(A319,2))</f>
        <v/>
      </c>
      <c r="C319">
        <f>VALUE(MID(A319,14,5))</f>
        <v/>
      </c>
      <c r="D319">
        <f>MID(A319,21,4)</f>
        <v/>
      </c>
      <c r="E319">
        <f>VALUE(MID(A319,27,3))</f>
        <v/>
      </c>
      <c r="F319">
        <f>VALUE(MID(A319,31,FIND("@",A319)-31))</f>
        <v/>
      </c>
      <c r="G319">
        <f>VALUE(MID(A319,FIND("@",A319)+1,FIND("-",A319)-FIND("@",A319)-1))</f>
        <v/>
      </c>
      <c r="H319">
        <f>VALUE(MID(A319,FIND("-",A319)+1,FIND("%",A319)-FIND("-",A319)-1))</f>
        <v/>
      </c>
      <c r="I319">
        <f>RIGHT(A319,3)</f>
        <v/>
      </c>
    </row>
    <row r="320">
      <c r="A320" t="inlineStr">
        <is>
          <t>16.12.2025|SO10169|C0018|P108x25@290-5%|DEL</t>
        </is>
      </c>
      <c r="B320" s="1">
        <f>DATE(MID(A320,7,4),MID(A320,4,2),LEFT(A320,2))</f>
        <v/>
      </c>
      <c r="C320">
        <f>VALUE(MID(A320,14,5))</f>
        <v/>
      </c>
      <c r="D320">
        <f>MID(A320,21,4)</f>
        <v/>
      </c>
      <c r="E320">
        <f>VALUE(MID(A320,27,3))</f>
        <v/>
      </c>
      <c r="F320">
        <f>VALUE(MID(A320,31,FIND("@",A320)-31))</f>
        <v/>
      </c>
      <c r="G320">
        <f>VALUE(MID(A320,FIND("@",A320)+1,FIND("-",A320)-FIND("@",A320)-1))</f>
        <v/>
      </c>
      <c r="H320">
        <f>VALUE(MID(A320,FIND("-",A320)+1,FIND("%",A320)-FIND("-",A320)-1))</f>
        <v/>
      </c>
      <c r="I320">
        <f>RIGHT(A320,3)</f>
        <v/>
      </c>
    </row>
    <row r="321">
      <c r="A321" t="inlineStr">
        <is>
          <t>16.12.2025|SO10170|C0021|P101x35@430-0%|DEL</t>
        </is>
      </c>
      <c r="B321" s="1">
        <f>DATE(MID(A321,7,4),MID(A321,4,2),LEFT(A321,2))</f>
        <v/>
      </c>
      <c r="C321">
        <f>VALUE(MID(A321,14,5))</f>
        <v/>
      </c>
      <c r="D321">
        <f>MID(A321,21,4)</f>
        <v/>
      </c>
      <c r="E321">
        <f>VALUE(MID(A321,27,3))</f>
        <v/>
      </c>
      <c r="F321">
        <f>VALUE(MID(A321,31,FIND("@",A321)-31))</f>
        <v/>
      </c>
      <c r="G321">
        <f>VALUE(MID(A321,FIND("@",A321)+1,FIND("-",A321)-FIND("@",A321)-1))</f>
        <v/>
      </c>
      <c r="H321">
        <f>VALUE(MID(A321,FIND("-",A321)+1,FIND("%",A321)-FIND("-",A321)-1))</f>
        <v/>
      </c>
      <c r="I321">
        <f>RIGHT(A321,3)</f>
        <v/>
      </c>
    </row>
    <row r="322">
      <c r="A322" t="inlineStr">
        <is>
          <t>16.12.2025|SO10170|C0021|P104x35@620-0%|DEL</t>
        </is>
      </c>
      <c r="B322" s="1">
        <f>DATE(MID(A322,7,4),MID(A322,4,2),LEFT(A322,2))</f>
        <v/>
      </c>
      <c r="C322">
        <f>VALUE(MID(A322,14,5))</f>
        <v/>
      </c>
      <c r="D322">
        <f>MID(A322,21,4)</f>
        <v/>
      </c>
      <c r="E322">
        <f>VALUE(MID(A322,27,3))</f>
        <v/>
      </c>
      <c r="F322">
        <f>VALUE(MID(A322,31,FIND("@",A322)-31))</f>
        <v/>
      </c>
      <c r="G322">
        <f>VALUE(MID(A322,FIND("@",A322)+1,FIND("-",A322)-FIND("@",A322)-1))</f>
        <v/>
      </c>
      <c r="H322">
        <f>VALUE(MID(A322,FIND("-",A322)+1,FIND("%",A322)-FIND("-",A322)-1))</f>
        <v/>
      </c>
      <c r="I322">
        <f>RIGHT(A322,3)</f>
        <v/>
      </c>
    </row>
    <row r="323">
      <c r="A323" t="inlineStr">
        <is>
          <t>17.12.2025|SO10171|C0014|P101x30@430-8%|DEL</t>
        </is>
      </c>
      <c r="B323" s="1">
        <f>DATE(MID(A323,7,4),MID(A323,4,2),LEFT(A323,2))</f>
        <v/>
      </c>
      <c r="C323">
        <f>VALUE(MID(A323,14,5))</f>
        <v/>
      </c>
      <c r="D323">
        <f>MID(A323,21,4)</f>
        <v/>
      </c>
      <c r="E323">
        <f>VALUE(MID(A323,27,3))</f>
        <v/>
      </c>
      <c r="F323">
        <f>VALUE(MID(A323,31,FIND("@",A323)-31))</f>
        <v/>
      </c>
      <c r="G323">
        <f>VALUE(MID(A323,FIND("@",A323)+1,FIND("-",A323)-FIND("@",A323)-1))</f>
        <v/>
      </c>
      <c r="H323">
        <f>VALUE(MID(A323,FIND("-",A323)+1,FIND("%",A323)-FIND("-",A323)-1))</f>
        <v/>
      </c>
      <c r="I323">
        <f>RIGHT(A323,3)</f>
        <v/>
      </c>
    </row>
    <row r="324">
      <c r="A324" t="inlineStr">
        <is>
          <t>17.12.2025|SO10171|C0014|P105x20@1400-8%|DEL</t>
        </is>
      </c>
      <c r="B324" s="1">
        <f>DATE(MID(A324,7,4),MID(A324,4,2),LEFT(A324,2))</f>
        <v/>
      </c>
      <c r="C324">
        <f>VALUE(MID(A324,14,5))</f>
        <v/>
      </c>
      <c r="D324">
        <f>MID(A324,21,4)</f>
        <v/>
      </c>
      <c r="E324">
        <f>VALUE(MID(A324,27,3))</f>
        <v/>
      </c>
      <c r="F324">
        <f>VALUE(MID(A324,31,FIND("@",A324)-31))</f>
        <v/>
      </c>
      <c r="G324">
        <f>VALUE(MID(A324,FIND("@",A324)+1,FIND("-",A324)-FIND("@",A324)-1))</f>
        <v/>
      </c>
      <c r="H324">
        <f>VALUE(MID(A324,FIND("-",A324)+1,FIND("%",A324)-FIND("-",A324)-1))</f>
        <v/>
      </c>
      <c r="I324">
        <f>RIGHT(A324,3)</f>
        <v/>
      </c>
    </row>
    <row r="325">
      <c r="A325" t="inlineStr">
        <is>
          <t>18.12.2025|SO10172|C0015|P107x50@380-5%|DEL</t>
        </is>
      </c>
      <c r="B325" s="1">
        <f>DATE(MID(A325,7,4),MID(A325,4,2),LEFT(A325,2))</f>
        <v/>
      </c>
      <c r="C325">
        <f>VALUE(MID(A325,14,5))</f>
        <v/>
      </c>
      <c r="D325">
        <f>MID(A325,21,4)</f>
        <v/>
      </c>
      <c r="E325">
        <f>VALUE(MID(A325,27,3))</f>
        <v/>
      </c>
      <c r="F325">
        <f>VALUE(MID(A325,31,FIND("@",A325)-31))</f>
        <v/>
      </c>
      <c r="G325">
        <f>VALUE(MID(A325,FIND("@",A325)+1,FIND("-",A325)-FIND("@",A325)-1))</f>
        <v/>
      </c>
      <c r="H325">
        <f>VALUE(MID(A325,FIND("-",A325)+1,FIND("%",A325)-FIND("-",A325)-1))</f>
        <v/>
      </c>
      <c r="I325">
        <f>RIGHT(A325,3)</f>
        <v/>
      </c>
    </row>
    <row r="326">
      <c r="A326" t="inlineStr">
        <is>
          <t>18.12.2025|SO10172|C0015|P108x20@290-0%|DEL</t>
        </is>
      </c>
      <c r="B326" s="1">
        <f>DATE(MID(A326,7,4),MID(A326,4,2),LEFT(A326,2))</f>
        <v/>
      </c>
      <c r="C326">
        <f>VALUE(MID(A326,14,5))</f>
        <v/>
      </c>
      <c r="D326">
        <f>MID(A326,21,4)</f>
        <v/>
      </c>
      <c r="E326">
        <f>VALUE(MID(A326,27,3))</f>
        <v/>
      </c>
      <c r="F326">
        <f>VALUE(MID(A326,31,FIND("@",A326)-31))</f>
        <v/>
      </c>
      <c r="G326">
        <f>VALUE(MID(A326,FIND("@",A326)+1,FIND("-",A326)-FIND("@",A326)-1))</f>
        <v/>
      </c>
      <c r="H326">
        <f>VALUE(MID(A326,FIND("-",A326)+1,FIND("%",A326)-FIND("-",A326)-1))</f>
        <v/>
      </c>
      <c r="I326">
        <f>RIGHT(A326,3)</f>
        <v/>
      </c>
    </row>
    <row r="327">
      <c r="A327" t="inlineStr">
        <is>
          <t>19.12.2025|SO10173|C0012|P103x50@115-0%|DEL</t>
        </is>
      </c>
      <c r="B327" s="1">
        <f>DATE(MID(A327,7,4),MID(A327,4,2),LEFT(A327,2))</f>
        <v/>
      </c>
      <c r="C327">
        <f>VALUE(MID(A327,14,5))</f>
        <v/>
      </c>
      <c r="D327">
        <f>MID(A327,21,4)</f>
        <v/>
      </c>
      <c r="E327">
        <f>VALUE(MID(A327,27,3))</f>
        <v/>
      </c>
      <c r="F327">
        <f>VALUE(MID(A327,31,FIND("@",A327)-31))</f>
        <v/>
      </c>
      <c r="G327">
        <f>VALUE(MID(A327,FIND("@",A327)+1,FIND("-",A327)-FIND("@",A327)-1))</f>
        <v/>
      </c>
      <c r="H327">
        <f>VALUE(MID(A327,FIND("-",A327)+1,FIND("%",A327)-FIND("-",A327)-1))</f>
        <v/>
      </c>
      <c r="I327">
        <f>RIGHT(A327,3)</f>
        <v/>
      </c>
    </row>
    <row r="328">
      <c r="A328" t="inlineStr">
        <is>
          <t>21.12.2025|SO10174|C0009|P108x10@290-5%|PND</t>
        </is>
      </c>
      <c r="B328" s="1">
        <f>DATE(MID(A328,7,4),MID(A328,4,2),LEFT(A328,2))</f>
        <v/>
      </c>
      <c r="C328">
        <f>VALUE(MID(A328,14,5))</f>
        <v/>
      </c>
      <c r="D328">
        <f>MID(A328,21,4)</f>
        <v/>
      </c>
      <c r="E328">
        <f>VALUE(MID(A328,27,3))</f>
        <v/>
      </c>
      <c r="F328">
        <f>VALUE(MID(A328,31,FIND("@",A328)-31))</f>
        <v/>
      </c>
      <c r="G328">
        <f>VALUE(MID(A328,FIND("@",A328)+1,FIND("-",A328)-FIND("@",A328)-1))</f>
        <v/>
      </c>
      <c r="H328">
        <f>VALUE(MID(A328,FIND("-",A328)+1,FIND("%",A328)-FIND("-",A328)-1))</f>
        <v/>
      </c>
      <c r="I328">
        <f>RIGHT(A328,3)</f>
        <v/>
      </c>
    </row>
    <row r="329">
      <c r="A329" t="inlineStr">
        <is>
          <t>23.12.2025|SO10175|C0017|P101x55@430-0%|SHP</t>
        </is>
      </c>
      <c r="B329" s="1">
        <f>DATE(MID(A329,7,4),MID(A329,4,2),LEFT(A329,2))</f>
        <v/>
      </c>
      <c r="C329">
        <f>VALUE(MID(A329,14,5))</f>
        <v/>
      </c>
      <c r="D329">
        <f>MID(A329,21,4)</f>
        <v/>
      </c>
      <c r="E329">
        <f>VALUE(MID(A329,27,3))</f>
        <v/>
      </c>
      <c r="F329">
        <f>VALUE(MID(A329,31,FIND("@",A329)-31))</f>
        <v/>
      </c>
      <c r="G329">
        <f>VALUE(MID(A329,FIND("@",A329)+1,FIND("-",A329)-FIND("@",A329)-1))</f>
        <v/>
      </c>
      <c r="H329">
        <f>VALUE(MID(A329,FIND("-",A329)+1,FIND("%",A329)-FIND("-",A329)-1))</f>
        <v/>
      </c>
      <c r="I329">
        <f>RIGHT(A329,3)</f>
        <v/>
      </c>
    </row>
    <row r="330">
      <c r="A330" t="inlineStr">
        <is>
          <t>23.12.2025|SO10175|C0017|P107x15@380-0%|SHP</t>
        </is>
      </c>
      <c r="B330" s="1">
        <f>DATE(MID(A330,7,4),MID(A330,4,2),LEFT(A330,2))</f>
        <v/>
      </c>
      <c r="C330">
        <f>VALUE(MID(A330,14,5))</f>
        <v/>
      </c>
      <c r="D330">
        <f>MID(A330,21,4)</f>
        <v/>
      </c>
      <c r="E330">
        <f>VALUE(MID(A330,27,3))</f>
        <v/>
      </c>
      <c r="F330">
        <f>VALUE(MID(A330,31,FIND("@",A330)-31))</f>
        <v/>
      </c>
      <c r="G330">
        <f>VALUE(MID(A330,FIND("@",A330)+1,FIND("-",A330)-FIND("@",A330)-1))</f>
        <v/>
      </c>
      <c r="H330">
        <f>VALUE(MID(A330,FIND("-",A330)+1,FIND("%",A330)-FIND("-",A330)-1))</f>
        <v/>
      </c>
      <c r="I330">
        <f>RIGHT(A330,3)</f>
        <v/>
      </c>
    </row>
    <row r="331">
      <c r="A331" t="inlineStr">
        <is>
          <t>23.12.2025|SO10175|C0017|P108x30@290-0%|SHP</t>
        </is>
      </c>
      <c r="B331" s="1">
        <f>DATE(MID(A331,7,4),MID(A331,4,2),LEFT(A331,2))</f>
        <v/>
      </c>
      <c r="C331">
        <f>VALUE(MID(A331,14,5))</f>
        <v/>
      </c>
      <c r="D331">
        <f>MID(A331,21,4)</f>
        <v/>
      </c>
      <c r="E331">
        <f>VALUE(MID(A331,27,3))</f>
        <v/>
      </c>
      <c r="F331">
        <f>VALUE(MID(A331,31,FIND("@",A331)-31))</f>
        <v/>
      </c>
      <c r="G331">
        <f>VALUE(MID(A331,FIND("@",A331)+1,FIND("-",A331)-FIND("@",A331)-1))</f>
        <v/>
      </c>
      <c r="H331">
        <f>VALUE(MID(A331,FIND("-",A331)+1,FIND("%",A331)-FIND("-",A331)-1))</f>
        <v/>
      </c>
      <c r="I331">
        <f>RIGHT(A331,3)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opening_stock</t>
        </is>
      </c>
      <c r="B1" t="n">
        <v>300</v>
      </c>
    </row>
    <row r="2">
      <c r="A2" t="inlineStr">
        <is>
          <t>product_id</t>
        </is>
      </c>
      <c r="B2" t="n">
        <v>101</v>
      </c>
    </row>
    <row r="3">
      <c r="A3" t="inlineStr">
        <is>
          <t>rop</t>
        </is>
      </c>
      <c r="B3" t="n">
        <v>100</v>
      </c>
    </row>
    <row r="4">
      <c r="A4" t="inlineStr">
        <is>
          <t>q</t>
        </is>
      </c>
      <c r="B4" t="n">
        <v>250</v>
      </c>
    </row>
    <row r="5">
      <c r="A5" t="inlineStr">
        <is>
          <t>lead_days</t>
        </is>
      </c>
      <c r="B5" t="n">
        <v>7</v>
      </c>
    </row>
    <row r="6">
      <c r="A6" t="inlineStr">
        <is>
          <t>holding_per_unit_day</t>
        </is>
      </c>
      <c r="B6" t="n">
        <v>1</v>
      </c>
    </row>
    <row r="7">
      <c r="A7" t="inlineStr">
        <is>
          <t>shortage_per_unit_day</t>
        </is>
      </c>
      <c r="B7" t="n">
        <v>20</v>
      </c>
    </row>
    <row r="8">
      <c r="A8" t="inlineStr">
        <is>
          <t>cost_per_po</t>
        </is>
      </c>
      <c r="B8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demand</t>
        </is>
      </c>
      <c r="D1" t="inlineStr">
        <is>
          <t>receipts</t>
        </is>
      </c>
      <c r="E1" t="inlineStr">
        <is>
          <t>po_placed</t>
        </is>
      </c>
      <c r="F1" t="inlineStr">
        <is>
          <t>closing</t>
        </is>
      </c>
    </row>
    <row r="2">
      <c r="A2" s="1">
        <f>DATE(2025,1,1)</f>
        <v/>
      </c>
      <c r="B2">
        <f>WEEKDAY(A2,2)</f>
        <v/>
      </c>
      <c r="C2">
        <f>SUMIFS(Log!$F$2:$F$331,Log!$B$2:$B$331,A2,Log!$E$2:$E$331,Parameters!$B$2,Log!$I$2:$I$331,"&lt;&gt;CAN")</f>
        <v/>
      </c>
      <c r="D2">
        <f>IF(ROW()-Parameters!$B$5&gt;=2,INDEX($E$1:$E$366,ROW()-Parameters!$B$5)*Parameters!$B$4,0)</f>
        <v/>
      </c>
      <c r="E2">
        <f>0</f>
        <v/>
      </c>
      <c r="F2">
        <f>Parameters!$B$1+D2-C2</f>
        <v/>
      </c>
    </row>
    <row r="3">
      <c r="A3" s="1">
        <f>A2+1</f>
        <v/>
      </c>
      <c r="B3">
        <f>WEEKDAY(A3,2)</f>
        <v/>
      </c>
      <c r="C3">
        <f>SUMIFS(Log!$F$2:$F$331,Log!$B$2:$B$331,A3,Log!$E$2:$E$331,Parameters!$B$2,Log!$I$2:$I$331,"&lt;&gt;CAN")</f>
        <v/>
      </c>
      <c r="D3">
        <f>IF(ROW()-Parameters!$B$5&gt;=2,INDEX($E$1:$E$366,ROW()-Parameters!$B$5)*Parameters!$B$4,0)</f>
        <v/>
      </c>
      <c r="E3">
        <f>IF(AND(B3=1,F2&lt;=Parameters!$B$3),1,0)</f>
        <v/>
      </c>
      <c r="F3">
        <f>F2+D3-C3</f>
        <v/>
      </c>
    </row>
    <row r="4">
      <c r="A4" s="1">
        <f>A3+1</f>
        <v/>
      </c>
      <c r="B4">
        <f>WEEKDAY(A4,2)</f>
        <v/>
      </c>
      <c r="C4">
        <f>SUMIFS(Log!$F$2:$F$331,Log!$B$2:$B$331,A4,Log!$E$2:$E$331,Parameters!$B$2,Log!$I$2:$I$331,"&lt;&gt;CAN")</f>
        <v/>
      </c>
      <c r="D4">
        <f>IF(ROW()-Parameters!$B$5&gt;=2,INDEX($E$1:$E$366,ROW()-Parameters!$B$5)*Parameters!$B$4,0)</f>
        <v/>
      </c>
      <c r="E4">
        <f>IF(AND(B4=1,F3&lt;=Parameters!$B$3),1,0)</f>
        <v/>
      </c>
      <c r="F4">
        <f>F3+D4-C4</f>
        <v/>
      </c>
    </row>
    <row r="5">
      <c r="A5" s="1">
        <f>A4+1</f>
        <v/>
      </c>
      <c r="B5">
        <f>WEEKDAY(A5,2)</f>
        <v/>
      </c>
      <c r="C5">
        <f>SUMIFS(Log!$F$2:$F$331,Log!$B$2:$B$331,A5,Log!$E$2:$E$331,Parameters!$B$2,Log!$I$2:$I$331,"&lt;&gt;CAN")</f>
        <v/>
      </c>
      <c r="D5">
        <f>IF(ROW()-Parameters!$B$5&gt;=2,INDEX($E$1:$E$366,ROW()-Parameters!$B$5)*Parameters!$B$4,0)</f>
        <v/>
      </c>
      <c r="E5">
        <f>IF(AND(B5=1,F4&lt;=Parameters!$B$3),1,0)</f>
        <v/>
      </c>
      <c r="F5">
        <f>F4+D5-C5</f>
        <v/>
      </c>
    </row>
    <row r="6">
      <c r="A6" s="1">
        <f>A5+1</f>
        <v/>
      </c>
      <c r="B6">
        <f>WEEKDAY(A6,2)</f>
        <v/>
      </c>
      <c r="C6">
        <f>SUMIFS(Log!$F$2:$F$331,Log!$B$2:$B$331,A6,Log!$E$2:$E$331,Parameters!$B$2,Log!$I$2:$I$331,"&lt;&gt;CAN")</f>
        <v/>
      </c>
      <c r="D6">
        <f>IF(ROW()-Parameters!$B$5&gt;=2,INDEX($E$1:$E$366,ROW()-Parameters!$B$5)*Parameters!$B$4,0)</f>
        <v/>
      </c>
      <c r="E6">
        <f>IF(AND(B6=1,F5&lt;=Parameters!$B$3),1,0)</f>
        <v/>
      </c>
      <c r="F6">
        <f>F5+D6-C6</f>
        <v/>
      </c>
    </row>
    <row r="7">
      <c r="A7" s="1">
        <f>A6+1</f>
        <v/>
      </c>
      <c r="B7">
        <f>WEEKDAY(A7,2)</f>
        <v/>
      </c>
      <c r="C7">
        <f>SUMIFS(Log!$F$2:$F$331,Log!$B$2:$B$331,A7,Log!$E$2:$E$331,Parameters!$B$2,Log!$I$2:$I$331,"&lt;&gt;CAN")</f>
        <v/>
      </c>
      <c r="D7">
        <f>IF(ROW()-Parameters!$B$5&gt;=2,INDEX($E$1:$E$366,ROW()-Parameters!$B$5)*Parameters!$B$4,0)</f>
        <v/>
      </c>
      <c r="E7">
        <f>IF(AND(B7=1,F6&lt;=Parameters!$B$3),1,0)</f>
        <v/>
      </c>
      <c r="F7">
        <f>F6+D7-C7</f>
        <v/>
      </c>
    </row>
    <row r="8">
      <c r="A8" s="1">
        <f>A7+1</f>
        <v/>
      </c>
      <c r="B8">
        <f>WEEKDAY(A8,2)</f>
        <v/>
      </c>
      <c r="C8">
        <f>SUMIFS(Log!$F$2:$F$331,Log!$B$2:$B$331,A8,Log!$E$2:$E$331,Parameters!$B$2,Log!$I$2:$I$331,"&lt;&gt;CAN")</f>
        <v/>
      </c>
      <c r="D8">
        <f>IF(ROW()-Parameters!$B$5&gt;=2,INDEX($E$1:$E$366,ROW()-Parameters!$B$5)*Parameters!$B$4,0)</f>
        <v/>
      </c>
      <c r="E8">
        <f>IF(AND(B8=1,F7&lt;=Parameters!$B$3),1,0)</f>
        <v/>
      </c>
      <c r="F8">
        <f>F7+D8-C8</f>
        <v/>
      </c>
    </row>
    <row r="9">
      <c r="A9" s="1">
        <f>A8+1</f>
        <v/>
      </c>
      <c r="B9">
        <f>WEEKDAY(A9,2)</f>
        <v/>
      </c>
      <c r="C9">
        <f>SUMIFS(Log!$F$2:$F$331,Log!$B$2:$B$331,A9,Log!$E$2:$E$331,Parameters!$B$2,Log!$I$2:$I$331,"&lt;&gt;CAN")</f>
        <v/>
      </c>
      <c r="D9">
        <f>IF(ROW()-Parameters!$B$5&gt;=2,INDEX($E$1:$E$366,ROW()-Parameters!$B$5)*Parameters!$B$4,0)</f>
        <v/>
      </c>
      <c r="E9">
        <f>IF(AND(B9=1,F8&lt;=Parameters!$B$3),1,0)</f>
        <v/>
      </c>
      <c r="F9">
        <f>F8+D9-C9</f>
        <v/>
      </c>
    </row>
    <row r="10">
      <c r="A10" s="1">
        <f>A9+1</f>
        <v/>
      </c>
      <c r="B10">
        <f>WEEKDAY(A10,2)</f>
        <v/>
      </c>
      <c r="C10">
        <f>SUMIFS(Log!$F$2:$F$331,Log!$B$2:$B$331,A10,Log!$E$2:$E$331,Parameters!$B$2,Log!$I$2:$I$331,"&lt;&gt;CAN")</f>
        <v/>
      </c>
      <c r="D10">
        <f>IF(ROW()-Parameters!$B$5&gt;=2,INDEX($E$1:$E$366,ROW()-Parameters!$B$5)*Parameters!$B$4,0)</f>
        <v/>
      </c>
      <c r="E10">
        <f>IF(AND(B10=1,F9&lt;=Parameters!$B$3),1,0)</f>
        <v/>
      </c>
      <c r="F10">
        <f>F9+D10-C10</f>
        <v/>
      </c>
    </row>
    <row r="11">
      <c r="A11" s="1">
        <f>A10+1</f>
        <v/>
      </c>
      <c r="B11">
        <f>WEEKDAY(A11,2)</f>
        <v/>
      </c>
      <c r="C11">
        <f>SUMIFS(Log!$F$2:$F$331,Log!$B$2:$B$331,A11,Log!$E$2:$E$331,Parameters!$B$2,Log!$I$2:$I$331,"&lt;&gt;CAN")</f>
        <v/>
      </c>
      <c r="D11">
        <f>IF(ROW()-Parameters!$B$5&gt;=2,INDEX($E$1:$E$366,ROW()-Parameters!$B$5)*Parameters!$B$4,0)</f>
        <v/>
      </c>
      <c r="E11">
        <f>IF(AND(B11=1,F10&lt;=Parameters!$B$3),1,0)</f>
        <v/>
      </c>
      <c r="F11">
        <f>F10+D11-C11</f>
        <v/>
      </c>
    </row>
    <row r="12">
      <c r="A12" s="1">
        <f>A11+1</f>
        <v/>
      </c>
      <c r="B12">
        <f>WEEKDAY(A12,2)</f>
        <v/>
      </c>
      <c r="C12">
        <f>SUMIFS(Log!$F$2:$F$331,Log!$B$2:$B$331,A12,Log!$E$2:$E$331,Parameters!$B$2,Log!$I$2:$I$331,"&lt;&gt;CAN")</f>
        <v/>
      </c>
      <c r="D12">
        <f>IF(ROW()-Parameters!$B$5&gt;=2,INDEX($E$1:$E$366,ROW()-Parameters!$B$5)*Parameters!$B$4,0)</f>
        <v/>
      </c>
      <c r="E12">
        <f>IF(AND(B12=1,F11&lt;=Parameters!$B$3),1,0)</f>
        <v/>
      </c>
      <c r="F12">
        <f>F11+D12-C12</f>
        <v/>
      </c>
    </row>
    <row r="13">
      <c r="A13" s="1">
        <f>A12+1</f>
        <v/>
      </c>
      <c r="B13">
        <f>WEEKDAY(A13,2)</f>
        <v/>
      </c>
      <c r="C13">
        <f>SUMIFS(Log!$F$2:$F$331,Log!$B$2:$B$331,A13,Log!$E$2:$E$331,Parameters!$B$2,Log!$I$2:$I$331,"&lt;&gt;CAN")</f>
        <v/>
      </c>
      <c r="D13">
        <f>IF(ROW()-Parameters!$B$5&gt;=2,INDEX($E$1:$E$366,ROW()-Parameters!$B$5)*Parameters!$B$4,0)</f>
        <v/>
      </c>
      <c r="E13">
        <f>IF(AND(B13=1,F12&lt;=Parameters!$B$3),1,0)</f>
        <v/>
      </c>
      <c r="F13">
        <f>F12+D13-C13</f>
        <v/>
      </c>
    </row>
    <row r="14">
      <c r="A14" s="1">
        <f>A13+1</f>
        <v/>
      </c>
      <c r="B14">
        <f>WEEKDAY(A14,2)</f>
        <v/>
      </c>
      <c r="C14">
        <f>SUMIFS(Log!$F$2:$F$331,Log!$B$2:$B$331,A14,Log!$E$2:$E$331,Parameters!$B$2,Log!$I$2:$I$331,"&lt;&gt;CAN")</f>
        <v/>
      </c>
      <c r="D14">
        <f>IF(ROW()-Parameters!$B$5&gt;=2,INDEX($E$1:$E$366,ROW()-Parameters!$B$5)*Parameters!$B$4,0)</f>
        <v/>
      </c>
      <c r="E14">
        <f>IF(AND(B14=1,F13&lt;=Parameters!$B$3),1,0)</f>
        <v/>
      </c>
      <c r="F14">
        <f>F13+D14-C14</f>
        <v/>
      </c>
    </row>
    <row r="15">
      <c r="A15" s="1">
        <f>A14+1</f>
        <v/>
      </c>
      <c r="B15">
        <f>WEEKDAY(A15,2)</f>
        <v/>
      </c>
      <c r="C15">
        <f>SUMIFS(Log!$F$2:$F$331,Log!$B$2:$B$331,A15,Log!$E$2:$E$331,Parameters!$B$2,Log!$I$2:$I$331,"&lt;&gt;CAN")</f>
        <v/>
      </c>
      <c r="D15">
        <f>IF(ROW()-Parameters!$B$5&gt;=2,INDEX($E$1:$E$366,ROW()-Parameters!$B$5)*Parameters!$B$4,0)</f>
        <v/>
      </c>
      <c r="E15">
        <f>IF(AND(B15=1,F14&lt;=Parameters!$B$3),1,0)</f>
        <v/>
      </c>
      <c r="F15">
        <f>F14+D15-C15</f>
        <v/>
      </c>
    </row>
    <row r="16">
      <c r="A16" s="1">
        <f>A15+1</f>
        <v/>
      </c>
      <c r="B16">
        <f>WEEKDAY(A16,2)</f>
        <v/>
      </c>
      <c r="C16">
        <f>SUMIFS(Log!$F$2:$F$331,Log!$B$2:$B$331,A16,Log!$E$2:$E$331,Parameters!$B$2,Log!$I$2:$I$331,"&lt;&gt;CAN")</f>
        <v/>
      </c>
      <c r="D16">
        <f>IF(ROW()-Parameters!$B$5&gt;=2,INDEX($E$1:$E$366,ROW()-Parameters!$B$5)*Parameters!$B$4,0)</f>
        <v/>
      </c>
      <c r="E16">
        <f>IF(AND(B16=1,F15&lt;=Parameters!$B$3),1,0)</f>
        <v/>
      </c>
      <c r="F16">
        <f>F15+D16-C16</f>
        <v/>
      </c>
    </row>
    <row r="17">
      <c r="A17" s="1">
        <f>A16+1</f>
        <v/>
      </c>
      <c r="B17">
        <f>WEEKDAY(A17,2)</f>
        <v/>
      </c>
      <c r="C17">
        <f>SUMIFS(Log!$F$2:$F$331,Log!$B$2:$B$331,A17,Log!$E$2:$E$331,Parameters!$B$2,Log!$I$2:$I$331,"&lt;&gt;CAN")</f>
        <v/>
      </c>
      <c r="D17">
        <f>IF(ROW()-Parameters!$B$5&gt;=2,INDEX($E$1:$E$366,ROW()-Parameters!$B$5)*Parameters!$B$4,0)</f>
        <v/>
      </c>
      <c r="E17">
        <f>IF(AND(B17=1,F16&lt;=Parameters!$B$3),1,0)</f>
        <v/>
      </c>
      <c r="F17">
        <f>F16+D17-C17</f>
        <v/>
      </c>
    </row>
    <row r="18">
      <c r="A18" s="1">
        <f>A17+1</f>
        <v/>
      </c>
      <c r="B18">
        <f>WEEKDAY(A18,2)</f>
        <v/>
      </c>
      <c r="C18">
        <f>SUMIFS(Log!$F$2:$F$331,Log!$B$2:$B$331,A18,Log!$E$2:$E$331,Parameters!$B$2,Log!$I$2:$I$331,"&lt;&gt;CAN")</f>
        <v/>
      </c>
      <c r="D18">
        <f>IF(ROW()-Parameters!$B$5&gt;=2,INDEX($E$1:$E$366,ROW()-Parameters!$B$5)*Parameters!$B$4,0)</f>
        <v/>
      </c>
      <c r="E18">
        <f>IF(AND(B18=1,F17&lt;=Parameters!$B$3),1,0)</f>
        <v/>
      </c>
      <c r="F18">
        <f>F17+D18-C18</f>
        <v/>
      </c>
    </row>
    <row r="19">
      <c r="A19" s="1">
        <f>A18+1</f>
        <v/>
      </c>
      <c r="B19">
        <f>WEEKDAY(A19,2)</f>
        <v/>
      </c>
      <c r="C19">
        <f>SUMIFS(Log!$F$2:$F$331,Log!$B$2:$B$331,A19,Log!$E$2:$E$331,Parameters!$B$2,Log!$I$2:$I$331,"&lt;&gt;CAN")</f>
        <v/>
      </c>
      <c r="D19">
        <f>IF(ROW()-Parameters!$B$5&gt;=2,INDEX($E$1:$E$366,ROW()-Parameters!$B$5)*Parameters!$B$4,0)</f>
        <v/>
      </c>
      <c r="E19">
        <f>IF(AND(B19=1,F18&lt;=Parameters!$B$3),1,0)</f>
        <v/>
      </c>
      <c r="F19">
        <f>F18+D19-C19</f>
        <v/>
      </c>
    </row>
    <row r="20">
      <c r="A20" s="1">
        <f>A19+1</f>
        <v/>
      </c>
      <c r="B20">
        <f>WEEKDAY(A20,2)</f>
        <v/>
      </c>
      <c r="C20">
        <f>SUMIFS(Log!$F$2:$F$331,Log!$B$2:$B$331,A20,Log!$E$2:$E$331,Parameters!$B$2,Log!$I$2:$I$331,"&lt;&gt;CAN")</f>
        <v/>
      </c>
      <c r="D20">
        <f>IF(ROW()-Parameters!$B$5&gt;=2,INDEX($E$1:$E$366,ROW()-Parameters!$B$5)*Parameters!$B$4,0)</f>
        <v/>
      </c>
      <c r="E20">
        <f>IF(AND(B20=1,F19&lt;=Parameters!$B$3),1,0)</f>
        <v/>
      </c>
      <c r="F20">
        <f>F19+D20-C20</f>
        <v/>
      </c>
    </row>
    <row r="21">
      <c r="A21" s="1">
        <f>A20+1</f>
        <v/>
      </c>
      <c r="B21">
        <f>WEEKDAY(A21,2)</f>
        <v/>
      </c>
      <c r="C21">
        <f>SUMIFS(Log!$F$2:$F$331,Log!$B$2:$B$331,A21,Log!$E$2:$E$331,Parameters!$B$2,Log!$I$2:$I$331,"&lt;&gt;CAN")</f>
        <v/>
      </c>
      <c r="D21">
        <f>IF(ROW()-Parameters!$B$5&gt;=2,INDEX($E$1:$E$366,ROW()-Parameters!$B$5)*Parameters!$B$4,0)</f>
        <v/>
      </c>
      <c r="E21">
        <f>IF(AND(B21=1,F20&lt;=Parameters!$B$3),1,0)</f>
        <v/>
      </c>
      <c r="F21">
        <f>F20+D21-C21</f>
        <v/>
      </c>
    </row>
    <row r="22">
      <c r="A22" s="1">
        <f>A21+1</f>
        <v/>
      </c>
      <c r="B22">
        <f>WEEKDAY(A22,2)</f>
        <v/>
      </c>
      <c r="C22">
        <f>SUMIFS(Log!$F$2:$F$331,Log!$B$2:$B$331,A22,Log!$E$2:$E$331,Parameters!$B$2,Log!$I$2:$I$331,"&lt;&gt;CAN")</f>
        <v/>
      </c>
      <c r="D22">
        <f>IF(ROW()-Parameters!$B$5&gt;=2,INDEX($E$1:$E$366,ROW()-Parameters!$B$5)*Parameters!$B$4,0)</f>
        <v/>
      </c>
      <c r="E22">
        <f>IF(AND(B22=1,F21&lt;=Parameters!$B$3),1,0)</f>
        <v/>
      </c>
      <c r="F22">
        <f>F21+D22-C22</f>
        <v/>
      </c>
    </row>
    <row r="23">
      <c r="A23" s="1">
        <f>A22+1</f>
        <v/>
      </c>
      <c r="B23">
        <f>WEEKDAY(A23,2)</f>
        <v/>
      </c>
      <c r="C23">
        <f>SUMIFS(Log!$F$2:$F$331,Log!$B$2:$B$331,A23,Log!$E$2:$E$331,Parameters!$B$2,Log!$I$2:$I$331,"&lt;&gt;CAN")</f>
        <v/>
      </c>
      <c r="D23">
        <f>IF(ROW()-Parameters!$B$5&gt;=2,INDEX($E$1:$E$366,ROW()-Parameters!$B$5)*Parameters!$B$4,0)</f>
        <v/>
      </c>
      <c r="E23">
        <f>IF(AND(B23=1,F22&lt;=Parameters!$B$3),1,0)</f>
        <v/>
      </c>
      <c r="F23">
        <f>F22+D23-C23</f>
        <v/>
      </c>
    </row>
    <row r="24">
      <c r="A24" s="1">
        <f>A23+1</f>
        <v/>
      </c>
      <c r="B24">
        <f>WEEKDAY(A24,2)</f>
        <v/>
      </c>
      <c r="C24">
        <f>SUMIFS(Log!$F$2:$F$331,Log!$B$2:$B$331,A24,Log!$E$2:$E$331,Parameters!$B$2,Log!$I$2:$I$331,"&lt;&gt;CAN")</f>
        <v/>
      </c>
      <c r="D24">
        <f>IF(ROW()-Parameters!$B$5&gt;=2,INDEX($E$1:$E$366,ROW()-Parameters!$B$5)*Parameters!$B$4,0)</f>
        <v/>
      </c>
      <c r="E24">
        <f>IF(AND(B24=1,F23&lt;=Parameters!$B$3),1,0)</f>
        <v/>
      </c>
      <c r="F24">
        <f>F23+D24-C24</f>
        <v/>
      </c>
    </row>
    <row r="25">
      <c r="A25" s="1">
        <f>A24+1</f>
        <v/>
      </c>
      <c r="B25">
        <f>WEEKDAY(A25,2)</f>
        <v/>
      </c>
      <c r="C25">
        <f>SUMIFS(Log!$F$2:$F$331,Log!$B$2:$B$331,A25,Log!$E$2:$E$331,Parameters!$B$2,Log!$I$2:$I$331,"&lt;&gt;CAN")</f>
        <v/>
      </c>
      <c r="D25">
        <f>IF(ROW()-Parameters!$B$5&gt;=2,INDEX($E$1:$E$366,ROW()-Parameters!$B$5)*Parameters!$B$4,0)</f>
        <v/>
      </c>
      <c r="E25">
        <f>IF(AND(B25=1,F24&lt;=Parameters!$B$3),1,0)</f>
        <v/>
      </c>
      <c r="F25">
        <f>F24+D25-C25</f>
        <v/>
      </c>
    </row>
    <row r="26">
      <c r="A26" s="1">
        <f>A25+1</f>
        <v/>
      </c>
      <c r="B26">
        <f>WEEKDAY(A26,2)</f>
        <v/>
      </c>
      <c r="C26">
        <f>SUMIFS(Log!$F$2:$F$331,Log!$B$2:$B$331,A26,Log!$E$2:$E$331,Parameters!$B$2,Log!$I$2:$I$331,"&lt;&gt;CAN")</f>
        <v/>
      </c>
      <c r="D26">
        <f>IF(ROW()-Parameters!$B$5&gt;=2,INDEX($E$1:$E$366,ROW()-Parameters!$B$5)*Parameters!$B$4,0)</f>
        <v/>
      </c>
      <c r="E26">
        <f>IF(AND(B26=1,F25&lt;=Parameters!$B$3),1,0)</f>
        <v/>
      </c>
      <c r="F26">
        <f>F25+D26-C26</f>
        <v/>
      </c>
    </row>
    <row r="27">
      <c r="A27" s="1">
        <f>A26+1</f>
        <v/>
      </c>
      <c r="B27">
        <f>WEEKDAY(A27,2)</f>
        <v/>
      </c>
      <c r="C27">
        <f>SUMIFS(Log!$F$2:$F$331,Log!$B$2:$B$331,A27,Log!$E$2:$E$331,Parameters!$B$2,Log!$I$2:$I$331,"&lt;&gt;CAN")</f>
        <v/>
      </c>
      <c r="D27">
        <f>IF(ROW()-Parameters!$B$5&gt;=2,INDEX($E$1:$E$366,ROW()-Parameters!$B$5)*Parameters!$B$4,0)</f>
        <v/>
      </c>
      <c r="E27">
        <f>IF(AND(B27=1,F26&lt;=Parameters!$B$3),1,0)</f>
        <v/>
      </c>
      <c r="F27">
        <f>F26+D27-C27</f>
        <v/>
      </c>
    </row>
    <row r="28">
      <c r="A28" s="1">
        <f>A27+1</f>
        <v/>
      </c>
      <c r="B28">
        <f>WEEKDAY(A28,2)</f>
        <v/>
      </c>
      <c r="C28">
        <f>SUMIFS(Log!$F$2:$F$331,Log!$B$2:$B$331,A28,Log!$E$2:$E$331,Parameters!$B$2,Log!$I$2:$I$331,"&lt;&gt;CAN")</f>
        <v/>
      </c>
      <c r="D28">
        <f>IF(ROW()-Parameters!$B$5&gt;=2,INDEX($E$1:$E$366,ROW()-Parameters!$B$5)*Parameters!$B$4,0)</f>
        <v/>
      </c>
      <c r="E28">
        <f>IF(AND(B28=1,F27&lt;=Parameters!$B$3),1,0)</f>
        <v/>
      </c>
      <c r="F28">
        <f>F27+D28-C28</f>
        <v/>
      </c>
    </row>
    <row r="29">
      <c r="A29" s="1">
        <f>A28+1</f>
        <v/>
      </c>
      <c r="B29">
        <f>WEEKDAY(A29,2)</f>
        <v/>
      </c>
      <c r="C29">
        <f>SUMIFS(Log!$F$2:$F$331,Log!$B$2:$B$331,A29,Log!$E$2:$E$331,Parameters!$B$2,Log!$I$2:$I$331,"&lt;&gt;CAN")</f>
        <v/>
      </c>
      <c r="D29">
        <f>IF(ROW()-Parameters!$B$5&gt;=2,INDEX($E$1:$E$366,ROW()-Parameters!$B$5)*Parameters!$B$4,0)</f>
        <v/>
      </c>
      <c r="E29">
        <f>IF(AND(B29=1,F28&lt;=Parameters!$B$3),1,0)</f>
        <v/>
      </c>
      <c r="F29">
        <f>F28+D29-C29</f>
        <v/>
      </c>
    </row>
    <row r="30">
      <c r="A30" s="1">
        <f>A29+1</f>
        <v/>
      </c>
      <c r="B30">
        <f>WEEKDAY(A30,2)</f>
        <v/>
      </c>
      <c r="C30">
        <f>SUMIFS(Log!$F$2:$F$331,Log!$B$2:$B$331,A30,Log!$E$2:$E$331,Parameters!$B$2,Log!$I$2:$I$331,"&lt;&gt;CAN")</f>
        <v/>
      </c>
      <c r="D30">
        <f>IF(ROW()-Parameters!$B$5&gt;=2,INDEX($E$1:$E$366,ROW()-Parameters!$B$5)*Parameters!$B$4,0)</f>
        <v/>
      </c>
      <c r="E30">
        <f>IF(AND(B30=1,F29&lt;=Parameters!$B$3),1,0)</f>
        <v/>
      </c>
      <c r="F30">
        <f>F29+D30-C30</f>
        <v/>
      </c>
    </row>
    <row r="31">
      <c r="A31" s="1">
        <f>A30+1</f>
        <v/>
      </c>
      <c r="B31">
        <f>WEEKDAY(A31,2)</f>
        <v/>
      </c>
      <c r="C31">
        <f>SUMIFS(Log!$F$2:$F$331,Log!$B$2:$B$331,A31,Log!$E$2:$E$331,Parameters!$B$2,Log!$I$2:$I$331,"&lt;&gt;CAN")</f>
        <v/>
      </c>
      <c r="D31">
        <f>IF(ROW()-Parameters!$B$5&gt;=2,INDEX($E$1:$E$366,ROW()-Parameters!$B$5)*Parameters!$B$4,0)</f>
        <v/>
      </c>
      <c r="E31">
        <f>IF(AND(B31=1,F30&lt;=Parameters!$B$3),1,0)</f>
        <v/>
      </c>
      <c r="F31">
        <f>F30+D31-C31</f>
        <v/>
      </c>
    </row>
    <row r="32">
      <c r="A32" s="1">
        <f>A31+1</f>
        <v/>
      </c>
      <c r="B32">
        <f>WEEKDAY(A32,2)</f>
        <v/>
      </c>
      <c r="C32">
        <f>SUMIFS(Log!$F$2:$F$331,Log!$B$2:$B$331,A32,Log!$E$2:$E$331,Parameters!$B$2,Log!$I$2:$I$331,"&lt;&gt;CAN")</f>
        <v/>
      </c>
      <c r="D32">
        <f>IF(ROW()-Parameters!$B$5&gt;=2,INDEX($E$1:$E$366,ROW()-Parameters!$B$5)*Parameters!$B$4,0)</f>
        <v/>
      </c>
      <c r="E32">
        <f>IF(AND(B32=1,F31&lt;=Parameters!$B$3),1,0)</f>
        <v/>
      </c>
      <c r="F32">
        <f>F31+D32-C32</f>
        <v/>
      </c>
    </row>
    <row r="33">
      <c r="A33" s="1">
        <f>A32+1</f>
        <v/>
      </c>
      <c r="B33">
        <f>WEEKDAY(A33,2)</f>
        <v/>
      </c>
      <c r="C33">
        <f>SUMIFS(Log!$F$2:$F$331,Log!$B$2:$B$331,A33,Log!$E$2:$E$331,Parameters!$B$2,Log!$I$2:$I$331,"&lt;&gt;CAN")</f>
        <v/>
      </c>
      <c r="D33">
        <f>IF(ROW()-Parameters!$B$5&gt;=2,INDEX($E$1:$E$366,ROW()-Parameters!$B$5)*Parameters!$B$4,0)</f>
        <v/>
      </c>
      <c r="E33">
        <f>IF(AND(B33=1,F32&lt;=Parameters!$B$3),1,0)</f>
        <v/>
      </c>
      <c r="F33">
        <f>F32+D33-C33</f>
        <v/>
      </c>
    </row>
    <row r="34">
      <c r="A34" s="1">
        <f>A33+1</f>
        <v/>
      </c>
      <c r="B34">
        <f>WEEKDAY(A34,2)</f>
        <v/>
      </c>
      <c r="C34">
        <f>SUMIFS(Log!$F$2:$F$331,Log!$B$2:$B$331,A34,Log!$E$2:$E$331,Parameters!$B$2,Log!$I$2:$I$331,"&lt;&gt;CAN")</f>
        <v/>
      </c>
      <c r="D34">
        <f>IF(ROW()-Parameters!$B$5&gt;=2,INDEX($E$1:$E$366,ROW()-Parameters!$B$5)*Parameters!$B$4,0)</f>
        <v/>
      </c>
      <c r="E34">
        <f>IF(AND(B34=1,F33&lt;=Parameters!$B$3),1,0)</f>
        <v/>
      </c>
      <c r="F34">
        <f>F33+D34-C34</f>
        <v/>
      </c>
    </row>
    <row r="35">
      <c r="A35" s="1">
        <f>A34+1</f>
        <v/>
      </c>
      <c r="B35">
        <f>WEEKDAY(A35,2)</f>
        <v/>
      </c>
      <c r="C35">
        <f>SUMIFS(Log!$F$2:$F$331,Log!$B$2:$B$331,A35,Log!$E$2:$E$331,Parameters!$B$2,Log!$I$2:$I$331,"&lt;&gt;CAN")</f>
        <v/>
      </c>
      <c r="D35">
        <f>IF(ROW()-Parameters!$B$5&gt;=2,INDEX($E$1:$E$366,ROW()-Parameters!$B$5)*Parameters!$B$4,0)</f>
        <v/>
      </c>
      <c r="E35">
        <f>IF(AND(B35=1,F34&lt;=Parameters!$B$3),1,0)</f>
        <v/>
      </c>
      <c r="F35">
        <f>F34+D35-C35</f>
        <v/>
      </c>
    </row>
    <row r="36">
      <c r="A36" s="1">
        <f>A35+1</f>
        <v/>
      </c>
      <c r="B36">
        <f>WEEKDAY(A36,2)</f>
        <v/>
      </c>
      <c r="C36">
        <f>SUMIFS(Log!$F$2:$F$331,Log!$B$2:$B$331,A36,Log!$E$2:$E$331,Parameters!$B$2,Log!$I$2:$I$331,"&lt;&gt;CAN")</f>
        <v/>
      </c>
      <c r="D36">
        <f>IF(ROW()-Parameters!$B$5&gt;=2,INDEX($E$1:$E$366,ROW()-Parameters!$B$5)*Parameters!$B$4,0)</f>
        <v/>
      </c>
      <c r="E36">
        <f>IF(AND(B36=1,F35&lt;=Parameters!$B$3),1,0)</f>
        <v/>
      </c>
      <c r="F36">
        <f>F35+D36-C36</f>
        <v/>
      </c>
    </row>
    <row r="37">
      <c r="A37" s="1">
        <f>A36+1</f>
        <v/>
      </c>
      <c r="B37">
        <f>WEEKDAY(A37,2)</f>
        <v/>
      </c>
      <c r="C37">
        <f>SUMIFS(Log!$F$2:$F$331,Log!$B$2:$B$331,A37,Log!$E$2:$E$331,Parameters!$B$2,Log!$I$2:$I$331,"&lt;&gt;CAN")</f>
        <v/>
      </c>
      <c r="D37">
        <f>IF(ROW()-Parameters!$B$5&gt;=2,INDEX($E$1:$E$366,ROW()-Parameters!$B$5)*Parameters!$B$4,0)</f>
        <v/>
      </c>
      <c r="E37">
        <f>IF(AND(B37=1,F36&lt;=Parameters!$B$3),1,0)</f>
        <v/>
      </c>
      <c r="F37">
        <f>F36+D37-C37</f>
        <v/>
      </c>
    </row>
    <row r="38">
      <c r="A38" s="1">
        <f>A37+1</f>
        <v/>
      </c>
      <c r="B38">
        <f>WEEKDAY(A38,2)</f>
        <v/>
      </c>
      <c r="C38">
        <f>SUMIFS(Log!$F$2:$F$331,Log!$B$2:$B$331,A38,Log!$E$2:$E$331,Parameters!$B$2,Log!$I$2:$I$331,"&lt;&gt;CAN")</f>
        <v/>
      </c>
      <c r="D38">
        <f>IF(ROW()-Parameters!$B$5&gt;=2,INDEX($E$1:$E$366,ROW()-Parameters!$B$5)*Parameters!$B$4,0)</f>
        <v/>
      </c>
      <c r="E38">
        <f>IF(AND(B38=1,F37&lt;=Parameters!$B$3),1,0)</f>
        <v/>
      </c>
      <c r="F38">
        <f>F37+D38-C38</f>
        <v/>
      </c>
    </row>
    <row r="39">
      <c r="A39" s="1">
        <f>A38+1</f>
        <v/>
      </c>
      <c r="B39">
        <f>WEEKDAY(A39,2)</f>
        <v/>
      </c>
      <c r="C39">
        <f>SUMIFS(Log!$F$2:$F$331,Log!$B$2:$B$331,A39,Log!$E$2:$E$331,Parameters!$B$2,Log!$I$2:$I$331,"&lt;&gt;CAN")</f>
        <v/>
      </c>
      <c r="D39">
        <f>IF(ROW()-Parameters!$B$5&gt;=2,INDEX($E$1:$E$366,ROW()-Parameters!$B$5)*Parameters!$B$4,0)</f>
        <v/>
      </c>
      <c r="E39">
        <f>IF(AND(B39=1,F38&lt;=Parameters!$B$3),1,0)</f>
        <v/>
      </c>
      <c r="F39">
        <f>F38+D39-C39</f>
        <v/>
      </c>
    </row>
    <row r="40">
      <c r="A40" s="1">
        <f>A39+1</f>
        <v/>
      </c>
      <c r="B40">
        <f>WEEKDAY(A40,2)</f>
        <v/>
      </c>
      <c r="C40">
        <f>SUMIFS(Log!$F$2:$F$331,Log!$B$2:$B$331,A40,Log!$E$2:$E$331,Parameters!$B$2,Log!$I$2:$I$331,"&lt;&gt;CAN")</f>
        <v/>
      </c>
      <c r="D40">
        <f>IF(ROW()-Parameters!$B$5&gt;=2,INDEX($E$1:$E$366,ROW()-Parameters!$B$5)*Parameters!$B$4,0)</f>
        <v/>
      </c>
      <c r="E40">
        <f>IF(AND(B40=1,F39&lt;=Parameters!$B$3),1,0)</f>
        <v/>
      </c>
      <c r="F40">
        <f>F39+D40-C40</f>
        <v/>
      </c>
    </row>
    <row r="41">
      <c r="A41" s="1">
        <f>A40+1</f>
        <v/>
      </c>
      <c r="B41">
        <f>WEEKDAY(A41,2)</f>
        <v/>
      </c>
      <c r="C41">
        <f>SUMIFS(Log!$F$2:$F$331,Log!$B$2:$B$331,A41,Log!$E$2:$E$331,Parameters!$B$2,Log!$I$2:$I$331,"&lt;&gt;CAN")</f>
        <v/>
      </c>
      <c r="D41">
        <f>IF(ROW()-Parameters!$B$5&gt;=2,INDEX($E$1:$E$366,ROW()-Parameters!$B$5)*Parameters!$B$4,0)</f>
        <v/>
      </c>
      <c r="E41">
        <f>IF(AND(B41=1,F40&lt;=Parameters!$B$3),1,0)</f>
        <v/>
      </c>
      <c r="F41">
        <f>F40+D41-C41</f>
        <v/>
      </c>
    </row>
    <row r="42">
      <c r="A42" s="1">
        <f>A41+1</f>
        <v/>
      </c>
      <c r="B42">
        <f>WEEKDAY(A42,2)</f>
        <v/>
      </c>
      <c r="C42">
        <f>SUMIFS(Log!$F$2:$F$331,Log!$B$2:$B$331,A42,Log!$E$2:$E$331,Parameters!$B$2,Log!$I$2:$I$331,"&lt;&gt;CAN")</f>
        <v/>
      </c>
      <c r="D42">
        <f>IF(ROW()-Parameters!$B$5&gt;=2,INDEX($E$1:$E$366,ROW()-Parameters!$B$5)*Parameters!$B$4,0)</f>
        <v/>
      </c>
      <c r="E42">
        <f>IF(AND(B42=1,F41&lt;=Parameters!$B$3),1,0)</f>
        <v/>
      </c>
      <c r="F42">
        <f>F41+D42-C42</f>
        <v/>
      </c>
    </row>
    <row r="43">
      <c r="A43" s="1">
        <f>A42+1</f>
        <v/>
      </c>
      <c r="B43">
        <f>WEEKDAY(A43,2)</f>
        <v/>
      </c>
      <c r="C43">
        <f>SUMIFS(Log!$F$2:$F$331,Log!$B$2:$B$331,A43,Log!$E$2:$E$331,Parameters!$B$2,Log!$I$2:$I$331,"&lt;&gt;CAN")</f>
        <v/>
      </c>
      <c r="D43">
        <f>IF(ROW()-Parameters!$B$5&gt;=2,INDEX($E$1:$E$366,ROW()-Parameters!$B$5)*Parameters!$B$4,0)</f>
        <v/>
      </c>
      <c r="E43">
        <f>IF(AND(B43=1,F42&lt;=Parameters!$B$3),1,0)</f>
        <v/>
      </c>
      <c r="F43">
        <f>F42+D43-C43</f>
        <v/>
      </c>
    </row>
    <row r="44">
      <c r="A44" s="1">
        <f>A43+1</f>
        <v/>
      </c>
      <c r="B44">
        <f>WEEKDAY(A44,2)</f>
        <v/>
      </c>
      <c r="C44">
        <f>SUMIFS(Log!$F$2:$F$331,Log!$B$2:$B$331,A44,Log!$E$2:$E$331,Parameters!$B$2,Log!$I$2:$I$331,"&lt;&gt;CAN")</f>
        <v/>
      </c>
      <c r="D44">
        <f>IF(ROW()-Parameters!$B$5&gt;=2,INDEX($E$1:$E$366,ROW()-Parameters!$B$5)*Parameters!$B$4,0)</f>
        <v/>
      </c>
      <c r="E44">
        <f>IF(AND(B44=1,F43&lt;=Parameters!$B$3),1,0)</f>
        <v/>
      </c>
      <c r="F44">
        <f>F43+D44-C44</f>
        <v/>
      </c>
    </row>
    <row r="45">
      <c r="A45" s="1">
        <f>A44+1</f>
        <v/>
      </c>
      <c r="B45">
        <f>WEEKDAY(A45,2)</f>
        <v/>
      </c>
      <c r="C45">
        <f>SUMIFS(Log!$F$2:$F$331,Log!$B$2:$B$331,A45,Log!$E$2:$E$331,Parameters!$B$2,Log!$I$2:$I$331,"&lt;&gt;CAN")</f>
        <v/>
      </c>
      <c r="D45">
        <f>IF(ROW()-Parameters!$B$5&gt;=2,INDEX($E$1:$E$366,ROW()-Parameters!$B$5)*Parameters!$B$4,0)</f>
        <v/>
      </c>
      <c r="E45">
        <f>IF(AND(B45=1,F44&lt;=Parameters!$B$3),1,0)</f>
        <v/>
      </c>
      <c r="F45">
        <f>F44+D45-C45</f>
        <v/>
      </c>
    </row>
    <row r="46">
      <c r="A46" s="1">
        <f>A45+1</f>
        <v/>
      </c>
      <c r="B46">
        <f>WEEKDAY(A46,2)</f>
        <v/>
      </c>
      <c r="C46">
        <f>SUMIFS(Log!$F$2:$F$331,Log!$B$2:$B$331,A46,Log!$E$2:$E$331,Parameters!$B$2,Log!$I$2:$I$331,"&lt;&gt;CAN")</f>
        <v/>
      </c>
      <c r="D46">
        <f>IF(ROW()-Parameters!$B$5&gt;=2,INDEX($E$1:$E$366,ROW()-Parameters!$B$5)*Parameters!$B$4,0)</f>
        <v/>
      </c>
      <c r="E46">
        <f>IF(AND(B46=1,F45&lt;=Parameters!$B$3),1,0)</f>
        <v/>
      </c>
      <c r="F46">
        <f>F45+D46-C46</f>
        <v/>
      </c>
    </row>
    <row r="47">
      <c r="A47" s="1">
        <f>A46+1</f>
        <v/>
      </c>
      <c r="B47">
        <f>WEEKDAY(A47,2)</f>
        <v/>
      </c>
      <c r="C47">
        <f>SUMIFS(Log!$F$2:$F$331,Log!$B$2:$B$331,A47,Log!$E$2:$E$331,Parameters!$B$2,Log!$I$2:$I$331,"&lt;&gt;CAN")</f>
        <v/>
      </c>
      <c r="D47">
        <f>IF(ROW()-Parameters!$B$5&gt;=2,INDEX($E$1:$E$366,ROW()-Parameters!$B$5)*Parameters!$B$4,0)</f>
        <v/>
      </c>
      <c r="E47">
        <f>IF(AND(B47=1,F46&lt;=Parameters!$B$3),1,0)</f>
        <v/>
      </c>
      <c r="F47">
        <f>F46+D47-C47</f>
        <v/>
      </c>
    </row>
    <row r="48">
      <c r="A48" s="1">
        <f>A47+1</f>
        <v/>
      </c>
      <c r="B48">
        <f>WEEKDAY(A48,2)</f>
        <v/>
      </c>
      <c r="C48">
        <f>SUMIFS(Log!$F$2:$F$331,Log!$B$2:$B$331,A48,Log!$E$2:$E$331,Parameters!$B$2,Log!$I$2:$I$331,"&lt;&gt;CAN")</f>
        <v/>
      </c>
      <c r="D48">
        <f>IF(ROW()-Parameters!$B$5&gt;=2,INDEX($E$1:$E$366,ROW()-Parameters!$B$5)*Parameters!$B$4,0)</f>
        <v/>
      </c>
      <c r="E48">
        <f>IF(AND(B48=1,F47&lt;=Parameters!$B$3),1,0)</f>
        <v/>
      </c>
      <c r="F48">
        <f>F47+D48-C48</f>
        <v/>
      </c>
    </row>
    <row r="49">
      <c r="A49" s="1">
        <f>A48+1</f>
        <v/>
      </c>
      <c r="B49">
        <f>WEEKDAY(A49,2)</f>
        <v/>
      </c>
      <c r="C49">
        <f>SUMIFS(Log!$F$2:$F$331,Log!$B$2:$B$331,A49,Log!$E$2:$E$331,Parameters!$B$2,Log!$I$2:$I$331,"&lt;&gt;CAN")</f>
        <v/>
      </c>
      <c r="D49">
        <f>IF(ROW()-Parameters!$B$5&gt;=2,INDEX($E$1:$E$366,ROW()-Parameters!$B$5)*Parameters!$B$4,0)</f>
        <v/>
      </c>
      <c r="E49">
        <f>IF(AND(B49=1,F48&lt;=Parameters!$B$3),1,0)</f>
        <v/>
      </c>
      <c r="F49">
        <f>F48+D49-C49</f>
        <v/>
      </c>
    </row>
    <row r="50">
      <c r="A50" s="1">
        <f>A49+1</f>
        <v/>
      </c>
      <c r="B50">
        <f>WEEKDAY(A50,2)</f>
        <v/>
      </c>
      <c r="C50">
        <f>SUMIFS(Log!$F$2:$F$331,Log!$B$2:$B$331,A50,Log!$E$2:$E$331,Parameters!$B$2,Log!$I$2:$I$331,"&lt;&gt;CAN")</f>
        <v/>
      </c>
      <c r="D50">
        <f>IF(ROW()-Parameters!$B$5&gt;=2,INDEX($E$1:$E$366,ROW()-Parameters!$B$5)*Parameters!$B$4,0)</f>
        <v/>
      </c>
      <c r="E50">
        <f>IF(AND(B50=1,F49&lt;=Parameters!$B$3),1,0)</f>
        <v/>
      </c>
      <c r="F50">
        <f>F49+D50-C50</f>
        <v/>
      </c>
    </row>
    <row r="51">
      <c r="A51" s="1">
        <f>A50+1</f>
        <v/>
      </c>
      <c r="B51">
        <f>WEEKDAY(A51,2)</f>
        <v/>
      </c>
      <c r="C51">
        <f>SUMIFS(Log!$F$2:$F$331,Log!$B$2:$B$331,A51,Log!$E$2:$E$331,Parameters!$B$2,Log!$I$2:$I$331,"&lt;&gt;CAN")</f>
        <v/>
      </c>
      <c r="D51">
        <f>IF(ROW()-Parameters!$B$5&gt;=2,INDEX($E$1:$E$366,ROW()-Parameters!$B$5)*Parameters!$B$4,0)</f>
        <v/>
      </c>
      <c r="E51">
        <f>IF(AND(B51=1,F50&lt;=Parameters!$B$3),1,0)</f>
        <v/>
      </c>
      <c r="F51">
        <f>F50+D51-C51</f>
        <v/>
      </c>
    </row>
    <row r="52">
      <c r="A52" s="1">
        <f>A51+1</f>
        <v/>
      </c>
      <c r="B52">
        <f>WEEKDAY(A52,2)</f>
        <v/>
      </c>
      <c r="C52">
        <f>SUMIFS(Log!$F$2:$F$331,Log!$B$2:$B$331,A52,Log!$E$2:$E$331,Parameters!$B$2,Log!$I$2:$I$331,"&lt;&gt;CAN")</f>
        <v/>
      </c>
      <c r="D52">
        <f>IF(ROW()-Parameters!$B$5&gt;=2,INDEX($E$1:$E$366,ROW()-Parameters!$B$5)*Parameters!$B$4,0)</f>
        <v/>
      </c>
      <c r="E52">
        <f>IF(AND(B52=1,F51&lt;=Parameters!$B$3),1,0)</f>
        <v/>
      </c>
      <c r="F52">
        <f>F51+D52-C52</f>
        <v/>
      </c>
    </row>
    <row r="53">
      <c r="A53" s="1">
        <f>A52+1</f>
        <v/>
      </c>
      <c r="B53">
        <f>WEEKDAY(A53,2)</f>
        <v/>
      </c>
      <c r="C53">
        <f>SUMIFS(Log!$F$2:$F$331,Log!$B$2:$B$331,A53,Log!$E$2:$E$331,Parameters!$B$2,Log!$I$2:$I$331,"&lt;&gt;CAN")</f>
        <v/>
      </c>
      <c r="D53">
        <f>IF(ROW()-Parameters!$B$5&gt;=2,INDEX($E$1:$E$366,ROW()-Parameters!$B$5)*Parameters!$B$4,0)</f>
        <v/>
      </c>
      <c r="E53">
        <f>IF(AND(B53=1,F52&lt;=Parameters!$B$3),1,0)</f>
        <v/>
      </c>
      <c r="F53">
        <f>F52+D53-C53</f>
        <v/>
      </c>
    </row>
    <row r="54">
      <c r="A54" s="1">
        <f>A53+1</f>
        <v/>
      </c>
      <c r="B54">
        <f>WEEKDAY(A54,2)</f>
        <v/>
      </c>
      <c r="C54">
        <f>SUMIFS(Log!$F$2:$F$331,Log!$B$2:$B$331,A54,Log!$E$2:$E$331,Parameters!$B$2,Log!$I$2:$I$331,"&lt;&gt;CAN")</f>
        <v/>
      </c>
      <c r="D54">
        <f>IF(ROW()-Parameters!$B$5&gt;=2,INDEX($E$1:$E$366,ROW()-Parameters!$B$5)*Parameters!$B$4,0)</f>
        <v/>
      </c>
      <c r="E54">
        <f>IF(AND(B54=1,F53&lt;=Parameters!$B$3),1,0)</f>
        <v/>
      </c>
      <c r="F54">
        <f>F53+D54-C54</f>
        <v/>
      </c>
    </row>
    <row r="55">
      <c r="A55" s="1">
        <f>A54+1</f>
        <v/>
      </c>
      <c r="B55">
        <f>WEEKDAY(A55,2)</f>
        <v/>
      </c>
      <c r="C55">
        <f>SUMIFS(Log!$F$2:$F$331,Log!$B$2:$B$331,A55,Log!$E$2:$E$331,Parameters!$B$2,Log!$I$2:$I$331,"&lt;&gt;CAN")</f>
        <v/>
      </c>
      <c r="D55">
        <f>IF(ROW()-Parameters!$B$5&gt;=2,INDEX($E$1:$E$366,ROW()-Parameters!$B$5)*Parameters!$B$4,0)</f>
        <v/>
      </c>
      <c r="E55">
        <f>IF(AND(B55=1,F54&lt;=Parameters!$B$3),1,0)</f>
        <v/>
      </c>
      <c r="F55">
        <f>F54+D55-C55</f>
        <v/>
      </c>
    </row>
    <row r="56">
      <c r="A56" s="1">
        <f>A55+1</f>
        <v/>
      </c>
      <c r="B56">
        <f>WEEKDAY(A56,2)</f>
        <v/>
      </c>
      <c r="C56">
        <f>SUMIFS(Log!$F$2:$F$331,Log!$B$2:$B$331,A56,Log!$E$2:$E$331,Parameters!$B$2,Log!$I$2:$I$331,"&lt;&gt;CAN")</f>
        <v/>
      </c>
      <c r="D56">
        <f>IF(ROW()-Parameters!$B$5&gt;=2,INDEX($E$1:$E$366,ROW()-Parameters!$B$5)*Parameters!$B$4,0)</f>
        <v/>
      </c>
      <c r="E56">
        <f>IF(AND(B56=1,F55&lt;=Parameters!$B$3),1,0)</f>
        <v/>
      </c>
      <c r="F56">
        <f>F55+D56-C56</f>
        <v/>
      </c>
    </row>
    <row r="57">
      <c r="A57" s="1">
        <f>A56+1</f>
        <v/>
      </c>
      <c r="B57">
        <f>WEEKDAY(A57,2)</f>
        <v/>
      </c>
      <c r="C57">
        <f>SUMIFS(Log!$F$2:$F$331,Log!$B$2:$B$331,A57,Log!$E$2:$E$331,Parameters!$B$2,Log!$I$2:$I$331,"&lt;&gt;CAN")</f>
        <v/>
      </c>
      <c r="D57">
        <f>IF(ROW()-Parameters!$B$5&gt;=2,INDEX($E$1:$E$366,ROW()-Parameters!$B$5)*Parameters!$B$4,0)</f>
        <v/>
      </c>
      <c r="E57">
        <f>IF(AND(B57=1,F56&lt;=Parameters!$B$3),1,0)</f>
        <v/>
      </c>
      <c r="F57">
        <f>F56+D57-C57</f>
        <v/>
      </c>
    </row>
    <row r="58">
      <c r="A58" s="1">
        <f>A57+1</f>
        <v/>
      </c>
      <c r="B58">
        <f>WEEKDAY(A58,2)</f>
        <v/>
      </c>
      <c r="C58">
        <f>SUMIFS(Log!$F$2:$F$331,Log!$B$2:$B$331,A58,Log!$E$2:$E$331,Parameters!$B$2,Log!$I$2:$I$331,"&lt;&gt;CAN")</f>
        <v/>
      </c>
      <c r="D58">
        <f>IF(ROW()-Parameters!$B$5&gt;=2,INDEX($E$1:$E$366,ROW()-Parameters!$B$5)*Parameters!$B$4,0)</f>
        <v/>
      </c>
      <c r="E58">
        <f>IF(AND(B58=1,F57&lt;=Parameters!$B$3),1,0)</f>
        <v/>
      </c>
      <c r="F58">
        <f>F57+D58-C58</f>
        <v/>
      </c>
    </row>
    <row r="59">
      <c r="A59" s="1">
        <f>A58+1</f>
        <v/>
      </c>
      <c r="B59">
        <f>WEEKDAY(A59,2)</f>
        <v/>
      </c>
      <c r="C59">
        <f>SUMIFS(Log!$F$2:$F$331,Log!$B$2:$B$331,A59,Log!$E$2:$E$331,Parameters!$B$2,Log!$I$2:$I$331,"&lt;&gt;CAN")</f>
        <v/>
      </c>
      <c r="D59">
        <f>IF(ROW()-Parameters!$B$5&gt;=2,INDEX($E$1:$E$366,ROW()-Parameters!$B$5)*Parameters!$B$4,0)</f>
        <v/>
      </c>
      <c r="E59">
        <f>IF(AND(B59=1,F58&lt;=Parameters!$B$3),1,0)</f>
        <v/>
      </c>
      <c r="F59">
        <f>F58+D59-C59</f>
        <v/>
      </c>
    </row>
    <row r="60">
      <c r="A60" s="1">
        <f>A59+1</f>
        <v/>
      </c>
      <c r="B60">
        <f>WEEKDAY(A60,2)</f>
        <v/>
      </c>
      <c r="C60">
        <f>SUMIFS(Log!$F$2:$F$331,Log!$B$2:$B$331,A60,Log!$E$2:$E$331,Parameters!$B$2,Log!$I$2:$I$331,"&lt;&gt;CAN")</f>
        <v/>
      </c>
      <c r="D60">
        <f>IF(ROW()-Parameters!$B$5&gt;=2,INDEX($E$1:$E$366,ROW()-Parameters!$B$5)*Parameters!$B$4,0)</f>
        <v/>
      </c>
      <c r="E60">
        <f>IF(AND(B60=1,F59&lt;=Parameters!$B$3),1,0)</f>
        <v/>
      </c>
      <c r="F60">
        <f>F59+D60-C60</f>
        <v/>
      </c>
    </row>
    <row r="61">
      <c r="A61" s="1">
        <f>A60+1</f>
        <v/>
      </c>
      <c r="B61">
        <f>WEEKDAY(A61,2)</f>
        <v/>
      </c>
      <c r="C61">
        <f>SUMIFS(Log!$F$2:$F$331,Log!$B$2:$B$331,A61,Log!$E$2:$E$331,Parameters!$B$2,Log!$I$2:$I$331,"&lt;&gt;CAN")</f>
        <v/>
      </c>
      <c r="D61">
        <f>IF(ROW()-Parameters!$B$5&gt;=2,INDEX($E$1:$E$366,ROW()-Parameters!$B$5)*Parameters!$B$4,0)</f>
        <v/>
      </c>
      <c r="E61">
        <f>IF(AND(B61=1,F60&lt;=Parameters!$B$3),1,0)</f>
        <v/>
      </c>
      <c r="F61">
        <f>F60+D61-C61</f>
        <v/>
      </c>
    </row>
    <row r="62">
      <c r="A62" s="1">
        <f>A61+1</f>
        <v/>
      </c>
      <c r="B62">
        <f>WEEKDAY(A62,2)</f>
        <v/>
      </c>
      <c r="C62">
        <f>SUMIFS(Log!$F$2:$F$331,Log!$B$2:$B$331,A62,Log!$E$2:$E$331,Parameters!$B$2,Log!$I$2:$I$331,"&lt;&gt;CAN")</f>
        <v/>
      </c>
      <c r="D62">
        <f>IF(ROW()-Parameters!$B$5&gt;=2,INDEX($E$1:$E$366,ROW()-Parameters!$B$5)*Parameters!$B$4,0)</f>
        <v/>
      </c>
      <c r="E62">
        <f>IF(AND(B62=1,F61&lt;=Parameters!$B$3),1,0)</f>
        <v/>
      </c>
      <c r="F62">
        <f>F61+D62-C62</f>
        <v/>
      </c>
    </row>
    <row r="63">
      <c r="A63" s="1">
        <f>A62+1</f>
        <v/>
      </c>
      <c r="B63">
        <f>WEEKDAY(A63,2)</f>
        <v/>
      </c>
      <c r="C63">
        <f>SUMIFS(Log!$F$2:$F$331,Log!$B$2:$B$331,A63,Log!$E$2:$E$331,Parameters!$B$2,Log!$I$2:$I$331,"&lt;&gt;CAN")</f>
        <v/>
      </c>
      <c r="D63">
        <f>IF(ROW()-Parameters!$B$5&gt;=2,INDEX($E$1:$E$366,ROW()-Parameters!$B$5)*Parameters!$B$4,0)</f>
        <v/>
      </c>
      <c r="E63">
        <f>IF(AND(B63=1,F62&lt;=Parameters!$B$3),1,0)</f>
        <v/>
      </c>
      <c r="F63">
        <f>F62+D63-C63</f>
        <v/>
      </c>
    </row>
    <row r="64">
      <c r="A64" s="1">
        <f>A63+1</f>
        <v/>
      </c>
      <c r="B64">
        <f>WEEKDAY(A64,2)</f>
        <v/>
      </c>
      <c r="C64">
        <f>SUMIFS(Log!$F$2:$F$331,Log!$B$2:$B$331,A64,Log!$E$2:$E$331,Parameters!$B$2,Log!$I$2:$I$331,"&lt;&gt;CAN")</f>
        <v/>
      </c>
      <c r="D64">
        <f>IF(ROW()-Parameters!$B$5&gt;=2,INDEX($E$1:$E$366,ROW()-Parameters!$B$5)*Parameters!$B$4,0)</f>
        <v/>
      </c>
      <c r="E64">
        <f>IF(AND(B64=1,F63&lt;=Parameters!$B$3),1,0)</f>
        <v/>
      </c>
      <c r="F64">
        <f>F63+D64-C64</f>
        <v/>
      </c>
    </row>
    <row r="65">
      <c r="A65" s="1">
        <f>A64+1</f>
        <v/>
      </c>
      <c r="B65">
        <f>WEEKDAY(A65,2)</f>
        <v/>
      </c>
      <c r="C65">
        <f>SUMIFS(Log!$F$2:$F$331,Log!$B$2:$B$331,A65,Log!$E$2:$E$331,Parameters!$B$2,Log!$I$2:$I$331,"&lt;&gt;CAN")</f>
        <v/>
      </c>
      <c r="D65">
        <f>IF(ROW()-Parameters!$B$5&gt;=2,INDEX($E$1:$E$366,ROW()-Parameters!$B$5)*Parameters!$B$4,0)</f>
        <v/>
      </c>
      <c r="E65">
        <f>IF(AND(B65=1,F64&lt;=Parameters!$B$3),1,0)</f>
        <v/>
      </c>
      <c r="F65">
        <f>F64+D65-C65</f>
        <v/>
      </c>
    </row>
    <row r="66">
      <c r="A66" s="1">
        <f>A65+1</f>
        <v/>
      </c>
      <c r="B66">
        <f>WEEKDAY(A66,2)</f>
        <v/>
      </c>
      <c r="C66">
        <f>SUMIFS(Log!$F$2:$F$331,Log!$B$2:$B$331,A66,Log!$E$2:$E$331,Parameters!$B$2,Log!$I$2:$I$331,"&lt;&gt;CAN")</f>
        <v/>
      </c>
      <c r="D66">
        <f>IF(ROW()-Parameters!$B$5&gt;=2,INDEX($E$1:$E$366,ROW()-Parameters!$B$5)*Parameters!$B$4,0)</f>
        <v/>
      </c>
      <c r="E66">
        <f>IF(AND(B66=1,F65&lt;=Parameters!$B$3),1,0)</f>
        <v/>
      </c>
      <c r="F66">
        <f>F65+D66-C66</f>
        <v/>
      </c>
    </row>
    <row r="67">
      <c r="A67" s="1">
        <f>A66+1</f>
        <v/>
      </c>
      <c r="B67">
        <f>WEEKDAY(A67,2)</f>
        <v/>
      </c>
      <c r="C67">
        <f>SUMIFS(Log!$F$2:$F$331,Log!$B$2:$B$331,A67,Log!$E$2:$E$331,Parameters!$B$2,Log!$I$2:$I$331,"&lt;&gt;CAN")</f>
        <v/>
      </c>
      <c r="D67">
        <f>IF(ROW()-Parameters!$B$5&gt;=2,INDEX($E$1:$E$366,ROW()-Parameters!$B$5)*Parameters!$B$4,0)</f>
        <v/>
      </c>
      <c r="E67">
        <f>IF(AND(B67=1,F66&lt;=Parameters!$B$3),1,0)</f>
        <v/>
      </c>
      <c r="F67">
        <f>F66+D67-C67</f>
        <v/>
      </c>
    </row>
    <row r="68">
      <c r="A68" s="1">
        <f>A67+1</f>
        <v/>
      </c>
      <c r="B68">
        <f>WEEKDAY(A68,2)</f>
        <v/>
      </c>
      <c r="C68">
        <f>SUMIFS(Log!$F$2:$F$331,Log!$B$2:$B$331,A68,Log!$E$2:$E$331,Parameters!$B$2,Log!$I$2:$I$331,"&lt;&gt;CAN")</f>
        <v/>
      </c>
      <c r="D68">
        <f>IF(ROW()-Parameters!$B$5&gt;=2,INDEX($E$1:$E$366,ROW()-Parameters!$B$5)*Parameters!$B$4,0)</f>
        <v/>
      </c>
      <c r="E68">
        <f>IF(AND(B68=1,F67&lt;=Parameters!$B$3),1,0)</f>
        <v/>
      </c>
      <c r="F68">
        <f>F67+D68-C68</f>
        <v/>
      </c>
    </row>
    <row r="69">
      <c r="A69" s="1">
        <f>A68+1</f>
        <v/>
      </c>
      <c r="B69">
        <f>WEEKDAY(A69,2)</f>
        <v/>
      </c>
      <c r="C69">
        <f>SUMIFS(Log!$F$2:$F$331,Log!$B$2:$B$331,A69,Log!$E$2:$E$331,Parameters!$B$2,Log!$I$2:$I$331,"&lt;&gt;CAN")</f>
        <v/>
      </c>
      <c r="D69">
        <f>IF(ROW()-Parameters!$B$5&gt;=2,INDEX($E$1:$E$366,ROW()-Parameters!$B$5)*Parameters!$B$4,0)</f>
        <v/>
      </c>
      <c r="E69">
        <f>IF(AND(B69=1,F68&lt;=Parameters!$B$3),1,0)</f>
        <v/>
      </c>
      <c r="F69">
        <f>F68+D69-C69</f>
        <v/>
      </c>
    </row>
    <row r="70">
      <c r="A70" s="1">
        <f>A69+1</f>
        <v/>
      </c>
      <c r="B70">
        <f>WEEKDAY(A70,2)</f>
        <v/>
      </c>
      <c r="C70">
        <f>SUMIFS(Log!$F$2:$F$331,Log!$B$2:$B$331,A70,Log!$E$2:$E$331,Parameters!$B$2,Log!$I$2:$I$331,"&lt;&gt;CAN")</f>
        <v/>
      </c>
      <c r="D70">
        <f>IF(ROW()-Parameters!$B$5&gt;=2,INDEX($E$1:$E$366,ROW()-Parameters!$B$5)*Parameters!$B$4,0)</f>
        <v/>
      </c>
      <c r="E70">
        <f>IF(AND(B70=1,F69&lt;=Parameters!$B$3),1,0)</f>
        <v/>
      </c>
      <c r="F70">
        <f>F69+D70-C70</f>
        <v/>
      </c>
    </row>
    <row r="71">
      <c r="A71" s="1">
        <f>A70+1</f>
        <v/>
      </c>
      <c r="B71">
        <f>WEEKDAY(A71,2)</f>
        <v/>
      </c>
      <c r="C71">
        <f>SUMIFS(Log!$F$2:$F$331,Log!$B$2:$B$331,A71,Log!$E$2:$E$331,Parameters!$B$2,Log!$I$2:$I$331,"&lt;&gt;CAN")</f>
        <v/>
      </c>
      <c r="D71">
        <f>IF(ROW()-Parameters!$B$5&gt;=2,INDEX($E$1:$E$366,ROW()-Parameters!$B$5)*Parameters!$B$4,0)</f>
        <v/>
      </c>
      <c r="E71">
        <f>IF(AND(B71=1,F70&lt;=Parameters!$B$3),1,0)</f>
        <v/>
      </c>
      <c r="F71">
        <f>F70+D71-C71</f>
        <v/>
      </c>
    </row>
    <row r="72">
      <c r="A72" s="1">
        <f>A71+1</f>
        <v/>
      </c>
      <c r="B72">
        <f>WEEKDAY(A72,2)</f>
        <v/>
      </c>
      <c r="C72">
        <f>SUMIFS(Log!$F$2:$F$331,Log!$B$2:$B$331,A72,Log!$E$2:$E$331,Parameters!$B$2,Log!$I$2:$I$331,"&lt;&gt;CAN")</f>
        <v/>
      </c>
      <c r="D72">
        <f>IF(ROW()-Parameters!$B$5&gt;=2,INDEX($E$1:$E$366,ROW()-Parameters!$B$5)*Parameters!$B$4,0)</f>
        <v/>
      </c>
      <c r="E72">
        <f>IF(AND(B72=1,F71&lt;=Parameters!$B$3),1,0)</f>
        <v/>
      </c>
      <c r="F72">
        <f>F71+D72-C72</f>
        <v/>
      </c>
    </row>
    <row r="73">
      <c r="A73" s="1">
        <f>A72+1</f>
        <v/>
      </c>
      <c r="B73">
        <f>WEEKDAY(A73,2)</f>
        <v/>
      </c>
      <c r="C73">
        <f>SUMIFS(Log!$F$2:$F$331,Log!$B$2:$B$331,A73,Log!$E$2:$E$331,Parameters!$B$2,Log!$I$2:$I$331,"&lt;&gt;CAN")</f>
        <v/>
      </c>
      <c r="D73">
        <f>IF(ROW()-Parameters!$B$5&gt;=2,INDEX($E$1:$E$366,ROW()-Parameters!$B$5)*Parameters!$B$4,0)</f>
        <v/>
      </c>
      <c r="E73">
        <f>IF(AND(B73=1,F72&lt;=Parameters!$B$3),1,0)</f>
        <v/>
      </c>
      <c r="F73">
        <f>F72+D73-C73</f>
        <v/>
      </c>
    </row>
    <row r="74">
      <c r="A74" s="1">
        <f>A73+1</f>
        <v/>
      </c>
      <c r="B74">
        <f>WEEKDAY(A74,2)</f>
        <v/>
      </c>
      <c r="C74">
        <f>SUMIFS(Log!$F$2:$F$331,Log!$B$2:$B$331,A74,Log!$E$2:$E$331,Parameters!$B$2,Log!$I$2:$I$331,"&lt;&gt;CAN")</f>
        <v/>
      </c>
      <c r="D74">
        <f>IF(ROW()-Parameters!$B$5&gt;=2,INDEX($E$1:$E$366,ROW()-Parameters!$B$5)*Parameters!$B$4,0)</f>
        <v/>
      </c>
      <c r="E74">
        <f>IF(AND(B74=1,F73&lt;=Parameters!$B$3),1,0)</f>
        <v/>
      </c>
      <c r="F74">
        <f>F73+D74-C74</f>
        <v/>
      </c>
    </row>
    <row r="75">
      <c r="A75" s="1">
        <f>A74+1</f>
        <v/>
      </c>
      <c r="B75">
        <f>WEEKDAY(A75,2)</f>
        <v/>
      </c>
      <c r="C75">
        <f>SUMIFS(Log!$F$2:$F$331,Log!$B$2:$B$331,A75,Log!$E$2:$E$331,Parameters!$B$2,Log!$I$2:$I$331,"&lt;&gt;CAN")</f>
        <v/>
      </c>
      <c r="D75">
        <f>IF(ROW()-Parameters!$B$5&gt;=2,INDEX($E$1:$E$366,ROW()-Parameters!$B$5)*Parameters!$B$4,0)</f>
        <v/>
      </c>
      <c r="E75">
        <f>IF(AND(B75=1,F74&lt;=Parameters!$B$3),1,0)</f>
        <v/>
      </c>
      <c r="F75">
        <f>F74+D75-C75</f>
        <v/>
      </c>
    </row>
    <row r="76">
      <c r="A76" s="1">
        <f>A75+1</f>
        <v/>
      </c>
      <c r="B76">
        <f>WEEKDAY(A76,2)</f>
        <v/>
      </c>
      <c r="C76">
        <f>SUMIFS(Log!$F$2:$F$331,Log!$B$2:$B$331,A76,Log!$E$2:$E$331,Parameters!$B$2,Log!$I$2:$I$331,"&lt;&gt;CAN")</f>
        <v/>
      </c>
      <c r="D76">
        <f>IF(ROW()-Parameters!$B$5&gt;=2,INDEX($E$1:$E$366,ROW()-Parameters!$B$5)*Parameters!$B$4,0)</f>
        <v/>
      </c>
      <c r="E76">
        <f>IF(AND(B76=1,F75&lt;=Parameters!$B$3),1,0)</f>
        <v/>
      </c>
      <c r="F76">
        <f>F75+D76-C76</f>
        <v/>
      </c>
    </row>
    <row r="77">
      <c r="A77" s="1">
        <f>A76+1</f>
        <v/>
      </c>
      <c r="B77">
        <f>WEEKDAY(A77,2)</f>
        <v/>
      </c>
      <c r="C77">
        <f>SUMIFS(Log!$F$2:$F$331,Log!$B$2:$B$331,A77,Log!$E$2:$E$331,Parameters!$B$2,Log!$I$2:$I$331,"&lt;&gt;CAN")</f>
        <v/>
      </c>
      <c r="D77">
        <f>IF(ROW()-Parameters!$B$5&gt;=2,INDEX($E$1:$E$366,ROW()-Parameters!$B$5)*Parameters!$B$4,0)</f>
        <v/>
      </c>
      <c r="E77">
        <f>IF(AND(B77=1,F76&lt;=Parameters!$B$3),1,0)</f>
        <v/>
      </c>
      <c r="F77">
        <f>F76+D77-C77</f>
        <v/>
      </c>
    </row>
    <row r="78">
      <c r="A78" s="1">
        <f>A77+1</f>
        <v/>
      </c>
      <c r="B78">
        <f>WEEKDAY(A78,2)</f>
        <v/>
      </c>
      <c r="C78">
        <f>SUMIFS(Log!$F$2:$F$331,Log!$B$2:$B$331,A78,Log!$E$2:$E$331,Parameters!$B$2,Log!$I$2:$I$331,"&lt;&gt;CAN")</f>
        <v/>
      </c>
      <c r="D78">
        <f>IF(ROW()-Parameters!$B$5&gt;=2,INDEX($E$1:$E$366,ROW()-Parameters!$B$5)*Parameters!$B$4,0)</f>
        <v/>
      </c>
      <c r="E78">
        <f>IF(AND(B78=1,F77&lt;=Parameters!$B$3),1,0)</f>
        <v/>
      </c>
      <c r="F78">
        <f>F77+D78-C78</f>
        <v/>
      </c>
    </row>
    <row r="79">
      <c r="A79" s="1">
        <f>A78+1</f>
        <v/>
      </c>
      <c r="B79">
        <f>WEEKDAY(A79,2)</f>
        <v/>
      </c>
      <c r="C79">
        <f>SUMIFS(Log!$F$2:$F$331,Log!$B$2:$B$331,A79,Log!$E$2:$E$331,Parameters!$B$2,Log!$I$2:$I$331,"&lt;&gt;CAN")</f>
        <v/>
      </c>
      <c r="D79">
        <f>IF(ROW()-Parameters!$B$5&gt;=2,INDEX($E$1:$E$366,ROW()-Parameters!$B$5)*Parameters!$B$4,0)</f>
        <v/>
      </c>
      <c r="E79">
        <f>IF(AND(B79=1,F78&lt;=Parameters!$B$3),1,0)</f>
        <v/>
      </c>
      <c r="F79">
        <f>F78+D79-C79</f>
        <v/>
      </c>
    </row>
    <row r="80">
      <c r="A80" s="1">
        <f>A79+1</f>
        <v/>
      </c>
      <c r="B80">
        <f>WEEKDAY(A80,2)</f>
        <v/>
      </c>
      <c r="C80">
        <f>SUMIFS(Log!$F$2:$F$331,Log!$B$2:$B$331,A80,Log!$E$2:$E$331,Parameters!$B$2,Log!$I$2:$I$331,"&lt;&gt;CAN")</f>
        <v/>
      </c>
      <c r="D80">
        <f>IF(ROW()-Parameters!$B$5&gt;=2,INDEX($E$1:$E$366,ROW()-Parameters!$B$5)*Parameters!$B$4,0)</f>
        <v/>
      </c>
      <c r="E80">
        <f>IF(AND(B80=1,F79&lt;=Parameters!$B$3),1,0)</f>
        <v/>
      </c>
      <c r="F80">
        <f>F79+D80-C80</f>
        <v/>
      </c>
    </row>
    <row r="81">
      <c r="A81" s="1">
        <f>A80+1</f>
        <v/>
      </c>
      <c r="B81">
        <f>WEEKDAY(A81,2)</f>
        <v/>
      </c>
      <c r="C81">
        <f>SUMIFS(Log!$F$2:$F$331,Log!$B$2:$B$331,A81,Log!$E$2:$E$331,Parameters!$B$2,Log!$I$2:$I$331,"&lt;&gt;CAN")</f>
        <v/>
      </c>
      <c r="D81">
        <f>IF(ROW()-Parameters!$B$5&gt;=2,INDEX($E$1:$E$366,ROW()-Parameters!$B$5)*Parameters!$B$4,0)</f>
        <v/>
      </c>
      <c r="E81">
        <f>IF(AND(B81=1,F80&lt;=Parameters!$B$3),1,0)</f>
        <v/>
      </c>
      <c r="F81">
        <f>F80+D81-C81</f>
        <v/>
      </c>
    </row>
    <row r="82">
      <c r="A82" s="1">
        <f>A81+1</f>
        <v/>
      </c>
      <c r="B82">
        <f>WEEKDAY(A82,2)</f>
        <v/>
      </c>
      <c r="C82">
        <f>SUMIFS(Log!$F$2:$F$331,Log!$B$2:$B$331,A82,Log!$E$2:$E$331,Parameters!$B$2,Log!$I$2:$I$331,"&lt;&gt;CAN")</f>
        <v/>
      </c>
      <c r="D82">
        <f>IF(ROW()-Parameters!$B$5&gt;=2,INDEX($E$1:$E$366,ROW()-Parameters!$B$5)*Parameters!$B$4,0)</f>
        <v/>
      </c>
      <c r="E82">
        <f>IF(AND(B82=1,F81&lt;=Parameters!$B$3),1,0)</f>
        <v/>
      </c>
      <c r="F82">
        <f>F81+D82-C82</f>
        <v/>
      </c>
    </row>
    <row r="83">
      <c r="A83" s="1">
        <f>A82+1</f>
        <v/>
      </c>
      <c r="B83">
        <f>WEEKDAY(A83,2)</f>
        <v/>
      </c>
      <c r="C83">
        <f>SUMIFS(Log!$F$2:$F$331,Log!$B$2:$B$331,A83,Log!$E$2:$E$331,Parameters!$B$2,Log!$I$2:$I$331,"&lt;&gt;CAN")</f>
        <v/>
      </c>
      <c r="D83">
        <f>IF(ROW()-Parameters!$B$5&gt;=2,INDEX($E$1:$E$366,ROW()-Parameters!$B$5)*Parameters!$B$4,0)</f>
        <v/>
      </c>
      <c r="E83">
        <f>IF(AND(B83=1,F82&lt;=Parameters!$B$3),1,0)</f>
        <v/>
      </c>
      <c r="F83">
        <f>F82+D83-C83</f>
        <v/>
      </c>
    </row>
    <row r="84">
      <c r="A84" s="1">
        <f>A83+1</f>
        <v/>
      </c>
      <c r="B84">
        <f>WEEKDAY(A84,2)</f>
        <v/>
      </c>
      <c r="C84">
        <f>SUMIFS(Log!$F$2:$F$331,Log!$B$2:$B$331,A84,Log!$E$2:$E$331,Parameters!$B$2,Log!$I$2:$I$331,"&lt;&gt;CAN")</f>
        <v/>
      </c>
      <c r="D84">
        <f>IF(ROW()-Parameters!$B$5&gt;=2,INDEX($E$1:$E$366,ROW()-Parameters!$B$5)*Parameters!$B$4,0)</f>
        <v/>
      </c>
      <c r="E84">
        <f>IF(AND(B84=1,F83&lt;=Parameters!$B$3),1,0)</f>
        <v/>
      </c>
      <c r="F84">
        <f>F83+D84-C84</f>
        <v/>
      </c>
    </row>
    <row r="85">
      <c r="A85" s="1">
        <f>A84+1</f>
        <v/>
      </c>
      <c r="B85">
        <f>WEEKDAY(A85,2)</f>
        <v/>
      </c>
      <c r="C85">
        <f>SUMIFS(Log!$F$2:$F$331,Log!$B$2:$B$331,A85,Log!$E$2:$E$331,Parameters!$B$2,Log!$I$2:$I$331,"&lt;&gt;CAN")</f>
        <v/>
      </c>
      <c r="D85">
        <f>IF(ROW()-Parameters!$B$5&gt;=2,INDEX($E$1:$E$366,ROW()-Parameters!$B$5)*Parameters!$B$4,0)</f>
        <v/>
      </c>
      <c r="E85">
        <f>IF(AND(B85=1,F84&lt;=Parameters!$B$3),1,0)</f>
        <v/>
      </c>
      <c r="F85">
        <f>F84+D85-C85</f>
        <v/>
      </c>
    </row>
    <row r="86">
      <c r="A86" s="1">
        <f>A85+1</f>
        <v/>
      </c>
      <c r="B86">
        <f>WEEKDAY(A86,2)</f>
        <v/>
      </c>
      <c r="C86">
        <f>SUMIFS(Log!$F$2:$F$331,Log!$B$2:$B$331,A86,Log!$E$2:$E$331,Parameters!$B$2,Log!$I$2:$I$331,"&lt;&gt;CAN")</f>
        <v/>
      </c>
      <c r="D86">
        <f>IF(ROW()-Parameters!$B$5&gt;=2,INDEX($E$1:$E$366,ROW()-Parameters!$B$5)*Parameters!$B$4,0)</f>
        <v/>
      </c>
      <c r="E86">
        <f>IF(AND(B86=1,F85&lt;=Parameters!$B$3),1,0)</f>
        <v/>
      </c>
      <c r="F86">
        <f>F85+D86-C86</f>
        <v/>
      </c>
    </row>
    <row r="87">
      <c r="A87" s="1">
        <f>A86+1</f>
        <v/>
      </c>
      <c r="B87">
        <f>WEEKDAY(A87,2)</f>
        <v/>
      </c>
      <c r="C87">
        <f>SUMIFS(Log!$F$2:$F$331,Log!$B$2:$B$331,A87,Log!$E$2:$E$331,Parameters!$B$2,Log!$I$2:$I$331,"&lt;&gt;CAN")</f>
        <v/>
      </c>
      <c r="D87">
        <f>IF(ROW()-Parameters!$B$5&gt;=2,INDEX($E$1:$E$366,ROW()-Parameters!$B$5)*Parameters!$B$4,0)</f>
        <v/>
      </c>
      <c r="E87">
        <f>IF(AND(B87=1,F86&lt;=Parameters!$B$3),1,0)</f>
        <v/>
      </c>
      <c r="F87">
        <f>F86+D87-C87</f>
        <v/>
      </c>
    </row>
    <row r="88">
      <c r="A88" s="1">
        <f>A87+1</f>
        <v/>
      </c>
      <c r="B88">
        <f>WEEKDAY(A88,2)</f>
        <v/>
      </c>
      <c r="C88">
        <f>SUMIFS(Log!$F$2:$F$331,Log!$B$2:$B$331,A88,Log!$E$2:$E$331,Parameters!$B$2,Log!$I$2:$I$331,"&lt;&gt;CAN")</f>
        <v/>
      </c>
      <c r="D88">
        <f>IF(ROW()-Parameters!$B$5&gt;=2,INDEX($E$1:$E$366,ROW()-Parameters!$B$5)*Parameters!$B$4,0)</f>
        <v/>
      </c>
      <c r="E88">
        <f>IF(AND(B88=1,F87&lt;=Parameters!$B$3),1,0)</f>
        <v/>
      </c>
      <c r="F88">
        <f>F87+D88-C88</f>
        <v/>
      </c>
    </row>
    <row r="89">
      <c r="A89" s="1">
        <f>A88+1</f>
        <v/>
      </c>
      <c r="B89">
        <f>WEEKDAY(A89,2)</f>
        <v/>
      </c>
      <c r="C89">
        <f>SUMIFS(Log!$F$2:$F$331,Log!$B$2:$B$331,A89,Log!$E$2:$E$331,Parameters!$B$2,Log!$I$2:$I$331,"&lt;&gt;CAN")</f>
        <v/>
      </c>
      <c r="D89">
        <f>IF(ROW()-Parameters!$B$5&gt;=2,INDEX($E$1:$E$366,ROW()-Parameters!$B$5)*Parameters!$B$4,0)</f>
        <v/>
      </c>
      <c r="E89">
        <f>IF(AND(B89=1,F88&lt;=Parameters!$B$3),1,0)</f>
        <v/>
      </c>
      <c r="F89">
        <f>F88+D89-C89</f>
        <v/>
      </c>
    </row>
    <row r="90">
      <c r="A90" s="1">
        <f>A89+1</f>
        <v/>
      </c>
      <c r="B90">
        <f>WEEKDAY(A90,2)</f>
        <v/>
      </c>
      <c r="C90">
        <f>SUMIFS(Log!$F$2:$F$331,Log!$B$2:$B$331,A90,Log!$E$2:$E$331,Parameters!$B$2,Log!$I$2:$I$331,"&lt;&gt;CAN")</f>
        <v/>
      </c>
      <c r="D90">
        <f>IF(ROW()-Parameters!$B$5&gt;=2,INDEX($E$1:$E$366,ROW()-Parameters!$B$5)*Parameters!$B$4,0)</f>
        <v/>
      </c>
      <c r="E90">
        <f>IF(AND(B90=1,F89&lt;=Parameters!$B$3),1,0)</f>
        <v/>
      </c>
      <c r="F90">
        <f>F89+D90-C90</f>
        <v/>
      </c>
    </row>
    <row r="91">
      <c r="A91" s="1">
        <f>A90+1</f>
        <v/>
      </c>
      <c r="B91">
        <f>WEEKDAY(A91,2)</f>
        <v/>
      </c>
      <c r="C91">
        <f>SUMIFS(Log!$F$2:$F$331,Log!$B$2:$B$331,A91,Log!$E$2:$E$331,Parameters!$B$2,Log!$I$2:$I$331,"&lt;&gt;CAN")</f>
        <v/>
      </c>
      <c r="D91">
        <f>IF(ROW()-Parameters!$B$5&gt;=2,INDEX($E$1:$E$366,ROW()-Parameters!$B$5)*Parameters!$B$4,0)</f>
        <v/>
      </c>
      <c r="E91">
        <f>IF(AND(B91=1,F90&lt;=Parameters!$B$3),1,0)</f>
        <v/>
      </c>
      <c r="F91">
        <f>F90+D91-C91</f>
        <v/>
      </c>
    </row>
    <row r="92">
      <c r="A92" s="1">
        <f>A91+1</f>
        <v/>
      </c>
      <c r="B92">
        <f>WEEKDAY(A92,2)</f>
        <v/>
      </c>
      <c r="C92">
        <f>SUMIFS(Log!$F$2:$F$331,Log!$B$2:$B$331,A92,Log!$E$2:$E$331,Parameters!$B$2,Log!$I$2:$I$331,"&lt;&gt;CAN")</f>
        <v/>
      </c>
      <c r="D92">
        <f>IF(ROW()-Parameters!$B$5&gt;=2,INDEX($E$1:$E$366,ROW()-Parameters!$B$5)*Parameters!$B$4,0)</f>
        <v/>
      </c>
      <c r="E92">
        <f>IF(AND(B92=1,F91&lt;=Parameters!$B$3),1,0)</f>
        <v/>
      </c>
      <c r="F92">
        <f>F91+D92-C92</f>
        <v/>
      </c>
    </row>
    <row r="93">
      <c r="A93" s="1">
        <f>A92+1</f>
        <v/>
      </c>
      <c r="B93">
        <f>WEEKDAY(A93,2)</f>
        <v/>
      </c>
      <c r="C93">
        <f>SUMIFS(Log!$F$2:$F$331,Log!$B$2:$B$331,A93,Log!$E$2:$E$331,Parameters!$B$2,Log!$I$2:$I$331,"&lt;&gt;CAN")</f>
        <v/>
      </c>
      <c r="D93">
        <f>IF(ROW()-Parameters!$B$5&gt;=2,INDEX($E$1:$E$366,ROW()-Parameters!$B$5)*Parameters!$B$4,0)</f>
        <v/>
      </c>
      <c r="E93">
        <f>IF(AND(B93=1,F92&lt;=Parameters!$B$3),1,0)</f>
        <v/>
      </c>
      <c r="F93">
        <f>F92+D93-C93</f>
        <v/>
      </c>
    </row>
    <row r="94">
      <c r="A94" s="1">
        <f>A93+1</f>
        <v/>
      </c>
      <c r="B94">
        <f>WEEKDAY(A94,2)</f>
        <v/>
      </c>
      <c r="C94">
        <f>SUMIFS(Log!$F$2:$F$331,Log!$B$2:$B$331,A94,Log!$E$2:$E$331,Parameters!$B$2,Log!$I$2:$I$331,"&lt;&gt;CAN")</f>
        <v/>
      </c>
      <c r="D94">
        <f>IF(ROW()-Parameters!$B$5&gt;=2,INDEX($E$1:$E$366,ROW()-Parameters!$B$5)*Parameters!$B$4,0)</f>
        <v/>
      </c>
      <c r="E94">
        <f>IF(AND(B94=1,F93&lt;=Parameters!$B$3),1,0)</f>
        <v/>
      </c>
      <c r="F94">
        <f>F93+D94-C94</f>
        <v/>
      </c>
    </row>
    <row r="95">
      <c r="A95" s="1">
        <f>A94+1</f>
        <v/>
      </c>
      <c r="B95">
        <f>WEEKDAY(A95,2)</f>
        <v/>
      </c>
      <c r="C95">
        <f>SUMIFS(Log!$F$2:$F$331,Log!$B$2:$B$331,A95,Log!$E$2:$E$331,Parameters!$B$2,Log!$I$2:$I$331,"&lt;&gt;CAN")</f>
        <v/>
      </c>
      <c r="D95">
        <f>IF(ROW()-Parameters!$B$5&gt;=2,INDEX($E$1:$E$366,ROW()-Parameters!$B$5)*Parameters!$B$4,0)</f>
        <v/>
      </c>
      <c r="E95">
        <f>IF(AND(B95=1,F94&lt;=Parameters!$B$3),1,0)</f>
        <v/>
      </c>
      <c r="F95">
        <f>F94+D95-C95</f>
        <v/>
      </c>
    </row>
    <row r="96">
      <c r="A96" s="1">
        <f>A95+1</f>
        <v/>
      </c>
      <c r="B96">
        <f>WEEKDAY(A96,2)</f>
        <v/>
      </c>
      <c r="C96">
        <f>SUMIFS(Log!$F$2:$F$331,Log!$B$2:$B$331,A96,Log!$E$2:$E$331,Parameters!$B$2,Log!$I$2:$I$331,"&lt;&gt;CAN")</f>
        <v/>
      </c>
      <c r="D96">
        <f>IF(ROW()-Parameters!$B$5&gt;=2,INDEX($E$1:$E$366,ROW()-Parameters!$B$5)*Parameters!$B$4,0)</f>
        <v/>
      </c>
      <c r="E96">
        <f>IF(AND(B96=1,F95&lt;=Parameters!$B$3),1,0)</f>
        <v/>
      </c>
      <c r="F96">
        <f>F95+D96-C96</f>
        <v/>
      </c>
    </row>
    <row r="97">
      <c r="A97" s="1">
        <f>A96+1</f>
        <v/>
      </c>
      <c r="B97">
        <f>WEEKDAY(A97,2)</f>
        <v/>
      </c>
      <c r="C97">
        <f>SUMIFS(Log!$F$2:$F$331,Log!$B$2:$B$331,A97,Log!$E$2:$E$331,Parameters!$B$2,Log!$I$2:$I$331,"&lt;&gt;CAN")</f>
        <v/>
      </c>
      <c r="D97">
        <f>IF(ROW()-Parameters!$B$5&gt;=2,INDEX($E$1:$E$366,ROW()-Parameters!$B$5)*Parameters!$B$4,0)</f>
        <v/>
      </c>
      <c r="E97">
        <f>IF(AND(B97=1,F96&lt;=Parameters!$B$3),1,0)</f>
        <v/>
      </c>
      <c r="F97">
        <f>F96+D97-C97</f>
        <v/>
      </c>
    </row>
    <row r="98">
      <c r="A98" s="1">
        <f>A97+1</f>
        <v/>
      </c>
      <c r="B98">
        <f>WEEKDAY(A98,2)</f>
        <v/>
      </c>
      <c r="C98">
        <f>SUMIFS(Log!$F$2:$F$331,Log!$B$2:$B$331,A98,Log!$E$2:$E$331,Parameters!$B$2,Log!$I$2:$I$331,"&lt;&gt;CAN")</f>
        <v/>
      </c>
      <c r="D98">
        <f>IF(ROW()-Parameters!$B$5&gt;=2,INDEX($E$1:$E$366,ROW()-Parameters!$B$5)*Parameters!$B$4,0)</f>
        <v/>
      </c>
      <c r="E98">
        <f>IF(AND(B98=1,F97&lt;=Parameters!$B$3),1,0)</f>
        <v/>
      </c>
      <c r="F98">
        <f>F97+D98-C98</f>
        <v/>
      </c>
    </row>
    <row r="99">
      <c r="A99" s="1">
        <f>A98+1</f>
        <v/>
      </c>
      <c r="B99">
        <f>WEEKDAY(A99,2)</f>
        <v/>
      </c>
      <c r="C99">
        <f>SUMIFS(Log!$F$2:$F$331,Log!$B$2:$B$331,A99,Log!$E$2:$E$331,Parameters!$B$2,Log!$I$2:$I$331,"&lt;&gt;CAN")</f>
        <v/>
      </c>
      <c r="D99">
        <f>IF(ROW()-Parameters!$B$5&gt;=2,INDEX($E$1:$E$366,ROW()-Parameters!$B$5)*Parameters!$B$4,0)</f>
        <v/>
      </c>
      <c r="E99">
        <f>IF(AND(B99=1,F98&lt;=Parameters!$B$3),1,0)</f>
        <v/>
      </c>
      <c r="F99">
        <f>F98+D99-C99</f>
        <v/>
      </c>
    </row>
    <row r="100">
      <c r="A100" s="1">
        <f>A99+1</f>
        <v/>
      </c>
      <c r="B100">
        <f>WEEKDAY(A100,2)</f>
        <v/>
      </c>
      <c r="C100">
        <f>SUMIFS(Log!$F$2:$F$331,Log!$B$2:$B$331,A100,Log!$E$2:$E$331,Parameters!$B$2,Log!$I$2:$I$331,"&lt;&gt;CAN")</f>
        <v/>
      </c>
      <c r="D100">
        <f>IF(ROW()-Parameters!$B$5&gt;=2,INDEX($E$1:$E$366,ROW()-Parameters!$B$5)*Parameters!$B$4,0)</f>
        <v/>
      </c>
      <c r="E100">
        <f>IF(AND(B100=1,F99&lt;=Parameters!$B$3),1,0)</f>
        <v/>
      </c>
      <c r="F100">
        <f>F99+D100-C100</f>
        <v/>
      </c>
    </row>
    <row r="101">
      <c r="A101" s="1">
        <f>A100+1</f>
        <v/>
      </c>
      <c r="B101">
        <f>WEEKDAY(A101,2)</f>
        <v/>
      </c>
      <c r="C101">
        <f>SUMIFS(Log!$F$2:$F$331,Log!$B$2:$B$331,A101,Log!$E$2:$E$331,Parameters!$B$2,Log!$I$2:$I$331,"&lt;&gt;CAN")</f>
        <v/>
      </c>
      <c r="D101">
        <f>IF(ROW()-Parameters!$B$5&gt;=2,INDEX($E$1:$E$366,ROW()-Parameters!$B$5)*Parameters!$B$4,0)</f>
        <v/>
      </c>
      <c r="E101">
        <f>IF(AND(B101=1,F100&lt;=Parameters!$B$3),1,0)</f>
        <v/>
      </c>
      <c r="F101">
        <f>F100+D101-C101</f>
        <v/>
      </c>
    </row>
    <row r="102">
      <c r="A102" s="1">
        <f>A101+1</f>
        <v/>
      </c>
      <c r="B102">
        <f>WEEKDAY(A102,2)</f>
        <v/>
      </c>
      <c r="C102">
        <f>SUMIFS(Log!$F$2:$F$331,Log!$B$2:$B$331,A102,Log!$E$2:$E$331,Parameters!$B$2,Log!$I$2:$I$331,"&lt;&gt;CAN")</f>
        <v/>
      </c>
      <c r="D102">
        <f>IF(ROW()-Parameters!$B$5&gt;=2,INDEX($E$1:$E$366,ROW()-Parameters!$B$5)*Parameters!$B$4,0)</f>
        <v/>
      </c>
      <c r="E102">
        <f>IF(AND(B102=1,F101&lt;=Parameters!$B$3),1,0)</f>
        <v/>
      </c>
      <c r="F102">
        <f>F101+D102-C102</f>
        <v/>
      </c>
    </row>
    <row r="103">
      <c r="A103" s="1">
        <f>A102+1</f>
        <v/>
      </c>
      <c r="B103">
        <f>WEEKDAY(A103,2)</f>
        <v/>
      </c>
      <c r="C103">
        <f>SUMIFS(Log!$F$2:$F$331,Log!$B$2:$B$331,A103,Log!$E$2:$E$331,Parameters!$B$2,Log!$I$2:$I$331,"&lt;&gt;CAN")</f>
        <v/>
      </c>
      <c r="D103">
        <f>IF(ROW()-Parameters!$B$5&gt;=2,INDEX($E$1:$E$366,ROW()-Parameters!$B$5)*Parameters!$B$4,0)</f>
        <v/>
      </c>
      <c r="E103">
        <f>IF(AND(B103=1,F102&lt;=Parameters!$B$3),1,0)</f>
        <v/>
      </c>
      <c r="F103">
        <f>F102+D103-C103</f>
        <v/>
      </c>
    </row>
    <row r="104">
      <c r="A104" s="1">
        <f>A103+1</f>
        <v/>
      </c>
      <c r="B104">
        <f>WEEKDAY(A104,2)</f>
        <v/>
      </c>
      <c r="C104">
        <f>SUMIFS(Log!$F$2:$F$331,Log!$B$2:$B$331,A104,Log!$E$2:$E$331,Parameters!$B$2,Log!$I$2:$I$331,"&lt;&gt;CAN")</f>
        <v/>
      </c>
      <c r="D104">
        <f>IF(ROW()-Parameters!$B$5&gt;=2,INDEX($E$1:$E$366,ROW()-Parameters!$B$5)*Parameters!$B$4,0)</f>
        <v/>
      </c>
      <c r="E104">
        <f>IF(AND(B104=1,F103&lt;=Parameters!$B$3),1,0)</f>
        <v/>
      </c>
      <c r="F104">
        <f>F103+D104-C104</f>
        <v/>
      </c>
    </row>
    <row r="105">
      <c r="A105" s="1">
        <f>A104+1</f>
        <v/>
      </c>
      <c r="B105">
        <f>WEEKDAY(A105,2)</f>
        <v/>
      </c>
      <c r="C105">
        <f>SUMIFS(Log!$F$2:$F$331,Log!$B$2:$B$331,A105,Log!$E$2:$E$331,Parameters!$B$2,Log!$I$2:$I$331,"&lt;&gt;CAN")</f>
        <v/>
      </c>
      <c r="D105">
        <f>IF(ROW()-Parameters!$B$5&gt;=2,INDEX($E$1:$E$366,ROW()-Parameters!$B$5)*Parameters!$B$4,0)</f>
        <v/>
      </c>
      <c r="E105">
        <f>IF(AND(B105=1,F104&lt;=Parameters!$B$3),1,0)</f>
        <v/>
      </c>
      <c r="F105">
        <f>F104+D105-C105</f>
        <v/>
      </c>
    </row>
    <row r="106">
      <c r="A106" s="1">
        <f>A105+1</f>
        <v/>
      </c>
      <c r="B106">
        <f>WEEKDAY(A106,2)</f>
        <v/>
      </c>
      <c r="C106">
        <f>SUMIFS(Log!$F$2:$F$331,Log!$B$2:$B$331,A106,Log!$E$2:$E$331,Parameters!$B$2,Log!$I$2:$I$331,"&lt;&gt;CAN")</f>
        <v/>
      </c>
      <c r="D106">
        <f>IF(ROW()-Parameters!$B$5&gt;=2,INDEX($E$1:$E$366,ROW()-Parameters!$B$5)*Parameters!$B$4,0)</f>
        <v/>
      </c>
      <c r="E106">
        <f>IF(AND(B106=1,F105&lt;=Parameters!$B$3),1,0)</f>
        <v/>
      </c>
      <c r="F106">
        <f>F105+D106-C106</f>
        <v/>
      </c>
    </row>
    <row r="107">
      <c r="A107" s="1">
        <f>A106+1</f>
        <v/>
      </c>
      <c r="B107">
        <f>WEEKDAY(A107,2)</f>
        <v/>
      </c>
      <c r="C107">
        <f>SUMIFS(Log!$F$2:$F$331,Log!$B$2:$B$331,A107,Log!$E$2:$E$331,Parameters!$B$2,Log!$I$2:$I$331,"&lt;&gt;CAN")</f>
        <v/>
      </c>
      <c r="D107">
        <f>IF(ROW()-Parameters!$B$5&gt;=2,INDEX($E$1:$E$366,ROW()-Parameters!$B$5)*Parameters!$B$4,0)</f>
        <v/>
      </c>
      <c r="E107">
        <f>IF(AND(B107=1,F106&lt;=Parameters!$B$3),1,0)</f>
        <v/>
      </c>
      <c r="F107">
        <f>F106+D107-C107</f>
        <v/>
      </c>
    </row>
    <row r="108">
      <c r="A108" s="1">
        <f>A107+1</f>
        <v/>
      </c>
      <c r="B108">
        <f>WEEKDAY(A108,2)</f>
        <v/>
      </c>
      <c r="C108">
        <f>SUMIFS(Log!$F$2:$F$331,Log!$B$2:$B$331,A108,Log!$E$2:$E$331,Parameters!$B$2,Log!$I$2:$I$331,"&lt;&gt;CAN")</f>
        <v/>
      </c>
      <c r="D108">
        <f>IF(ROW()-Parameters!$B$5&gt;=2,INDEX($E$1:$E$366,ROW()-Parameters!$B$5)*Parameters!$B$4,0)</f>
        <v/>
      </c>
      <c r="E108">
        <f>IF(AND(B108=1,F107&lt;=Parameters!$B$3),1,0)</f>
        <v/>
      </c>
      <c r="F108">
        <f>F107+D108-C108</f>
        <v/>
      </c>
    </row>
    <row r="109">
      <c r="A109" s="1">
        <f>A108+1</f>
        <v/>
      </c>
      <c r="B109">
        <f>WEEKDAY(A109,2)</f>
        <v/>
      </c>
      <c r="C109">
        <f>SUMIFS(Log!$F$2:$F$331,Log!$B$2:$B$331,A109,Log!$E$2:$E$331,Parameters!$B$2,Log!$I$2:$I$331,"&lt;&gt;CAN")</f>
        <v/>
      </c>
      <c r="D109">
        <f>IF(ROW()-Parameters!$B$5&gt;=2,INDEX($E$1:$E$366,ROW()-Parameters!$B$5)*Parameters!$B$4,0)</f>
        <v/>
      </c>
      <c r="E109">
        <f>IF(AND(B109=1,F108&lt;=Parameters!$B$3),1,0)</f>
        <v/>
      </c>
      <c r="F109">
        <f>F108+D109-C109</f>
        <v/>
      </c>
    </row>
    <row r="110">
      <c r="A110" s="1">
        <f>A109+1</f>
        <v/>
      </c>
      <c r="B110">
        <f>WEEKDAY(A110,2)</f>
        <v/>
      </c>
      <c r="C110">
        <f>SUMIFS(Log!$F$2:$F$331,Log!$B$2:$B$331,A110,Log!$E$2:$E$331,Parameters!$B$2,Log!$I$2:$I$331,"&lt;&gt;CAN")</f>
        <v/>
      </c>
      <c r="D110">
        <f>IF(ROW()-Parameters!$B$5&gt;=2,INDEX($E$1:$E$366,ROW()-Parameters!$B$5)*Parameters!$B$4,0)</f>
        <v/>
      </c>
      <c r="E110">
        <f>IF(AND(B110=1,F109&lt;=Parameters!$B$3),1,0)</f>
        <v/>
      </c>
      <c r="F110">
        <f>F109+D110-C110</f>
        <v/>
      </c>
    </row>
    <row r="111">
      <c r="A111" s="1">
        <f>A110+1</f>
        <v/>
      </c>
      <c r="B111">
        <f>WEEKDAY(A111,2)</f>
        <v/>
      </c>
      <c r="C111">
        <f>SUMIFS(Log!$F$2:$F$331,Log!$B$2:$B$331,A111,Log!$E$2:$E$331,Parameters!$B$2,Log!$I$2:$I$331,"&lt;&gt;CAN")</f>
        <v/>
      </c>
      <c r="D111">
        <f>IF(ROW()-Parameters!$B$5&gt;=2,INDEX($E$1:$E$366,ROW()-Parameters!$B$5)*Parameters!$B$4,0)</f>
        <v/>
      </c>
      <c r="E111">
        <f>IF(AND(B111=1,F110&lt;=Parameters!$B$3),1,0)</f>
        <v/>
      </c>
      <c r="F111">
        <f>F110+D111-C111</f>
        <v/>
      </c>
    </row>
    <row r="112">
      <c r="A112" s="1">
        <f>A111+1</f>
        <v/>
      </c>
      <c r="B112">
        <f>WEEKDAY(A112,2)</f>
        <v/>
      </c>
      <c r="C112">
        <f>SUMIFS(Log!$F$2:$F$331,Log!$B$2:$B$331,A112,Log!$E$2:$E$331,Parameters!$B$2,Log!$I$2:$I$331,"&lt;&gt;CAN")</f>
        <v/>
      </c>
      <c r="D112">
        <f>IF(ROW()-Parameters!$B$5&gt;=2,INDEX($E$1:$E$366,ROW()-Parameters!$B$5)*Parameters!$B$4,0)</f>
        <v/>
      </c>
      <c r="E112">
        <f>IF(AND(B112=1,F111&lt;=Parameters!$B$3),1,0)</f>
        <v/>
      </c>
      <c r="F112">
        <f>F111+D112-C112</f>
        <v/>
      </c>
    </row>
    <row r="113">
      <c r="A113" s="1">
        <f>A112+1</f>
        <v/>
      </c>
      <c r="B113">
        <f>WEEKDAY(A113,2)</f>
        <v/>
      </c>
      <c r="C113">
        <f>SUMIFS(Log!$F$2:$F$331,Log!$B$2:$B$331,A113,Log!$E$2:$E$331,Parameters!$B$2,Log!$I$2:$I$331,"&lt;&gt;CAN")</f>
        <v/>
      </c>
      <c r="D113">
        <f>IF(ROW()-Parameters!$B$5&gt;=2,INDEX($E$1:$E$366,ROW()-Parameters!$B$5)*Parameters!$B$4,0)</f>
        <v/>
      </c>
      <c r="E113">
        <f>IF(AND(B113=1,F112&lt;=Parameters!$B$3),1,0)</f>
        <v/>
      </c>
      <c r="F113">
        <f>F112+D113-C113</f>
        <v/>
      </c>
    </row>
    <row r="114">
      <c r="A114" s="1">
        <f>A113+1</f>
        <v/>
      </c>
      <c r="B114">
        <f>WEEKDAY(A114,2)</f>
        <v/>
      </c>
      <c r="C114">
        <f>SUMIFS(Log!$F$2:$F$331,Log!$B$2:$B$331,A114,Log!$E$2:$E$331,Parameters!$B$2,Log!$I$2:$I$331,"&lt;&gt;CAN")</f>
        <v/>
      </c>
      <c r="D114">
        <f>IF(ROW()-Parameters!$B$5&gt;=2,INDEX($E$1:$E$366,ROW()-Parameters!$B$5)*Parameters!$B$4,0)</f>
        <v/>
      </c>
      <c r="E114">
        <f>IF(AND(B114=1,F113&lt;=Parameters!$B$3),1,0)</f>
        <v/>
      </c>
      <c r="F114">
        <f>F113+D114-C114</f>
        <v/>
      </c>
    </row>
    <row r="115">
      <c r="A115" s="1">
        <f>A114+1</f>
        <v/>
      </c>
      <c r="B115">
        <f>WEEKDAY(A115,2)</f>
        <v/>
      </c>
      <c r="C115">
        <f>SUMIFS(Log!$F$2:$F$331,Log!$B$2:$B$331,A115,Log!$E$2:$E$331,Parameters!$B$2,Log!$I$2:$I$331,"&lt;&gt;CAN")</f>
        <v/>
      </c>
      <c r="D115">
        <f>IF(ROW()-Parameters!$B$5&gt;=2,INDEX($E$1:$E$366,ROW()-Parameters!$B$5)*Parameters!$B$4,0)</f>
        <v/>
      </c>
      <c r="E115">
        <f>IF(AND(B115=1,F114&lt;=Parameters!$B$3),1,0)</f>
        <v/>
      </c>
      <c r="F115">
        <f>F114+D115-C115</f>
        <v/>
      </c>
    </row>
    <row r="116">
      <c r="A116" s="1">
        <f>A115+1</f>
        <v/>
      </c>
      <c r="B116">
        <f>WEEKDAY(A116,2)</f>
        <v/>
      </c>
      <c r="C116">
        <f>SUMIFS(Log!$F$2:$F$331,Log!$B$2:$B$331,A116,Log!$E$2:$E$331,Parameters!$B$2,Log!$I$2:$I$331,"&lt;&gt;CAN")</f>
        <v/>
      </c>
      <c r="D116">
        <f>IF(ROW()-Parameters!$B$5&gt;=2,INDEX($E$1:$E$366,ROW()-Parameters!$B$5)*Parameters!$B$4,0)</f>
        <v/>
      </c>
      <c r="E116">
        <f>IF(AND(B116=1,F115&lt;=Parameters!$B$3),1,0)</f>
        <v/>
      </c>
      <c r="F116">
        <f>F115+D116-C116</f>
        <v/>
      </c>
    </row>
    <row r="117">
      <c r="A117" s="1">
        <f>A116+1</f>
        <v/>
      </c>
      <c r="B117">
        <f>WEEKDAY(A117,2)</f>
        <v/>
      </c>
      <c r="C117">
        <f>SUMIFS(Log!$F$2:$F$331,Log!$B$2:$B$331,A117,Log!$E$2:$E$331,Parameters!$B$2,Log!$I$2:$I$331,"&lt;&gt;CAN")</f>
        <v/>
      </c>
      <c r="D117">
        <f>IF(ROW()-Parameters!$B$5&gt;=2,INDEX($E$1:$E$366,ROW()-Parameters!$B$5)*Parameters!$B$4,0)</f>
        <v/>
      </c>
      <c r="E117">
        <f>IF(AND(B117=1,F116&lt;=Parameters!$B$3),1,0)</f>
        <v/>
      </c>
      <c r="F117">
        <f>F116+D117-C117</f>
        <v/>
      </c>
    </row>
    <row r="118">
      <c r="A118" s="1">
        <f>A117+1</f>
        <v/>
      </c>
      <c r="B118">
        <f>WEEKDAY(A118,2)</f>
        <v/>
      </c>
      <c r="C118">
        <f>SUMIFS(Log!$F$2:$F$331,Log!$B$2:$B$331,A118,Log!$E$2:$E$331,Parameters!$B$2,Log!$I$2:$I$331,"&lt;&gt;CAN")</f>
        <v/>
      </c>
      <c r="D118">
        <f>IF(ROW()-Parameters!$B$5&gt;=2,INDEX($E$1:$E$366,ROW()-Parameters!$B$5)*Parameters!$B$4,0)</f>
        <v/>
      </c>
      <c r="E118">
        <f>IF(AND(B118=1,F117&lt;=Parameters!$B$3),1,0)</f>
        <v/>
      </c>
      <c r="F118">
        <f>F117+D118-C118</f>
        <v/>
      </c>
    </row>
    <row r="119">
      <c r="A119" s="1">
        <f>A118+1</f>
        <v/>
      </c>
      <c r="B119">
        <f>WEEKDAY(A119,2)</f>
        <v/>
      </c>
      <c r="C119">
        <f>SUMIFS(Log!$F$2:$F$331,Log!$B$2:$B$331,A119,Log!$E$2:$E$331,Parameters!$B$2,Log!$I$2:$I$331,"&lt;&gt;CAN")</f>
        <v/>
      </c>
      <c r="D119">
        <f>IF(ROW()-Parameters!$B$5&gt;=2,INDEX($E$1:$E$366,ROW()-Parameters!$B$5)*Parameters!$B$4,0)</f>
        <v/>
      </c>
      <c r="E119">
        <f>IF(AND(B119=1,F118&lt;=Parameters!$B$3),1,0)</f>
        <v/>
      </c>
      <c r="F119">
        <f>F118+D119-C119</f>
        <v/>
      </c>
    </row>
    <row r="120">
      <c r="A120" s="1">
        <f>A119+1</f>
        <v/>
      </c>
      <c r="B120">
        <f>WEEKDAY(A120,2)</f>
        <v/>
      </c>
      <c r="C120">
        <f>SUMIFS(Log!$F$2:$F$331,Log!$B$2:$B$331,A120,Log!$E$2:$E$331,Parameters!$B$2,Log!$I$2:$I$331,"&lt;&gt;CAN")</f>
        <v/>
      </c>
      <c r="D120">
        <f>IF(ROW()-Parameters!$B$5&gt;=2,INDEX($E$1:$E$366,ROW()-Parameters!$B$5)*Parameters!$B$4,0)</f>
        <v/>
      </c>
      <c r="E120">
        <f>IF(AND(B120=1,F119&lt;=Parameters!$B$3),1,0)</f>
        <v/>
      </c>
      <c r="F120">
        <f>F119+D120-C120</f>
        <v/>
      </c>
    </row>
    <row r="121">
      <c r="A121" s="1">
        <f>A120+1</f>
        <v/>
      </c>
      <c r="B121">
        <f>WEEKDAY(A121,2)</f>
        <v/>
      </c>
      <c r="C121">
        <f>SUMIFS(Log!$F$2:$F$331,Log!$B$2:$B$331,A121,Log!$E$2:$E$331,Parameters!$B$2,Log!$I$2:$I$331,"&lt;&gt;CAN")</f>
        <v/>
      </c>
      <c r="D121">
        <f>IF(ROW()-Parameters!$B$5&gt;=2,INDEX($E$1:$E$366,ROW()-Parameters!$B$5)*Parameters!$B$4,0)</f>
        <v/>
      </c>
      <c r="E121">
        <f>IF(AND(B121=1,F120&lt;=Parameters!$B$3),1,0)</f>
        <v/>
      </c>
      <c r="F121">
        <f>F120+D121-C121</f>
        <v/>
      </c>
    </row>
    <row r="122">
      <c r="A122" s="1">
        <f>A121+1</f>
        <v/>
      </c>
      <c r="B122">
        <f>WEEKDAY(A122,2)</f>
        <v/>
      </c>
      <c r="C122">
        <f>SUMIFS(Log!$F$2:$F$331,Log!$B$2:$B$331,A122,Log!$E$2:$E$331,Parameters!$B$2,Log!$I$2:$I$331,"&lt;&gt;CAN")</f>
        <v/>
      </c>
      <c r="D122">
        <f>IF(ROW()-Parameters!$B$5&gt;=2,INDEX($E$1:$E$366,ROW()-Parameters!$B$5)*Parameters!$B$4,0)</f>
        <v/>
      </c>
      <c r="E122">
        <f>IF(AND(B122=1,F121&lt;=Parameters!$B$3),1,0)</f>
        <v/>
      </c>
      <c r="F122">
        <f>F121+D122-C122</f>
        <v/>
      </c>
    </row>
    <row r="123">
      <c r="A123" s="1">
        <f>A122+1</f>
        <v/>
      </c>
      <c r="B123">
        <f>WEEKDAY(A123,2)</f>
        <v/>
      </c>
      <c r="C123">
        <f>SUMIFS(Log!$F$2:$F$331,Log!$B$2:$B$331,A123,Log!$E$2:$E$331,Parameters!$B$2,Log!$I$2:$I$331,"&lt;&gt;CAN")</f>
        <v/>
      </c>
      <c r="D123">
        <f>IF(ROW()-Parameters!$B$5&gt;=2,INDEX($E$1:$E$366,ROW()-Parameters!$B$5)*Parameters!$B$4,0)</f>
        <v/>
      </c>
      <c r="E123">
        <f>IF(AND(B123=1,F122&lt;=Parameters!$B$3),1,0)</f>
        <v/>
      </c>
      <c r="F123">
        <f>F122+D123-C123</f>
        <v/>
      </c>
    </row>
    <row r="124">
      <c r="A124" s="1">
        <f>A123+1</f>
        <v/>
      </c>
      <c r="B124">
        <f>WEEKDAY(A124,2)</f>
        <v/>
      </c>
      <c r="C124">
        <f>SUMIFS(Log!$F$2:$F$331,Log!$B$2:$B$331,A124,Log!$E$2:$E$331,Parameters!$B$2,Log!$I$2:$I$331,"&lt;&gt;CAN")</f>
        <v/>
      </c>
      <c r="D124">
        <f>IF(ROW()-Parameters!$B$5&gt;=2,INDEX($E$1:$E$366,ROW()-Parameters!$B$5)*Parameters!$B$4,0)</f>
        <v/>
      </c>
      <c r="E124">
        <f>IF(AND(B124=1,F123&lt;=Parameters!$B$3),1,0)</f>
        <v/>
      </c>
      <c r="F124">
        <f>F123+D124-C124</f>
        <v/>
      </c>
    </row>
    <row r="125">
      <c r="A125" s="1">
        <f>A124+1</f>
        <v/>
      </c>
      <c r="B125">
        <f>WEEKDAY(A125,2)</f>
        <v/>
      </c>
      <c r="C125">
        <f>SUMIFS(Log!$F$2:$F$331,Log!$B$2:$B$331,A125,Log!$E$2:$E$331,Parameters!$B$2,Log!$I$2:$I$331,"&lt;&gt;CAN")</f>
        <v/>
      </c>
      <c r="D125">
        <f>IF(ROW()-Parameters!$B$5&gt;=2,INDEX($E$1:$E$366,ROW()-Parameters!$B$5)*Parameters!$B$4,0)</f>
        <v/>
      </c>
      <c r="E125">
        <f>IF(AND(B125=1,F124&lt;=Parameters!$B$3),1,0)</f>
        <v/>
      </c>
      <c r="F125">
        <f>F124+D125-C125</f>
        <v/>
      </c>
    </row>
    <row r="126">
      <c r="A126" s="1">
        <f>A125+1</f>
        <v/>
      </c>
      <c r="B126">
        <f>WEEKDAY(A126,2)</f>
        <v/>
      </c>
      <c r="C126">
        <f>SUMIFS(Log!$F$2:$F$331,Log!$B$2:$B$331,A126,Log!$E$2:$E$331,Parameters!$B$2,Log!$I$2:$I$331,"&lt;&gt;CAN")</f>
        <v/>
      </c>
      <c r="D126">
        <f>IF(ROW()-Parameters!$B$5&gt;=2,INDEX($E$1:$E$366,ROW()-Parameters!$B$5)*Parameters!$B$4,0)</f>
        <v/>
      </c>
      <c r="E126">
        <f>IF(AND(B126=1,F125&lt;=Parameters!$B$3),1,0)</f>
        <v/>
      </c>
      <c r="F126">
        <f>F125+D126-C126</f>
        <v/>
      </c>
    </row>
    <row r="127">
      <c r="A127" s="1">
        <f>A126+1</f>
        <v/>
      </c>
      <c r="B127">
        <f>WEEKDAY(A127,2)</f>
        <v/>
      </c>
      <c r="C127">
        <f>SUMIFS(Log!$F$2:$F$331,Log!$B$2:$B$331,A127,Log!$E$2:$E$331,Parameters!$B$2,Log!$I$2:$I$331,"&lt;&gt;CAN")</f>
        <v/>
      </c>
      <c r="D127">
        <f>IF(ROW()-Parameters!$B$5&gt;=2,INDEX($E$1:$E$366,ROW()-Parameters!$B$5)*Parameters!$B$4,0)</f>
        <v/>
      </c>
      <c r="E127">
        <f>IF(AND(B127=1,F126&lt;=Parameters!$B$3),1,0)</f>
        <v/>
      </c>
      <c r="F127">
        <f>F126+D127-C127</f>
        <v/>
      </c>
    </row>
    <row r="128">
      <c r="A128" s="1">
        <f>A127+1</f>
        <v/>
      </c>
      <c r="B128">
        <f>WEEKDAY(A128,2)</f>
        <v/>
      </c>
      <c r="C128">
        <f>SUMIFS(Log!$F$2:$F$331,Log!$B$2:$B$331,A128,Log!$E$2:$E$331,Parameters!$B$2,Log!$I$2:$I$331,"&lt;&gt;CAN")</f>
        <v/>
      </c>
      <c r="D128">
        <f>IF(ROW()-Parameters!$B$5&gt;=2,INDEX($E$1:$E$366,ROW()-Parameters!$B$5)*Parameters!$B$4,0)</f>
        <v/>
      </c>
      <c r="E128">
        <f>IF(AND(B128=1,F127&lt;=Parameters!$B$3),1,0)</f>
        <v/>
      </c>
      <c r="F128">
        <f>F127+D128-C128</f>
        <v/>
      </c>
    </row>
    <row r="129">
      <c r="A129" s="1">
        <f>A128+1</f>
        <v/>
      </c>
      <c r="B129">
        <f>WEEKDAY(A129,2)</f>
        <v/>
      </c>
      <c r="C129">
        <f>SUMIFS(Log!$F$2:$F$331,Log!$B$2:$B$331,A129,Log!$E$2:$E$331,Parameters!$B$2,Log!$I$2:$I$331,"&lt;&gt;CAN")</f>
        <v/>
      </c>
      <c r="D129">
        <f>IF(ROW()-Parameters!$B$5&gt;=2,INDEX($E$1:$E$366,ROW()-Parameters!$B$5)*Parameters!$B$4,0)</f>
        <v/>
      </c>
      <c r="E129">
        <f>IF(AND(B129=1,F128&lt;=Parameters!$B$3),1,0)</f>
        <v/>
      </c>
      <c r="F129">
        <f>F128+D129-C129</f>
        <v/>
      </c>
    </row>
    <row r="130">
      <c r="A130" s="1">
        <f>A129+1</f>
        <v/>
      </c>
      <c r="B130">
        <f>WEEKDAY(A130,2)</f>
        <v/>
      </c>
      <c r="C130">
        <f>SUMIFS(Log!$F$2:$F$331,Log!$B$2:$B$331,A130,Log!$E$2:$E$331,Parameters!$B$2,Log!$I$2:$I$331,"&lt;&gt;CAN")</f>
        <v/>
      </c>
      <c r="D130">
        <f>IF(ROW()-Parameters!$B$5&gt;=2,INDEX($E$1:$E$366,ROW()-Parameters!$B$5)*Parameters!$B$4,0)</f>
        <v/>
      </c>
      <c r="E130">
        <f>IF(AND(B130=1,F129&lt;=Parameters!$B$3),1,0)</f>
        <v/>
      </c>
      <c r="F130">
        <f>F129+D130-C130</f>
        <v/>
      </c>
    </row>
    <row r="131">
      <c r="A131" s="1">
        <f>A130+1</f>
        <v/>
      </c>
      <c r="B131">
        <f>WEEKDAY(A131,2)</f>
        <v/>
      </c>
      <c r="C131">
        <f>SUMIFS(Log!$F$2:$F$331,Log!$B$2:$B$331,A131,Log!$E$2:$E$331,Parameters!$B$2,Log!$I$2:$I$331,"&lt;&gt;CAN")</f>
        <v/>
      </c>
      <c r="D131">
        <f>IF(ROW()-Parameters!$B$5&gt;=2,INDEX($E$1:$E$366,ROW()-Parameters!$B$5)*Parameters!$B$4,0)</f>
        <v/>
      </c>
      <c r="E131">
        <f>IF(AND(B131=1,F130&lt;=Parameters!$B$3),1,0)</f>
        <v/>
      </c>
      <c r="F131">
        <f>F130+D131-C131</f>
        <v/>
      </c>
    </row>
    <row r="132">
      <c r="A132" s="1">
        <f>A131+1</f>
        <v/>
      </c>
      <c r="B132">
        <f>WEEKDAY(A132,2)</f>
        <v/>
      </c>
      <c r="C132">
        <f>SUMIFS(Log!$F$2:$F$331,Log!$B$2:$B$331,A132,Log!$E$2:$E$331,Parameters!$B$2,Log!$I$2:$I$331,"&lt;&gt;CAN")</f>
        <v/>
      </c>
      <c r="D132">
        <f>IF(ROW()-Parameters!$B$5&gt;=2,INDEX($E$1:$E$366,ROW()-Parameters!$B$5)*Parameters!$B$4,0)</f>
        <v/>
      </c>
      <c r="E132">
        <f>IF(AND(B132=1,F131&lt;=Parameters!$B$3),1,0)</f>
        <v/>
      </c>
      <c r="F132">
        <f>F131+D132-C132</f>
        <v/>
      </c>
    </row>
    <row r="133">
      <c r="A133" s="1">
        <f>A132+1</f>
        <v/>
      </c>
      <c r="B133">
        <f>WEEKDAY(A133,2)</f>
        <v/>
      </c>
      <c r="C133">
        <f>SUMIFS(Log!$F$2:$F$331,Log!$B$2:$B$331,A133,Log!$E$2:$E$331,Parameters!$B$2,Log!$I$2:$I$331,"&lt;&gt;CAN")</f>
        <v/>
      </c>
      <c r="D133">
        <f>IF(ROW()-Parameters!$B$5&gt;=2,INDEX($E$1:$E$366,ROW()-Parameters!$B$5)*Parameters!$B$4,0)</f>
        <v/>
      </c>
      <c r="E133">
        <f>IF(AND(B133=1,F132&lt;=Parameters!$B$3),1,0)</f>
        <v/>
      </c>
      <c r="F133">
        <f>F132+D133-C133</f>
        <v/>
      </c>
    </row>
    <row r="134">
      <c r="A134" s="1">
        <f>A133+1</f>
        <v/>
      </c>
      <c r="B134">
        <f>WEEKDAY(A134,2)</f>
        <v/>
      </c>
      <c r="C134">
        <f>SUMIFS(Log!$F$2:$F$331,Log!$B$2:$B$331,A134,Log!$E$2:$E$331,Parameters!$B$2,Log!$I$2:$I$331,"&lt;&gt;CAN")</f>
        <v/>
      </c>
      <c r="D134">
        <f>IF(ROW()-Parameters!$B$5&gt;=2,INDEX($E$1:$E$366,ROW()-Parameters!$B$5)*Parameters!$B$4,0)</f>
        <v/>
      </c>
      <c r="E134">
        <f>IF(AND(B134=1,F133&lt;=Parameters!$B$3),1,0)</f>
        <v/>
      </c>
      <c r="F134">
        <f>F133+D134-C134</f>
        <v/>
      </c>
    </row>
    <row r="135">
      <c r="A135" s="1">
        <f>A134+1</f>
        <v/>
      </c>
      <c r="B135">
        <f>WEEKDAY(A135,2)</f>
        <v/>
      </c>
      <c r="C135">
        <f>SUMIFS(Log!$F$2:$F$331,Log!$B$2:$B$331,A135,Log!$E$2:$E$331,Parameters!$B$2,Log!$I$2:$I$331,"&lt;&gt;CAN")</f>
        <v/>
      </c>
      <c r="D135">
        <f>IF(ROW()-Parameters!$B$5&gt;=2,INDEX($E$1:$E$366,ROW()-Parameters!$B$5)*Parameters!$B$4,0)</f>
        <v/>
      </c>
      <c r="E135">
        <f>IF(AND(B135=1,F134&lt;=Parameters!$B$3),1,0)</f>
        <v/>
      </c>
      <c r="F135">
        <f>F134+D135-C135</f>
        <v/>
      </c>
    </row>
    <row r="136">
      <c r="A136" s="1">
        <f>A135+1</f>
        <v/>
      </c>
      <c r="B136">
        <f>WEEKDAY(A136,2)</f>
        <v/>
      </c>
      <c r="C136">
        <f>SUMIFS(Log!$F$2:$F$331,Log!$B$2:$B$331,A136,Log!$E$2:$E$331,Parameters!$B$2,Log!$I$2:$I$331,"&lt;&gt;CAN")</f>
        <v/>
      </c>
      <c r="D136">
        <f>IF(ROW()-Parameters!$B$5&gt;=2,INDEX($E$1:$E$366,ROW()-Parameters!$B$5)*Parameters!$B$4,0)</f>
        <v/>
      </c>
      <c r="E136">
        <f>IF(AND(B136=1,F135&lt;=Parameters!$B$3),1,0)</f>
        <v/>
      </c>
      <c r="F136">
        <f>F135+D136-C136</f>
        <v/>
      </c>
    </row>
    <row r="137">
      <c r="A137" s="1">
        <f>A136+1</f>
        <v/>
      </c>
      <c r="B137">
        <f>WEEKDAY(A137,2)</f>
        <v/>
      </c>
      <c r="C137">
        <f>SUMIFS(Log!$F$2:$F$331,Log!$B$2:$B$331,A137,Log!$E$2:$E$331,Parameters!$B$2,Log!$I$2:$I$331,"&lt;&gt;CAN")</f>
        <v/>
      </c>
      <c r="D137">
        <f>IF(ROW()-Parameters!$B$5&gt;=2,INDEX($E$1:$E$366,ROW()-Parameters!$B$5)*Parameters!$B$4,0)</f>
        <v/>
      </c>
      <c r="E137">
        <f>IF(AND(B137=1,F136&lt;=Parameters!$B$3),1,0)</f>
        <v/>
      </c>
      <c r="F137">
        <f>F136+D137-C137</f>
        <v/>
      </c>
    </row>
    <row r="138">
      <c r="A138" s="1">
        <f>A137+1</f>
        <v/>
      </c>
      <c r="B138">
        <f>WEEKDAY(A138,2)</f>
        <v/>
      </c>
      <c r="C138">
        <f>SUMIFS(Log!$F$2:$F$331,Log!$B$2:$B$331,A138,Log!$E$2:$E$331,Parameters!$B$2,Log!$I$2:$I$331,"&lt;&gt;CAN")</f>
        <v/>
      </c>
      <c r="D138">
        <f>IF(ROW()-Parameters!$B$5&gt;=2,INDEX($E$1:$E$366,ROW()-Parameters!$B$5)*Parameters!$B$4,0)</f>
        <v/>
      </c>
      <c r="E138">
        <f>IF(AND(B138=1,F137&lt;=Parameters!$B$3),1,0)</f>
        <v/>
      </c>
      <c r="F138">
        <f>F137+D138-C138</f>
        <v/>
      </c>
    </row>
    <row r="139">
      <c r="A139" s="1">
        <f>A138+1</f>
        <v/>
      </c>
      <c r="B139">
        <f>WEEKDAY(A139,2)</f>
        <v/>
      </c>
      <c r="C139">
        <f>SUMIFS(Log!$F$2:$F$331,Log!$B$2:$B$331,A139,Log!$E$2:$E$331,Parameters!$B$2,Log!$I$2:$I$331,"&lt;&gt;CAN")</f>
        <v/>
      </c>
      <c r="D139">
        <f>IF(ROW()-Parameters!$B$5&gt;=2,INDEX($E$1:$E$366,ROW()-Parameters!$B$5)*Parameters!$B$4,0)</f>
        <v/>
      </c>
      <c r="E139">
        <f>IF(AND(B139=1,F138&lt;=Parameters!$B$3),1,0)</f>
        <v/>
      </c>
      <c r="F139">
        <f>F138+D139-C139</f>
        <v/>
      </c>
    </row>
    <row r="140">
      <c r="A140" s="1">
        <f>A139+1</f>
        <v/>
      </c>
      <c r="B140">
        <f>WEEKDAY(A140,2)</f>
        <v/>
      </c>
      <c r="C140">
        <f>SUMIFS(Log!$F$2:$F$331,Log!$B$2:$B$331,A140,Log!$E$2:$E$331,Parameters!$B$2,Log!$I$2:$I$331,"&lt;&gt;CAN")</f>
        <v/>
      </c>
      <c r="D140">
        <f>IF(ROW()-Parameters!$B$5&gt;=2,INDEX($E$1:$E$366,ROW()-Parameters!$B$5)*Parameters!$B$4,0)</f>
        <v/>
      </c>
      <c r="E140">
        <f>IF(AND(B140=1,F139&lt;=Parameters!$B$3),1,0)</f>
        <v/>
      </c>
      <c r="F140">
        <f>F139+D140-C140</f>
        <v/>
      </c>
    </row>
    <row r="141">
      <c r="A141" s="1">
        <f>A140+1</f>
        <v/>
      </c>
      <c r="B141">
        <f>WEEKDAY(A141,2)</f>
        <v/>
      </c>
      <c r="C141">
        <f>SUMIFS(Log!$F$2:$F$331,Log!$B$2:$B$331,A141,Log!$E$2:$E$331,Parameters!$B$2,Log!$I$2:$I$331,"&lt;&gt;CAN")</f>
        <v/>
      </c>
      <c r="D141">
        <f>IF(ROW()-Parameters!$B$5&gt;=2,INDEX($E$1:$E$366,ROW()-Parameters!$B$5)*Parameters!$B$4,0)</f>
        <v/>
      </c>
      <c r="E141">
        <f>IF(AND(B141=1,F140&lt;=Parameters!$B$3),1,0)</f>
        <v/>
      </c>
      <c r="F141">
        <f>F140+D141-C141</f>
        <v/>
      </c>
    </row>
    <row r="142">
      <c r="A142" s="1">
        <f>A141+1</f>
        <v/>
      </c>
      <c r="B142">
        <f>WEEKDAY(A142,2)</f>
        <v/>
      </c>
      <c r="C142">
        <f>SUMIFS(Log!$F$2:$F$331,Log!$B$2:$B$331,A142,Log!$E$2:$E$331,Parameters!$B$2,Log!$I$2:$I$331,"&lt;&gt;CAN")</f>
        <v/>
      </c>
      <c r="D142">
        <f>IF(ROW()-Parameters!$B$5&gt;=2,INDEX($E$1:$E$366,ROW()-Parameters!$B$5)*Parameters!$B$4,0)</f>
        <v/>
      </c>
      <c r="E142">
        <f>IF(AND(B142=1,F141&lt;=Parameters!$B$3),1,0)</f>
        <v/>
      </c>
      <c r="F142">
        <f>F141+D142-C142</f>
        <v/>
      </c>
    </row>
    <row r="143">
      <c r="A143" s="1">
        <f>A142+1</f>
        <v/>
      </c>
      <c r="B143">
        <f>WEEKDAY(A143,2)</f>
        <v/>
      </c>
      <c r="C143">
        <f>SUMIFS(Log!$F$2:$F$331,Log!$B$2:$B$331,A143,Log!$E$2:$E$331,Parameters!$B$2,Log!$I$2:$I$331,"&lt;&gt;CAN")</f>
        <v/>
      </c>
      <c r="D143">
        <f>IF(ROW()-Parameters!$B$5&gt;=2,INDEX($E$1:$E$366,ROW()-Parameters!$B$5)*Parameters!$B$4,0)</f>
        <v/>
      </c>
      <c r="E143">
        <f>IF(AND(B143=1,F142&lt;=Parameters!$B$3),1,0)</f>
        <v/>
      </c>
      <c r="F143">
        <f>F142+D143-C143</f>
        <v/>
      </c>
    </row>
    <row r="144">
      <c r="A144" s="1">
        <f>A143+1</f>
        <v/>
      </c>
      <c r="B144">
        <f>WEEKDAY(A144,2)</f>
        <v/>
      </c>
      <c r="C144">
        <f>SUMIFS(Log!$F$2:$F$331,Log!$B$2:$B$331,A144,Log!$E$2:$E$331,Parameters!$B$2,Log!$I$2:$I$331,"&lt;&gt;CAN")</f>
        <v/>
      </c>
      <c r="D144">
        <f>IF(ROW()-Parameters!$B$5&gt;=2,INDEX($E$1:$E$366,ROW()-Parameters!$B$5)*Parameters!$B$4,0)</f>
        <v/>
      </c>
      <c r="E144">
        <f>IF(AND(B144=1,F143&lt;=Parameters!$B$3),1,0)</f>
        <v/>
      </c>
      <c r="F144">
        <f>F143+D144-C144</f>
        <v/>
      </c>
    </row>
    <row r="145">
      <c r="A145" s="1">
        <f>A144+1</f>
        <v/>
      </c>
      <c r="B145">
        <f>WEEKDAY(A145,2)</f>
        <v/>
      </c>
      <c r="C145">
        <f>SUMIFS(Log!$F$2:$F$331,Log!$B$2:$B$331,A145,Log!$E$2:$E$331,Parameters!$B$2,Log!$I$2:$I$331,"&lt;&gt;CAN")</f>
        <v/>
      </c>
      <c r="D145">
        <f>IF(ROW()-Parameters!$B$5&gt;=2,INDEX($E$1:$E$366,ROW()-Parameters!$B$5)*Parameters!$B$4,0)</f>
        <v/>
      </c>
      <c r="E145">
        <f>IF(AND(B145=1,F144&lt;=Parameters!$B$3),1,0)</f>
        <v/>
      </c>
      <c r="F145">
        <f>F144+D145-C145</f>
        <v/>
      </c>
    </row>
    <row r="146">
      <c r="A146" s="1">
        <f>A145+1</f>
        <v/>
      </c>
      <c r="B146">
        <f>WEEKDAY(A146,2)</f>
        <v/>
      </c>
      <c r="C146">
        <f>SUMIFS(Log!$F$2:$F$331,Log!$B$2:$B$331,A146,Log!$E$2:$E$331,Parameters!$B$2,Log!$I$2:$I$331,"&lt;&gt;CAN")</f>
        <v/>
      </c>
      <c r="D146">
        <f>IF(ROW()-Parameters!$B$5&gt;=2,INDEX($E$1:$E$366,ROW()-Parameters!$B$5)*Parameters!$B$4,0)</f>
        <v/>
      </c>
      <c r="E146">
        <f>IF(AND(B146=1,F145&lt;=Parameters!$B$3),1,0)</f>
        <v/>
      </c>
      <c r="F146">
        <f>F145+D146-C146</f>
        <v/>
      </c>
    </row>
    <row r="147">
      <c r="A147" s="1">
        <f>A146+1</f>
        <v/>
      </c>
      <c r="B147">
        <f>WEEKDAY(A147,2)</f>
        <v/>
      </c>
      <c r="C147">
        <f>SUMIFS(Log!$F$2:$F$331,Log!$B$2:$B$331,A147,Log!$E$2:$E$331,Parameters!$B$2,Log!$I$2:$I$331,"&lt;&gt;CAN")</f>
        <v/>
      </c>
      <c r="D147">
        <f>IF(ROW()-Parameters!$B$5&gt;=2,INDEX($E$1:$E$366,ROW()-Parameters!$B$5)*Parameters!$B$4,0)</f>
        <v/>
      </c>
      <c r="E147">
        <f>IF(AND(B147=1,F146&lt;=Parameters!$B$3),1,0)</f>
        <v/>
      </c>
      <c r="F147">
        <f>F146+D147-C147</f>
        <v/>
      </c>
    </row>
    <row r="148">
      <c r="A148" s="1">
        <f>A147+1</f>
        <v/>
      </c>
      <c r="B148">
        <f>WEEKDAY(A148,2)</f>
        <v/>
      </c>
      <c r="C148">
        <f>SUMIFS(Log!$F$2:$F$331,Log!$B$2:$B$331,A148,Log!$E$2:$E$331,Parameters!$B$2,Log!$I$2:$I$331,"&lt;&gt;CAN")</f>
        <v/>
      </c>
      <c r="D148">
        <f>IF(ROW()-Parameters!$B$5&gt;=2,INDEX($E$1:$E$366,ROW()-Parameters!$B$5)*Parameters!$B$4,0)</f>
        <v/>
      </c>
      <c r="E148">
        <f>IF(AND(B148=1,F147&lt;=Parameters!$B$3),1,0)</f>
        <v/>
      </c>
      <c r="F148">
        <f>F147+D148-C148</f>
        <v/>
      </c>
    </row>
    <row r="149">
      <c r="A149" s="1">
        <f>A148+1</f>
        <v/>
      </c>
      <c r="B149">
        <f>WEEKDAY(A149,2)</f>
        <v/>
      </c>
      <c r="C149">
        <f>SUMIFS(Log!$F$2:$F$331,Log!$B$2:$B$331,A149,Log!$E$2:$E$331,Parameters!$B$2,Log!$I$2:$I$331,"&lt;&gt;CAN")</f>
        <v/>
      </c>
      <c r="D149">
        <f>IF(ROW()-Parameters!$B$5&gt;=2,INDEX($E$1:$E$366,ROW()-Parameters!$B$5)*Parameters!$B$4,0)</f>
        <v/>
      </c>
      <c r="E149">
        <f>IF(AND(B149=1,F148&lt;=Parameters!$B$3),1,0)</f>
        <v/>
      </c>
      <c r="F149">
        <f>F148+D149-C149</f>
        <v/>
      </c>
    </row>
    <row r="150">
      <c r="A150" s="1">
        <f>A149+1</f>
        <v/>
      </c>
      <c r="B150">
        <f>WEEKDAY(A150,2)</f>
        <v/>
      </c>
      <c r="C150">
        <f>SUMIFS(Log!$F$2:$F$331,Log!$B$2:$B$331,A150,Log!$E$2:$E$331,Parameters!$B$2,Log!$I$2:$I$331,"&lt;&gt;CAN")</f>
        <v/>
      </c>
      <c r="D150">
        <f>IF(ROW()-Parameters!$B$5&gt;=2,INDEX($E$1:$E$366,ROW()-Parameters!$B$5)*Parameters!$B$4,0)</f>
        <v/>
      </c>
      <c r="E150">
        <f>IF(AND(B150=1,F149&lt;=Parameters!$B$3),1,0)</f>
        <v/>
      </c>
      <c r="F150">
        <f>F149+D150-C150</f>
        <v/>
      </c>
    </row>
    <row r="151">
      <c r="A151" s="1">
        <f>A150+1</f>
        <v/>
      </c>
      <c r="B151">
        <f>WEEKDAY(A151,2)</f>
        <v/>
      </c>
      <c r="C151">
        <f>SUMIFS(Log!$F$2:$F$331,Log!$B$2:$B$331,A151,Log!$E$2:$E$331,Parameters!$B$2,Log!$I$2:$I$331,"&lt;&gt;CAN")</f>
        <v/>
      </c>
      <c r="D151">
        <f>IF(ROW()-Parameters!$B$5&gt;=2,INDEX($E$1:$E$366,ROW()-Parameters!$B$5)*Parameters!$B$4,0)</f>
        <v/>
      </c>
      <c r="E151">
        <f>IF(AND(B151=1,F150&lt;=Parameters!$B$3),1,0)</f>
        <v/>
      </c>
      <c r="F151">
        <f>F150+D151-C151</f>
        <v/>
      </c>
    </row>
    <row r="152">
      <c r="A152" s="1">
        <f>A151+1</f>
        <v/>
      </c>
      <c r="B152">
        <f>WEEKDAY(A152,2)</f>
        <v/>
      </c>
      <c r="C152">
        <f>SUMIFS(Log!$F$2:$F$331,Log!$B$2:$B$331,A152,Log!$E$2:$E$331,Parameters!$B$2,Log!$I$2:$I$331,"&lt;&gt;CAN")</f>
        <v/>
      </c>
      <c r="D152">
        <f>IF(ROW()-Parameters!$B$5&gt;=2,INDEX($E$1:$E$366,ROW()-Parameters!$B$5)*Parameters!$B$4,0)</f>
        <v/>
      </c>
      <c r="E152">
        <f>IF(AND(B152=1,F151&lt;=Parameters!$B$3),1,0)</f>
        <v/>
      </c>
      <c r="F152">
        <f>F151+D152-C152</f>
        <v/>
      </c>
    </row>
    <row r="153">
      <c r="A153" s="1">
        <f>A152+1</f>
        <v/>
      </c>
      <c r="B153">
        <f>WEEKDAY(A153,2)</f>
        <v/>
      </c>
      <c r="C153">
        <f>SUMIFS(Log!$F$2:$F$331,Log!$B$2:$B$331,A153,Log!$E$2:$E$331,Parameters!$B$2,Log!$I$2:$I$331,"&lt;&gt;CAN")</f>
        <v/>
      </c>
      <c r="D153">
        <f>IF(ROW()-Parameters!$B$5&gt;=2,INDEX($E$1:$E$366,ROW()-Parameters!$B$5)*Parameters!$B$4,0)</f>
        <v/>
      </c>
      <c r="E153">
        <f>IF(AND(B153=1,F152&lt;=Parameters!$B$3),1,0)</f>
        <v/>
      </c>
      <c r="F153">
        <f>F152+D153-C153</f>
        <v/>
      </c>
    </row>
    <row r="154">
      <c r="A154" s="1">
        <f>A153+1</f>
        <v/>
      </c>
      <c r="B154">
        <f>WEEKDAY(A154,2)</f>
        <v/>
      </c>
      <c r="C154">
        <f>SUMIFS(Log!$F$2:$F$331,Log!$B$2:$B$331,A154,Log!$E$2:$E$331,Parameters!$B$2,Log!$I$2:$I$331,"&lt;&gt;CAN")</f>
        <v/>
      </c>
      <c r="D154">
        <f>IF(ROW()-Parameters!$B$5&gt;=2,INDEX($E$1:$E$366,ROW()-Parameters!$B$5)*Parameters!$B$4,0)</f>
        <v/>
      </c>
      <c r="E154">
        <f>IF(AND(B154=1,F153&lt;=Parameters!$B$3),1,0)</f>
        <v/>
      </c>
      <c r="F154">
        <f>F153+D154-C154</f>
        <v/>
      </c>
    </row>
    <row r="155">
      <c r="A155" s="1">
        <f>A154+1</f>
        <v/>
      </c>
      <c r="B155">
        <f>WEEKDAY(A155,2)</f>
        <v/>
      </c>
      <c r="C155">
        <f>SUMIFS(Log!$F$2:$F$331,Log!$B$2:$B$331,A155,Log!$E$2:$E$331,Parameters!$B$2,Log!$I$2:$I$331,"&lt;&gt;CAN")</f>
        <v/>
      </c>
      <c r="D155">
        <f>IF(ROW()-Parameters!$B$5&gt;=2,INDEX($E$1:$E$366,ROW()-Parameters!$B$5)*Parameters!$B$4,0)</f>
        <v/>
      </c>
      <c r="E155">
        <f>IF(AND(B155=1,F154&lt;=Parameters!$B$3),1,0)</f>
        <v/>
      </c>
      <c r="F155">
        <f>F154+D155-C155</f>
        <v/>
      </c>
    </row>
    <row r="156">
      <c r="A156" s="1">
        <f>A155+1</f>
        <v/>
      </c>
      <c r="B156">
        <f>WEEKDAY(A156,2)</f>
        <v/>
      </c>
      <c r="C156">
        <f>SUMIFS(Log!$F$2:$F$331,Log!$B$2:$B$331,A156,Log!$E$2:$E$331,Parameters!$B$2,Log!$I$2:$I$331,"&lt;&gt;CAN")</f>
        <v/>
      </c>
      <c r="D156">
        <f>IF(ROW()-Parameters!$B$5&gt;=2,INDEX($E$1:$E$366,ROW()-Parameters!$B$5)*Parameters!$B$4,0)</f>
        <v/>
      </c>
      <c r="E156">
        <f>IF(AND(B156=1,F155&lt;=Parameters!$B$3),1,0)</f>
        <v/>
      </c>
      <c r="F156">
        <f>F155+D156-C156</f>
        <v/>
      </c>
    </row>
    <row r="157">
      <c r="A157" s="1">
        <f>A156+1</f>
        <v/>
      </c>
      <c r="B157">
        <f>WEEKDAY(A157,2)</f>
        <v/>
      </c>
      <c r="C157">
        <f>SUMIFS(Log!$F$2:$F$331,Log!$B$2:$B$331,A157,Log!$E$2:$E$331,Parameters!$B$2,Log!$I$2:$I$331,"&lt;&gt;CAN")</f>
        <v/>
      </c>
      <c r="D157">
        <f>IF(ROW()-Parameters!$B$5&gt;=2,INDEX($E$1:$E$366,ROW()-Parameters!$B$5)*Parameters!$B$4,0)</f>
        <v/>
      </c>
      <c r="E157">
        <f>IF(AND(B157=1,F156&lt;=Parameters!$B$3),1,0)</f>
        <v/>
      </c>
      <c r="F157">
        <f>F156+D157-C157</f>
        <v/>
      </c>
    </row>
    <row r="158">
      <c r="A158" s="1">
        <f>A157+1</f>
        <v/>
      </c>
      <c r="B158">
        <f>WEEKDAY(A158,2)</f>
        <v/>
      </c>
      <c r="C158">
        <f>SUMIFS(Log!$F$2:$F$331,Log!$B$2:$B$331,A158,Log!$E$2:$E$331,Parameters!$B$2,Log!$I$2:$I$331,"&lt;&gt;CAN")</f>
        <v/>
      </c>
      <c r="D158">
        <f>IF(ROW()-Parameters!$B$5&gt;=2,INDEX($E$1:$E$366,ROW()-Parameters!$B$5)*Parameters!$B$4,0)</f>
        <v/>
      </c>
      <c r="E158">
        <f>IF(AND(B158=1,F157&lt;=Parameters!$B$3),1,0)</f>
        <v/>
      </c>
      <c r="F158">
        <f>F157+D158-C158</f>
        <v/>
      </c>
    </row>
    <row r="159">
      <c r="A159" s="1">
        <f>A158+1</f>
        <v/>
      </c>
      <c r="B159">
        <f>WEEKDAY(A159,2)</f>
        <v/>
      </c>
      <c r="C159">
        <f>SUMIFS(Log!$F$2:$F$331,Log!$B$2:$B$331,A159,Log!$E$2:$E$331,Parameters!$B$2,Log!$I$2:$I$331,"&lt;&gt;CAN")</f>
        <v/>
      </c>
      <c r="D159">
        <f>IF(ROW()-Parameters!$B$5&gt;=2,INDEX($E$1:$E$366,ROW()-Parameters!$B$5)*Parameters!$B$4,0)</f>
        <v/>
      </c>
      <c r="E159">
        <f>IF(AND(B159=1,F158&lt;=Parameters!$B$3),1,0)</f>
        <v/>
      </c>
      <c r="F159">
        <f>F158+D159-C159</f>
        <v/>
      </c>
    </row>
    <row r="160">
      <c r="A160" s="1">
        <f>A159+1</f>
        <v/>
      </c>
      <c r="B160">
        <f>WEEKDAY(A160,2)</f>
        <v/>
      </c>
      <c r="C160">
        <f>SUMIFS(Log!$F$2:$F$331,Log!$B$2:$B$331,A160,Log!$E$2:$E$331,Parameters!$B$2,Log!$I$2:$I$331,"&lt;&gt;CAN")</f>
        <v/>
      </c>
      <c r="D160">
        <f>IF(ROW()-Parameters!$B$5&gt;=2,INDEX($E$1:$E$366,ROW()-Parameters!$B$5)*Parameters!$B$4,0)</f>
        <v/>
      </c>
      <c r="E160">
        <f>IF(AND(B160=1,F159&lt;=Parameters!$B$3),1,0)</f>
        <v/>
      </c>
      <c r="F160">
        <f>F159+D160-C160</f>
        <v/>
      </c>
    </row>
    <row r="161">
      <c r="A161" s="1">
        <f>A160+1</f>
        <v/>
      </c>
      <c r="B161">
        <f>WEEKDAY(A161,2)</f>
        <v/>
      </c>
      <c r="C161">
        <f>SUMIFS(Log!$F$2:$F$331,Log!$B$2:$B$331,A161,Log!$E$2:$E$331,Parameters!$B$2,Log!$I$2:$I$331,"&lt;&gt;CAN")</f>
        <v/>
      </c>
      <c r="D161">
        <f>IF(ROW()-Parameters!$B$5&gt;=2,INDEX($E$1:$E$366,ROW()-Parameters!$B$5)*Parameters!$B$4,0)</f>
        <v/>
      </c>
      <c r="E161">
        <f>IF(AND(B161=1,F160&lt;=Parameters!$B$3),1,0)</f>
        <v/>
      </c>
      <c r="F161">
        <f>F160+D161-C161</f>
        <v/>
      </c>
    </row>
    <row r="162">
      <c r="A162" s="1">
        <f>A161+1</f>
        <v/>
      </c>
      <c r="B162">
        <f>WEEKDAY(A162,2)</f>
        <v/>
      </c>
      <c r="C162">
        <f>SUMIFS(Log!$F$2:$F$331,Log!$B$2:$B$331,A162,Log!$E$2:$E$331,Parameters!$B$2,Log!$I$2:$I$331,"&lt;&gt;CAN")</f>
        <v/>
      </c>
      <c r="D162">
        <f>IF(ROW()-Parameters!$B$5&gt;=2,INDEX($E$1:$E$366,ROW()-Parameters!$B$5)*Parameters!$B$4,0)</f>
        <v/>
      </c>
      <c r="E162">
        <f>IF(AND(B162=1,F161&lt;=Parameters!$B$3),1,0)</f>
        <v/>
      </c>
      <c r="F162">
        <f>F161+D162-C162</f>
        <v/>
      </c>
    </row>
    <row r="163">
      <c r="A163" s="1">
        <f>A162+1</f>
        <v/>
      </c>
      <c r="B163">
        <f>WEEKDAY(A163,2)</f>
        <v/>
      </c>
      <c r="C163">
        <f>SUMIFS(Log!$F$2:$F$331,Log!$B$2:$B$331,A163,Log!$E$2:$E$331,Parameters!$B$2,Log!$I$2:$I$331,"&lt;&gt;CAN")</f>
        <v/>
      </c>
      <c r="D163">
        <f>IF(ROW()-Parameters!$B$5&gt;=2,INDEX($E$1:$E$366,ROW()-Parameters!$B$5)*Parameters!$B$4,0)</f>
        <v/>
      </c>
      <c r="E163">
        <f>IF(AND(B163=1,F162&lt;=Parameters!$B$3),1,0)</f>
        <v/>
      </c>
      <c r="F163">
        <f>F162+D163-C163</f>
        <v/>
      </c>
    </row>
    <row r="164">
      <c r="A164" s="1">
        <f>A163+1</f>
        <v/>
      </c>
      <c r="B164">
        <f>WEEKDAY(A164,2)</f>
        <v/>
      </c>
      <c r="C164">
        <f>SUMIFS(Log!$F$2:$F$331,Log!$B$2:$B$331,A164,Log!$E$2:$E$331,Parameters!$B$2,Log!$I$2:$I$331,"&lt;&gt;CAN")</f>
        <v/>
      </c>
      <c r="D164">
        <f>IF(ROW()-Parameters!$B$5&gt;=2,INDEX($E$1:$E$366,ROW()-Parameters!$B$5)*Parameters!$B$4,0)</f>
        <v/>
      </c>
      <c r="E164">
        <f>IF(AND(B164=1,F163&lt;=Parameters!$B$3),1,0)</f>
        <v/>
      </c>
      <c r="F164">
        <f>F163+D164-C164</f>
        <v/>
      </c>
    </row>
    <row r="165">
      <c r="A165" s="1">
        <f>A164+1</f>
        <v/>
      </c>
      <c r="B165">
        <f>WEEKDAY(A165,2)</f>
        <v/>
      </c>
      <c r="C165">
        <f>SUMIFS(Log!$F$2:$F$331,Log!$B$2:$B$331,A165,Log!$E$2:$E$331,Parameters!$B$2,Log!$I$2:$I$331,"&lt;&gt;CAN")</f>
        <v/>
      </c>
      <c r="D165">
        <f>IF(ROW()-Parameters!$B$5&gt;=2,INDEX($E$1:$E$366,ROW()-Parameters!$B$5)*Parameters!$B$4,0)</f>
        <v/>
      </c>
      <c r="E165">
        <f>IF(AND(B165=1,F164&lt;=Parameters!$B$3),1,0)</f>
        <v/>
      </c>
      <c r="F165">
        <f>F164+D165-C165</f>
        <v/>
      </c>
    </row>
    <row r="166">
      <c r="A166" s="1">
        <f>A165+1</f>
        <v/>
      </c>
      <c r="B166">
        <f>WEEKDAY(A166,2)</f>
        <v/>
      </c>
      <c r="C166">
        <f>SUMIFS(Log!$F$2:$F$331,Log!$B$2:$B$331,A166,Log!$E$2:$E$331,Parameters!$B$2,Log!$I$2:$I$331,"&lt;&gt;CAN")</f>
        <v/>
      </c>
      <c r="D166">
        <f>IF(ROW()-Parameters!$B$5&gt;=2,INDEX($E$1:$E$366,ROW()-Parameters!$B$5)*Parameters!$B$4,0)</f>
        <v/>
      </c>
      <c r="E166">
        <f>IF(AND(B166=1,F165&lt;=Parameters!$B$3),1,0)</f>
        <v/>
      </c>
      <c r="F166">
        <f>F165+D166-C166</f>
        <v/>
      </c>
    </row>
    <row r="167">
      <c r="A167" s="1">
        <f>A166+1</f>
        <v/>
      </c>
      <c r="B167">
        <f>WEEKDAY(A167,2)</f>
        <v/>
      </c>
      <c r="C167">
        <f>SUMIFS(Log!$F$2:$F$331,Log!$B$2:$B$331,A167,Log!$E$2:$E$331,Parameters!$B$2,Log!$I$2:$I$331,"&lt;&gt;CAN")</f>
        <v/>
      </c>
      <c r="D167">
        <f>IF(ROW()-Parameters!$B$5&gt;=2,INDEX($E$1:$E$366,ROW()-Parameters!$B$5)*Parameters!$B$4,0)</f>
        <v/>
      </c>
      <c r="E167">
        <f>IF(AND(B167=1,F166&lt;=Parameters!$B$3),1,0)</f>
        <v/>
      </c>
      <c r="F167">
        <f>F166+D167-C167</f>
        <v/>
      </c>
    </row>
    <row r="168">
      <c r="A168" s="1">
        <f>A167+1</f>
        <v/>
      </c>
      <c r="B168">
        <f>WEEKDAY(A168,2)</f>
        <v/>
      </c>
      <c r="C168">
        <f>SUMIFS(Log!$F$2:$F$331,Log!$B$2:$B$331,A168,Log!$E$2:$E$331,Parameters!$B$2,Log!$I$2:$I$331,"&lt;&gt;CAN")</f>
        <v/>
      </c>
      <c r="D168">
        <f>IF(ROW()-Parameters!$B$5&gt;=2,INDEX($E$1:$E$366,ROW()-Parameters!$B$5)*Parameters!$B$4,0)</f>
        <v/>
      </c>
      <c r="E168">
        <f>IF(AND(B168=1,F167&lt;=Parameters!$B$3),1,0)</f>
        <v/>
      </c>
      <c r="F168">
        <f>F167+D168-C168</f>
        <v/>
      </c>
    </row>
    <row r="169">
      <c r="A169" s="1">
        <f>A168+1</f>
        <v/>
      </c>
      <c r="B169">
        <f>WEEKDAY(A169,2)</f>
        <v/>
      </c>
      <c r="C169">
        <f>SUMIFS(Log!$F$2:$F$331,Log!$B$2:$B$331,A169,Log!$E$2:$E$331,Parameters!$B$2,Log!$I$2:$I$331,"&lt;&gt;CAN")</f>
        <v/>
      </c>
      <c r="D169">
        <f>IF(ROW()-Parameters!$B$5&gt;=2,INDEX($E$1:$E$366,ROW()-Parameters!$B$5)*Parameters!$B$4,0)</f>
        <v/>
      </c>
      <c r="E169">
        <f>IF(AND(B169=1,F168&lt;=Parameters!$B$3),1,0)</f>
        <v/>
      </c>
      <c r="F169">
        <f>F168+D169-C169</f>
        <v/>
      </c>
    </row>
    <row r="170">
      <c r="A170" s="1">
        <f>A169+1</f>
        <v/>
      </c>
      <c r="B170">
        <f>WEEKDAY(A170,2)</f>
        <v/>
      </c>
      <c r="C170">
        <f>SUMIFS(Log!$F$2:$F$331,Log!$B$2:$B$331,A170,Log!$E$2:$E$331,Parameters!$B$2,Log!$I$2:$I$331,"&lt;&gt;CAN")</f>
        <v/>
      </c>
      <c r="D170">
        <f>IF(ROW()-Parameters!$B$5&gt;=2,INDEX($E$1:$E$366,ROW()-Parameters!$B$5)*Parameters!$B$4,0)</f>
        <v/>
      </c>
      <c r="E170">
        <f>IF(AND(B170=1,F169&lt;=Parameters!$B$3),1,0)</f>
        <v/>
      </c>
      <c r="F170">
        <f>F169+D170-C170</f>
        <v/>
      </c>
    </row>
    <row r="171">
      <c r="A171" s="1">
        <f>A170+1</f>
        <v/>
      </c>
      <c r="B171">
        <f>WEEKDAY(A171,2)</f>
        <v/>
      </c>
      <c r="C171">
        <f>SUMIFS(Log!$F$2:$F$331,Log!$B$2:$B$331,A171,Log!$E$2:$E$331,Parameters!$B$2,Log!$I$2:$I$331,"&lt;&gt;CAN")</f>
        <v/>
      </c>
      <c r="D171">
        <f>IF(ROW()-Parameters!$B$5&gt;=2,INDEX($E$1:$E$366,ROW()-Parameters!$B$5)*Parameters!$B$4,0)</f>
        <v/>
      </c>
      <c r="E171">
        <f>IF(AND(B171=1,F170&lt;=Parameters!$B$3),1,0)</f>
        <v/>
      </c>
      <c r="F171">
        <f>F170+D171-C171</f>
        <v/>
      </c>
    </row>
    <row r="172">
      <c r="A172" s="1">
        <f>A171+1</f>
        <v/>
      </c>
      <c r="B172">
        <f>WEEKDAY(A172,2)</f>
        <v/>
      </c>
      <c r="C172">
        <f>SUMIFS(Log!$F$2:$F$331,Log!$B$2:$B$331,A172,Log!$E$2:$E$331,Parameters!$B$2,Log!$I$2:$I$331,"&lt;&gt;CAN")</f>
        <v/>
      </c>
      <c r="D172">
        <f>IF(ROW()-Parameters!$B$5&gt;=2,INDEX($E$1:$E$366,ROW()-Parameters!$B$5)*Parameters!$B$4,0)</f>
        <v/>
      </c>
      <c r="E172">
        <f>IF(AND(B172=1,F171&lt;=Parameters!$B$3),1,0)</f>
        <v/>
      </c>
      <c r="F172">
        <f>F171+D172-C172</f>
        <v/>
      </c>
    </row>
    <row r="173">
      <c r="A173" s="1">
        <f>A172+1</f>
        <v/>
      </c>
      <c r="B173">
        <f>WEEKDAY(A173,2)</f>
        <v/>
      </c>
      <c r="C173">
        <f>SUMIFS(Log!$F$2:$F$331,Log!$B$2:$B$331,A173,Log!$E$2:$E$331,Parameters!$B$2,Log!$I$2:$I$331,"&lt;&gt;CAN")</f>
        <v/>
      </c>
      <c r="D173">
        <f>IF(ROW()-Parameters!$B$5&gt;=2,INDEX($E$1:$E$366,ROW()-Parameters!$B$5)*Parameters!$B$4,0)</f>
        <v/>
      </c>
      <c r="E173">
        <f>IF(AND(B173=1,F172&lt;=Parameters!$B$3),1,0)</f>
        <v/>
      </c>
      <c r="F173">
        <f>F172+D173-C173</f>
        <v/>
      </c>
    </row>
    <row r="174">
      <c r="A174" s="1">
        <f>A173+1</f>
        <v/>
      </c>
      <c r="B174">
        <f>WEEKDAY(A174,2)</f>
        <v/>
      </c>
      <c r="C174">
        <f>SUMIFS(Log!$F$2:$F$331,Log!$B$2:$B$331,A174,Log!$E$2:$E$331,Parameters!$B$2,Log!$I$2:$I$331,"&lt;&gt;CAN")</f>
        <v/>
      </c>
      <c r="D174">
        <f>IF(ROW()-Parameters!$B$5&gt;=2,INDEX($E$1:$E$366,ROW()-Parameters!$B$5)*Parameters!$B$4,0)</f>
        <v/>
      </c>
      <c r="E174">
        <f>IF(AND(B174=1,F173&lt;=Parameters!$B$3),1,0)</f>
        <v/>
      </c>
      <c r="F174">
        <f>F173+D174-C174</f>
        <v/>
      </c>
    </row>
    <row r="175">
      <c r="A175" s="1">
        <f>A174+1</f>
        <v/>
      </c>
      <c r="B175">
        <f>WEEKDAY(A175,2)</f>
        <v/>
      </c>
      <c r="C175">
        <f>SUMIFS(Log!$F$2:$F$331,Log!$B$2:$B$331,A175,Log!$E$2:$E$331,Parameters!$B$2,Log!$I$2:$I$331,"&lt;&gt;CAN")</f>
        <v/>
      </c>
      <c r="D175">
        <f>IF(ROW()-Parameters!$B$5&gt;=2,INDEX($E$1:$E$366,ROW()-Parameters!$B$5)*Parameters!$B$4,0)</f>
        <v/>
      </c>
      <c r="E175">
        <f>IF(AND(B175=1,F174&lt;=Parameters!$B$3),1,0)</f>
        <v/>
      </c>
      <c r="F175">
        <f>F174+D175-C175</f>
        <v/>
      </c>
    </row>
    <row r="176">
      <c r="A176" s="1">
        <f>A175+1</f>
        <v/>
      </c>
      <c r="B176">
        <f>WEEKDAY(A176,2)</f>
        <v/>
      </c>
      <c r="C176">
        <f>SUMIFS(Log!$F$2:$F$331,Log!$B$2:$B$331,A176,Log!$E$2:$E$331,Parameters!$B$2,Log!$I$2:$I$331,"&lt;&gt;CAN")</f>
        <v/>
      </c>
      <c r="D176">
        <f>IF(ROW()-Parameters!$B$5&gt;=2,INDEX($E$1:$E$366,ROW()-Parameters!$B$5)*Parameters!$B$4,0)</f>
        <v/>
      </c>
      <c r="E176">
        <f>IF(AND(B176=1,F175&lt;=Parameters!$B$3),1,0)</f>
        <v/>
      </c>
      <c r="F176">
        <f>F175+D176-C176</f>
        <v/>
      </c>
    </row>
    <row r="177">
      <c r="A177" s="1">
        <f>A176+1</f>
        <v/>
      </c>
      <c r="B177">
        <f>WEEKDAY(A177,2)</f>
        <v/>
      </c>
      <c r="C177">
        <f>SUMIFS(Log!$F$2:$F$331,Log!$B$2:$B$331,A177,Log!$E$2:$E$331,Parameters!$B$2,Log!$I$2:$I$331,"&lt;&gt;CAN")</f>
        <v/>
      </c>
      <c r="D177">
        <f>IF(ROW()-Parameters!$B$5&gt;=2,INDEX($E$1:$E$366,ROW()-Parameters!$B$5)*Parameters!$B$4,0)</f>
        <v/>
      </c>
      <c r="E177">
        <f>IF(AND(B177=1,F176&lt;=Parameters!$B$3),1,0)</f>
        <v/>
      </c>
      <c r="F177">
        <f>F176+D177-C177</f>
        <v/>
      </c>
    </row>
    <row r="178">
      <c r="A178" s="1">
        <f>A177+1</f>
        <v/>
      </c>
      <c r="B178">
        <f>WEEKDAY(A178,2)</f>
        <v/>
      </c>
      <c r="C178">
        <f>SUMIFS(Log!$F$2:$F$331,Log!$B$2:$B$331,A178,Log!$E$2:$E$331,Parameters!$B$2,Log!$I$2:$I$331,"&lt;&gt;CAN")</f>
        <v/>
      </c>
      <c r="D178">
        <f>IF(ROW()-Parameters!$B$5&gt;=2,INDEX($E$1:$E$366,ROW()-Parameters!$B$5)*Parameters!$B$4,0)</f>
        <v/>
      </c>
      <c r="E178">
        <f>IF(AND(B178=1,F177&lt;=Parameters!$B$3),1,0)</f>
        <v/>
      </c>
      <c r="F178">
        <f>F177+D178-C178</f>
        <v/>
      </c>
    </row>
    <row r="179">
      <c r="A179" s="1">
        <f>A178+1</f>
        <v/>
      </c>
      <c r="B179">
        <f>WEEKDAY(A179,2)</f>
        <v/>
      </c>
      <c r="C179">
        <f>SUMIFS(Log!$F$2:$F$331,Log!$B$2:$B$331,A179,Log!$E$2:$E$331,Parameters!$B$2,Log!$I$2:$I$331,"&lt;&gt;CAN")</f>
        <v/>
      </c>
      <c r="D179">
        <f>IF(ROW()-Parameters!$B$5&gt;=2,INDEX($E$1:$E$366,ROW()-Parameters!$B$5)*Parameters!$B$4,0)</f>
        <v/>
      </c>
      <c r="E179">
        <f>IF(AND(B179=1,F178&lt;=Parameters!$B$3),1,0)</f>
        <v/>
      </c>
      <c r="F179">
        <f>F178+D179-C179</f>
        <v/>
      </c>
    </row>
    <row r="180">
      <c r="A180" s="1">
        <f>A179+1</f>
        <v/>
      </c>
      <c r="B180">
        <f>WEEKDAY(A180,2)</f>
        <v/>
      </c>
      <c r="C180">
        <f>SUMIFS(Log!$F$2:$F$331,Log!$B$2:$B$331,A180,Log!$E$2:$E$331,Parameters!$B$2,Log!$I$2:$I$331,"&lt;&gt;CAN")</f>
        <v/>
      </c>
      <c r="D180">
        <f>IF(ROW()-Parameters!$B$5&gt;=2,INDEX($E$1:$E$366,ROW()-Parameters!$B$5)*Parameters!$B$4,0)</f>
        <v/>
      </c>
      <c r="E180">
        <f>IF(AND(B180=1,F179&lt;=Parameters!$B$3),1,0)</f>
        <v/>
      </c>
      <c r="F180">
        <f>F179+D180-C180</f>
        <v/>
      </c>
    </row>
    <row r="181">
      <c r="A181" s="1">
        <f>A180+1</f>
        <v/>
      </c>
      <c r="B181">
        <f>WEEKDAY(A181,2)</f>
        <v/>
      </c>
      <c r="C181">
        <f>SUMIFS(Log!$F$2:$F$331,Log!$B$2:$B$331,A181,Log!$E$2:$E$331,Parameters!$B$2,Log!$I$2:$I$331,"&lt;&gt;CAN")</f>
        <v/>
      </c>
      <c r="D181">
        <f>IF(ROW()-Parameters!$B$5&gt;=2,INDEX($E$1:$E$366,ROW()-Parameters!$B$5)*Parameters!$B$4,0)</f>
        <v/>
      </c>
      <c r="E181">
        <f>IF(AND(B181=1,F180&lt;=Parameters!$B$3),1,0)</f>
        <v/>
      </c>
      <c r="F181">
        <f>F180+D181-C181</f>
        <v/>
      </c>
    </row>
    <row r="182">
      <c r="A182" s="1">
        <f>A181+1</f>
        <v/>
      </c>
      <c r="B182">
        <f>WEEKDAY(A182,2)</f>
        <v/>
      </c>
      <c r="C182">
        <f>SUMIFS(Log!$F$2:$F$331,Log!$B$2:$B$331,A182,Log!$E$2:$E$331,Parameters!$B$2,Log!$I$2:$I$331,"&lt;&gt;CAN")</f>
        <v/>
      </c>
      <c r="D182">
        <f>IF(ROW()-Parameters!$B$5&gt;=2,INDEX($E$1:$E$366,ROW()-Parameters!$B$5)*Parameters!$B$4,0)</f>
        <v/>
      </c>
      <c r="E182">
        <f>IF(AND(B182=1,F181&lt;=Parameters!$B$3),1,0)</f>
        <v/>
      </c>
      <c r="F182">
        <f>F181+D182-C182</f>
        <v/>
      </c>
    </row>
    <row r="183">
      <c r="A183" s="1">
        <f>A182+1</f>
        <v/>
      </c>
      <c r="B183">
        <f>WEEKDAY(A183,2)</f>
        <v/>
      </c>
      <c r="C183">
        <f>SUMIFS(Log!$F$2:$F$331,Log!$B$2:$B$331,A183,Log!$E$2:$E$331,Parameters!$B$2,Log!$I$2:$I$331,"&lt;&gt;CAN")</f>
        <v/>
      </c>
      <c r="D183">
        <f>IF(ROW()-Parameters!$B$5&gt;=2,INDEX($E$1:$E$366,ROW()-Parameters!$B$5)*Parameters!$B$4,0)</f>
        <v/>
      </c>
      <c r="E183">
        <f>IF(AND(B183=1,F182&lt;=Parameters!$B$3),1,0)</f>
        <v/>
      </c>
      <c r="F183">
        <f>F182+D183-C183</f>
        <v/>
      </c>
    </row>
    <row r="184">
      <c r="A184" s="1">
        <f>A183+1</f>
        <v/>
      </c>
      <c r="B184">
        <f>WEEKDAY(A184,2)</f>
        <v/>
      </c>
      <c r="C184">
        <f>SUMIFS(Log!$F$2:$F$331,Log!$B$2:$B$331,A184,Log!$E$2:$E$331,Parameters!$B$2,Log!$I$2:$I$331,"&lt;&gt;CAN")</f>
        <v/>
      </c>
      <c r="D184">
        <f>IF(ROW()-Parameters!$B$5&gt;=2,INDEX($E$1:$E$366,ROW()-Parameters!$B$5)*Parameters!$B$4,0)</f>
        <v/>
      </c>
      <c r="E184">
        <f>IF(AND(B184=1,F183&lt;=Parameters!$B$3),1,0)</f>
        <v/>
      </c>
      <c r="F184">
        <f>F183+D184-C184</f>
        <v/>
      </c>
    </row>
    <row r="185">
      <c r="A185" s="1">
        <f>A184+1</f>
        <v/>
      </c>
      <c r="B185">
        <f>WEEKDAY(A185,2)</f>
        <v/>
      </c>
      <c r="C185">
        <f>SUMIFS(Log!$F$2:$F$331,Log!$B$2:$B$331,A185,Log!$E$2:$E$331,Parameters!$B$2,Log!$I$2:$I$331,"&lt;&gt;CAN")</f>
        <v/>
      </c>
      <c r="D185">
        <f>IF(ROW()-Parameters!$B$5&gt;=2,INDEX($E$1:$E$366,ROW()-Parameters!$B$5)*Parameters!$B$4,0)</f>
        <v/>
      </c>
      <c r="E185">
        <f>IF(AND(B185=1,F184&lt;=Parameters!$B$3),1,0)</f>
        <v/>
      </c>
      <c r="F185">
        <f>F184+D185-C185</f>
        <v/>
      </c>
    </row>
    <row r="186">
      <c r="A186" s="1">
        <f>A185+1</f>
        <v/>
      </c>
      <c r="B186">
        <f>WEEKDAY(A186,2)</f>
        <v/>
      </c>
      <c r="C186">
        <f>SUMIFS(Log!$F$2:$F$331,Log!$B$2:$B$331,A186,Log!$E$2:$E$331,Parameters!$B$2,Log!$I$2:$I$331,"&lt;&gt;CAN")</f>
        <v/>
      </c>
      <c r="D186">
        <f>IF(ROW()-Parameters!$B$5&gt;=2,INDEX($E$1:$E$366,ROW()-Parameters!$B$5)*Parameters!$B$4,0)</f>
        <v/>
      </c>
      <c r="E186">
        <f>IF(AND(B186=1,F185&lt;=Parameters!$B$3),1,0)</f>
        <v/>
      </c>
      <c r="F186">
        <f>F185+D186-C186</f>
        <v/>
      </c>
    </row>
    <row r="187">
      <c r="A187" s="1">
        <f>A186+1</f>
        <v/>
      </c>
      <c r="B187">
        <f>WEEKDAY(A187,2)</f>
        <v/>
      </c>
      <c r="C187">
        <f>SUMIFS(Log!$F$2:$F$331,Log!$B$2:$B$331,A187,Log!$E$2:$E$331,Parameters!$B$2,Log!$I$2:$I$331,"&lt;&gt;CAN")</f>
        <v/>
      </c>
      <c r="D187">
        <f>IF(ROW()-Parameters!$B$5&gt;=2,INDEX($E$1:$E$366,ROW()-Parameters!$B$5)*Parameters!$B$4,0)</f>
        <v/>
      </c>
      <c r="E187">
        <f>IF(AND(B187=1,F186&lt;=Parameters!$B$3),1,0)</f>
        <v/>
      </c>
      <c r="F187">
        <f>F186+D187-C187</f>
        <v/>
      </c>
    </row>
    <row r="188">
      <c r="A188" s="1">
        <f>A187+1</f>
        <v/>
      </c>
      <c r="B188">
        <f>WEEKDAY(A188,2)</f>
        <v/>
      </c>
      <c r="C188">
        <f>SUMIFS(Log!$F$2:$F$331,Log!$B$2:$B$331,A188,Log!$E$2:$E$331,Parameters!$B$2,Log!$I$2:$I$331,"&lt;&gt;CAN")</f>
        <v/>
      </c>
      <c r="D188">
        <f>IF(ROW()-Parameters!$B$5&gt;=2,INDEX($E$1:$E$366,ROW()-Parameters!$B$5)*Parameters!$B$4,0)</f>
        <v/>
      </c>
      <c r="E188">
        <f>IF(AND(B188=1,F187&lt;=Parameters!$B$3),1,0)</f>
        <v/>
      </c>
      <c r="F188">
        <f>F187+D188-C188</f>
        <v/>
      </c>
    </row>
    <row r="189">
      <c r="A189" s="1">
        <f>A188+1</f>
        <v/>
      </c>
      <c r="B189">
        <f>WEEKDAY(A189,2)</f>
        <v/>
      </c>
      <c r="C189">
        <f>SUMIFS(Log!$F$2:$F$331,Log!$B$2:$B$331,A189,Log!$E$2:$E$331,Parameters!$B$2,Log!$I$2:$I$331,"&lt;&gt;CAN")</f>
        <v/>
      </c>
      <c r="D189">
        <f>IF(ROW()-Parameters!$B$5&gt;=2,INDEX($E$1:$E$366,ROW()-Parameters!$B$5)*Parameters!$B$4,0)</f>
        <v/>
      </c>
      <c r="E189">
        <f>IF(AND(B189=1,F188&lt;=Parameters!$B$3),1,0)</f>
        <v/>
      </c>
      <c r="F189">
        <f>F188+D189-C189</f>
        <v/>
      </c>
    </row>
    <row r="190">
      <c r="A190" s="1">
        <f>A189+1</f>
        <v/>
      </c>
      <c r="B190">
        <f>WEEKDAY(A190,2)</f>
        <v/>
      </c>
      <c r="C190">
        <f>SUMIFS(Log!$F$2:$F$331,Log!$B$2:$B$331,A190,Log!$E$2:$E$331,Parameters!$B$2,Log!$I$2:$I$331,"&lt;&gt;CAN")</f>
        <v/>
      </c>
      <c r="D190">
        <f>IF(ROW()-Parameters!$B$5&gt;=2,INDEX($E$1:$E$366,ROW()-Parameters!$B$5)*Parameters!$B$4,0)</f>
        <v/>
      </c>
      <c r="E190">
        <f>IF(AND(B190=1,F189&lt;=Parameters!$B$3),1,0)</f>
        <v/>
      </c>
      <c r="F190">
        <f>F189+D190-C190</f>
        <v/>
      </c>
    </row>
    <row r="191">
      <c r="A191" s="1">
        <f>A190+1</f>
        <v/>
      </c>
      <c r="B191">
        <f>WEEKDAY(A191,2)</f>
        <v/>
      </c>
      <c r="C191">
        <f>SUMIFS(Log!$F$2:$F$331,Log!$B$2:$B$331,A191,Log!$E$2:$E$331,Parameters!$B$2,Log!$I$2:$I$331,"&lt;&gt;CAN")</f>
        <v/>
      </c>
      <c r="D191">
        <f>IF(ROW()-Parameters!$B$5&gt;=2,INDEX($E$1:$E$366,ROW()-Parameters!$B$5)*Parameters!$B$4,0)</f>
        <v/>
      </c>
      <c r="E191">
        <f>IF(AND(B191=1,F190&lt;=Parameters!$B$3),1,0)</f>
        <v/>
      </c>
      <c r="F191">
        <f>F190+D191-C191</f>
        <v/>
      </c>
    </row>
    <row r="192">
      <c r="A192" s="1">
        <f>A191+1</f>
        <v/>
      </c>
      <c r="B192">
        <f>WEEKDAY(A192,2)</f>
        <v/>
      </c>
      <c r="C192">
        <f>SUMIFS(Log!$F$2:$F$331,Log!$B$2:$B$331,A192,Log!$E$2:$E$331,Parameters!$B$2,Log!$I$2:$I$331,"&lt;&gt;CAN")</f>
        <v/>
      </c>
      <c r="D192">
        <f>IF(ROW()-Parameters!$B$5&gt;=2,INDEX($E$1:$E$366,ROW()-Parameters!$B$5)*Parameters!$B$4,0)</f>
        <v/>
      </c>
      <c r="E192">
        <f>IF(AND(B192=1,F191&lt;=Parameters!$B$3),1,0)</f>
        <v/>
      </c>
      <c r="F192">
        <f>F191+D192-C192</f>
        <v/>
      </c>
    </row>
    <row r="193">
      <c r="A193" s="1">
        <f>A192+1</f>
        <v/>
      </c>
      <c r="B193">
        <f>WEEKDAY(A193,2)</f>
        <v/>
      </c>
      <c r="C193">
        <f>SUMIFS(Log!$F$2:$F$331,Log!$B$2:$B$331,A193,Log!$E$2:$E$331,Parameters!$B$2,Log!$I$2:$I$331,"&lt;&gt;CAN")</f>
        <v/>
      </c>
      <c r="D193">
        <f>IF(ROW()-Parameters!$B$5&gt;=2,INDEX($E$1:$E$366,ROW()-Parameters!$B$5)*Parameters!$B$4,0)</f>
        <v/>
      </c>
      <c r="E193">
        <f>IF(AND(B193=1,F192&lt;=Parameters!$B$3),1,0)</f>
        <v/>
      </c>
      <c r="F193">
        <f>F192+D193-C193</f>
        <v/>
      </c>
    </row>
    <row r="194">
      <c r="A194" s="1">
        <f>A193+1</f>
        <v/>
      </c>
      <c r="B194">
        <f>WEEKDAY(A194,2)</f>
        <v/>
      </c>
      <c r="C194">
        <f>SUMIFS(Log!$F$2:$F$331,Log!$B$2:$B$331,A194,Log!$E$2:$E$331,Parameters!$B$2,Log!$I$2:$I$331,"&lt;&gt;CAN")</f>
        <v/>
      </c>
      <c r="D194">
        <f>IF(ROW()-Parameters!$B$5&gt;=2,INDEX($E$1:$E$366,ROW()-Parameters!$B$5)*Parameters!$B$4,0)</f>
        <v/>
      </c>
      <c r="E194">
        <f>IF(AND(B194=1,F193&lt;=Parameters!$B$3),1,0)</f>
        <v/>
      </c>
      <c r="F194">
        <f>F193+D194-C194</f>
        <v/>
      </c>
    </row>
    <row r="195">
      <c r="A195" s="1">
        <f>A194+1</f>
        <v/>
      </c>
      <c r="B195">
        <f>WEEKDAY(A195,2)</f>
        <v/>
      </c>
      <c r="C195">
        <f>SUMIFS(Log!$F$2:$F$331,Log!$B$2:$B$331,A195,Log!$E$2:$E$331,Parameters!$B$2,Log!$I$2:$I$331,"&lt;&gt;CAN")</f>
        <v/>
      </c>
      <c r="D195">
        <f>IF(ROW()-Parameters!$B$5&gt;=2,INDEX($E$1:$E$366,ROW()-Parameters!$B$5)*Parameters!$B$4,0)</f>
        <v/>
      </c>
      <c r="E195">
        <f>IF(AND(B195=1,F194&lt;=Parameters!$B$3),1,0)</f>
        <v/>
      </c>
      <c r="F195">
        <f>F194+D195-C195</f>
        <v/>
      </c>
    </row>
    <row r="196">
      <c r="A196" s="1">
        <f>A195+1</f>
        <v/>
      </c>
      <c r="B196">
        <f>WEEKDAY(A196,2)</f>
        <v/>
      </c>
      <c r="C196">
        <f>SUMIFS(Log!$F$2:$F$331,Log!$B$2:$B$331,A196,Log!$E$2:$E$331,Parameters!$B$2,Log!$I$2:$I$331,"&lt;&gt;CAN")</f>
        <v/>
      </c>
      <c r="D196">
        <f>IF(ROW()-Parameters!$B$5&gt;=2,INDEX($E$1:$E$366,ROW()-Parameters!$B$5)*Parameters!$B$4,0)</f>
        <v/>
      </c>
      <c r="E196">
        <f>IF(AND(B196=1,F195&lt;=Parameters!$B$3),1,0)</f>
        <v/>
      </c>
      <c r="F196">
        <f>F195+D196-C196</f>
        <v/>
      </c>
    </row>
    <row r="197">
      <c r="A197" s="1">
        <f>A196+1</f>
        <v/>
      </c>
      <c r="B197">
        <f>WEEKDAY(A197,2)</f>
        <v/>
      </c>
      <c r="C197">
        <f>SUMIFS(Log!$F$2:$F$331,Log!$B$2:$B$331,A197,Log!$E$2:$E$331,Parameters!$B$2,Log!$I$2:$I$331,"&lt;&gt;CAN")</f>
        <v/>
      </c>
      <c r="D197">
        <f>IF(ROW()-Parameters!$B$5&gt;=2,INDEX($E$1:$E$366,ROW()-Parameters!$B$5)*Parameters!$B$4,0)</f>
        <v/>
      </c>
      <c r="E197">
        <f>IF(AND(B197=1,F196&lt;=Parameters!$B$3),1,0)</f>
        <v/>
      </c>
      <c r="F197">
        <f>F196+D197-C197</f>
        <v/>
      </c>
    </row>
    <row r="198">
      <c r="A198" s="1">
        <f>A197+1</f>
        <v/>
      </c>
      <c r="B198">
        <f>WEEKDAY(A198,2)</f>
        <v/>
      </c>
      <c r="C198">
        <f>SUMIFS(Log!$F$2:$F$331,Log!$B$2:$B$331,A198,Log!$E$2:$E$331,Parameters!$B$2,Log!$I$2:$I$331,"&lt;&gt;CAN")</f>
        <v/>
      </c>
      <c r="D198">
        <f>IF(ROW()-Parameters!$B$5&gt;=2,INDEX($E$1:$E$366,ROW()-Parameters!$B$5)*Parameters!$B$4,0)</f>
        <v/>
      </c>
      <c r="E198">
        <f>IF(AND(B198=1,F197&lt;=Parameters!$B$3),1,0)</f>
        <v/>
      </c>
      <c r="F198">
        <f>F197+D198-C198</f>
        <v/>
      </c>
    </row>
    <row r="199">
      <c r="A199" s="1">
        <f>A198+1</f>
        <v/>
      </c>
      <c r="B199">
        <f>WEEKDAY(A199,2)</f>
        <v/>
      </c>
      <c r="C199">
        <f>SUMIFS(Log!$F$2:$F$331,Log!$B$2:$B$331,A199,Log!$E$2:$E$331,Parameters!$B$2,Log!$I$2:$I$331,"&lt;&gt;CAN")</f>
        <v/>
      </c>
      <c r="D199">
        <f>IF(ROW()-Parameters!$B$5&gt;=2,INDEX($E$1:$E$366,ROW()-Parameters!$B$5)*Parameters!$B$4,0)</f>
        <v/>
      </c>
      <c r="E199">
        <f>IF(AND(B199=1,F198&lt;=Parameters!$B$3),1,0)</f>
        <v/>
      </c>
      <c r="F199">
        <f>F198+D199-C199</f>
        <v/>
      </c>
    </row>
    <row r="200">
      <c r="A200" s="1">
        <f>A199+1</f>
        <v/>
      </c>
      <c r="B200">
        <f>WEEKDAY(A200,2)</f>
        <v/>
      </c>
      <c r="C200">
        <f>SUMIFS(Log!$F$2:$F$331,Log!$B$2:$B$331,A200,Log!$E$2:$E$331,Parameters!$B$2,Log!$I$2:$I$331,"&lt;&gt;CAN")</f>
        <v/>
      </c>
      <c r="D200">
        <f>IF(ROW()-Parameters!$B$5&gt;=2,INDEX($E$1:$E$366,ROW()-Parameters!$B$5)*Parameters!$B$4,0)</f>
        <v/>
      </c>
      <c r="E200">
        <f>IF(AND(B200=1,F199&lt;=Parameters!$B$3),1,0)</f>
        <v/>
      </c>
      <c r="F200">
        <f>F199+D200-C200</f>
        <v/>
      </c>
    </row>
    <row r="201">
      <c r="A201" s="1">
        <f>A200+1</f>
        <v/>
      </c>
      <c r="B201">
        <f>WEEKDAY(A201,2)</f>
        <v/>
      </c>
      <c r="C201">
        <f>SUMIFS(Log!$F$2:$F$331,Log!$B$2:$B$331,A201,Log!$E$2:$E$331,Parameters!$B$2,Log!$I$2:$I$331,"&lt;&gt;CAN")</f>
        <v/>
      </c>
      <c r="D201">
        <f>IF(ROW()-Parameters!$B$5&gt;=2,INDEX($E$1:$E$366,ROW()-Parameters!$B$5)*Parameters!$B$4,0)</f>
        <v/>
      </c>
      <c r="E201">
        <f>IF(AND(B201=1,F200&lt;=Parameters!$B$3),1,0)</f>
        <v/>
      </c>
      <c r="F201">
        <f>F200+D201-C201</f>
        <v/>
      </c>
    </row>
    <row r="202">
      <c r="A202" s="1">
        <f>A201+1</f>
        <v/>
      </c>
      <c r="B202">
        <f>WEEKDAY(A202,2)</f>
        <v/>
      </c>
      <c r="C202">
        <f>SUMIFS(Log!$F$2:$F$331,Log!$B$2:$B$331,A202,Log!$E$2:$E$331,Parameters!$B$2,Log!$I$2:$I$331,"&lt;&gt;CAN")</f>
        <v/>
      </c>
      <c r="D202">
        <f>IF(ROW()-Parameters!$B$5&gt;=2,INDEX($E$1:$E$366,ROW()-Parameters!$B$5)*Parameters!$B$4,0)</f>
        <v/>
      </c>
      <c r="E202">
        <f>IF(AND(B202=1,F201&lt;=Parameters!$B$3),1,0)</f>
        <v/>
      </c>
      <c r="F202">
        <f>F201+D202-C202</f>
        <v/>
      </c>
    </row>
    <row r="203">
      <c r="A203" s="1">
        <f>A202+1</f>
        <v/>
      </c>
      <c r="B203">
        <f>WEEKDAY(A203,2)</f>
        <v/>
      </c>
      <c r="C203">
        <f>SUMIFS(Log!$F$2:$F$331,Log!$B$2:$B$331,A203,Log!$E$2:$E$331,Parameters!$B$2,Log!$I$2:$I$331,"&lt;&gt;CAN")</f>
        <v/>
      </c>
      <c r="D203">
        <f>IF(ROW()-Parameters!$B$5&gt;=2,INDEX($E$1:$E$366,ROW()-Parameters!$B$5)*Parameters!$B$4,0)</f>
        <v/>
      </c>
      <c r="E203">
        <f>IF(AND(B203=1,F202&lt;=Parameters!$B$3),1,0)</f>
        <v/>
      </c>
      <c r="F203">
        <f>F202+D203-C203</f>
        <v/>
      </c>
    </row>
    <row r="204">
      <c r="A204" s="1">
        <f>A203+1</f>
        <v/>
      </c>
      <c r="B204">
        <f>WEEKDAY(A204,2)</f>
        <v/>
      </c>
      <c r="C204">
        <f>SUMIFS(Log!$F$2:$F$331,Log!$B$2:$B$331,A204,Log!$E$2:$E$331,Parameters!$B$2,Log!$I$2:$I$331,"&lt;&gt;CAN")</f>
        <v/>
      </c>
      <c r="D204">
        <f>IF(ROW()-Parameters!$B$5&gt;=2,INDEX($E$1:$E$366,ROW()-Parameters!$B$5)*Parameters!$B$4,0)</f>
        <v/>
      </c>
      <c r="E204">
        <f>IF(AND(B204=1,F203&lt;=Parameters!$B$3),1,0)</f>
        <v/>
      </c>
      <c r="F204">
        <f>F203+D204-C204</f>
        <v/>
      </c>
    </row>
    <row r="205">
      <c r="A205" s="1">
        <f>A204+1</f>
        <v/>
      </c>
      <c r="B205">
        <f>WEEKDAY(A205,2)</f>
        <v/>
      </c>
      <c r="C205">
        <f>SUMIFS(Log!$F$2:$F$331,Log!$B$2:$B$331,A205,Log!$E$2:$E$331,Parameters!$B$2,Log!$I$2:$I$331,"&lt;&gt;CAN")</f>
        <v/>
      </c>
      <c r="D205">
        <f>IF(ROW()-Parameters!$B$5&gt;=2,INDEX($E$1:$E$366,ROW()-Parameters!$B$5)*Parameters!$B$4,0)</f>
        <v/>
      </c>
      <c r="E205">
        <f>IF(AND(B205=1,F204&lt;=Parameters!$B$3),1,0)</f>
        <v/>
      </c>
      <c r="F205">
        <f>F204+D205-C205</f>
        <v/>
      </c>
    </row>
    <row r="206">
      <c r="A206" s="1">
        <f>A205+1</f>
        <v/>
      </c>
      <c r="B206">
        <f>WEEKDAY(A206,2)</f>
        <v/>
      </c>
      <c r="C206">
        <f>SUMIFS(Log!$F$2:$F$331,Log!$B$2:$B$331,A206,Log!$E$2:$E$331,Parameters!$B$2,Log!$I$2:$I$331,"&lt;&gt;CAN")</f>
        <v/>
      </c>
      <c r="D206">
        <f>IF(ROW()-Parameters!$B$5&gt;=2,INDEX($E$1:$E$366,ROW()-Parameters!$B$5)*Parameters!$B$4,0)</f>
        <v/>
      </c>
      <c r="E206">
        <f>IF(AND(B206=1,F205&lt;=Parameters!$B$3),1,0)</f>
        <v/>
      </c>
      <c r="F206">
        <f>F205+D206-C206</f>
        <v/>
      </c>
    </row>
    <row r="207">
      <c r="A207" s="1">
        <f>A206+1</f>
        <v/>
      </c>
      <c r="B207">
        <f>WEEKDAY(A207,2)</f>
        <v/>
      </c>
      <c r="C207">
        <f>SUMIFS(Log!$F$2:$F$331,Log!$B$2:$B$331,A207,Log!$E$2:$E$331,Parameters!$B$2,Log!$I$2:$I$331,"&lt;&gt;CAN")</f>
        <v/>
      </c>
      <c r="D207">
        <f>IF(ROW()-Parameters!$B$5&gt;=2,INDEX($E$1:$E$366,ROW()-Parameters!$B$5)*Parameters!$B$4,0)</f>
        <v/>
      </c>
      <c r="E207">
        <f>IF(AND(B207=1,F206&lt;=Parameters!$B$3),1,0)</f>
        <v/>
      </c>
      <c r="F207">
        <f>F206+D207-C207</f>
        <v/>
      </c>
    </row>
    <row r="208">
      <c r="A208" s="1">
        <f>A207+1</f>
        <v/>
      </c>
      <c r="B208">
        <f>WEEKDAY(A208,2)</f>
        <v/>
      </c>
      <c r="C208">
        <f>SUMIFS(Log!$F$2:$F$331,Log!$B$2:$B$331,A208,Log!$E$2:$E$331,Parameters!$B$2,Log!$I$2:$I$331,"&lt;&gt;CAN")</f>
        <v/>
      </c>
      <c r="D208">
        <f>IF(ROW()-Parameters!$B$5&gt;=2,INDEX($E$1:$E$366,ROW()-Parameters!$B$5)*Parameters!$B$4,0)</f>
        <v/>
      </c>
      <c r="E208">
        <f>IF(AND(B208=1,F207&lt;=Parameters!$B$3),1,0)</f>
        <v/>
      </c>
      <c r="F208">
        <f>F207+D208-C208</f>
        <v/>
      </c>
    </row>
    <row r="209">
      <c r="A209" s="1">
        <f>A208+1</f>
        <v/>
      </c>
      <c r="B209">
        <f>WEEKDAY(A209,2)</f>
        <v/>
      </c>
      <c r="C209">
        <f>SUMIFS(Log!$F$2:$F$331,Log!$B$2:$B$331,A209,Log!$E$2:$E$331,Parameters!$B$2,Log!$I$2:$I$331,"&lt;&gt;CAN")</f>
        <v/>
      </c>
      <c r="D209">
        <f>IF(ROW()-Parameters!$B$5&gt;=2,INDEX($E$1:$E$366,ROW()-Parameters!$B$5)*Parameters!$B$4,0)</f>
        <v/>
      </c>
      <c r="E209">
        <f>IF(AND(B209=1,F208&lt;=Parameters!$B$3),1,0)</f>
        <v/>
      </c>
      <c r="F209">
        <f>F208+D209-C209</f>
        <v/>
      </c>
    </row>
    <row r="210">
      <c r="A210" s="1">
        <f>A209+1</f>
        <v/>
      </c>
      <c r="B210">
        <f>WEEKDAY(A210,2)</f>
        <v/>
      </c>
      <c r="C210">
        <f>SUMIFS(Log!$F$2:$F$331,Log!$B$2:$B$331,A210,Log!$E$2:$E$331,Parameters!$B$2,Log!$I$2:$I$331,"&lt;&gt;CAN")</f>
        <v/>
      </c>
      <c r="D210">
        <f>IF(ROW()-Parameters!$B$5&gt;=2,INDEX($E$1:$E$366,ROW()-Parameters!$B$5)*Parameters!$B$4,0)</f>
        <v/>
      </c>
      <c r="E210">
        <f>IF(AND(B210=1,F209&lt;=Parameters!$B$3),1,0)</f>
        <v/>
      </c>
      <c r="F210">
        <f>F209+D210-C210</f>
        <v/>
      </c>
    </row>
    <row r="211">
      <c r="A211" s="1">
        <f>A210+1</f>
        <v/>
      </c>
      <c r="B211">
        <f>WEEKDAY(A211,2)</f>
        <v/>
      </c>
      <c r="C211">
        <f>SUMIFS(Log!$F$2:$F$331,Log!$B$2:$B$331,A211,Log!$E$2:$E$331,Parameters!$B$2,Log!$I$2:$I$331,"&lt;&gt;CAN")</f>
        <v/>
      </c>
      <c r="D211">
        <f>IF(ROW()-Parameters!$B$5&gt;=2,INDEX($E$1:$E$366,ROW()-Parameters!$B$5)*Parameters!$B$4,0)</f>
        <v/>
      </c>
      <c r="E211">
        <f>IF(AND(B211=1,F210&lt;=Parameters!$B$3),1,0)</f>
        <v/>
      </c>
      <c r="F211">
        <f>F210+D211-C211</f>
        <v/>
      </c>
    </row>
    <row r="212">
      <c r="A212" s="1">
        <f>A211+1</f>
        <v/>
      </c>
      <c r="B212">
        <f>WEEKDAY(A212,2)</f>
        <v/>
      </c>
      <c r="C212">
        <f>SUMIFS(Log!$F$2:$F$331,Log!$B$2:$B$331,A212,Log!$E$2:$E$331,Parameters!$B$2,Log!$I$2:$I$331,"&lt;&gt;CAN")</f>
        <v/>
      </c>
      <c r="D212">
        <f>IF(ROW()-Parameters!$B$5&gt;=2,INDEX($E$1:$E$366,ROW()-Parameters!$B$5)*Parameters!$B$4,0)</f>
        <v/>
      </c>
      <c r="E212">
        <f>IF(AND(B212=1,F211&lt;=Parameters!$B$3),1,0)</f>
        <v/>
      </c>
      <c r="F212">
        <f>F211+D212-C212</f>
        <v/>
      </c>
    </row>
    <row r="213">
      <c r="A213" s="1">
        <f>A212+1</f>
        <v/>
      </c>
      <c r="B213">
        <f>WEEKDAY(A213,2)</f>
        <v/>
      </c>
      <c r="C213">
        <f>SUMIFS(Log!$F$2:$F$331,Log!$B$2:$B$331,A213,Log!$E$2:$E$331,Parameters!$B$2,Log!$I$2:$I$331,"&lt;&gt;CAN")</f>
        <v/>
      </c>
      <c r="D213">
        <f>IF(ROW()-Parameters!$B$5&gt;=2,INDEX($E$1:$E$366,ROW()-Parameters!$B$5)*Parameters!$B$4,0)</f>
        <v/>
      </c>
      <c r="E213">
        <f>IF(AND(B213=1,F212&lt;=Parameters!$B$3),1,0)</f>
        <v/>
      </c>
      <c r="F213">
        <f>F212+D213-C213</f>
        <v/>
      </c>
    </row>
    <row r="214">
      <c r="A214" s="1">
        <f>A213+1</f>
        <v/>
      </c>
      <c r="B214">
        <f>WEEKDAY(A214,2)</f>
        <v/>
      </c>
      <c r="C214">
        <f>SUMIFS(Log!$F$2:$F$331,Log!$B$2:$B$331,A214,Log!$E$2:$E$331,Parameters!$B$2,Log!$I$2:$I$331,"&lt;&gt;CAN")</f>
        <v/>
      </c>
      <c r="D214">
        <f>IF(ROW()-Parameters!$B$5&gt;=2,INDEX($E$1:$E$366,ROW()-Parameters!$B$5)*Parameters!$B$4,0)</f>
        <v/>
      </c>
      <c r="E214">
        <f>IF(AND(B214=1,F213&lt;=Parameters!$B$3),1,0)</f>
        <v/>
      </c>
      <c r="F214">
        <f>F213+D214-C214</f>
        <v/>
      </c>
    </row>
    <row r="215">
      <c r="A215" s="1">
        <f>A214+1</f>
        <v/>
      </c>
      <c r="B215">
        <f>WEEKDAY(A215,2)</f>
        <v/>
      </c>
      <c r="C215">
        <f>SUMIFS(Log!$F$2:$F$331,Log!$B$2:$B$331,A215,Log!$E$2:$E$331,Parameters!$B$2,Log!$I$2:$I$331,"&lt;&gt;CAN")</f>
        <v/>
      </c>
      <c r="D215">
        <f>IF(ROW()-Parameters!$B$5&gt;=2,INDEX($E$1:$E$366,ROW()-Parameters!$B$5)*Parameters!$B$4,0)</f>
        <v/>
      </c>
      <c r="E215">
        <f>IF(AND(B215=1,F214&lt;=Parameters!$B$3),1,0)</f>
        <v/>
      </c>
      <c r="F215">
        <f>F214+D215-C215</f>
        <v/>
      </c>
    </row>
    <row r="216">
      <c r="A216" s="1">
        <f>A215+1</f>
        <v/>
      </c>
      <c r="B216">
        <f>WEEKDAY(A216,2)</f>
        <v/>
      </c>
      <c r="C216">
        <f>SUMIFS(Log!$F$2:$F$331,Log!$B$2:$B$331,A216,Log!$E$2:$E$331,Parameters!$B$2,Log!$I$2:$I$331,"&lt;&gt;CAN")</f>
        <v/>
      </c>
      <c r="D216">
        <f>IF(ROW()-Parameters!$B$5&gt;=2,INDEX($E$1:$E$366,ROW()-Parameters!$B$5)*Parameters!$B$4,0)</f>
        <v/>
      </c>
      <c r="E216">
        <f>IF(AND(B216=1,F215&lt;=Parameters!$B$3),1,0)</f>
        <v/>
      </c>
      <c r="F216">
        <f>F215+D216-C216</f>
        <v/>
      </c>
    </row>
    <row r="217">
      <c r="A217" s="1">
        <f>A216+1</f>
        <v/>
      </c>
      <c r="B217">
        <f>WEEKDAY(A217,2)</f>
        <v/>
      </c>
      <c r="C217">
        <f>SUMIFS(Log!$F$2:$F$331,Log!$B$2:$B$331,A217,Log!$E$2:$E$331,Parameters!$B$2,Log!$I$2:$I$331,"&lt;&gt;CAN")</f>
        <v/>
      </c>
      <c r="D217">
        <f>IF(ROW()-Parameters!$B$5&gt;=2,INDEX($E$1:$E$366,ROW()-Parameters!$B$5)*Parameters!$B$4,0)</f>
        <v/>
      </c>
      <c r="E217">
        <f>IF(AND(B217=1,F216&lt;=Parameters!$B$3),1,0)</f>
        <v/>
      </c>
      <c r="F217">
        <f>F216+D217-C217</f>
        <v/>
      </c>
    </row>
    <row r="218">
      <c r="A218" s="1">
        <f>A217+1</f>
        <v/>
      </c>
      <c r="B218">
        <f>WEEKDAY(A218,2)</f>
        <v/>
      </c>
      <c r="C218">
        <f>SUMIFS(Log!$F$2:$F$331,Log!$B$2:$B$331,A218,Log!$E$2:$E$331,Parameters!$B$2,Log!$I$2:$I$331,"&lt;&gt;CAN")</f>
        <v/>
      </c>
      <c r="D218">
        <f>IF(ROW()-Parameters!$B$5&gt;=2,INDEX($E$1:$E$366,ROW()-Parameters!$B$5)*Parameters!$B$4,0)</f>
        <v/>
      </c>
      <c r="E218">
        <f>IF(AND(B218=1,F217&lt;=Parameters!$B$3),1,0)</f>
        <v/>
      </c>
      <c r="F218">
        <f>F217+D218-C218</f>
        <v/>
      </c>
    </row>
    <row r="219">
      <c r="A219" s="1">
        <f>A218+1</f>
        <v/>
      </c>
      <c r="B219">
        <f>WEEKDAY(A219,2)</f>
        <v/>
      </c>
      <c r="C219">
        <f>SUMIFS(Log!$F$2:$F$331,Log!$B$2:$B$331,A219,Log!$E$2:$E$331,Parameters!$B$2,Log!$I$2:$I$331,"&lt;&gt;CAN")</f>
        <v/>
      </c>
      <c r="D219">
        <f>IF(ROW()-Parameters!$B$5&gt;=2,INDEX($E$1:$E$366,ROW()-Parameters!$B$5)*Parameters!$B$4,0)</f>
        <v/>
      </c>
      <c r="E219">
        <f>IF(AND(B219=1,F218&lt;=Parameters!$B$3),1,0)</f>
        <v/>
      </c>
      <c r="F219">
        <f>F218+D219-C219</f>
        <v/>
      </c>
    </row>
    <row r="220">
      <c r="A220" s="1">
        <f>A219+1</f>
        <v/>
      </c>
      <c r="B220">
        <f>WEEKDAY(A220,2)</f>
        <v/>
      </c>
      <c r="C220">
        <f>SUMIFS(Log!$F$2:$F$331,Log!$B$2:$B$331,A220,Log!$E$2:$E$331,Parameters!$B$2,Log!$I$2:$I$331,"&lt;&gt;CAN")</f>
        <v/>
      </c>
      <c r="D220">
        <f>IF(ROW()-Parameters!$B$5&gt;=2,INDEX($E$1:$E$366,ROW()-Parameters!$B$5)*Parameters!$B$4,0)</f>
        <v/>
      </c>
      <c r="E220">
        <f>IF(AND(B220=1,F219&lt;=Parameters!$B$3),1,0)</f>
        <v/>
      </c>
      <c r="F220">
        <f>F219+D220-C220</f>
        <v/>
      </c>
    </row>
    <row r="221">
      <c r="A221" s="1">
        <f>A220+1</f>
        <v/>
      </c>
      <c r="B221">
        <f>WEEKDAY(A221,2)</f>
        <v/>
      </c>
      <c r="C221">
        <f>SUMIFS(Log!$F$2:$F$331,Log!$B$2:$B$331,A221,Log!$E$2:$E$331,Parameters!$B$2,Log!$I$2:$I$331,"&lt;&gt;CAN")</f>
        <v/>
      </c>
      <c r="D221">
        <f>IF(ROW()-Parameters!$B$5&gt;=2,INDEX($E$1:$E$366,ROW()-Parameters!$B$5)*Parameters!$B$4,0)</f>
        <v/>
      </c>
      <c r="E221">
        <f>IF(AND(B221=1,F220&lt;=Parameters!$B$3),1,0)</f>
        <v/>
      </c>
      <c r="F221">
        <f>F220+D221-C221</f>
        <v/>
      </c>
    </row>
    <row r="222">
      <c r="A222" s="1">
        <f>A221+1</f>
        <v/>
      </c>
      <c r="B222">
        <f>WEEKDAY(A222,2)</f>
        <v/>
      </c>
      <c r="C222">
        <f>SUMIFS(Log!$F$2:$F$331,Log!$B$2:$B$331,A222,Log!$E$2:$E$331,Parameters!$B$2,Log!$I$2:$I$331,"&lt;&gt;CAN")</f>
        <v/>
      </c>
      <c r="D222">
        <f>IF(ROW()-Parameters!$B$5&gt;=2,INDEX($E$1:$E$366,ROW()-Parameters!$B$5)*Parameters!$B$4,0)</f>
        <v/>
      </c>
      <c r="E222">
        <f>IF(AND(B222=1,F221&lt;=Parameters!$B$3),1,0)</f>
        <v/>
      </c>
      <c r="F222">
        <f>F221+D222-C222</f>
        <v/>
      </c>
    </row>
    <row r="223">
      <c r="A223" s="1">
        <f>A222+1</f>
        <v/>
      </c>
      <c r="B223">
        <f>WEEKDAY(A223,2)</f>
        <v/>
      </c>
      <c r="C223">
        <f>SUMIFS(Log!$F$2:$F$331,Log!$B$2:$B$331,A223,Log!$E$2:$E$331,Parameters!$B$2,Log!$I$2:$I$331,"&lt;&gt;CAN")</f>
        <v/>
      </c>
      <c r="D223">
        <f>IF(ROW()-Parameters!$B$5&gt;=2,INDEX($E$1:$E$366,ROW()-Parameters!$B$5)*Parameters!$B$4,0)</f>
        <v/>
      </c>
      <c r="E223">
        <f>IF(AND(B223=1,F222&lt;=Parameters!$B$3),1,0)</f>
        <v/>
      </c>
      <c r="F223">
        <f>F222+D223-C223</f>
        <v/>
      </c>
    </row>
    <row r="224">
      <c r="A224" s="1">
        <f>A223+1</f>
        <v/>
      </c>
      <c r="B224">
        <f>WEEKDAY(A224,2)</f>
        <v/>
      </c>
      <c r="C224">
        <f>SUMIFS(Log!$F$2:$F$331,Log!$B$2:$B$331,A224,Log!$E$2:$E$331,Parameters!$B$2,Log!$I$2:$I$331,"&lt;&gt;CAN")</f>
        <v/>
      </c>
      <c r="D224">
        <f>IF(ROW()-Parameters!$B$5&gt;=2,INDEX($E$1:$E$366,ROW()-Parameters!$B$5)*Parameters!$B$4,0)</f>
        <v/>
      </c>
      <c r="E224">
        <f>IF(AND(B224=1,F223&lt;=Parameters!$B$3),1,0)</f>
        <v/>
      </c>
      <c r="F224">
        <f>F223+D224-C224</f>
        <v/>
      </c>
    </row>
    <row r="225">
      <c r="A225" s="1">
        <f>A224+1</f>
        <v/>
      </c>
      <c r="B225">
        <f>WEEKDAY(A225,2)</f>
        <v/>
      </c>
      <c r="C225">
        <f>SUMIFS(Log!$F$2:$F$331,Log!$B$2:$B$331,A225,Log!$E$2:$E$331,Parameters!$B$2,Log!$I$2:$I$331,"&lt;&gt;CAN")</f>
        <v/>
      </c>
      <c r="D225">
        <f>IF(ROW()-Parameters!$B$5&gt;=2,INDEX($E$1:$E$366,ROW()-Parameters!$B$5)*Parameters!$B$4,0)</f>
        <v/>
      </c>
      <c r="E225">
        <f>IF(AND(B225=1,F224&lt;=Parameters!$B$3),1,0)</f>
        <v/>
      </c>
      <c r="F225">
        <f>F224+D225-C225</f>
        <v/>
      </c>
    </row>
    <row r="226">
      <c r="A226" s="1">
        <f>A225+1</f>
        <v/>
      </c>
      <c r="B226">
        <f>WEEKDAY(A226,2)</f>
        <v/>
      </c>
      <c r="C226">
        <f>SUMIFS(Log!$F$2:$F$331,Log!$B$2:$B$331,A226,Log!$E$2:$E$331,Parameters!$B$2,Log!$I$2:$I$331,"&lt;&gt;CAN")</f>
        <v/>
      </c>
      <c r="D226">
        <f>IF(ROW()-Parameters!$B$5&gt;=2,INDEX($E$1:$E$366,ROW()-Parameters!$B$5)*Parameters!$B$4,0)</f>
        <v/>
      </c>
      <c r="E226">
        <f>IF(AND(B226=1,F225&lt;=Parameters!$B$3),1,0)</f>
        <v/>
      </c>
      <c r="F226">
        <f>F225+D226-C226</f>
        <v/>
      </c>
    </row>
    <row r="227">
      <c r="A227" s="1">
        <f>A226+1</f>
        <v/>
      </c>
      <c r="B227">
        <f>WEEKDAY(A227,2)</f>
        <v/>
      </c>
      <c r="C227">
        <f>SUMIFS(Log!$F$2:$F$331,Log!$B$2:$B$331,A227,Log!$E$2:$E$331,Parameters!$B$2,Log!$I$2:$I$331,"&lt;&gt;CAN")</f>
        <v/>
      </c>
      <c r="D227">
        <f>IF(ROW()-Parameters!$B$5&gt;=2,INDEX($E$1:$E$366,ROW()-Parameters!$B$5)*Parameters!$B$4,0)</f>
        <v/>
      </c>
      <c r="E227">
        <f>IF(AND(B227=1,F226&lt;=Parameters!$B$3),1,0)</f>
        <v/>
      </c>
      <c r="F227">
        <f>F226+D227-C227</f>
        <v/>
      </c>
    </row>
    <row r="228">
      <c r="A228" s="1">
        <f>A227+1</f>
        <v/>
      </c>
      <c r="B228">
        <f>WEEKDAY(A228,2)</f>
        <v/>
      </c>
      <c r="C228">
        <f>SUMIFS(Log!$F$2:$F$331,Log!$B$2:$B$331,A228,Log!$E$2:$E$331,Parameters!$B$2,Log!$I$2:$I$331,"&lt;&gt;CAN")</f>
        <v/>
      </c>
      <c r="D228">
        <f>IF(ROW()-Parameters!$B$5&gt;=2,INDEX($E$1:$E$366,ROW()-Parameters!$B$5)*Parameters!$B$4,0)</f>
        <v/>
      </c>
      <c r="E228">
        <f>IF(AND(B228=1,F227&lt;=Parameters!$B$3),1,0)</f>
        <v/>
      </c>
      <c r="F228">
        <f>F227+D228-C228</f>
        <v/>
      </c>
    </row>
    <row r="229">
      <c r="A229" s="1">
        <f>A228+1</f>
        <v/>
      </c>
      <c r="B229">
        <f>WEEKDAY(A229,2)</f>
        <v/>
      </c>
      <c r="C229">
        <f>SUMIFS(Log!$F$2:$F$331,Log!$B$2:$B$331,A229,Log!$E$2:$E$331,Parameters!$B$2,Log!$I$2:$I$331,"&lt;&gt;CAN")</f>
        <v/>
      </c>
      <c r="D229">
        <f>IF(ROW()-Parameters!$B$5&gt;=2,INDEX($E$1:$E$366,ROW()-Parameters!$B$5)*Parameters!$B$4,0)</f>
        <v/>
      </c>
      <c r="E229">
        <f>IF(AND(B229=1,F228&lt;=Parameters!$B$3),1,0)</f>
        <v/>
      </c>
      <c r="F229">
        <f>F228+D229-C229</f>
        <v/>
      </c>
    </row>
    <row r="230">
      <c r="A230" s="1">
        <f>A229+1</f>
        <v/>
      </c>
      <c r="B230">
        <f>WEEKDAY(A230,2)</f>
        <v/>
      </c>
      <c r="C230">
        <f>SUMIFS(Log!$F$2:$F$331,Log!$B$2:$B$331,A230,Log!$E$2:$E$331,Parameters!$B$2,Log!$I$2:$I$331,"&lt;&gt;CAN")</f>
        <v/>
      </c>
      <c r="D230">
        <f>IF(ROW()-Parameters!$B$5&gt;=2,INDEX($E$1:$E$366,ROW()-Parameters!$B$5)*Parameters!$B$4,0)</f>
        <v/>
      </c>
      <c r="E230">
        <f>IF(AND(B230=1,F229&lt;=Parameters!$B$3),1,0)</f>
        <v/>
      </c>
      <c r="F230">
        <f>F229+D230-C230</f>
        <v/>
      </c>
    </row>
    <row r="231">
      <c r="A231" s="1">
        <f>A230+1</f>
        <v/>
      </c>
      <c r="B231">
        <f>WEEKDAY(A231,2)</f>
        <v/>
      </c>
      <c r="C231">
        <f>SUMIFS(Log!$F$2:$F$331,Log!$B$2:$B$331,A231,Log!$E$2:$E$331,Parameters!$B$2,Log!$I$2:$I$331,"&lt;&gt;CAN")</f>
        <v/>
      </c>
      <c r="D231">
        <f>IF(ROW()-Parameters!$B$5&gt;=2,INDEX($E$1:$E$366,ROW()-Parameters!$B$5)*Parameters!$B$4,0)</f>
        <v/>
      </c>
      <c r="E231">
        <f>IF(AND(B231=1,F230&lt;=Parameters!$B$3),1,0)</f>
        <v/>
      </c>
      <c r="F231">
        <f>F230+D231-C231</f>
        <v/>
      </c>
    </row>
    <row r="232">
      <c r="A232" s="1">
        <f>A231+1</f>
        <v/>
      </c>
      <c r="B232">
        <f>WEEKDAY(A232,2)</f>
        <v/>
      </c>
      <c r="C232">
        <f>SUMIFS(Log!$F$2:$F$331,Log!$B$2:$B$331,A232,Log!$E$2:$E$331,Parameters!$B$2,Log!$I$2:$I$331,"&lt;&gt;CAN")</f>
        <v/>
      </c>
      <c r="D232">
        <f>IF(ROW()-Parameters!$B$5&gt;=2,INDEX($E$1:$E$366,ROW()-Parameters!$B$5)*Parameters!$B$4,0)</f>
        <v/>
      </c>
      <c r="E232">
        <f>IF(AND(B232=1,F231&lt;=Parameters!$B$3),1,0)</f>
        <v/>
      </c>
      <c r="F232">
        <f>F231+D232-C232</f>
        <v/>
      </c>
    </row>
    <row r="233">
      <c r="A233" s="1">
        <f>A232+1</f>
        <v/>
      </c>
      <c r="B233">
        <f>WEEKDAY(A233,2)</f>
        <v/>
      </c>
      <c r="C233">
        <f>SUMIFS(Log!$F$2:$F$331,Log!$B$2:$B$331,A233,Log!$E$2:$E$331,Parameters!$B$2,Log!$I$2:$I$331,"&lt;&gt;CAN")</f>
        <v/>
      </c>
      <c r="D233">
        <f>IF(ROW()-Parameters!$B$5&gt;=2,INDEX($E$1:$E$366,ROW()-Parameters!$B$5)*Parameters!$B$4,0)</f>
        <v/>
      </c>
      <c r="E233">
        <f>IF(AND(B233=1,F232&lt;=Parameters!$B$3),1,0)</f>
        <v/>
      </c>
      <c r="F233">
        <f>F232+D233-C233</f>
        <v/>
      </c>
    </row>
    <row r="234">
      <c r="A234" s="1">
        <f>A233+1</f>
        <v/>
      </c>
      <c r="B234">
        <f>WEEKDAY(A234,2)</f>
        <v/>
      </c>
      <c r="C234">
        <f>SUMIFS(Log!$F$2:$F$331,Log!$B$2:$B$331,A234,Log!$E$2:$E$331,Parameters!$B$2,Log!$I$2:$I$331,"&lt;&gt;CAN")</f>
        <v/>
      </c>
      <c r="D234">
        <f>IF(ROW()-Parameters!$B$5&gt;=2,INDEX($E$1:$E$366,ROW()-Parameters!$B$5)*Parameters!$B$4,0)</f>
        <v/>
      </c>
      <c r="E234">
        <f>IF(AND(B234=1,F233&lt;=Parameters!$B$3),1,0)</f>
        <v/>
      </c>
      <c r="F234">
        <f>F233+D234-C234</f>
        <v/>
      </c>
    </row>
    <row r="235">
      <c r="A235" s="1">
        <f>A234+1</f>
        <v/>
      </c>
      <c r="B235">
        <f>WEEKDAY(A235,2)</f>
        <v/>
      </c>
      <c r="C235">
        <f>SUMIFS(Log!$F$2:$F$331,Log!$B$2:$B$331,A235,Log!$E$2:$E$331,Parameters!$B$2,Log!$I$2:$I$331,"&lt;&gt;CAN")</f>
        <v/>
      </c>
      <c r="D235">
        <f>IF(ROW()-Parameters!$B$5&gt;=2,INDEX($E$1:$E$366,ROW()-Parameters!$B$5)*Parameters!$B$4,0)</f>
        <v/>
      </c>
      <c r="E235">
        <f>IF(AND(B235=1,F234&lt;=Parameters!$B$3),1,0)</f>
        <v/>
      </c>
      <c r="F235">
        <f>F234+D235-C235</f>
        <v/>
      </c>
    </row>
    <row r="236">
      <c r="A236" s="1">
        <f>A235+1</f>
        <v/>
      </c>
      <c r="B236">
        <f>WEEKDAY(A236,2)</f>
        <v/>
      </c>
      <c r="C236">
        <f>SUMIFS(Log!$F$2:$F$331,Log!$B$2:$B$331,A236,Log!$E$2:$E$331,Parameters!$B$2,Log!$I$2:$I$331,"&lt;&gt;CAN")</f>
        <v/>
      </c>
      <c r="D236">
        <f>IF(ROW()-Parameters!$B$5&gt;=2,INDEX($E$1:$E$366,ROW()-Parameters!$B$5)*Parameters!$B$4,0)</f>
        <v/>
      </c>
      <c r="E236">
        <f>IF(AND(B236=1,F235&lt;=Parameters!$B$3),1,0)</f>
        <v/>
      </c>
      <c r="F236">
        <f>F235+D236-C236</f>
        <v/>
      </c>
    </row>
    <row r="237">
      <c r="A237" s="1">
        <f>A236+1</f>
        <v/>
      </c>
      <c r="B237">
        <f>WEEKDAY(A237,2)</f>
        <v/>
      </c>
      <c r="C237">
        <f>SUMIFS(Log!$F$2:$F$331,Log!$B$2:$B$331,A237,Log!$E$2:$E$331,Parameters!$B$2,Log!$I$2:$I$331,"&lt;&gt;CAN")</f>
        <v/>
      </c>
      <c r="D237">
        <f>IF(ROW()-Parameters!$B$5&gt;=2,INDEX($E$1:$E$366,ROW()-Parameters!$B$5)*Parameters!$B$4,0)</f>
        <v/>
      </c>
      <c r="E237">
        <f>IF(AND(B237=1,F236&lt;=Parameters!$B$3),1,0)</f>
        <v/>
      </c>
      <c r="F237">
        <f>F236+D237-C237</f>
        <v/>
      </c>
    </row>
    <row r="238">
      <c r="A238" s="1">
        <f>A237+1</f>
        <v/>
      </c>
      <c r="B238">
        <f>WEEKDAY(A238,2)</f>
        <v/>
      </c>
      <c r="C238">
        <f>SUMIFS(Log!$F$2:$F$331,Log!$B$2:$B$331,A238,Log!$E$2:$E$331,Parameters!$B$2,Log!$I$2:$I$331,"&lt;&gt;CAN")</f>
        <v/>
      </c>
      <c r="D238">
        <f>IF(ROW()-Parameters!$B$5&gt;=2,INDEX($E$1:$E$366,ROW()-Parameters!$B$5)*Parameters!$B$4,0)</f>
        <v/>
      </c>
      <c r="E238">
        <f>IF(AND(B238=1,F237&lt;=Parameters!$B$3),1,0)</f>
        <v/>
      </c>
      <c r="F238">
        <f>F237+D238-C238</f>
        <v/>
      </c>
    </row>
    <row r="239">
      <c r="A239" s="1">
        <f>A238+1</f>
        <v/>
      </c>
      <c r="B239">
        <f>WEEKDAY(A239,2)</f>
        <v/>
      </c>
      <c r="C239">
        <f>SUMIFS(Log!$F$2:$F$331,Log!$B$2:$B$331,A239,Log!$E$2:$E$331,Parameters!$B$2,Log!$I$2:$I$331,"&lt;&gt;CAN")</f>
        <v/>
      </c>
      <c r="D239">
        <f>IF(ROW()-Parameters!$B$5&gt;=2,INDEX($E$1:$E$366,ROW()-Parameters!$B$5)*Parameters!$B$4,0)</f>
        <v/>
      </c>
      <c r="E239">
        <f>IF(AND(B239=1,F238&lt;=Parameters!$B$3),1,0)</f>
        <v/>
      </c>
      <c r="F239">
        <f>F238+D239-C239</f>
        <v/>
      </c>
    </row>
    <row r="240">
      <c r="A240" s="1">
        <f>A239+1</f>
        <v/>
      </c>
      <c r="B240">
        <f>WEEKDAY(A240,2)</f>
        <v/>
      </c>
      <c r="C240">
        <f>SUMIFS(Log!$F$2:$F$331,Log!$B$2:$B$331,A240,Log!$E$2:$E$331,Parameters!$B$2,Log!$I$2:$I$331,"&lt;&gt;CAN")</f>
        <v/>
      </c>
      <c r="D240">
        <f>IF(ROW()-Parameters!$B$5&gt;=2,INDEX($E$1:$E$366,ROW()-Parameters!$B$5)*Parameters!$B$4,0)</f>
        <v/>
      </c>
      <c r="E240">
        <f>IF(AND(B240=1,F239&lt;=Parameters!$B$3),1,0)</f>
        <v/>
      </c>
      <c r="F240">
        <f>F239+D240-C240</f>
        <v/>
      </c>
    </row>
    <row r="241">
      <c r="A241" s="1">
        <f>A240+1</f>
        <v/>
      </c>
      <c r="B241">
        <f>WEEKDAY(A241,2)</f>
        <v/>
      </c>
      <c r="C241">
        <f>SUMIFS(Log!$F$2:$F$331,Log!$B$2:$B$331,A241,Log!$E$2:$E$331,Parameters!$B$2,Log!$I$2:$I$331,"&lt;&gt;CAN")</f>
        <v/>
      </c>
      <c r="D241">
        <f>IF(ROW()-Parameters!$B$5&gt;=2,INDEX($E$1:$E$366,ROW()-Parameters!$B$5)*Parameters!$B$4,0)</f>
        <v/>
      </c>
      <c r="E241">
        <f>IF(AND(B241=1,F240&lt;=Parameters!$B$3),1,0)</f>
        <v/>
      </c>
      <c r="F241">
        <f>F240+D241-C241</f>
        <v/>
      </c>
    </row>
    <row r="242">
      <c r="A242" s="1">
        <f>A241+1</f>
        <v/>
      </c>
      <c r="B242">
        <f>WEEKDAY(A242,2)</f>
        <v/>
      </c>
      <c r="C242">
        <f>SUMIFS(Log!$F$2:$F$331,Log!$B$2:$B$331,A242,Log!$E$2:$E$331,Parameters!$B$2,Log!$I$2:$I$331,"&lt;&gt;CAN")</f>
        <v/>
      </c>
      <c r="D242">
        <f>IF(ROW()-Parameters!$B$5&gt;=2,INDEX($E$1:$E$366,ROW()-Parameters!$B$5)*Parameters!$B$4,0)</f>
        <v/>
      </c>
      <c r="E242">
        <f>IF(AND(B242=1,F241&lt;=Parameters!$B$3),1,0)</f>
        <v/>
      </c>
      <c r="F242">
        <f>F241+D242-C242</f>
        <v/>
      </c>
    </row>
    <row r="243">
      <c r="A243" s="1">
        <f>A242+1</f>
        <v/>
      </c>
      <c r="B243">
        <f>WEEKDAY(A243,2)</f>
        <v/>
      </c>
      <c r="C243">
        <f>SUMIFS(Log!$F$2:$F$331,Log!$B$2:$B$331,A243,Log!$E$2:$E$331,Parameters!$B$2,Log!$I$2:$I$331,"&lt;&gt;CAN")</f>
        <v/>
      </c>
      <c r="D243">
        <f>IF(ROW()-Parameters!$B$5&gt;=2,INDEX($E$1:$E$366,ROW()-Parameters!$B$5)*Parameters!$B$4,0)</f>
        <v/>
      </c>
      <c r="E243">
        <f>IF(AND(B243=1,F242&lt;=Parameters!$B$3),1,0)</f>
        <v/>
      </c>
      <c r="F243">
        <f>F242+D243-C243</f>
        <v/>
      </c>
    </row>
    <row r="244">
      <c r="A244" s="1">
        <f>A243+1</f>
        <v/>
      </c>
      <c r="B244">
        <f>WEEKDAY(A244,2)</f>
        <v/>
      </c>
      <c r="C244">
        <f>SUMIFS(Log!$F$2:$F$331,Log!$B$2:$B$331,A244,Log!$E$2:$E$331,Parameters!$B$2,Log!$I$2:$I$331,"&lt;&gt;CAN")</f>
        <v/>
      </c>
      <c r="D244">
        <f>IF(ROW()-Parameters!$B$5&gt;=2,INDEX($E$1:$E$366,ROW()-Parameters!$B$5)*Parameters!$B$4,0)</f>
        <v/>
      </c>
      <c r="E244">
        <f>IF(AND(B244=1,F243&lt;=Parameters!$B$3),1,0)</f>
        <v/>
      </c>
      <c r="F244">
        <f>F243+D244-C244</f>
        <v/>
      </c>
    </row>
    <row r="245">
      <c r="A245" s="1">
        <f>A244+1</f>
        <v/>
      </c>
      <c r="B245">
        <f>WEEKDAY(A245,2)</f>
        <v/>
      </c>
      <c r="C245">
        <f>SUMIFS(Log!$F$2:$F$331,Log!$B$2:$B$331,A245,Log!$E$2:$E$331,Parameters!$B$2,Log!$I$2:$I$331,"&lt;&gt;CAN")</f>
        <v/>
      </c>
      <c r="D245">
        <f>IF(ROW()-Parameters!$B$5&gt;=2,INDEX($E$1:$E$366,ROW()-Parameters!$B$5)*Parameters!$B$4,0)</f>
        <v/>
      </c>
      <c r="E245">
        <f>IF(AND(B245=1,F244&lt;=Parameters!$B$3),1,0)</f>
        <v/>
      </c>
      <c r="F245">
        <f>F244+D245-C245</f>
        <v/>
      </c>
    </row>
    <row r="246">
      <c r="A246" s="1">
        <f>A245+1</f>
        <v/>
      </c>
      <c r="B246">
        <f>WEEKDAY(A246,2)</f>
        <v/>
      </c>
      <c r="C246">
        <f>SUMIFS(Log!$F$2:$F$331,Log!$B$2:$B$331,A246,Log!$E$2:$E$331,Parameters!$B$2,Log!$I$2:$I$331,"&lt;&gt;CAN")</f>
        <v/>
      </c>
      <c r="D246">
        <f>IF(ROW()-Parameters!$B$5&gt;=2,INDEX($E$1:$E$366,ROW()-Parameters!$B$5)*Parameters!$B$4,0)</f>
        <v/>
      </c>
      <c r="E246">
        <f>IF(AND(B246=1,F245&lt;=Parameters!$B$3),1,0)</f>
        <v/>
      </c>
      <c r="F246">
        <f>F245+D246-C246</f>
        <v/>
      </c>
    </row>
    <row r="247">
      <c r="A247" s="1">
        <f>A246+1</f>
        <v/>
      </c>
      <c r="B247">
        <f>WEEKDAY(A247,2)</f>
        <v/>
      </c>
      <c r="C247">
        <f>SUMIFS(Log!$F$2:$F$331,Log!$B$2:$B$331,A247,Log!$E$2:$E$331,Parameters!$B$2,Log!$I$2:$I$331,"&lt;&gt;CAN")</f>
        <v/>
      </c>
      <c r="D247">
        <f>IF(ROW()-Parameters!$B$5&gt;=2,INDEX($E$1:$E$366,ROW()-Parameters!$B$5)*Parameters!$B$4,0)</f>
        <v/>
      </c>
      <c r="E247">
        <f>IF(AND(B247=1,F246&lt;=Parameters!$B$3),1,0)</f>
        <v/>
      </c>
      <c r="F247">
        <f>F246+D247-C247</f>
        <v/>
      </c>
    </row>
    <row r="248">
      <c r="A248" s="1">
        <f>A247+1</f>
        <v/>
      </c>
      <c r="B248">
        <f>WEEKDAY(A248,2)</f>
        <v/>
      </c>
      <c r="C248">
        <f>SUMIFS(Log!$F$2:$F$331,Log!$B$2:$B$331,A248,Log!$E$2:$E$331,Parameters!$B$2,Log!$I$2:$I$331,"&lt;&gt;CAN")</f>
        <v/>
      </c>
      <c r="D248">
        <f>IF(ROW()-Parameters!$B$5&gt;=2,INDEX($E$1:$E$366,ROW()-Parameters!$B$5)*Parameters!$B$4,0)</f>
        <v/>
      </c>
      <c r="E248">
        <f>IF(AND(B248=1,F247&lt;=Parameters!$B$3),1,0)</f>
        <v/>
      </c>
      <c r="F248">
        <f>F247+D248-C248</f>
        <v/>
      </c>
    </row>
    <row r="249">
      <c r="A249" s="1">
        <f>A248+1</f>
        <v/>
      </c>
      <c r="B249">
        <f>WEEKDAY(A249,2)</f>
        <v/>
      </c>
      <c r="C249">
        <f>SUMIFS(Log!$F$2:$F$331,Log!$B$2:$B$331,A249,Log!$E$2:$E$331,Parameters!$B$2,Log!$I$2:$I$331,"&lt;&gt;CAN")</f>
        <v/>
      </c>
      <c r="D249">
        <f>IF(ROW()-Parameters!$B$5&gt;=2,INDEX($E$1:$E$366,ROW()-Parameters!$B$5)*Parameters!$B$4,0)</f>
        <v/>
      </c>
      <c r="E249">
        <f>IF(AND(B249=1,F248&lt;=Parameters!$B$3),1,0)</f>
        <v/>
      </c>
      <c r="F249">
        <f>F248+D249-C249</f>
        <v/>
      </c>
    </row>
    <row r="250">
      <c r="A250" s="1">
        <f>A249+1</f>
        <v/>
      </c>
      <c r="B250">
        <f>WEEKDAY(A250,2)</f>
        <v/>
      </c>
      <c r="C250">
        <f>SUMIFS(Log!$F$2:$F$331,Log!$B$2:$B$331,A250,Log!$E$2:$E$331,Parameters!$B$2,Log!$I$2:$I$331,"&lt;&gt;CAN")</f>
        <v/>
      </c>
      <c r="D250">
        <f>IF(ROW()-Parameters!$B$5&gt;=2,INDEX($E$1:$E$366,ROW()-Parameters!$B$5)*Parameters!$B$4,0)</f>
        <v/>
      </c>
      <c r="E250">
        <f>IF(AND(B250=1,F249&lt;=Parameters!$B$3),1,0)</f>
        <v/>
      </c>
      <c r="F250">
        <f>F249+D250-C250</f>
        <v/>
      </c>
    </row>
    <row r="251">
      <c r="A251" s="1">
        <f>A250+1</f>
        <v/>
      </c>
      <c r="B251">
        <f>WEEKDAY(A251,2)</f>
        <v/>
      </c>
      <c r="C251">
        <f>SUMIFS(Log!$F$2:$F$331,Log!$B$2:$B$331,A251,Log!$E$2:$E$331,Parameters!$B$2,Log!$I$2:$I$331,"&lt;&gt;CAN")</f>
        <v/>
      </c>
      <c r="D251">
        <f>IF(ROW()-Parameters!$B$5&gt;=2,INDEX($E$1:$E$366,ROW()-Parameters!$B$5)*Parameters!$B$4,0)</f>
        <v/>
      </c>
      <c r="E251">
        <f>IF(AND(B251=1,F250&lt;=Parameters!$B$3),1,0)</f>
        <v/>
      </c>
      <c r="F251">
        <f>F250+D251-C251</f>
        <v/>
      </c>
    </row>
    <row r="252">
      <c r="A252" s="1">
        <f>A251+1</f>
        <v/>
      </c>
      <c r="B252">
        <f>WEEKDAY(A252,2)</f>
        <v/>
      </c>
      <c r="C252">
        <f>SUMIFS(Log!$F$2:$F$331,Log!$B$2:$B$331,A252,Log!$E$2:$E$331,Parameters!$B$2,Log!$I$2:$I$331,"&lt;&gt;CAN")</f>
        <v/>
      </c>
      <c r="D252">
        <f>IF(ROW()-Parameters!$B$5&gt;=2,INDEX($E$1:$E$366,ROW()-Parameters!$B$5)*Parameters!$B$4,0)</f>
        <v/>
      </c>
      <c r="E252">
        <f>IF(AND(B252=1,F251&lt;=Parameters!$B$3),1,0)</f>
        <v/>
      </c>
      <c r="F252">
        <f>F251+D252-C252</f>
        <v/>
      </c>
    </row>
    <row r="253">
      <c r="A253" s="1">
        <f>A252+1</f>
        <v/>
      </c>
      <c r="B253">
        <f>WEEKDAY(A253,2)</f>
        <v/>
      </c>
      <c r="C253">
        <f>SUMIFS(Log!$F$2:$F$331,Log!$B$2:$B$331,A253,Log!$E$2:$E$331,Parameters!$B$2,Log!$I$2:$I$331,"&lt;&gt;CAN")</f>
        <v/>
      </c>
      <c r="D253">
        <f>IF(ROW()-Parameters!$B$5&gt;=2,INDEX($E$1:$E$366,ROW()-Parameters!$B$5)*Parameters!$B$4,0)</f>
        <v/>
      </c>
      <c r="E253">
        <f>IF(AND(B253=1,F252&lt;=Parameters!$B$3),1,0)</f>
        <v/>
      </c>
      <c r="F253">
        <f>F252+D253-C253</f>
        <v/>
      </c>
    </row>
    <row r="254">
      <c r="A254" s="1">
        <f>A253+1</f>
        <v/>
      </c>
      <c r="B254">
        <f>WEEKDAY(A254,2)</f>
        <v/>
      </c>
      <c r="C254">
        <f>SUMIFS(Log!$F$2:$F$331,Log!$B$2:$B$331,A254,Log!$E$2:$E$331,Parameters!$B$2,Log!$I$2:$I$331,"&lt;&gt;CAN")</f>
        <v/>
      </c>
      <c r="D254">
        <f>IF(ROW()-Parameters!$B$5&gt;=2,INDEX($E$1:$E$366,ROW()-Parameters!$B$5)*Parameters!$B$4,0)</f>
        <v/>
      </c>
      <c r="E254">
        <f>IF(AND(B254=1,F253&lt;=Parameters!$B$3),1,0)</f>
        <v/>
      </c>
      <c r="F254">
        <f>F253+D254-C254</f>
        <v/>
      </c>
    </row>
    <row r="255">
      <c r="A255" s="1">
        <f>A254+1</f>
        <v/>
      </c>
      <c r="B255">
        <f>WEEKDAY(A255,2)</f>
        <v/>
      </c>
      <c r="C255">
        <f>SUMIFS(Log!$F$2:$F$331,Log!$B$2:$B$331,A255,Log!$E$2:$E$331,Parameters!$B$2,Log!$I$2:$I$331,"&lt;&gt;CAN")</f>
        <v/>
      </c>
      <c r="D255">
        <f>IF(ROW()-Parameters!$B$5&gt;=2,INDEX($E$1:$E$366,ROW()-Parameters!$B$5)*Parameters!$B$4,0)</f>
        <v/>
      </c>
      <c r="E255">
        <f>IF(AND(B255=1,F254&lt;=Parameters!$B$3),1,0)</f>
        <v/>
      </c>
      <c r="F255">
        <f>F254+D255-C255</f>
        <v/>
      </c>
    </row>
    <row r="256">
      <c r="A256" s="1">
        <f>A255+1</f>
        <v/>
      </c>
      <c r="B256">
        <f>WEEKDAY(A256,2)</f>
        <v/>
      </c>
      <c r="C256">
        <f>SUMIFS(Log!$F$2:$F$331,Log!$B$2:$B$331,A256,Log!$E$2:$E$331,Parameters!$B$2,Log!$I$2:$I$331,"&lt;&gt;CAN")</f>
        <v/>
      </c>
      <c r="D256">
        <f>IF(ROW()-Parameters!$B$5&gt;=2,INDEX($E$1:$E$366,ROW()-Parameters!$B$5)*Parameters!$B$4,0)</f>
        <v/>
      </c>
      <c r="E256">
        <f>IF(AND(B256=1,F255&lt;=Parameters!$B$3),1,0)</f>
        <v/>
      </c>
      <c r="F256">
        <f>F255+D256-C256</f>
        <v/>
      </c>
    </row>
    <row r="257">
      <c r="A257" s="1">
        <f>A256+1</f>
        <v/>
      </c>
      <c r="B257">
        <f>WEEKDAY(A257,2)</f>
        <v/>
      </c>
      <c r="C257">
        <f>SUMIFS(Log!$F$2:$F$331,Log!$B$2:$B$331,A257,Log!$E$2:$E$331,Parameters!$B$2,Log!$I$2:$I$331,"&lt;&gt;CAN")</f>
        <v/>
      </c>
      <c r="D257">
        <f>IF(ROW()-Parameters!$B$5&gt;=2,INDEX($E$1:$E$366,ROW()-Parameters!$B$5)*Parameters!$B$4,0)</f>
        <v/>
      </c>
      <c r="E257">
        <f>IF(AND(B257=1,F256&lt;=Parameters!$B$3),1,0)</f>
        <v/>
      </c>
      <c r="F257">
        <f>F256+D257-C257</f>
        <v/>
      </c>
    </row>
    <row r="258">
      <c r="A258" s="1">
        <f>A257+1</f>
        <v/>
      </c>
      <c r="B258">
        <f>WEEKDAY(A258,2)</f>
        <v/>
      </c>
      <c r="C258">
        <f>SUMIFS(Log!$F$2:$F$331,Log!$B$2:$B$331,A258,Log!$E$2:$E$331,Parameters!$B$2,Log!$I$2:$I$331,"&lt;&gt;CAN")</f>
        <v/>
      </c>
      <c r="D258">
        <f>IF(ROW()-Parameters!$B$5&gt;=2,INDEX($E$1:$E$366,ROW()-Parameters!$B$5)*Parameters!$B$4,0)</f>
        <v/>
      </c>
      <c r="E258">
        <f>IF(AND(B258=1,F257&lt;=Parameters!$B$3),1,0)</f>
        <v/>
      </c>
      <c r="F258">
        <f>F257+D258-C258</f>
        <v/>
      </c>
    </row>
    <row r="259">
      <c r="A259" s="1">
        <f>A258+1</f>
        <v/>
      </c>
      <c r="B259">
        <f>WEEKDAY(A259,2)</f>
        <v/>
      </c>
      <c r="C259">
        <f>SUMIFS(Log!$F$2:$F$331,Log!$B$2:$B$331,A259,Log!$E$2:$E$331,Parameters!$B$2,Log!$I$2:$I$331,"&lt;&gt;CAN")</f>
        <v/>
      </c>
      <c r="D259">
        <f>IF(ROW()-Parameters!$B$5&gt;=2,INDEX($E$1:$E$366,ROW()-Parameters!$B$5)*Parameters!$B$4,0)</f>
        <v/>
      </c>
      <c r="E259">
        <f>IF(AND(B259=1,F258&lt;=Parameters!$B$3),1,0)</f>
        <v/>
      </c>
      <c r="F259">
        <f>F258+D259-C259</f>
        <v/>
      </c>
    </row>
    <row r="260">
      <c r="A260" s="1">
        <f>A259+1</f>
        <v/>
      </c>
      <c r="B260">
        <f>WEEKDAY(A260,2)</f>
        <v/>
      </c>
      <c r="C260">
        <f>SUMIFS(Log!$F$2:$F$331,Log!$B$2:$B$331,A260,Log!$E$2:$E$331,Parameters!$B$2,Log!$I$2:$I$331,"&lt;&gt;CAN")</f>
        <v/>
      </c>
      <c r="D260">
        <f>IF(ROW()-Parameters!$B$5&gt;=2,INDEX($E$1:$E$366,ROW()-Parameters!$B$5)*Parameters!$B$4,0)</f>
        <v/>
      </c>
      <c r="E260">
        <f>IF(AND(B260=1,F259&lt;=Parameters!$B$3),1,0)</f>
        <v/>
      </c>
      <c r="F260">
        <f>F259+D260-C260</f>
        <v/>
      </c>
    </row>
    <row r="261">
      <c r="A261" s="1">
        <f>A260+1</f>
        <v/>
      </c>
      <c r="B261">
        <f>WEEKDAY(A261,2)</f>
        <v/>
      </c>
      <c r="C261">
        <f>SUMIFS(Log!$F$2:$F$331,Log!$B$2:$B$331,A261,Log!$E$2:$E$331,Parameters!$B$2,Log!$I$2:$I$331,"&lt;&gt;CAN")</f>
        <v/>
      </c>
      <c r="D261">
        <f>IF(ROW()-Parameters!$B$5&gt;=2,INDEX($E$1:$E$366,ROW()-Parameters!$B$5)*Parameters!$B$4,0)</f>
        <v/>
      </c>
      <c r="E261">
        <f>IF(AND(B261=1,F260&lt;=Parameters!$B$3),1,0)</f>
        <v/>
      </c>
      <c r="F261">
        <f>F260+D261-C261</f>
        <v/>
      </c>
    </row>
    <row r="262">
      <c r="A262" s="1">
        <f>A261+1</f>
        <v/>
      </c>
      <c r="B262">
        <f>WEEKDAY(A262,2)</f>
        <v/>
      </c>
      <c r="C262">
        <f>SUMIFS(Log!$F$2:$F$331,Log!$B$2:$B$331,A262,Log!$E$2:$E$331,Parameters!$B$2,Log!$I$2:$I$331,"&lt;&gt;CAN")</f>
        <v/>
      </c>
      <c r="D262">
        <f>IF(ROW()-Parameters!$B$5&gt;=2,INDEX($E$1:$E$366,ROW()-Parameters!$B$5)*Parameters!$B$4,0)</f>
        <v/>
      </c>
      <c r="E262">
        <f>IF(AND(B262=1,F261&lt;=Parameters!$B$3),1,0)</f>
        <v/>
      </c>
      <c r="F262">
        <f>F261+D262-C262</f>
        <v/>
      </c>
    </row>
    <row r="263">
      <c r="A263" s="1">
        <f>A262+1</f>
        <v/>
      </c>
      <c r="B263">
        <f>WEEKDAY(A263,2)</f>
        <v/>
      </c>
      <c r="C263">
        <f>SUMIFS(Log!$F$2:$F$331,Log!$B$2:$B$331,A263,Log!$E$2:$E$331,Parameters!$B$2,Log!$I$2:$I$331,"&lt;&gt;CAN")</f>
        <v/>
      </c>
      <c r="D263">
        <f>IF(ROW()-Parameters!$B$5&gt;=2,INDEX($E$1:$E$366,ROW()-Parameters!$B$5)*Parameters!$B$4,0)</f>
        <v/>
      </c>
      <c r="E263">
        <f>IF(AND(B263=1,F262&lt;=Parameters!$B$3),1,0)</f>
        <v/>
      </c>
      <c r="F263">
        <f>F262+D263-C263</f>
        <v/>
      </c>
    </row>
    <row r="264">
      <c r="A264" s="1">
        <f>A263+1</f>
        <v/>
      </c>
      <c r="B264">
        <f>WEEKDAY(A264,2)</f>
        <v/>
      </c>
      <c r="C264">
        <f>SUMIFS(Log!$F$2:$F$331,Log!$B$2:$B$331,A264,Log!$E$2:$E$331,Parameters!$B$2,Log!$I$2:$I$331,"&lt;&gt;CAN")</f>
        <v/>
      </c>
      <c r="D264">
        <f>IF(ROW()-Parameters!$B$5&gt;=2,INDEX($E$1:$E$366,ROW()-Parameters!$B$5)*Parameters!$B$4,0)</f>
        <v/>
      </c>
      <c r="E264">
        <f>IF(AND(B264=1,F263&lt;=Parameters!$B$3),1,0)</f>
        <v/>
      </c>
      <c r="F264">
        <f>F263+D264-C264</f>
        <v/>
      </c>
    </row>
    <row r="265">
      <c r="A265" s="1">
        <f>A264+1</f>
        <v/>
      </c>
      <c r="B265">
        <f>WEEKDAY(A265,2)</f>
        <v/>
      </c>
      <c r="C265">
        <f>SUMIFS(Log!$F$2:$F$331,Log!$B$2:$B$331,A265,Log!$E$2:$E$331,Parameters!$B$2,Log!$I$2:$I$331,"&lt;&gt;CAN")</f>
        <v/>
      </c>
      <c r="D265">
        <f>IF(ROW()-Parameters!$B$5&gt;=2,INDEX($E$1:$E$366,ROW()-Parameters!$B$5)*Parameters!$B$4,0)</f>
        <v/>
      </c>
      <c r="E265">
        <f>IF(AND(B265=1,F264&lt;=Parameters!$B$3),1,0)</f>
        <v/>
      </c>
      <c r="F265">
        <f>F264+D265-C265</f>
        <v/>
      </c>
    </row>
    <row r="266">
      <c r="A266" s="1">
        <f>A265+1</f>
        <v/>
      </c>
      <c r="B266">
        <f>WEEKDAY(A266,2)</f>
        <v/>
      </c>
      <c r="C266">
        <f>SUMIFS(Log!$F$2:$F$331,Log!$B$2:$B$331,A266,Log!$E$2:$E$331,Parameters!$B$2,Log!$I$2:$I$331,"&lt;&gt;CAN")</f>
        <v/>
      </c>
      <c r="D266">
        <f>IF(ROW()-Parameters!$B$5&gt;=2,INDEX($E$1:$E$366,ROW()-Parameters!$B$5)*Parameters!$B$4,0)</f>
        <v/>
      </c>
      <c r="E266">
        <f>IF(AND(B266=1,F265&lt;=Parameters!$B$3),1,0)</f>
        <v/>
      </c>
      <c r="F266">
        <f>F265+D266-C266</f>
        <v/>
      </c>
    </row>
    <row r="267">
      <c r="A267" s="1">
        <f>A266+1</f>
        <v/>
      </c>
      <c r="B267">
        <f>WEEKDAY(A267,2)</f>
        <v/>
      </c>
      <c r="C267">
        <f>SUMIFS(Log!$F$2:$F$331,Log!$B$2:$B$331,A267,Log!$E$2:$E$331,Parameters!$B$2,Log!$I$2:$I$331,"&lt;&gt;CAN")</f>
        <v/>
      </c>
      <c r="D267">
        <f>IF(ROW()-Parameters!$B$5&gt;=2,INDEX($E$1:$E$366,ROW()-Parameters!$B$5)*Parameters!$B$4,0)</f>
        <v/>
      </c>
      <c r="E267">
        <f>IF(AND(B267=1,F266&lt;=Parameters!$B$3),1,0)</f>
        <v/>
      </c>
      <c r="F267">
        <f>F266+D267-C267</f>
        <v/>
      </c>
    </row>
    <row r="268">
      <c r="A268" s="1">
        <f>A267+1</f>
        <v/>
      </c>
      <c r="B268">
        <f>WEEKDAY(A268,2)</f>
        <v/>
      </c>
      <c r="C268">
        <f>SUMIFS(Log!$F$2:$F$331,Log!$B$2:$B$331,A268,Log!$E$2:$E$331,Parameters!$B$2,Log!$I$2:$I$331,"&lt;&gt;CAN")</f>
        <v/>
      </c>
      <c r="D268">
        <f>IF(ROW()-Parameters!$B$5&gt;=2,INDEX($E$1:$E$366,ROW()-Parameters!$B$5)*Parameters!$B$4,0)</f>
        <v/>
      </c>
      <c r="E268">
        <f>IF(AND(B268=1,F267&lt;=Parameters!$B$3),1,0)</f>
        <v/>
      </c>
      <c r="F268">
        <f>F267+D268-C268</f>
        <v/>
      </c>
    </row>
    <row r="269">
      <c r="A269" s="1">
        <f>A268+1</f>
        <v/>
      </c>
      <c r="B269">
        <f>WEEKDAY(A269,2)</f>
        <v/>
      </c>
      <c r="C269">
        <f>SUMIFS(Log!$F$2:$F$331,Log!$B$2:$B$331,A269,Log!$E$2:$E$331,Parameters!$B$2,Log!$I$2:$I$331,"&lt;&gt;CAN")</f>
        <v/>
      </c>
      <c r="D269">
        <f>IF(ROW()-Parameters!$B$5&gt;=2,INDEX($E$1:$E$366,ROW()-Parameters!$B$5)*Parameters!$B$4,0)</f>
        <v/>
      </c>
      <c r="E269">
        <f>IF(AND(B269=1,F268&lt;=Parameters!$B$3),1,0)</f>
        <v/>
      </c>
      <c r="F269">
        <f>F268+D269-C269</f>
        <v/>
      </c>
    </row>
    <row r="270">
      <c r="A270" s="1">
        <f>A269+1</f>
        <v/>
      </c>
      <c r="B270">
        <f>WEEKDAY(A270,2)</f>
        <v/>
      </c>
      <c r="C270">
        <f>SUMIFS(Log!$F$2:$F$331,Log!$B$2:$B$331,A270,Log!$E$2:$E$331,Parameters!$B$2,Log!$I$2:$I$331,"&lt;&gt;CAN")</f>
        <v/>
      </c>
      <c r="D270">
        <f>IF(ROW()-Parameters!$B$5&gt;=2,INDEX($E$1:$E$366,ROW()-Parameters!$B$5)*Parameters!$B$4,0)</f>
        <v/>
      </c>
      <c r="E270">
        <f>IF(AND(B270=1,F269&lt;=Parameters!$B$3),1,0)</f>
        <v/>
      </c>
      <c r="F270">
        <f>F269+D270-C270</f>
        <v/>
      </c>
    </row>
    <row r="271">
      <c r="A271" s="1">
        <f>A270+1</f>
        <v/>
      </c>
      <c r="B271">
        <f>WEEKDAY(A271,2)</f>
        <v/>
      </c>
      <c r="C271">
        <f>SUMIFS(Log!$F$2:$F$331,Log!$B$2:$B$331,A271,Log!$E$2:$E$331,Parameters!$B$2,Log!$I$2:$I$331,"&lt;&gt;CAN")</f>
        <v/>
      </c>
      <c r="D271">
        <f>IF(ROW()-Parameters!$B$5&gt;=2,INDEX($E$1:$E$366,ROW()-Parameters!$B$5)*Parameters!$B$4,0)</f>
        <v/>
      </c>
      <c r="E271">
        <f>IF(AND(B271=1,F270&lt;=Parameters!$B$3),1,0)</f>
        <v/>
      </c>
      <c r="F271">
        <f>F270+D271-C271</f>
        <v/>
      </c>
    </row>
    <row r="272">
      <c r="A272" s="1">
        <f>A271+1</f>
        <v/>
      </c>
      <c r="B272">
        <f>WEEKDAY(A272,2)</f>
        <v/>
      </c>
      <c r="C272">
        <f>SUMIFS(Log!$F$2:$F$331,Log!$B$2:$B$331,A272,Log!$E$2:$E$331,Parameters!$B$2,Log!$I$2:$I$331,"&lt;&gt;CAN")</f>
        <v/>
      </c>
      <c r="D272">
        <f>IF(ROW()-Parameters!$B$5&gt;=2,INDEX($E$1:$E$366,ROW()-Parameters!$B$5)*Parameters!$B$4,0)</f>
        <v/>
      </c>
      <c r="E272">
        <f>IF(AND(B272=1,F271&lt;=Parameters!$B$3),1,0)</f>
        <v/>
      </c>
      <c r="F272">
        <f>F271+D272-C272</f>
        <v/>
      </c>
    </row>
    <row r="273">
      <c r="A273" s="1">
        <f>A272+1</f>
        <v/>
      </c>
      <c r="B273">
        <f>WEEKDAY(A273,2)</f>
        <v/>
      </c>
      <c r="C273">
        <f>SUMIFS(Log!$F$2:$F$331,Log!$B$2:$B$331,A273,Log!$E$2:$E$331,Parameters!$B$2,Log!$I$2:$I$331,"&lt;&gt;CAN")</f>
        <v/>
      </c>
      <c r="D273">
        <f>IF(ROW()-Parameters!$B$5&gt;=2,INDEX($E$1:$E$366,ROW()-Parameters!$B$5)*Parameters!$B$4,0)</f>
        <v/>
      </c>
      <c r="E273">
        <f>IF(AND(B273=1,F272&lt;=Parameters!$B$3),1,0)</f>
        <v/>
      </c>
      <c r="F273">
        <f>F272+D273-C273</f>
        <v/>
      </c>
    </row>
    <row r="274">
      <c r="A274" s="1">
        <f>A273+1</f>
        <v/>
      </c>
      <c r="B274">
        <f>WEEKDAY(A274,2)</f>
        <v/>
      </c>
      <c r="C274">
        <f>SUMIFS(Log!$F$2:$F$331,Log!$B$2:$B$331,A274,Log!$E$2:$E$331,Parameters!$B$2,Log!$I$2:$I$331,"&lt;&gt;CAN")</f>
        <v/>
      </c>
      <c r="D274">
        <f>IF(ROW()-Parameters!$B$5&gt;=2,INDEX($E$1:$E$366,ROW()-Parameters!$B$5)*Parameters!$B$4,0)</f>
        <v/>
      </c>
      <c r="E274">
        <f>IF(AND(B274=1,F273&lt;=Parameters!$B$3),1,0)</f>
        <v/>
      </c>
      <c r="F274">
        <f>F273+D274-C274</f>
        <v/>
      </c>
    </row>
    <row r="275">
      <c r="A275" s="1">
        <f>A274+1</f>
        <v/>
      </c>
      <c r="B275">
        <f>WEEKDAY(A275,2)</f>
        <v/>
      </c>
      <c r="C275">
        <f>SUMIFS(Log!$F$2:$F$331,Log!$B$2:$B$331,A275,Log!$E$2:$E$331,Parameters!$B$2,Log!$I$2:$I$331,"&lt;&gt;CAN")</f>
        <v/>
      </c>
      <c r="D275">
        <f>IF(ROW()-Parameters!$B$5&gt;=2,INDEX($E$1:$E$366,ROW()-Parameters!$B$5)*Parameters!$B$4,0)</f>
        <v/>
      </c>
      <c r="E275">
        <f>IF(AND(B275=1,F274&lt;=Parameters!$B$3),1,0)</f>
        <v/>
      </c>
      <c r="F275">
        <f>F274+D275-C275</f>
        <v/>
      </c>
    </row>
    <row r="276">
      <c r="A276" s="1">
        <f>A275+1</f>
        <v/>
      </c>
      <c r="B276">
        <f>WEEKDAY(A276,2)</f>
        <v/>
      </c>
      <c r="C276">
        <f>SUMIFS(Log!$F$2:$F$331,Log!$B$2:$B$331,A276,Log!$E$2:$E$331,Parameters!$B$2,Log!$I$2:$I$331,"&lt;&gt;CAN")</f>
        <v/>
      </c>
      <c r="D276">
        <f>IF(ROW()-Parameters!$B$5&gt;=2,INDEX($E$1:$E$366,ROW()-Parameters!$B$5)*Parameters!$B$4,0)</f>
        <v/>
      </c>
      <c r="E276">
        <f>IF(AND(B276=1,F275&lt;=Parameters!$B$3),1,0)</f>
        <v/>
      </c>
      <c r="F276">
        <f>F275+D276-C276</f>
        <v/>
      </c>
    </row>
    <row r="277">
      <c r="A277" s="1">
        <f>A276+1</f>
        <v/>
      </c>
      <c r="B277">
        <f>WEEKDAY(A277,2)</f>
        <v/>
      </c>
      <c r="C277">
        <f>SUMIFS(Log!$F$2:$F$331,Log!$B$2:$B$331,A277,Log!$E$2:$E$331,Parameters!$B$2,Log!$I$2:$I$331,"&lt;&gt;CAN")</f>
        <v/>
      </c>
      <c r="D277">
        <f>IF(ROW()-Parameters!$B$5&gt;=2,INDEX($E$1:$E$366,ROW()-Parameters!$B$5)*Parameters!$B$4,0)</f>
        <v/>
      </c>
      <c r="E277">
        <f>IF(AND(B277=1,F276&lt;=Parameters!$B$3),1,0)</f>
        <v/>
      </c>
      <c r="F277">
        <f>F276+D277-C277</f>
        <v/>
      </c>
    </row>
    <row r="278">
      <c r="A278" s="1">
        <f>A277+1</f>
        <v/>
      </c>
      <c r="B278">
        <f>WEEKDAY(A278,2)</f>
        <v/>
      </c>
      <c r="C278">
        <f>SUMIFS(Log!$F$2:$F$331,Log!$B$2:$B$331,A278,Log!$E$2:$E$331,Parameters!$B$2,Log!$I$2:$I$331,"&lt;&gt;CAN")</f>
        <v/>
      </c>
      <c r="D278">
        <f>IF(ROW()-Parameters!$B$5&gt;=2,INDEX($E$1:$E$366,ROW()-Parameters!$B$5)*Parameters!$B$4,0)</f>
        <v/>
      </c>
      <c r="E278">
        <f>IF(AND(B278=1,F277&lt;=Parameters!$B$3),1,0)</f>
        <v/>
      </c>
      <c r="F278">
        <f>F277+D278-C278</f>
        <v/>
      </c>
    </row>
    <row r="279">
      <c r="A279" s="1">
        <f>A278+1</f>
        <v/>
      </c>
      <c r="B279">
        <f>WEEKDAY(A279,2)</f>
        <v/>
      </c>
      <c r="C279">
        <f>SUMIFS(Log!$F$2:$F$331,Log!$B$2:$B$331,A279,Log!$E$2:$E$331,Parameters!$B$2,Log!$I$2:$I$331,"&lt;&gt;CAN")</f>
        <v/>
      </c>
      <c r="D279">
        <f>IF(ROW()-Parameters!$B$5&gt;=2,INDEX($E$1:$E$366,ROW()-Parameters!$B$5)*Parameters!$B$4,0)</f>
        <v/>
      </c>
      <c r="E279">
        <f>IF(AND(B279=1,F278&lt;=Parameters!$B$3),1,0)</f>
        <v/>
      </c>
      <c r="F279">
        <f>F278+D279-C279</f>
        <v/>
      </c>
    </row>
    <row r="280">
      <c r="A280" s="1">
        <f>A279+1</f>
        <v/>
      </c>
      <c r="B280">
        <f>WEEKDAY(A280,2)</f>
        <v/>
      </c>
      <c r="C280">
        <f>SUMIFS(Log!$F$2:$F$331,Log!$B$2:$B$331,A280,Log!$E$2:$E$331,Parameters!$B$2,Log!$I$2:$I$331,"&lt;&gt;CAN")</f>
        <v/>
      </c>
      <c r="D280">
        <f>IF(ROW()-Parameters!$B$5&gt;=2,INDEX($E$1:$E$366,ROW()-Parameters!$B$5)*Parameters!$B$4,0)</f>
        <v/>
      </c>
      <c r="E280">
        <f>IF(AND(B280=1,F279&lt;=Parameters!$B$3),1,0)</f>
        <v/>
      </c>
      <c r="F280">
        <f>F279+D280-C280</f>
        <v/>
      </c>
    </row>
    <row r="281">
      <c r="A281" s="1">
        <f>A280+1</f>
        <v/>
      </c>
      <c r="B281">
        <f>WEEKDAY(A281,2)</f>
        <v/>
      </c>
      <c r="C281">
        <f>SUMIFS(Log!$F$2:$F$331,Log!$B$2:$B$331,A281,Log!$E$2:$E$331,Parameters!$B$2,Log!$I$2:$I$331,"&lt;&gt;CAN")</f>
        <v/>
      </c>
      <c r="D281">
        <f>IF(ROW()-Parameters!$B$5&gt;=2,INDEX($E$1:$E$366,ROW()-Parameters!$B$5)*Parameters!$B$4,0)</f>
        <v/>
      </c>
      <c r="E281">
        <f>IF(AND(B281=1,F280&lt;=Parameters!$B$3),1,0)</f>
        <v/>
      </c>
      <c r="F281">
        <f>F280+D281-C281</f>
        <v/>
      </c>
    </row>
    <row r="282">
      <c r="A282" s="1">
        <f>A281+1</f>
        <v/>
      </c>
      <c r="B282">
        <f>WEEKDAY(A282,2)</f>
        <v/>
      </c>
      <c r="C282">
        <f>SUMIFS(Log!$F$2:$F$331,Log!$B$2:$B$331,A282,Log!$E$2:$E$331,Parameters!$B$2,Log!$I$2:$I$331,"&lt;&gt;CAN")</f>
        <v/>
      </c>
      <c r="D282">
        <f>IF(ROW()-Parameters!$B$5&gt;=2,INDEX($E$1:$E$366,ROW()-Parameters!$B$5)*Parameters!$B$4,0)</f>
        <v/>
      </c>
      <c r="E282">
        <f>IF(AND(B282=1,F281&lt;=Parameters!$B$3),1,0)</f>
        <v/>
      </c>
      <c r="F282">
        <f>F281+D282-C282</f>
        <v/>
      </c>
    </row>
    <row r="283">
      <c r="A283" s="1">
        <f>A282+1</f>
        <v/>
      </c>
      <c r="B283">
        <f>WEEKDAY(A283,2)</f>
        <v/>
      </c>
      <c r="C283">
        <f>SUMIFS(Log!$F$2:$F$331,Log!$B$2:$B$331,A283,Log!$E$2:$E$331,Parameters!$B$2,Log!$I$2:$I$331,"&lt;&gt;CAN")</f>
        <v/>
      </c>
      <c r="D283">
        <f>IF(ROW()-Parameters!$B$5&gt;=2,INDEX($E$1:$E$366,ROW()-Parameters!$B$5)*Parameters!$B$4,0)</f>
        <v/>
      </c>
      <c r="E283">
        <f>IF(AND(B283=1,F282&lt;=Parameters!$B$3),1,0)</f>
        <v/>
      </c>
      <c r="F283">
        <f>F282+D283-C283</f>
        <v/>
      </c>
    </row>
    <row r="284">
      <c r="A284" s="1">
        <f>A283+1</f>
        <v/>
      </c>
      <c r="B284">
        <f>WEEKDAY(A284,2)</f>
        <v/>
      </c>
      <c r="C284">
        <f>SUMIFS(Log!$F$2:$F$331,Log!$B$2:$B$331,A284,Log!$E$2:$E$331,Parameters!$B$2,Log!$I$2:$I$331,"&lt;&gt;CAN")</f>
        <v/>
      </c>
      <c r="D284">
        <f>IF(ROW()-Parameters!$B$5&gt;=2,INDEX($E$1:$E$366,ROW()-Parameters!$B$5)*Parameters!$B$4,0)</f>
        <v/>
      </c>
      <c r="E284">
        <f>IF(AND(B284=1,F283&lt;=Parameters!$B$3),1,0)</f>
        <v/>
      </c>
      <c r="F284">
        <f>F283+D284-C284</f>
        <v/>
      </c>
    </row>
    <row r="285">
      <c r="A285" s="1">
        <f>A284+1</f>
        <v/>
      </c>
      <c r="B285">
        <f>WEEKDAY(A285,2)</f>
        <v/>
      </c>
      <c r="C285">
        <f>SUMIFS(Log!$F$2:$F$331,Log!$B$2:$B$331,A285,Log!$E$2:$E$331,Parameters!$B$2,Log!$I$2:$I$331,"&lt;&gt;CAN")</f>
        <v/>
      </c>
      <c r="D285">
        <f>IF(ROW()-Parameters!$B$5&gt;=2,INDEX($E$1:$E$366,ROW()-Parameters!$B$5)*Parameters!$B$4,0)</f>
        <v/>
      </c>
      <c r="E285">
        <f>IF(AND(B285=1,F284&lt;=Parameters!$B$3),1,0)</f>
        <v/>
      </c>
      <c r="F285">
        <f>F284+D285-C285</f>
        <v/>
      </c>
    </row>
    <row r="286">
      <c r="A286" s="1">
        <f>A285+1</f>
        <v/>
      </c>
      <c r="B286">
        <f>WEEKDAY(A286,2)</f>
        <v/>
      </c>
      <c r="C286">
        <f>SUMIFS(Log!$F$2:$F$331,Log!$B$2:$B$331,A286,Log!$E$2:$E$331,Parameters!$B$2,Log!$I$2:$I$331,"&lt;&gt;CAN")</f>
        <v/>
      </c>
      <c r="D286">
        <f>IF(ROW()-Parameters!$B$5&gt;=2,INDEX($E$1:$E$366,ROW()-Parameters!$B$5)*Parameters!$B$4,0)</f>
        <v/>
      </c>
      <c r="E286">
        <f>IF(AND(B286=1,F285&lt;=Parameters!$B$3),1,0)</f>
        <v/>
      </c>
      <c r="F286">
        <f>F285+D286-C286</f>
        <v/>
      </c>
    </row>
    <row r="287">
      <c r="A287" s="1">
        <f>A286+1</f>
        <v/>
      </c>
      <c r="B287">
        <f>WEEKDAY(A287,2)</f>
        <v/>
      </c>
      <c r="C287">
        <f>SUMIFS(Log!$F$2:$F$331,Log!$B$2:$B$331,A287,Log!$E$2:$E$331,Parameters!$B$2,Log!$I$2:$I$331,"&lt;&gt;CAN")</f>
        <v/>
      </c>
      <c r="D287">
        <f>IF(ROW()-Parameters!$B$5&gt;=2,INDEX($E$1:$E$366,ROW()-Parameters!$B$5)*Parameters!$B$4,0)</f>
        <v/>
      </c>
      <c r="E287">
        <f>IF(AND(B287=1,F286&lt;=Parameters!$B$3),1,0)</f>
        <v/>
      </c>
      <c r="F287">
        <f>F286+D287-C287</f>
        <v/>
      </c>
    </row>
    <row r="288">
      <c r="A288" s="1">
        <f>A287+1</f>
        <v/>
      </c>
      <c r="B288">
        <f>WEEKDAY(A288,2)</f>
        <v/>
      </c>
      <c r="C288">
        <f>SUMIFS(Log!$F$2:$F$331,Log!$B$2:$B$331,A288,Log!$E$2:$E$331,Parameters!$B$2,Log!$I$2:$I$331,"&lt;&gt;CAN")</f>
        <v/>
      </c>
      <c r="D288">
        <f>IF(ROW()-Parameters!$B$5&gt;=2,INDEX($E$1:$E$366,ROW()-Parameters!$B$5)*Parameters!$B$4,0)</f>
        <v/>
      </c>
      <c r="E288">
        <f>IF(AND(B288=1,F287&lt;=Parameters!$B$3),1,0)</f>
        <v/>
      </c>
      <c r="F288">
        <f>F287+D288-C288</f>
        <v/>
      </c>
    </row>
    <row r="289">
      <c r="A289" s="1">
        <f>A288+1</f>
        <v/>
      </c>
      <c r="B289">
        <f>WEEKDAY(A289,2)</f>
        <v/>
      </c>
      <c r="C289">
        <f>SUMIFS(Log!$F$2:$F$331,Log!$B$2:$B$331,A289,Log!$E$2:$E$331,Parameters!$B$2,Log!$I$2:$I$331,"&lt;&gt;CAN")</f>
        <v/>
      </c>
      <c r="D289">
        <f>IF(ROW()-Parameters!$B$5&gt;=2,INDEX($E$1:$E$366,ROW()-Parameters!$B$5)*Parameters!$B$4,0)</f>
        <v/>
      </c>
      <c r="E289">
        <f>IF(AND(B289=1,F288&lt;=Parameters!$B$3),1,0)</f>
        <v/>
      </c>
      <c r="F289">
        <f>F288+D289-C289</f>
        <v/>
      </c>
    </row>
    <row r="290">
      <c r="A290" s="1">
        <f>A289+1</f>
        <v/>
      </c>
      <c r="B290">
        <f>WEEKDAY(A290,2)</f>
        <v/>
      </c>
      <c r="C290">
        <f>SUMIFS(Log!$F$2:$F$331,Log!$B$2:$B$331,A290,Log!$E$2:$E$331,Parameters!$B$2,Log!$I$2:$I$331,"&lt;&gt;CAN")</f>
        <v/>
      </c>
      <c r="D290">
        <f>IF(ROW()-Parameters!$B$5&gt;=2,INDEX($E$1:$E$366,ROW()-Parameters!$B$5)*Parameters!$B$4,0)</f>
        <v/>
      </c>
      <c r="E290">
        <f>IF(AND(B290=1,F289&lt;=Parameters!$B$3),1,0)</f>
        <v/>
      </c>
      <c r="F290">
        <f>F289+D290-C290</f>
        <v/>
      </c>
    </row>
    <row r="291">
      <c r="A291" s="1">
        <f>A290+1</f>
        <v/>
      </c>
      <c r="B291">
        <f>WEEKDAY(A291,2)</f>
        <v/>
      </c>
      <c r="C291">
        <f>SUMIFS(Log!$F$2:$F$331,Log!$B$2:$B$331,A291,Log!$E$2:$E$331,Parameters!$B$2,Log!$I$2:$I$331,"&lt;&gt;CAN")</f>
        <v/>
      </c>
      <c r="D291">
        <f>IF(ROW()-Parameters!$B$5&gt;=2,INDEX($E$1:$E$366,ROW()-Parameters!$B$5)*Parameters!$B$4,0)</f>
        <v/>
      </c>
      <c r="E291">
        <f>IF(AND(B291=1,F290&lt;=Parameters!$B$3),1,0)</f>
        <v/>
      </c>
      <c r="F291">
        <f>F290+D291-C291</f>
        <v/>
      </c>
    </row>
    <row r="292">
      <c r="A292" s="1">
        <f>A291+1</f>
        <v/>
      </c>
      <c r="B292">
        <f>WEEKDAY(A292,2)</f>
        <v/>
      </c>
      <c r="C292">
        <f>SUMIFS(Log!$F$2:$F$331,Log!$B$2:$B$331,A292,Log!$E$2:$E$331,Parameters!$B$2,Log!$I$2:$I$331,"&lt;&gt;CAN")</f>
        <v/>
      </c>
      <c r="D292">
        <f>IF(ROW()-Parameters!$B$5&gt;=2,INDEX($E$1:$E$366,ROW()-Parameters!$B$5)*Parameters!$B$4,0)</f>
        <v/>
      </c>
      <c r="E292">
        <f>IF(AND(B292=1,F291&lt;=Parameters!$B$3),1,0)</f>
        <v/>
      </c>
      <c r="F292">
        <f>F291+D292-C292</f>
        <v/>
      </c>
    </row>
    <row r="293">
      <c r="A293" s="1">
        <f>A292+1</f>
        <v/>
      </c>
      <c r="B293">
        <f>WEEKDAY(A293,2)</f>
        <v/>
      </c>
      <c r="C293">
        <f>SUMIFS(Log!$F$2:$F$331,Log!$B$2:$B$331,A293,Log!$E$2:$E$331,Parameters!$B$2,Log!$I$2:$I$331,"&lt;&gt;CAN")</f>
        <v/>
      </c>
      <c r="D293">
        <f>IF(ROW()-Parameters!$B$5&gt;=2,INDEX($E$1:$E$366,ROW()-Parameters!$B$5)*Parameters!$B$4,0)</f>
        <v/>
      </c>
      <c r="E293">
        <f>IF(AND(B293=1,F292&lt;=Parameters!$B$3),1,0)</f>
        <v/>
      </c>
      <c r="F293">
        <f>F292+D293-C293</f>
        <v/>
      </c>
    </row>
    <row r="294">
      <c r="A294" s="1">
        <f>A293+1</f>
        <v/>
      </c>
      <c r="B294">
        <f>WEEKDAY(A294,2)</f>
        <v/>
      </c>
      <c r="C294">
        <f>SUMIFS(Log!$F$2:$F$331,Log!$B$2:$B$331,A294,Log!$E$2:$E$331,Parameters!$B$2,Log!$I$2:$I$331,"&lt;&gt;CAN")</f>
        <v/>
      </c>
      <c r="D294">
        <f>IF(ROW()-Parameters!$B$5&gt;=2,INDEX($E$1:$E$366,ROW()-Parameters!$B$5)*Parameters!$B$4,0)</f>
        <v/>
      </c>
      <c r="E294">
        <f>IF(AND(B294=1,F293&lt;=Parameters!$B$3),1,0)</f>
        <v/>
      </c>
      <c r="F294">
        <f>F293+D294-C294</f>
        <v/>
      </c>
    </row>
    <row r="295">
      <c r="A295" s="1">
        <f>A294+1</f>
        <v/>
      </c>
      <c r="B295">
        <f>WEEKDAY(A295,2)</f>
        <v/>
      </c>
      <c r="C295">
        <f>SUMIFS(Log!$F$2:$F$331,Log!$B$2:$B$331,A295,Log!$E$2:$E$331,Parameters!$B$2,Log!$I$2:$I$331,"&lt;&gt;CAN")</f>
        <v/>
      </c>
      <c r="D295">
        <f>IF(ROW()-Parameters!$B$5&gt;=2,INDEX($E$1:$E$366,ROW()-Parameters!$B$5)*Parameters!$B$4,0)</f>
        <v/>
      </c>
      <c r="E295">
        <f>IF(AND(B295=1,F294&lt;=Parameters!$B$3),1,0)</f>
        <v/>
      </c>
      <c r="F295">
        <f>F294+D295-C295</f>
        <v/>
      </c>
    </row>
    <row r="296">
      <c r="A296" s="1">
        <f>A295+1</f>
        <v/>
      </c>
      <c r="B296">
        <f>WEEKDAY(A296,2)</f>
        <v/>
      </c>
      <c r="C296">
        <f>SUMIFS(Log!$F$2:$F$331,Log!$B$2:$B$331,A296,Log!$E$2:$E$331,Parameters!$B$2,Log!$I$2:$I$331,"&lt;&gt;CAN")</f>
        <v/>
      </c>
      <c r="D296">
        <f>IF(ROW()-Parameters!$B$5&gt;=2,INDEX($E$1:$E$366,ROW()-Parameters!$B$5)*Parameters!$B$4,0)</f>
        <v/>
      </c>
      <c r="E296">
        <f>IF(AND(B296=1,F295&lt;=Parameters!$B$3),1,0)</f>
        <v/>
      </c>
      <c r="F296">
        <f>F295+D296-C296</f>
        <v/>
      </c>
    </row>
    <row r="297">
      <c r="A297" s="1">
        <f>A296+1</f>
        <v/>
      </c>
      <c r="B297">
        <f>WEEKDAY(A297,2)</f>
        <v/>
      </c>
      <c r="C297">
        <f>SUMIFS(Log!$F$2:$F$331,Log!$B$2:$B$331,A297,Log!$E$2:$E$331,Parameters!$B$2,Log!$I$2:$I$331,"&lt;&gt;CAN")</f>
        <v/>
      </c>
      <c r="D297">
        <f>IF(ROW()-Parameters!$B$5&gt;=2,INDEX($E$1:$E$366,ROW()-Parameters!$B$5)*Parameters!$B$4,0)</f>
        <v/>
      </c>
      <c r="E297">
        <f>IF(AND(B297=1,F296&lt;=Parameters!$B$3),1,0)</f>
        <v/>
      </c>
      <c r="F297">
        <f>F296+D297-C297</f>
        <v/>
      </c>
    </row>
    <row r="298">
      <c r="A298" s="1">
        <f>A297+1</f>
        <v/>
      </c>
      <c r="B298">
        <f>WEEKDAY(A298,2)</f>
        <v/>
      </c>
      <c r="C298">
        <f>SUMIFS(Log!$F$2:$F$331,Log!$B$2:$B$331,A298,Log!$E$2:$E$331,Parameters!$B$2,Log!$I$2:$I$331,"&lt;&gt;CAN")</f>
        <v/>
      </c>
      <c r="D298">
        <f>IF(ROW()-Parameters!$B$5&gt;=2,INDEX($E$1:$E$366,ROW()-Parameters!$B$5)*Parameters!$B$4,0)</f>
        <v/>
      </c>
      <c r="E298">
        <f>IF(AND(B298=1,F297&lt;=Parameters!$B$3),1,0)</f>
        <v/>
      </c>
      <c r="F298">
        <f>F297+D298-C298</f>
        <v/>
      </c>
    </row>
    <row r="299">
      <c r="A299" s="1">
        <f>A298+1</f>
        <v/>
      </c>
      <c r="B299">
        <f>WEEKDAY(A299,2)</f>
        <v/>
      </c>
      <c r="C299">
        <f>SUMIFS(Log!$F$2:$F$331,Log!$B$2:$B$331,A299,Log!$E$2:$E$331,Parameters!$B$2,Log!$I$2:$I$331,"&lt;&gt;CAN")</f>
        <v/>
      </c>
      <c r="D299">
        <f>IF(ROW()-Parameters!$B$5&gt;=2,INDEX($E$1:$E$366,ROW()-Parameters!$B$5)*Parameters!$B$4,0)</f>
        <v/>
      </c>
      <c r="E299">
        <f>IF(AND(B299=1,F298&lt;=Parameters!$B$3),1,0)</f>
        <v/>
      </c>
      <c r="F299">
        <f>F298+D299-C299</f>
        <v/>
      </c>
    </row>
    <row r="300">
      <c r="A300" s="1">
        <f>A299+1</f>
        <v/>
      </c>
      <c r="B300">
        <f>WEEKDAY(A300,2)</f>
        <v/>
      </c>
      <c r="C300">
        <f>SUMIFS(Log!$F$2:$F$331,Log!$B$2:$B$331,A300,Log!$E$2:$E$331,Parameters!$B$2,Log!$I$2:$I$331,"&lt;&gt;CAN")</f>
        <v/>
      </c>
      <c r="D300">
        <f>IF(ROW()-Parameters!$B$5&gt;=2,INDEX($E$1:$E$366,ROW()-Parameters!$B$5)*Parameters!$B$4,0)</f>
        <v/>
      </c>
      <c r="E300">
        <f>IF(AND(B300=1,F299&lt;=Parameters!$B$3),1,0)</f>
        <v/>
      </c>
      <c r="F300">
        <f>F299+D300-C300</f>
        <v/>
      </c>
    </row>
    <row r="301">
      <c r="A301" s="1">
        <f>A300+1</f>
        <v/>
      </c>
      <c r="B301">
        <f>WEEKDAY(A301,2)</f>
        <v/>
      </c>
      <c r="C301">
        <f>SUMIFS(Log!$F$2:$F$331,Log!$B$2:$B$331,A301,Log!$E$2:$E$331,Parameters!$B$2,Log!$I$2:$I$331,"&lt;&gt;CAN")</f>
        <v/>
      </c>
      <c r="D301">
        <f>IF(ROW()-Parameters!$B$5&gt;=2,INDEX($E$1:$E$366,ROW()-Parameters!$B$5)*Parameters!$B$4,0)</f>
        <v/>
      </c>
      <c r="E301">
        <f>IF(AND(B301=1,F300&lt;=Parameters!$B$3),1,0)</f>
        <v/>
      </c>
      <c r="F301">
        <f>F300+D301-C301</f>
        <v/>
      </c>
    </row>
    <row r="302">
      <c r="A302" s="1">
        <f>A301+1</f>
        <v/>
      </c>
      <c r="B302">
        <f>WEEKDAY(A302,2)</f>
        <v/>
      </c>
      <c r="C302">
        <f>SUMIFS(Log!$F$2:$F$331,Log!$B$2:$B$331,A302,Log!$E$2:$E$331,Parameters!$B$2,Log!$I$2:$I$331,"&lt;&gt;CAN")</f>
        <v/>
      </c>
      <c r="D302">
        <f>IF(ROW()-Parameters!$B$5&gt;=2,INDEX($E$1:$E$366,ROW()-Parameters!$B$5)*Parameters!$B$4,0)</f>
        <v/>
      </c>
      <c r="E302">
        <f>IF(AND(B302=1,F301&lt;=Parameters!$B$3),1,0)</f>
        <v/>
      </c>
      <c r="F302">
        <f>F301+D302-C302</f>
        <v/>
      </c>
    </row>
    <row r="303">
      <c r="A303" s="1">
        <f>A302+1</f>
        <v/>
      </c>
      <c r="B303">
        <f>WEEKDAY(A303,2)</f>
        <v/>
      </c>
      <c r="C303">
        <f>SUMIFS(Log!$F$2:$F$331,Log!$B$2:$B$331,A303,Log!$E$2:$E$331,Parameters!$B$2,Log!$I$2:$I$331,"&lt;&gt;CAN")</f>
        <v/>
      </c>
      <c r="D303">
        <f>IF(ROW()-Parameters!$B$5&gt;=2,INDEX($E$1:$E$366,ROW()-Parameters!$B$5)*Parameters!$B$4,0)</f>
        <v/>
      </c>
      <c r="E303">
        <f>IF(AND(B303=1,F302&lt;=Parameters!$B$3),1,0)</f>
        <v/>
      </c>
      <c r="F303">
        <f>F302+D303-C303</f>
        <v/>
      </c>
    </row>
    <row r="304">
      <c r="A304" s="1">
        <f>A303+1</f>
        <v/>
      </c>
      <c r="B304">
        <f>WEEKDAY(A304,2)</f>
        <v/>
      </c>
      <c r="C304">
        <f>SUMIFS(Log!$F$2:$F$331,Log!$B$2:$B$331,A304,Log!$E$2:$E$331,Parameters!$B$2,Log!$I$2:$I$331,"&lt;&gt;CAN")</f>
        <v/>
      </c>
      <c r="D304">
        <f>IF(ROW()-Parameters!$B$5&gt;=2,INDEX($E$1:$E$366,ROW()-Parameters!$B$5)*Parameters!$B$4,0)</f>
        <v/>
      </c>
      <c r="E304">
        <f>IF(AND(B304=1,F303&lt;=Parameters!$B$3),1,0)</f>
        <v/>
      </c>
      <c r="F304">
        <f>F303+D304-C304</f>
        <v/>
      </c>
    </row>
    <row r="305">
      <c r="A305" s="1">
        <f>A304+1</f>
        <v/>
      </c>
      <c r="B305">
        <f>WEEKDAY(A305,2)</f>
        <v/>
      </c>
      <c r="C305">
        <f>SUMIFS(Log!$F$2:$F$331,Log!$B$2:$B$331,A305,Log!$E$2:$E$331,Parameters!$B$2,Log!$I$2:$I$331,"&lt;&gt;CAN")</f>
        <v/>
      </c>
      <c r="D305">
        <f>IF(ROW()-Parameters!$B$5&gt;=2,INDEX($E$1:$E$366,ROW()-Parameters!$B$5)*Parameters!$B$4,0)</f>
        <v/>
      </c>
      <c r="E305">
        <f>IF(AND(B305=1,F304&lt;=Parameters!$B$3),1,0)</f>
        <v/>
      </c>
      <c r="F305">
        <f>F304+D305-C305</f>
        <v/>
      </c>
    </row>
    <row r="306">
      <c r="A306" s="1">
        <f>A305+1</f>
        <v/>
      </c>
      <c r="B306">
        <f>WEEKDAY(A306,2)</f>
        <v/>
      </c>
      <c r="C306">
        <f>SUMIFS(Log!$F$2:$F$331,Log!$B$2:$B$331,A306,Log!$E$2:$E$331,Parameters!$B$2,Log!$I$2:$I$331,"&lt;&gt;CAN")</f>
        <v/>
      </c>
      <c r="D306">
        <f>IF(ROW()-Parameters!$B$5&gt;=2,INDEX($E$1:$E$366,ROW()-Parameters!$B$5)*Parameters!$B$4,0)</f>
        <v/>
      </c>
      <c r="E306">
        <f>IF(AND(B306=1,F305&lt;=Parameters!$B$3),1,0)</f>
        <v/>
      </c>
      <c r="F306">
        <f>F305+D306-C306</f>
        <v/>
      </c>
    </row>
    <row r="307">
      <c r="A307" s="1">
        <f>A306+1</f>
        <v/>
      </c>
      <c r="B307">
        <f>WEEKDAY(A307,2)</f>
        <v/>
      </c>
      <c r="C307">
        <f>SUMIFS(Log!$F$2:$F$331,Log!$B$2:$B$331,A307,Log!$E$2:$E$331,Parameters!$B$2,Log!$I$2:$I$331,"&lt;&gt;CAN")</f>
        <v/>
      </c>
      <c r="D307">
        <f>IF(ROW()-Parameters!$B$5&gt;=2,INDEX($E$1:$E$366,ROW()-Parameters!$B$5)*Parameters!$B$4,0)</f>
        <v/>
      </c>
      <c r="E307">
        <f>IF(AND(B307=1,F306&lt;=Parameters!$B$3),1,0)</f>
        <v/>
      </c>
      <c r="F307">
        <f>F306+D307-C307</f>
        <v/>
      </c>
    </row>
    <row r="308">
      <c r="A308" s="1">
        <f>A307+1</f>
        <v/>
      </c>
      <c r="B308">
        <f>WEEKDAY(A308,2)</f>
        <v/>
      </c>
      <c r="C308">
        <f>SUMIFS(Log!$F$2:$F$331,Log!$B$2:$B$331,A308,Log!$E$2:$E$331,Parameters!$B$2,Log!$I$2:$I$331,"&lt;&gt;CAN")</f>
        <v/>
      </c>
      <c r="D308">
        <f>IF(ROW()-Parameters!$B$5&gt;=2,INDEX($E$1:$E$366,ROW()-Parameters!$B$5)*Parameters!$B$4,0)</f>
        <v/>
      </c>
      <c r="E308">
        <f>IF(AND(B308=1,F307&lt;=Parameters!$B$3),1,0)</f>
        <v/>
      </c>
      <c r="F308">
        <f>F307+D308-C308</f>
        <v/>
      </c>
    </row>
    <row r="309">
      <c r="A309" s="1">
        <f>A308+1</f>
        <v/>
      </c>
      <c r="B309">
        <f>WEEKDAY(A309,2)</f>
        <v/>
      </c>
      <c r="C309">
        <f>SUMIFS(Log!$F$2:$F$331,Log!$B$2:$B$331,A309,Log!$E$2:$E$331,Parameters!$B$2,Log!$I$2:$I$331,"&lt;&gt;CAN")</f>
        <v/>
      </c>
      <c r="D309">
        <f>IF(ROW()-Parameters!$B$5&gt;=2,INDEX($E$1:$E$366,ROW()-Parameters!$B$5)*Parameters!$B$4,0)</f>
        <v/>
      </c>
      <c r="E309">
        <f>IF(AND(B309=1,F308&lt;=Parameters!$B$3),1,0)</f>
        <v/>
      </c>
      <c r="F309">
        <f>F308+D309-C309</f>
        <v/>
      </c>
    </row>
    <row r="310">
      <c r="A310" s="1">
        <f>A309+1</f>
        <v/>
      </c>
      <c r="B310">
        <f>WEEKDAY(A310,2)</f>
        <v/>
      </c>
      <c r="C310">
        <f>SUMIFS(Log!$F$2:$F$331,Log!$B$2:$B$331,A310,Log!$E$2:$E$331,Parameters!$B$2,Log!$I$2:$I$331,"&lt;&gt;CAN")</f>
        <v/>
      </c>
      <c r="D310">
        <f>IF(ROW()-Parameters!$B$5&gt;=2,INDEX($E$1:$E$366,ROW()-Parameters!$B$5)*Parameters!$B$4,0)</f>
        <v/>
      </c>
      <c r="E310">
        <f>IF(AND(B310=1,F309&lt;=Parameters!$B$3),1,0)</f>
        <v/>
      </c>
      <c r="F310">
        <f>F309+D310-C310</f>
        <v/>
      </c>
    </row>
    <row r="311">
      <c r="A311" s="1">
        <f>A310+1</f>
        <v/>
      </c>
      <c r="B311">
        <f>WEEKDAY(A311,2)</f>
        <v/>
      </c>
      <c r="C311">
        <f>SUMIFS(Log!$F$2:$F$331,Log!$B$2:$B$331,A311,Log!$E$2:$E$331,Parameters!$B$2,Log!$I$2:$I$331,"&lt;&gt;CAN")</f>
        <v/>
      </c>
      <c r="D311">
        <f>IF(ROW()-Parameters!$B$5&gt;=2,INDEX($E$1:$E$366,ROW()-Parameters!$B$5)*Parameters!$B$4,0)</f>
        <v/>
      </c>
      <c r="E311">
        <f>IF(AND(B311=1,F310&lt;=Parameters!$B$3),1,0)</f>
        <v/>
      </c>
      <c r="F311">
        <f>F310+D311-C311</f>
        <v/>
      </c>
    </row>
    <row r="312">
      <c r="A312" s="1">
        <f>A311+1</f>
        <v/>
      </c>
      <c r="B312">
        <f>WEEKDAY(A312,2)</f>
        <v/>
      </c>
      <c r="C312">
        <f>SUMIFS(Log!$F$2:$F$331,Log!$B$2:$B$331,A312,Log!$E$2:$E$331,Parameters!$B$2,Log!$I$2:$I$331,"&lt;&gt;CAN")</f>
        <v/>
      </c>
      <c r="D312">
        <f>IF(ROW()-Parameters!$B$5&gt;=2,INDEX($E$1:$E$366,ROW()-Parameters!$B$5)*Parameters!$B$4,0)</f>
        <v/>
      </c>
      <c r="E312">
        <f>IF(AND(B312=1,F311&lt;=Parameters!$B$3),1,0)</f>
        <v/>
      </c>
      <c r="F312">
        <f>F311+D312-C312</f>
        <v/>
      </c>
    </row>
    <row r="313">
      <c r="A313" s="1">
        <f>A312+1</f>
        <v/>
      </c>
      <c r="B313">
        <f>WEEKDAY(A313,2)</f>
        <v/>
      </c>
      <c r="C313">
        <f>SUMIFS(Log!$F$2:$F$331,Log!$B$2:$B$331,A313,Log!$E$2:$E$331,Parameters!$B$2,Log!$I$2:$I$331,"&lt;&gt;CAN")</f>
        <v/>
      </c>
      <c r="D313">
        <f>IF(ROW()-Parameters!$B$5&gt;=2,INDEX($E$1:$E$366,ROW()-Parameters!$B$5)*Parameters!$B$4,0)</f>
        <v/>
      </c>
      <c r="E313">
        <f>IF(AND(B313=1,F312&lt;=Parameters!$B$3),1,0)</f>
        <v/>
      </c>
      <c r="F313">
        <f>F312+D313-C313</f>
        <v/>
      </c>
    </row>
    <row r="314">
      <c r="A314" s="1">
        <f>A313+1</f>
        <v/>
      </c>
      <c r="B314">
        <f>WEEKDAY(A314,2)</f>
        <v/>
      </c>
      <c r="C314">
        <f>SUMIFS(Log!$F$2:$F$331,Log!$B$2:$B$331,A314,Log!$E$2:$E$331,Parameters!$B$2,Log!$I$2:$I$331,"&lt;&gt;CAN")</f>
        <v/>
      </c>
      <c r="D314">
        <f>IF(ROW()-Parameters!$B$5&gt;=2,INDEX($E$1:$E$366,ROW()-Parameters!$B$5)*Parameters!$B$4,0)</f>
        <v/>
      </c>
      <c r="E314">
        <f>IF(AND(B314=1,F313&lt;=Parameters!$B$3),1,0)</f>
        <v/>
      </c>
      <c r="F314">
        <f>F313+D314-C314</f>
        <v/>
      </c>
    </row>
    <row r="315">
      <c r="A315" s="1">
        <f>A314+1</f>
        <v/>
      </c>
      <c r="B315">
        <f>WEEKDAY(A315,2)</f>
        <v/>
      </c>
      <c r="C315">
        <f>SUMIFS(Log!$F$2:$F$331,Log!$B$2:$B$331,A315,Log!$E$2:$E$331,Parameters!$B$2,Log!$I$2:$I$331,"&lt;&gt;CAN")</f>
        <v/>
      </c>
      <c r="D315">
        <f>IF(ROW()-Parameters!$B$5&gt;=2,INDEX($E$1:$E$366,ROW()-Parameters!$B$5)*Parameters!$B$4,0)</f>
        <v/>
      </c>
      <c r="E315">
        <f>IF(AND(B315=1,F314&lt;=Parameters!$B$3),1,0)</f>
        <v/>
      </c>
      <c r="F315">
        <f>F314+D315-C315</f>
        <v/>
      </c>
    </row>
    <row r="316">
      <c r="A316" s="1">
        <f>A315+1</f>
        <v/>
      </c>
      <c r="B316">
        <f>WEEKDAY(A316,2)</f>
        <v/>
      </c>
      <c r="C316">
        <f>SUMIFS(Log!$F$2:$F$331,Log!$B$2:$B$331,A316,Log!$E$2:$E$331,Parameters!$B$2,Log!$I$2:$I$331,"&lt;&gt;CAN")</f>
        <v/>
      </c>
      <c r="D316">
        <f>IF(ROW()-Parameters!$B$5&gt;=2,INDEX($E$1:$E$366,ROW()-Parameters!$B$5)*Parameters!$B$4,0)</f>
        <v/>
      </c>
      <c r="E316">
        <f>IF(AND(B316=1,F315&lt;=Parameters!$B$3),1,0)</f>
        <v/>
      </c>
      <c r="F316">
        <f>F315+D316-C316</f>
        <v/>
      </c>
    </row>
    <row r="317">
      <c r="A317" s="1">
        <f>A316+1</f>
        <v/>
      </c>
      <c r="B317">
        <f>WEEKDAY(A317,2)</f>
        <v/>
      </c>
      <c r="C317">
        <f>SUMIFS(Log!$F$2:$F$331,Log!$B$2:$B$331,A317,Log!$E$2:$E$331,Parameters!$B$2,Log!$I$2:$I$331,"&lt;&gt;CAN")</f>
        <v/>
      </c>
      <c r="D317">
        <f>IF(ROW()-Parameters!$B$5&gt;=2,INDEX($E$1:$E$366,ROW()-Parameters!$B$5)*Parameters!$B$4,0)</f>
        <v/>
      </c>
      <c r="E317">
        <f>IF(AND(B317=1,F316&lt;=Parameters!$B$3),1,0)</f>
        <v/>
      </c>
      <c r="F317">
        <f>F316+D317-C317</f>
        <v/>
      </c>
    </row>
    <row r="318">
      <c r="A318" s="1">
        <f>A317+1</f>
        <v/>
      </c>
      <c r="B318">
        <f>WEEKDAY(A318,2)</f>
        <v/>
      </c>
      <c r="C318">
        <f>SUMIFS(Log!$F$2:$F$331,Log!$B$2:$B$331,A318,Log!$E$2:$E$331,Parameters!$B$2,Log!$I$2:$I$331,"&lt;&gt;CAN")</f>
        <v/>
      </c>
      <c r="D318">
        <f>IF(ROW()-Parameters!$B$5&gt;=2,INDEX($E$1:$E$366,ROW()-Parameters!$B$5)*Parameters!$B$4,0)</f>
        <v/>
      </c>
      <c r="E318">
        <f>IF(AND(B318=1,F317&lt;=Parameters!$B$3),1,0)</f>
        <v/>
      </c>
      <c r="F318">
        <f>F317+D318-C318</f>
        <v/>
      </c>
    </row>
    <row r="319">
      <c r="A319" s="1">
        <f>A318+1</f>
        <v/>
      </c>
      <c r="B319">
        <f>WEEKDAY(A319,2)</f>
        <v/>
      </c>
      <c r="C319">
        <f>SUMIFS(Log!$F$2:$F$331,Log!$B$2:$B$331,A319,Log!$E$2:$E$331,Parameters!$B$2,Log!$I$2:$I$331,"&lt;&gt;CAN")</f>
        <v/>
      </c>
      <c r="D319">
        <f>IF(ROW()-Parameters!$B$5&gt;=2,INDEX($E$1:$E$366,ROW()-Parameters!$B$5)*Parameters!$B$4,0)</f>
        <v/>
      </c>
      <c r="E319">
        <f>IF(AND(B319=1,F318&lt;=Parameters!$B$3),1,0)</f>
        <v/>
      </c>
      <c r="F319">
        <f>F318+D319-C319</f>
        <v/>
      </c>
    </row>
    <row r="320">
      <c r="A320" s="1">
        <f>A319+1</f>
        <v/>
      </c>
      <c r="B320">
        <f>WEEKDAY(A320,2)</f>
        <v/>
      </c>
      <c r="C320">
        <f>SUMIFS(Log!$F$2:$F$331,Log!$B$2:$B$331,A320,Log!$E$2:$E$331,Parameters!$B$2,Log!$I$2:$I$331,"&lt;&gt;CAN")</f>
        <v/>
      </c>
      <c r="D320">
        <f>IF(ROW()-Parameters!$B$5&gt;=2,INDEX($E$1:$E$366,ROW()-Parameters!$B$5)*Parameters!$B$4,0)</f>
        <v/>
      </c>
      <c r="E320">
        <f>IF(AND(B320=1,F319&lt;=Parameters!$B$3),1,0)</f>
        <v/>
      </c>
      <c r="F320">
        <f>F319+D320-C320</f>
        <v/>
      </c>
    </row>
    <row r="321">
      <c r="A321" s="1">
        <f>A320+1</f>
        <v/>
      </c>
      <c r="B321">
        <f>WEEKDAY(A321,2)</f>
        <v/>
      </c>
      <c r="C321">
        <f>SUMIFS(Log!$F$2:$F$331,Log!$B$2:$B$331,A321,Log!$E$2:$E$331,Parameters!$B$2,Log!$I$2:$I$331,"&lt;&gt;CAN")</f>
        <v/>
      </c>
      <c r="D321">
        <f>IF(ROW()-Parameters!$B$5&gt;=2,INDEX($E$1:$E$366,ROW()-Parameters!$B$5)*Parameters!$B$4,0)</f>
        <v/>
      </c>
      <c r="E321">
        <f>IF(AND(B321=1,F320&lt;=Parameters!$B$3),1,0)</f>
        <v/>
      </c>
      <c r="F321">
        <f>F320+D321-C321</f>
        <v/>
      </c>
    </row>
    <row r="322">
      <c r="A322" s="1">
        <f>A321+1</f>
        <v/>
      </c>
      <c r="B322">
        <f>WEEKDAY(A322,2)</f>
        <v/>
      </c>
      <c r="C322">
        <f>SUMIFS(Log!$F$2:$F$331,Log!$B$2:$B$331,A322,Log!$E$2:$E$331,Parameters!$B$2,Log!$I$2:$I$331,"&lt;&gt;CAN")</f>
        <v/>
      </c>
      <c r="D322">
        <f>IF(ROW()-Parameters!$B$5&gt;=2,INDEX($E$1:$E$366,ROW()-Parameters!$B$5)*Parameters!$B$4,0)</f>
        <v/>
      </c>
      <c r="E322">
        <f>IF(AND(B322=1,F321&lt;=Parameters!$B$3),1,0)</f>
        <v/>
      </c>
      <c r="F322">
        <f>F321+D322-C322</f>
        <v/>
      </c>
    </row>
    <row r="323">
      <c r="A323" s="1">
        <f>A322+1</f>
        <v/>
      </c>
      <c r="B323">
        <f>WEEKDAY(A323,2)</f>
        <v/>
      </c>
      <c r="C323">
        <f>SUMIFS(Log!$F$2:$F$331,Log!$B$2:$B$331,A323,Log!$E$2:$E$331,Parameters!$B$2,Log!$I$2:$I$331,"&lt;&gt;CAN")</f>
        <v/>
      </c>
      <c r="D323">
        <f>IF(ROW()-Parameters!$B$5&gt;=2,INDEX($E$1:$E$366,ROW()-Parameters!$B$5)*Parameters!$B$4,0)</f>
        <v/>
      </c>
      <c r="E323">
        <f>IF(AND(B323=1,F322&lt;=Parameters!$B$3),1,0)</f>
        <v/>
      </c>
      <c r="F323">
        <f>F322+D323-C323</f>
        <v/>
      </c>
    </row>
    <row r="324">
      <c r="A324" s="1">
        <f>A323+1</f>
        <v/>
      </c>
      <c r="B324">
        <f>WEEKDAY(A324,2)</f>
        <v/>
      </c>
      <c r="C324">
        <f>SUMIFS(Log!$F$2:$F$331,Log!$B$2:$B$331,A324,Log!$E$2:$E$331,Parameters!$B$2,Log!$I$2:$I$331,"&lt;&gt;CAN")</f>
        <v/>
      </c>
      <c r="D324">
        <f>IF(ROW()-Parameters!$B$5&gt;=2,INDEX($E$1:$E$366,ROW()-Parameters!$B$5)*Parameters!$B$4,0)</f>
        <v/>
      </c>
      <c r="E324">
        <f>IF(AND(B324=1,F323&lt;=Parameters!$B$3),1,0)</f>
        <v/>
      </c>
      <c r="F324">
        <f>F323+D324-C324</f>
        <v/>
      </c>
    </row>
    <row r="325">
      <c r="A325" s="1">
        <f>A324+1</f>
        <v/>
      </c>
      <c r="B325">
        <f>WEEKDAY(A325,2)</f>
        <v/>
      </c>
      <c r="C325">
        <f>SUMIFS(Log!$F$2:$F$331,Log!$B$2:$B$331,A325,Log!$E$2:$E$331,Parameters!$B$2,Log!$I$2:$I$331,"&lt;&gt;CAN")</f>
        <v/>
      </c>
      <c r="D325">
        <f>IF(ROW()-Parameters!$B$5&gt;=2,INDEX($E$1:$E$366,ROW()-Parameters!$B$5)*Parameters!$B$4,0)</f>
        <v/>
      </c>
      <c r="E325">
        <f>IF(AND(B325=1,F324&lt;=Parameters!$B$3),1,0)</f>
        <v/>
      </c>
      <c r="F325">
        <f>F324+D325-C325</f>
        <v/>
      </c>
    </row>
    <row r="326">
      <c r="A326" s="1">
        <f>A325+1</f>
        <v/>
      </c>
      <c r="B326">
        <f>WEEKDAY(A326,2)</f>
        <v/>
      </c>
      <c r="C326">
        <f>SUMIFS(Log!$F$2:$F$331,Log!$B$2:$B$331,A326,Log!$E$2:$E$331,Parameters!$B$2,Log!$I$2:$I$331,"&lt;&gt;CAN")</f>
        <v/>
      </c>
      <c r="D326">
        <f>IF(ROW()-Parameters!$B$5&gt;=2,INDEX($E$1:$E$366,ROW()-Parameters!$B$5)*Parameters!$B$4,0)</f>
        <v/>
      </c>
      <c r="E326">
        <f>IF(AND(B326=1,F325&lt;=Parameters!$B$3),1,0)</f>
        <v/>
      </c>
      <c r="F326">
        <f>F325+D326-C326</f>
        <v/>
      </c>
    </row>
    <row r="327">
      <c r="A327" s="1">
        <f>A326+1</f>
        <v/>
      </c>
      <c r="B327">
        <f>WEEKDAY(A327,2)</f>
        <v/>
      </c>
      <c r="C327">
        <f>SUMIFS(Log!$F$2:$F$331,Log!$B$2:$B$331,A327,Log!$E$2:$E$331,Parameters!$B$2,Log!$I$2:$I$331,"&lt;&gt;CAN")</f>
        <v/>
      </c>
      <c r="D327">
        <f>IF(ROW()-Parameters!$B$5&gt;=2,INDEX($E$1:$E$366,ROW()-Parameters!$B$5)*Parameters!$B$4,0)</f>
        <v/>
      </c>
      <c r="E327">
        <f>IF(AND(B327=1,F326&lt;=Parameters!$B$3),1,0)</f>
        <v/>
      </c>
      <c r="F327">
        <f>F326+D327-C327</f>
        <v/>
      </c>
    </row>
    <row r="328">
      <c r="A328" s="1">
        <f>A327+1</f>
        <v/>
      </c>
      <c r="B328">
        <f>WEEKDAY(A328,2)</f>
        <v/>
      </c>
      <c r="C328">
        <f>SUMIFS(Log!$F$2:$F$331,Log!$B$2:$B$331,A328,Log!$E$2:$E$331,Parameters!$B$2,Log!$I$2:$I$331,"&lt;&gt;CAN")</f>
        <v/>
      </c>
      <c r="D328">
        <f>IF(ROW()-Parameters!$B$5&gt;=2,INDEX($E$1:$E$366,ROW()-Parameters!$B$5)*Parameters!$B$4,0)</f>
        <v/>
      </c>
      <c r="E328">
        <f>IF(AND(B328=1,F327&lt;=Parameters!$B$3),1,0)</f>
        <v/>
      </c>
      <c r="F328">
        <f>F327+D328-C328</f>
        <v/>
      </c>
    </row>
    <row r="329">
      <c r="A329" s="1">
        <f>A328+1</f>
        <v/>
      </c>
      <c r="B329">
        <f>WEEKDAY(A329,2)</f>
        <v/>
      </c>
      <c r="C329">
        <f>SUMIFS(Log!$F$2:$F$331,Log!$B$2:$B$331,A329,Log!$E$2:$E$331,Parameters!$B$2,Log!$I$2:$I$331,"&lt;&gt;CAN")</f>
        <v/>
      </c>
      <c r="D329">
        <f>IF(ROW()-Parameters!$B$5&gt;=2,INDEX($E$1:$E$366,ROW()-Parameters!$B$5)*Parameters!$B$4,0)</f>
        <v/>
      </c>
      <c r="E329">
        <f>IF(AND(B329=1,F328&lt;=Parameters!$B$3),1,0)</f>
        <v/>
      </c>
      <c r="F329">
        <f>F328+D329-C329</f>
        <v/>
      </c>
    </row>
    <row r="330">
      <c r="A330" s="1">
        <f>A329+1</f>
        <v/>
      </c>
      <c r="B330">
        <f>WEEKDAY(A330,2)</f>
        <v/>
      </c>
      <c r="C330">
        <f>SUMIFS(Log!$F$2:$F$331,Log!$B$2:$B$331,A330,Log!$E$2:$E$331,Parameters!$B$2,Log!$I$2:$I$331,"&lt;&gt;CAN")</f>
        <v/>
      </c>
      <c r="D330">
        <f>IF(ROW()-Parameters!$B$5&gt;=2,INDEX($E$1:$E$366,ROW()-Parameters!$B$5)*Parameters!$B$4,0)</f>
        <v/>
      </c>
      <c r="E330">
        <f>IF(AND(B330=1,F329&lt;=Parameters!$B$3),1,0)</f>
        <v/>
      </c>
      <c r="F330">
        <f>F329+D330-C330</f>
        <v/>
      </c>
    </row>
    <row r="331">
      <c r="A331" s="1">
        <f>A330+1</f>
        <v/>
      </c>
      <c r="B331">
        <f>WEEKDAY(A331,2)</f>
        <v/>
      </c>
      <c r="C331">
        <f>SUMIFS(Log!$F$2:$F$331,Log!$B$2:$B$331,A331,Log!$E$2:$E$331,Parameters!$B$2,Log!$I$2:$I$331,"&lt;&gt;CAN")</f>
        <v/>
      </c>
      <c r="D331">
        <f>IF(ROW()-Parameters!$B$5&gt;=2,INDEX($E$1:$E$366,ROW()-Parameters!$B$5)*Parameters!$B$4,0)</f>
        <v/>
      </c>
      <c r="E331">
        <f>IF(AND(B331=1,F330&lt;=Parameters!$B$3),1,0)</f>
        <v/>
      </c>
      <c r="F331">
        <f>F330+D331-C331</f>
        <v/>
      </c>
    </row>
    <row r="332">
      <c r="A332" s="1">
        <f>A331+1</f>
        <v/>
      </c>
      <c r="B332">
        <f>WEEKDAY(A332,2)</f>
        <v/>
      </c>
      <c r="C332">
        <f>SUMIFS(Log!$F$2:$F$331,Log!$B$2:$B$331,A332,Log!$E$2:$E$331,Parameters!$B$2,Log!$I$2:$I$331,"&lt;&gt;CAN")</f>
        <v/>
      </c>
      <c r="D332">
        <f>IF(ROW()-Parameters!$B$5&gt;=2,INDEX($E$1:$E$366,ROW()-Parameters!$B$5)*Parameters!$B$4,0)</f>
        <v/>
      </c>
      <c r="E332">
        <f>IF(AND(B332=1,F331&lt;=Parameters!$B$3),1,0)</f>
        <v/>
      </c>
      <c r="F332">
        <f>F331+D332-C332</f>
        <v/>
      </c>
    </row>
    <row r="333">
      <c r="A333" s="1">
        <f>A332+1</f>
        <v/>
      </c>
      <c r="B333">
        <f>WEEKDAY(A333,2)</f>
        <v/>
      </c>
      <c r="C333">
        <f>SUMIFS(Log!$F$2:$F$331,Log!$B$2:$B$331,A333,Log!$E$2:$E$331,Parameters!$B$2,Log!$I$2:$I$331,"&lt;&gt;CAN")</f>
        <v/>
      </c>
      <c r="D333">
        <f>IF(ROW()-Parameters!$B$5&gt;=2,INDEX($E$1:$E$366,ROW()-Parameters!$B$5)*Parameters!$B$4,0)</f>
        <v/>
      </c>
      <c r="E333">
        <f>IF(AND(B333=1,F332&lt;=Parameters!$B$3),1,0)</f>
        <v/>
      </c>
      <c r="F333">
        <f>F332+D333-C333</f>
        <v/>
      </c>
    </row>
    <row r="334">
      <c r="A334" s="1">
        <f>A333+1</f>
        <v/>
      </c>
      <c r="B334">
        <f>WEEKDAY(A334,2)</f>
        <v/>
      </c>
      <c r="C334">
        <f>SUMIFS(Log!$F$2:$F$331,Log!$B$2:$B$331,A334,Log!$E$2:$E$331,Parameters!$B$2,Log!$I$2:$I$331,"&lt;&gt;CAN")</f>
        <v/>
      </c>
      <c r="D334">
        <f>IF(ROW()-Parameters!$B$5&gt;=2,INDEX($E$1:$E$366,ROW()-Parameters!$B$5)*Parameters!$B$4,0)</f>
        <v/>
      </c>
      <c r="E334">
        <f>IF(AND(B334=1,F333&lt;=Parameters!$B$3),1,0)</f>
        <v/>
      </c>
      <c r="F334">
        <f>F333+D334-C334</f>
        <v/>
      </c>
    </row>
    <row r="335">
      <c r="A335" s="1">
        <f>A334+1</f>
        <v/>
      </c>
      <c r="B335">
        <f>WEEKDAY(A335,2)</f>
        <v/>
      </c>
      <c r="C335">
        <f>SUMIFS(Log!$F$2:$F$331,Log!$B$2:$B$331,A335,Log!$E$2:$E$331,Parameters!$B$2,Log!$I$2:$I$331,"&lt;&gt;CAN")</f>
        <v/>
      </c>
      <c r="D335">
        <f>IF(ROW()-Parameters!$B$5&gt;=2,INDEX($E$1:$E$366,ROW()-Parameters!$B$5)*Parameters!$B$4,0)</f>
        <v/>
      </c>
      <c r="E335">
        <f>IF(AND(B335=1,F334&lt;=Parameters!$B$3),1,0)</f>
        <v/>
      </c>
      <c r="F335">
        <f>F334+D335-C335</f>
        <v/>
      </c>
    </row>
    <row r="336">
      <c r="A336" s="1">
        <f>A335+1</f>
        <v/>
      </c>
      <c r="B336">
        <f>WEEKDAY(A336,2)</f>
        <v/>
      </c>
      <c r="C336">
        <f>SUMIFS(Log!$F$2:$F$331,Log!$B$2:$B$331,A336,Log!$E$2:$E$331,Parameters!$B$2,Log!$I$2:$I$331,"&lt;&gt;CAN")</f>
        <v/>
      </c>
      <c r="D336">
        <f>IF(ROW()-Parameters!$B$5&gt;=2,INDEX($E$1:$E$366,ROW()-Parameters!$B$5)*Parameters!$B$4,0)</f>
        <v/>
      </c>
      <c r="E336">
        <f>IF(AND(B336=1,F335&lt;=Parameters!$B$3),1,0)</f>
        <v/>
      </c>
      <c r="F336">
        <f>F335+D336-C336</f>
        <v/>
      </c>
    </row>
    <row r="337">
      <c r="A337" s="1">
        <f>A336+1</f>
        <v/>
      </c>
      <c r="B337">
        <f>WEEKDAY(A337,2)</f>
        <v/>
      </c>
      <c r="C337">
        <f>SUMIFS(Log!$F$2:$F$331,Log!$B$2:$B$331,A337,Log!$E$2:$E$331,Parameters!$B$2,Log!$I$2:$I$331,"&lt;&gt;CAN")</f>
        <v/>
      </c>
      <c r="D337">
        <f>IF(ROW()-Parameters!$B$5&gt;=2,INDEX($E$1:$E$366,ROW()-Parameters!$B$5)*Parameters!$B$4,0)</f>
        <v/>
      </c>
      <c r="E337">
        <f>IF(AND(B337=1,F336&lt;=Parameters!$B$3),1,0)</f>
        <v/>
      </c>
      <c r="F337">
        <f>F336+D337-C337</f>
        <v/>
      </c>
    </row>
    <row r="338">
      <c r="A338" s="1">
        <f>A337+1</f>
        <v/>
      </c>
      <c r="B338">
        <f>WEEKDAY(A338,2)</f>
        <v/>
      </c>
      <c r="C338">
        <f>SUMIFS(Log!$F$2:$F$331,Log!$B$2:$B$331,A338,Log!$E$2:$E$331,Parameters!$B$2,Log!$I$2:$I$331,"&lt;&gt;CAN")</f>
        <v/>
      </c>
      <c r="D338">
        <f>IF(ROW()-Parameters!$B$5&gt;=2,INDEX($E$1:$E$366,ROW()-Parameters!$B$5)*Parameters!$B$4,0)</f>
        <v/>
      </c>
      <c r="E338">
        <f>IF(AND(B338=1,F337&lt;=Parameters!$B$3),1,0)</f>
        <v/>
      </c>
      <c r="F338">
        <f>F337+D338-C338</f>
        <v/>
      </c>
    </row>
    <row r="339">
      <c r="A339" s="1">
        <f>A338+1</f>
        <v/>
      </c>
      <c r="B339">
        <f>WEEKDAY(A339,2)</f>
        <v/>
      </c>
      <c r="C339">
        <f>SUMIFS(Log!$F$2:$F$331,Log!$B$2:$B$331,A339,Log!$E$2:$E$331,Parameters!$B$2,Log!$I$2:$I$331,"&lt;&gt;CAN")</f>
        <v/>
      </c>
      <c r="D339">
        <f>IF(ROW()-Parameters!$B$5&gt;=2,INDEX($E$1:$E$366,ROW()-Parameters!$B$5)*Parameters!$B$4,0)</f>
        <v/>
      </c>
      <c r="E339">
        <f>IF(AND(B339=1,F338&lt;=Parameters!$B$3),1,0)</f>
        <v/>
      </c>
      <c r="F339">
        <f>F338+D339-C339</f>
        <v/>
      </c>
    </row>
    <row r="340">
      <c r="A340" s="1">
        <f>A339+1</f>
        <v/>
      </c>
      <c r="B340">
        <f>WEEKDAY(A340,2)</f>
        <v/>
      </c>
      <c r="C340">
        <f>SUMIFS(Log!$F$2:$F$331,Log!$B$2:$B$331,A340,Log!$E$2:$E$331,Parameters!$B$2,Log!$I$2:$I$331,"&lt;&gt;CAN")</f>
        <v/>
      </c>
      <c r="D340">
        <f>IF(ROW()-Parameters!$B$5&gt;=2,INDEX($E$1:$E$366,ROW()-Parameters!$B$5)*Parameters!$B$4,0)</f>
        <v/>
      </c>
      <c r="E340">
        <f>IF(AND(B340=1,F339&lt;=Parameters!$B$3),1,0)</f>
        <v/>
      </c>
      <c r="F340">
        <f>F339+D340-C340</f>
        <v/>
      </c>
    </row>
    <row r="341">
      <c r="A341" s="1">
        <f>A340+1</f>
        <v/>
      </c>
      <c r="B341">
        <f>WEEKDAY(A341,2)</f>
        <v/>
      </c>
      <c r="C341">
        <f>SUMIFS(Log!$F$2:$F$331,Log!$B$2:$B$331,A341,Log!$E$2:$E$331,Parameters!$B$2,Log!$I$2:$I$331,"&lt;&gt;CAN")</f>
        <v/>
      </c>
      <c r="D341">
        <f>IF(ROW()-Parameters!$B$5&gt;=2,INDEX($E$1:$E$366,ROW()-Parameters!$B$5)*Parameters!$B$4,0)</f>
        <v/>
      </c>
      <c r="E341">
        <f>IF(AND(B341=1,F340&lt;=Parameters!$B$3),1,0)</f>
        <v/>
      </c>
      <c r="F341">
        <f>F340+D341-C341</f>
        <v/>
      </c>
    </row>
    <row r="342">
      <c r="A342" s="1">
        <f>A341+1</f>
        <v/>
      </c>
      <c r="B342">
        <f>WEEKDAY(A342,2)</f>
        <v/>
      </c>
      <c r="C342">
        <f>SUMIFS(Log!$F$2:$F$331,Log!$B$2:$B$331,A342,Log!$E$2:$E$331,Parameters!$B$2,Log!$I$2:$I$331,"&lt;&gt;CAN")</f>
        <v/>
      </c>
      <c r="D342">
        <f>IF(ROW()-Parameters!$B$5&gt;=2,INDEX($E$1:$E$366,ROW()-Parameters!$B$5)*Parameters!$B$4,0)</f>
        <v/>
      </c>
      <c r="E342">
        <f>IF(AND(B342=1,F341&lt;=Parameters!$B$3),1,0)</f>
        <v/>
      </c>
      <c r="F342">
        <f>F341+D342-C342</f>
        <v/>
      </c>
    </row>
    <row r="343">
      <c r="A343" s="1">
        <f>A342+1</f>
        <v/>
      </c>
      <c r="B343">
        <f>WEEKDAY(A343,2)</f>
        <v/>
      </c>
      <c r="C343">
        <f>SUMIFS(Log!$F$2:$F$331,Log!$B$2:$B$331,A343,Log!$E$2:$E$331,Parameters!$B$2,Log!$I$2:$I$331,"&lt;&gt;CAN")</f>
        <v/>
      </c>
      <c r="D343">
        <f>IF(ROW()-Parameters!$B$5&gt;=2,INDEX($E$1:$E$366,ROW()-Parameters!$B$5)*Parameters!$B$4,0)</f>
        <v/>
      </c>
      <c r="E343">
        <f>IF(AND(B343=1,F342&lt;=Parameters!$B$3),1,0)</f>
        <v/>
      </c>
      <c r="F343">
        <f>F342+D343-C343</f>
        <v/>
      </c>
    </row>
    <row r="344">
      <c r="A344" s="1">
        <f>A343+1</f>
        <v/>
      </c>
      <c r="B344">
        <f>WEEKDAY(A344,2)</f>
        <v/>
      </c>
      <c r="C344">
        <f>SUMIFS(Log!$F$2:$F$331,Log!$B$2:$B$331,A344,Log!$E$2:$E$331,Parameters!$B$2,Log!$I$2:$I$331,"&lt;&gt;CAN")</f>
        <v/>
      </c>
      <c r="D344">
        <f>IF(ROW()-Parameters!$B$5&gt;=2,INDEX($E$1:$E$366,ROW()-Parameters!$B$5)*Parameters!$B$4,0)</f>
        <v/>
      </c>
      <c r="E344">
        <f>IF(AND(B344=1,F343&lt;=Parameters!$B$3),1,0)</f>
        <v/>
      </c>
      <c r="F344">
        <f>F343+D344-C344</f>
        <v/>
      </c>
    </row>
    <row r="345">
      <c r="A345" s="1">
        <f>A344+1</f>
        <v/>
      </c>
      <c r="B345">
        <f>WEEKDAY(A345,2)</f>
        <v/>
      </c>
      <c r="C345">
        <f>SUMIFS(Log!$F$2:$F$331,Log!$B$2:$B$331,A345,Log!$E$2:$E$331,Parameters!$B$2,Log!$I$2:$I$331,"&lt;&gt;CAN")</f>
        <v/>
      </c>
      <c r="D345">
        <f>IF(ROW()-Parameters!$B$5&gt;=2,INDEX($E$1:$E$366,ROW()-Parameters!$B$5)*Parameters!$B$4,0)</f>
        <v/>
      </c>
      <c r="E345">
        <f>IF(AND(B345=1,F344&lt;=Parameters!$B$3),1,0)</f>
        <v/>
      </c>
      <c r="F345">
        <f>F344+D345-C345</f>
        <v/>
      </c>
    </row>
    <row r="346">
      <c r="A346" s="1">
        <f>A345+1</f>
        <v/>
      </c>
      <c r="B346">
        <f>WEEKDAY(A346,2)</f>
        <v/>
      </c>
      <c r="C346">
        <f>SUMIFS(Log!$F$2:$F$331,Log!$B$2:$B$331,A346,Log!$E$2:$E$331,Parameters!$B$2,Log!$I$2:$I$331,"&lt;&gt;CAN")</f>
        <v/>
      </c>
      <c r="D346">
        <f>IF(ROW()-Parameters!$B$5&gt;=2,INDEX($E$1:$E$366,ROW()-Parameters!$B$5)*Parameters!$B$4,0)</f>
        <v/>
      </c>
      <c r="E346">
        <f>IF(AND(B346=1,F345&lt;=Parameters!$B$3),1,0)</f>
        <v/>
      </c>
      <c r="F346">
        <f>F345+D346-C346</f>
        <v/>
      </c>
    </row>
    <row r="347">
      <c r="A347" s="1">
        <f>A346+1</f>
        <v/>
      </c>
      <c r="B347">
        <f>WEEKDAY(A347,2)</f>
        <v/>
      </c>
      <c r="C347">
        <f>SUMIFS(Log!$F$2:$F$331,Log!$B$2:$B$331,A347,Log!$E$2:$E$331,Parameters!$B$2,Log!$I$2:$I$331,"&lt;&gt;CAN")</f>
        <v/>
      </c>
      <c r="D347">
        <f>IF(ROW()-Parameters!$B$5&gt;=2,INDEX($E$1:$E$366,ROW()-Parameters!$B$5)*Parameters!$B$4,0)</f>
        <v/>
      </c>
      <c r="E347">
        <f>IF(AND(B347=1,F346&lt;=Parameters!$B$3),1,0)</f>
        <v/>
      </c>
      <c r="F347">
        <f>F346+D347-C347</f>
        <v/>
      </c>
    </row>
    <row r="348">
      <c r="A348" s="1">
        <f>A347+1</f>
        <v/>
      </c>
      <c r="B348">
        <f>WEEKDAY(A348,2)</f>
        <v/>
      </c>
      <c r="C348">
        <f>SUMIFS(Log!$F$2:$F$331,Log!$B$2:$B$331,A348,Log!$E$2:$E$331,Parameters!$B$2,Log!$I$2:$I$331,"&lt;&gt;CAN")</f>
        <v/>
      </c>
      <c r="D348">
        <f>IF(ROW()-Parameters!$B$5&gt;=2,INDEX($E$1:$E$366,ROW()-Parameters!$B$5)*Parameters!$B$4,0)</f>
        <v/>
      </c>
      <c r="E348">
        <f>IF(AND(B348=1,F347&lt;=Parameters!$B$3),1,0)</f>
        <v/>
      </c>
      <c r="F348">
        <f>F347+D348-C348</f>
        <v/>
      </c>
    </row>
    <row r="349">
      <c r="A349" s="1">
        <f>A348+1</f>
        <v/>
      </c>
      <c r="B349">
        <f>WEEKDAY(A349,2)</f>
        <v/>
      </c>
      <c r="C349">
        <f>SUMIFS(Log!$F$2:$F$331,Log!$B$2:$B$331,A349,Log!$E$2:$E$331,Parameters!$B$2,Log!$I$2:$I$331,"&lt;&gt;CAN")</f>
        <v/>
      </c>
      <c r="D349">
        <f>IF(ROW()-Parameters!$B$5&gt;=2,INDEX($E$1:$E$366,ROW()-Parameters!$B$5)*Parameters!$B$4,0)</f>
        <v/>
      </c>
      <c r="E349">
        <f>IF(AND(B349=1,F348&lt;=Parameters!$B$3),1,0)</f>
        <v/>
      </c>
      <c r="F349">
        <f>F348+D349-C349</f>
        <v/>
      </c>
    </row>
    <row r="350">
      <c r="A350" s="1">
        <f>A349+1</f>
        <v/>
      </c>
      <c r="B350">
        <f>WEEKDAY(A350,2)</f>
        <v/>
      </c>
      <c r="C350">
        <f>SUMIFS(Log!$F$2:$F$331,Log!$B$2:$B$331,A350,Log!$E$2:$E$331,Parameters!$B$2,Log!$I$2:$I$331,"&lt;&gt;CAN")</f>
        <v/>
      </c>
      <c r="D350">
        <f>IF(ROW()-Parameters!$B$5&gt;=2,INDEX($E$1:$E$366,ROW()-Parameters!$B$5)*Parameters!$B$4,0)</f>
        <v/>
      </c>
      <c r="E350">
        <f>IF(AND(B350=1,F349&lt;=Parameters!$B$3),1,0)</f>
        <v/>
      </c>
      <c r="F350">
        <f>F349+D350-C350</f>
        <v/>
      </c>
    </row>
    <row r="351">
      <c r="A351" s="1">
        <f>A350+1</f>
        <v/>
      </c>
      <c r="B351">
        <f>WEEKDAY(A351,2)</f>
        <v/>
      </c>
      <c r="C351">
        <f>SUMIFS(Log!$F$2:$F$331,Log!$B$2:$B$331,A351,Log!$E$2:$E$331,Parameters!$B$2,Log!$I$2:$I$331,"&lt;&gt;CAN")</f>
        <v/>
      </c>
      <c r="D351">
        <f>IF(ROW()-Parameters!$B$5&gt;=2,INDEX($E$1:$E$366,ROW()-Parameters!$B$5)*Parameters!$B$4,0)</f>
        <v/>
      </c>
      <c r="E351">
        <f>IF(AND(B351=1,F350&lt;=Parameters!$B$3),1,0)</f>
        <v/>
      </c>
      <c r="F351">
        <f>F350+D351-C351</f>
        <v/>
      </c>
    </row>
    <row r="352">
      <c r="A352" s="1">
        <f>A351+1</f>
        <v/>
      </c>
      <c r="B352">
        <f>WEEKDAY(A352,2)</f>
        <v/>
      </c>
      <c r="C352">
        <f>SUMIFS(Log!$F$2:$F$331,Log!$B$2:$B$331,A352,Log!$E$2:$E$331,Parameters!$B$2,Log!$I$2:$I$331,"&lt;&gt;CAN")</f>
        <v/>
      </c>
      <c r="D352">
        <f>IF(ROW()-Parameters!$B$5&gt;=2,INDEX($E$1:$E$366,ROW()-Parameters!$B$5)*Parameters!$B$4,0)</f>
        <v/>
      </c>
      <c r="E352">
        <f>IF(AND(B352=1,F351&lt;=Parameters!$B$3),1,0)</f>
        <v/>
      </c>
      <c r="F352">
        <f>F351+D352-C352</f>
        <v/>
      </c>
    </row>
    <row r="353">
      <c r="A353" s="1">
        <f>A352+1</f>
        <v/>
      </c>
      <c r="B353">
        <f>WEEKDAY(A353,2)</f>
        <v/>
      </c>
      <c r="C353">
        <f>SUMIFS(Log!$F$2:$F$331,Log!$B$2:$B$331,A353,Log!$E$2:$E$331,Parameters!$B$2,Log!$I$2:$I$331,"&lt;&gt;CAN")</f>
        <v/>
      </c>
      <c r="D353">
        <f>IF(ROW()-Parameters!$B$5&gt;=2,INDEX($E$1:$E$366,ROW()-Parameters!$B$5)*Parameters!$B$4,0)</f>
        <v/>
      </c>
      <c r="E353">
        <f>IF(AND(B353=1,F352&lt;=Parameters!$B$3),1,0)</f>
        <v/>
      </c>
      <c r="F353">
        <f>F352+D353-C353</f>
        <v/>
      </c>
    </row>
    <row r="354">
      <c r="A354" s="1">
        <f>A353+1</f>
        <v/>
      </c>
      <c r="B354">
        <f>WEEKDAY(A354,2)</f>
        <v/>
      </c>
      <c r="C354">
        <f>SUMIFS(Log!$F$2:$F$331,Log!$B$2:$B$331,A354,Log!$E$2:$E$331,Parameters!$B$2,Log!$I$2:$I$331,"&lt;&gt;CAN")</f>
        <v/>
      </c>
      <c r="D354">
        <f>IF(ROW()-Parameters!$B$5&gt;=2,INDEX($E$1:$E$366,ROW()-Parameters!$B$5)*Parameters!$B$4,0)</f>
        <v/>
      </c>
      <c r="E354">
        <f>IF(AND(B354=1,F353&lt;=Parameters!$B$3),1,0)</f>
        <v/>
      </c>
      <c r="F354">
        <f>F353+D354-C354</f>
        <v/>
      </c>
    </row>
    <row r="355">
      <c r="A355" s="1">
        <f>A354+1</f>
        <v/>
      </c>
      <c r="B355">
        <f>WEEKDAY(A355,2)</f>
        <v/>
      </c>
      <c r="C355">
        <f>SUMIFS(Log!$F$2:$F$331,Log!$B$2:$B$331,A355,Log!$E$2:$E$331,Parameters!$B$2,Log!$I$2:$I$331,"&lt;&gt;CAN")</f>
        <v/>
      </c>
      <c r="D355">
        <f>IF(ROW()-Parameters!$B$5&gt;=2,INDEX($E$1:$E$366,ROW()-Parameters!$B$5)*Parameters!$B$4,0)</f>
        <v/>
      </c>
      <c r="E355">
        <f>IF(AND(B355=1,F354&lt;=Parameters!$B$3),1,0)</f>
        <v/>
      </c>
      <c r="F355">
        <f>F354+D355-C355</f>
        <v/>
      </c>
    </row>
    <row r="356">
      <c r="A356" s="1">
        <f>A355+1</f>
        <v/>
      </c>
      <c r="B356">
        <f>WEEKDAY(A356,2)</f>
        <v/>
      </c>
      <c r="C356">
        <f>SUMIFS(Log!$F$2:$F$331,Log!$B$2:$B$331,A356,Log!$E$2:$E$331,Parameters!$B$2,Log!$I$2:$I$331,"&lt;&gt;CAN")</f>
        <v/>
      </c>
      <c r="D356">
        <f>IF(ROW()-Parameters!$B$5&gt;=2,INDEX($E$1:$E$366,ROW()-Parameters!$B$5)*Parameters!$B$4,0)</f>
        <v/>
      </c>
      <c r="E356">
        <f>IF(AND(B356=1,F355&lt;=Parameters!$B$3),1,0)</f>
        <v/>
      </c>
      <c r="F356">
        <f>F355+D356-C356</f>
        <v/>
      </c>
    </row>
    <row r="357">
      <c r="A357" s="1">
        <f>A356+1</f>
        <v/>
      </c>
      <c r="B357">
        <f>WEEKDAY(A357,2)</f>
        <v/>
      </c>
      <c r="C357">
        <f>SUMIFS(Log!$F$2:$F$331,Log!$B$2:$B$331,A357,Log!$E$2:$E$331,Parameters!$B$2,Log!$I$2:$I$331,"&lt;&gt;CAN")</f>
        <v/>
      </c>
      <c r="D357">
        <f>IF(ROW()-Parameters!$B$5&gt;=2,INDEX($E$1:$E$366,ROW()-Parameters!$B$5)*Parameters!$B$4,0)</f>
        <v/>
      </c>
      <c r="E357">
        <f>IF(AND(B357=1,F356&lt;=Parameters!$B$3),1,0)</f>
        <v/>
      </c>
      <c r="F357">
        <f>F356+D357-C357</f>
        <v/>
      </c>
    </row>
    <row r="358">
      <c r="A358" s="1">
        <f>A357+1</f>
        <v/>
      </c>
      <c r="B358">
        <f>WEEKDAY(A358,2)</f>
        <v/>
      </c>
      <c r="C358">
        <f>SUMIFS(Log!$F$2:$F$331,Log!$B$2:$B$331,A358,Log!$E$2:$E$331,Parameters!$B$2,Log!$I$2:$I$331,"&lt;&gt;CAN")</f>
        <v/>
      </c>
      <c r="D358">
        <f>IF(ROW()-Parameters!$B$5&gt;=2,INDEX($E$1:$E$366,ROW()-Parameters!$B$5)*Parameters!$B$4,0)</f>
        <v/>
      </c>
      <c r="E358">
        <f>IF(AND(B358=1,F357&lt;=Parameters!$B$3),1,0)</f>
        <v/>
      </c>
      <c r="F358">
        <f>F357+D358-C358</f>
        <v/>
      </c>
    </row>
    <row r="359">
      <c r="A359" s="1">
        <f>A358+1</f>
        <v/>
      </c>
      <c r="B359">
        <f>WEEKDAY(A359,2)</f>
        <v/>
      </c>
      <c r="C359">
        <f>SUMIFS(Log!$F$2:$F$331,Log!$B$2:$B$331,A359,Log!$E$2:$E$331,Parameters!$B$2,Log!$I$2:$I$331,"&lt;&gt;CAN")</f>
        <v/>
      </c>
      <c r="D359">
        <f>IF(ROW()-Parameters!$B$5&gt;=2,INDEX($E$1:$E$366,ROW()-Parameters!$B$5)*Parameters!$B$4,0)</f>
        <v/>
      </c>
      <c r="E359">
        <f>IF(AND(B359=1,F358&lt;=Parameters!$B$3),1,0)</f>
        <v/>
      </c>
      <c r="F359">
        <f>F358+D359-C359</f>
        <v/>
      </c>
    </row>
    <row r="360">
      <c r="A360" s="1">
        <f>A359+1</f>
        <v/>
      </c>
      <c r="B360">
        <f>WEEKDAY(A360,2)</f>
        <v/>
      </c>
      <c r="C360">
        <f>SUMIFS(Log!$F$2:$F$331,Log!$B$2:$B$331,A360,Log!$E$2:$E$331,Parameters!$B$2,Log!$I$2:$I$331,"&lt;&gt;CAN")</f>
        <v/>
      </c>
      <c r="D360">
        <f>IF(ROW()-Parameters!$B$5&gt;=2,INDEX($E$1:$E$366,ROW()-Parameters!$B$5)*Parameters!$B$4,0)</f>
        <v/>
      </c>
      <c r="E360">
        <f>IF(AND(B360=1,F359&lt;=Parameters!$B$3),1,0)</f>
        <v/>
      </c>
      <c r="F360">
        <f>F359+D360-C360</f>
        <v/>
      </c>
    </row>
    <row r="361">
      <c r="A361" s="1">
        <f>A360+1</f>
        <v/>
      </c>
      <c r="B361">
        <f>WEEKDAY(A361,2)</f>
        <v/>
      </c>
      <c r="C361">
        <f>SUMIFS(Log!$F$2:$F$331,Log!$B$2:$B$331,A361,Log!$E$2:$E$331,Parameters!$B$2,Log!$I$2:$I$331,"&lt;&gt;CAN")</f>
        <v/>
      </c>
      <c r="D361">
        <f>IF(ROW()-Parameters!$B$5&gt;=2,INDEX($E$1:$E$366,ROW()-Parameters!$B$5)*Parameters!$B$4,0)</f>
        <v/>
      </c>
      <c r="E361">
        <f>IF(AND(B361=1,F360&lt;=Parameters!$B$3),1,0)</f>
        <v/>
      </c>
      <c r="F361">
        <f>F360+D361-C361</f>
        <v/>
      </c>
    </row>
    <row r="362">
      <c r="A362" s="1">
        <f>A361+1</f>
        <v/>
      </c>
      <c r="B362">
        <f>WEEKDAY(A362,2)</f>
        <v/>
      </c>
      <c r="C362">
        <f>SUMIFS(Log!$F$2:$F$331,Log!$B$2:$B$331,A362,Log!$E$2:$E$331,Parameters!$B$2,Log!$I$2:$I$331,"&lt;&gt;CAN")</f>
        <v/>
      </c>
      <c r="D362">
        <f>IF(ROW()-Parameters!$B$5&gt;=2,INDEX($E$1:$E$366,ROW()-Parameters!$B$5)*Parameters!$B$4,0)</f>
        <v/>
      </c>
      <c r="E362">
        <f>IF(AND(B362=1,F361&lt;=Parameters!$B$3),1,0)</f>
        <v/>
      </c>
      <c r="F362">
        <f>F361+D362-C362</f>
        <v/>
      </c>
    </row>
    <row r="363">
      <c r="A363" s="1">
        <f>A362+1</f>
        <v/>
      </c>
      <c r="B363">
        <f>WEEKDAY(A363,2)</f>
        <v/>
      </c>
      <c r="C363">
        <f>SUMIFS(Log!$F$2:$F$331,Log!$B$2:$B$331,A363,Log!$E$2:$E$331,Parameters!$B$2,Log!$I$2:$I$331,"&lt;&gt;CAN")</f>
        <v/>
      </c>
      <c r="D363">
        <f>IF(ROW()-Parameters!$B$5&gt;=2,INDEX($E$1:$E$366,ROW()-Parameters!$B$5)*Parameters!$B$4,0)</f>
        <v/>
      </c>
      <c r="E363">
        <f>IF(AND(B363=1,F362&lt;=Parameters!$B$3),1,0)</f>
        <v/>
      </c>
      <c r="F363">
        <f>F362+D363-C363</f>
        <v/>
      </c>
    </row>
    <row r="364">
      <c r="A364" s="1">
        <f>A363+1</f>
        <v/>
      </c>
      <c r="B364">
        <f>WEEKDAY(A364,2)</f>
        <v/>
      </c>
      <c r="C364">
        <f>SUMIFS(Log!$F$2:$F$331,Log!$B$2:$B$331,A364,Log!$E$2:$E$331,Parameters!$B$2,Log!$I$2:$I$331,"&lt;&gt;CAN")</f>
        <v/>
      </c>
      <c r="D364">
        <f>IF(ROW()-Parameters!$B$5&gt;=2,INDEX($E$1:$E$366,ROW()-Parameters!$B$5)*Parameters!$B$4,0)</f>
        <v/>
      </c>
      <c r="E364">
        <f>IF(AND(B364=1,F363&lt;=Parameters!$B$3),1,0)</f>
        <v/>
      </c>
      <c r="F364">
        <f>F363+D364-C364</f>
        <v/>
      </c>
    </row>
    <row r="365">
      <c r="A365" s="1">
        <f>A364+1</f>
        <v/>
      </c>
      <c r="B365">
        <f>WEEKDAY(A365,2)</f>
        <v/>
      </c>
      <c r="C365">
        <f>SUMIFS(Log!$F$2:$F$331,Log!$B$2:$B$331,A365,Log!$E$2:$E$331,Parameters!$B$2,Log!$I$2:$I$331,"&lt;&gt;CAN")</f>
        <v/>
      </c>
      <c r="D365">
        <f>IF(ROW()-Parameters!$B$5&gt;=2,INDEX($E$1:$E$366,ROW()-Parameters!$B$5)*Parameters!$B$4,0)</f>
        <v/>
      </c>
      <c r="E365">
        <f>IF(AND(B365=1,F364&lt;=Parameters!$B$3),1,0)</f>
        <v/>
      </c>
      <c r="F365">
        <f>F364+D365-C365</f>
        <v/>
      </c>
    </row>
    <row r="366">
      <c r="A366" s="1">
        <f>A365+1</f>
        <v/>
      </c>
      <c r="B366">
        <f>WEEKDAY(A366,2)</f>
        <v/>
      </c>
      <c r="C366">
        <f>SUMIFS(Log!$F$2:$F$331,Log!$B$2:$B$331,A366,Log!$E$2:$E$331,Parameters!$B$2,Log!$I$2:$I$331,"&lt;&gt;CAN")</f>
        <v/>
      </c>
      <c r="D366">
        <f>IF(ROW()-Parameters!$B$5&gt;=2,INDEX($E$1:$E$366,ROW()-Parameters!$B$5)*Parameters!$B$4,0)</f>
        <v/>
      </c>
      <c r="E366">
        <f>IF(AND(B366=1,F365&lt;=Parameters!$B$3),1,0)</f>
        <v/>
      </c>
      <c r="F366">
        <f>F365+D366-C366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L1a total units, non-cancelled</t>
        </is>
      </c>
      <c r="B1">
        <f>SUMIFS(Log!F2:F331,Log!I2:I331,"&lt;&gt;CAN")</f>
        <v/>
      </c>
    </row>
    <row r="2">
      <c r="A2" t="inlineStr">
        <is>
          <t>L1b units of product 101 (compare each product)</t>
        </is>
      </c>
      <c r="B2">
        <f>SUMIFS(Log!F2:F331,Log!E2:E331,101,Log!I2:I331,"&lt;&gt;CAN")</f>
        <v/>
      </c>
    </row>
    <row r="3">
      <c r="A3" t="inlineStr">
        <is>
          <t>L1c units of 101 bought by C0012</t>
        </is>
      </c>
      <c r="B3">
        <f>SUMIFS(Log!F2:F331,Log!E2:E331,101,Log!D2:D331,"0012",Log!I2:I331,"&lt;&gt;CAN")</f>
        <v/>
      </c>
    </row>
    <row r="4">
      <c r="A4" t="inlineStr">
        <is>
          <t>POs placed</t>
        </is>
      </c>
      <c r="B4">
        <f>SUM(Model!E2:E366)</f>
        <v/>
      </c>
    </row>
    <row r="5">
      <c r="A5" t="inlineStr">
        <is>
          <t>lowest closing</t>
        </is>
      </c>
      <c r="B5">
        <f>MIN(Model!F2:F366)</f>
        <v/>
      </c>
    </row>
    <row r="6">
      <c r="A6" t="inlineStr">
        <is>
          <t>date of lowest</t>
        </is>
      </c>
      <c r="B6">
        <f>INDEX(Model!A2:A366,MATCH(MIN(Model!F2:F366),Model!F2:F366,0))</f>
        <v/>
      </c>
    </row>
    <row r="7">
      <c r="A7" t="inlineStr">
        <is>
          <t>negative days</t>
        </is>
      </c>
      <c r="B7">
        <f>COUNTIF(Model!F2:F366,"&lt;0")</f>
        <v/>
      </c>
    </row>
    <row r="8">
      <c r="A8" t="inlineStr">
        <is>
          <t>31 Dec closing</t>
        </is>
      </c>
      <c r="B8">
        <f>Model!F366</f>
        <v/>
      </c>
    </row>
    <row r="9">
      <c r="A9" t="inlineStr">
        <is>
          <t>holding cost</t>
        </is>
      </c>
      <c r="B9">
        <f>SUMIF(Model!F2:F366,"&gt;0")*Parameters!B6</f>
        <v/>
      </c>
    </row>
    <row r="10">
      <c r="A10" t="inlineStr">
        <is>
          <t>shortage cost</t>
        </is>
      </c>
      <c r="B10">
        <f>-SUMIF(Model!F2:F366,"&lt;0")*Parameters!B7</f>
        <v/>
      </c>
    </row>
    <row r="11">
      <c r="A11" t="inlineStr">
        <is>
          <t>ordering cost</t>
        </is>
      </c>
      <c r="B11">
        <f>B4*Parameters!B8</f>
        <v/>
      </c>
    </row>
    <row r="12">
      <c r="A12" t="inlineStr">
        <is>
          <t>total cost</t>
        </is>
      </c>
      <c r="B12">
        <f>B9+B10+B11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2026-09-17T03:01:31Z</dcterms:created>
  <dcterms:modified xmlns:dcterms="http://purl.org/dc/terms/" xmlns:xsi="http://www.w3.org/2001/XMLSchema-instance" xsi:type="dcterms:W3CDTF">2026-09-17T03:01:31Z</dcterms:modified>
</cp:coreProperties>
</file>