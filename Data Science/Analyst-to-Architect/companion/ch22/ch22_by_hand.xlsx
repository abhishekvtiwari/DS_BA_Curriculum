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" sheetId="1" state="visible" r:id="rId1"/>
    <sheet name="SampleSize" sheetId="2" state="visible" r:id="rId2"/>
    <sheet name="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A survey: 400 customers, 62% satisfied</t>
        </is>
      </c>
    </row>
    <row r="2">
      <c r="A2" t="inlineStr">
        <is>
          <t>n</t>
        </is>
      </c>
      <c r="B2" t="n">
        <v>400</v>
      </c>
    </row>
    <row r="3">
      <c r="A3" t="inlineStr">
        <is>
          <t>p-hat</t>
        </is>
      </c>
      <c r="B3" t="n">
        <v>0.62</v>
      </c>
    </row>
    <row r="4">
      <c r="A4" t="inlineStr">
        <is>
          <t>standard error</t>
        </is>
      </c>
      <c r="B4">
        <f>SQRT(B3*(1-B3)/B2)</f>
        <v/>
      </c>
    </row>
    <row r="5">
      <c r="A5" t="inlineStr">
        <is>
          <t>z for 95%</t>
        </is>
      </c>
      <c r="B5">
        <f>_xlfn.NORM.S.INV(0.975)</f>
        <v/>
      </c>
    </row>
    <row r="6">
      <c r="A6" t="inlineStr">
        <is>
          <t>margin</t>
        </is>
      </c>
      <c r="B6">
        <f>B5*B4</f>
        <v/>
      </c>
    </row>
    <row r="7">
      <c r="A7" t="inlineStr">
        <is>
          <t>lower</t>
        </is>
      </c>
      <c r="B7">
        <f>B3-B6</f>
        <v/>
      </c>
    </row>
    <row r="8">
      <c r="A8" t="inlineStr">
        <is>
          <t>upper</t>
        </is>
      </c>
      <c r="B8">
        <f>B3+B6</f>
        <v/>
      </c>
    </row>
    <row r="9"/>
    <row r="10">
      <c r="A10" s="1" t="inlineStr">
        <is>
          <t>A mean: 200 orders, standard deviation 17,862</t>
        </is>
      </c>
    </row>
    <row r="11">
      <c r="A11" t="inlineStr">
        <is>
          <t>n</t>
        </is>
      </c>
      <c r="B11" t="n">
        <v>200</v>
      </c>
    </row>
    <row r="12">
      <c r="A12" t="inlineStr">
        <is>
          <t>standard deviation</t>
        </is>
      </c>
      <c r="B12" t="n">
        <v>17862</v>
      </c>
    </row>
    <row r="13">
      <c r="A13" t="inlineStr">
        <is>
          <t>margin, normal multiplier</t>
        </is>
      </c>
      <c r="B13">
        <f>_xlfn.CONFIDENCE.NORM(0.05,B12,B11)</f>
        <v/>
      </c>
    </row>
    <row r="14">
      <c r="A14" t="inlineStr">
        <is>
          <t>margin, t multiplier</t>
        </is>
      </c>
      <c r="B14">
        <f>_xlfn.CONFIDENCE.T(0.05,B12,B11)</f>
        <v/>
      </c>
    </row>
    <row r="15">
      <c r="A15" t="inlineStr">
        <is>
          <t>t multiplier</t>
        </is>
      </c>
      <c r="B15">
        <f>_xlfn.T.INV.2T(0.05,B11-1)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Open rate 24% -&gt; 27%, alpha 0.05 two-sided, power 0.80</t>
        </is>
      </c>
    </row>
    <row r="2">
      <c r="A2" t="inlineStr">
        <is>
          <t>p1</t>
        </is>
      </c>
      <c r="B2" t="n">
        <v>0.24</v>
      </c>
    </row>
    <row r="3">
      <c r="A3" t="inlineStr">
        <is>
          <t>p2</t>
        </is>
      </c>
      <c r="B3" t="n">
        <v>0.27</v>
      </c>
    </row>
    <row r="4">
      <c r="A4" t="inlineStr">
        <is>
          <t>p-bar</t>
        </is>
      </c>
      <c r="B4">
        <f>(B2+B3)/2</f>
        <v/>
      </c>
    </row>
    <row r="5">
      <c r="A5" t="inlineStr">
        <is>
          <t>z alpha/2</t>
        </is>
      </c>
      <c r="B5">
        <f>_xlfn.NORM.S.INV(0.975)</f>
        <v/>
      </c>
    </row>
    <row r="6">
      <c r="A6" t="inlineStr">
        <is>
          <t>z beta</t>
        </is>
      </c>
      <c r="B6">
        <f>_xlfn.NORM.S.INV(0.8)</f>
        <v/>
      </c>
    </row>
    <row r="7">
      <c r="A7" t="inlineStr">
        <is>
          <t>n per variant</t>
        </is>
      </c>
      <c r="B7">
        <f>ROUNDUP((B5*SQRT(2*B4*(1-B4))+B6*SQRT(B2*(1-B2)+B3*(1-B3)))^2/(B3-B2)^2,0)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6" max="6"/>
  </cols>
  <sheetData>
    <row r="1">
      <c r="A1" s="1" t="inlineStr">
        <is>
          <t>orders (x)</t>
        </is>
      </c>
      <c r="B1" s="1" t="inlineStr">
        <is>
          <t>revenue, Rs thousand (y)</t>
        </is>
      </c>
      <c r="C1" s="1" t="inlineStr">
        <is>
          <t>fitted</t>
        </is>
      </c>
      <c r="D1" s="1" t="inlineStr">
        <is>
          <t>residual</t>
        </is>
      </c>
      <c r="F1" t="inlineStr">
        <is>
          <t>slope</t>
        </is>
      </c>
      <c r="G1">
        <f>SLOPE(B2:B7,A2:A7)</f>
        <v/>
      </c>
    </row>
    <row r="2">
      <c r="A2" t="n">
        <v>2</v>
      </c>
      <c r="B2" t="n">
        <v>55</v>
      </c>
      <c r="C2">
        <f>$G$2+$G$1*A2</f>
        <v/>
      </c>
      <c r="D2">
        <f>B2-C2</f>
        <v/>
      </c>
      <c r="F2" t="inlineStr">
        <is>
          <t>intercept</t>
        </is>
      </c>
      <c r="G2">
        <f>INTERCEPT(B2:B7,A2:A7)</f>
        <v/>
      </c>
    </row>
    <row r="3">
      <c r="A3" t="n">
        <v>4</v>
      </c>
      <c r="B3" t="n">
        <v>90</v>
      </c>
      <c r="C3">
        <f>$G$2+$G$1*A3</f>
        <v/>
      </c>
      <c r="D3">
        <f>B3-C3</f>
        <v/>
      </c>
      <c r="F3" t="inlineStr">
        <is>
          <t>R squared</t>
        </is>
      </c>
      <c r="G3">
        <f>RSQ(B2:B7,A2:A7)</f>
        <v/>
      </c>
    </row>
    <row r="4">
      <c r="A4" t="n">
        <v>5</v>
      </c>
      <c r="B4" t="n">
        <v>140</v>
      </c>
      <c r="C4">
        <f>$G$2+$G$1*A4</f>
        <v/>
      </c>
      <c r="D4">
        <f>B4-C4</f>
        <v/>
      </c>
      <c r="F4" t="inlineStr">
        <is>
          <t>correlation</t>
        </is>
      </c>
      <c r="G4">
        <f>CORREL(A2:A7,B2:B7)</f>
        <v/>
      </c>
    </row>
    <row r="5">
      <c r="A5" t="n">
        <v>7</v>
      </c>
      <c r="B5" t="n">
        <v>160</v>
      </c>
      <c r="C5">
        <f>$G$2+$G$1*A5</f>
        <v/>
      </c>
      <c r="D5">
        <f>B5-C5</f>
        <v/>
      </c>
      <c r="F5" t="inlineStr">
        <is>
          <t>prediction at 10 orders</t>
        </is>
      </c>
      <c r="G5">
        <f>_xlfn.FORECAST.LINEAR(10,B2:B7,A2:A7)</f>
        <v/>
      </c>
    </row>
    <row r="6">
      <c r="A6" t="n">
        <v>9</v>
      </c>
      <c r="B6" t="n">
        <v>230</v>
      </c>
      <c r="C6">
        <f>$G$2+$G$1*A6</f>
        <v/>
      </c>
      <c r="D6">
        <f>B6-C6</f>
        <v/>
      </c>
    </row>
    <row r="7">
      <c r="A7" t="n">
        <v>12</v>
      </c>
      <c r="B7" t="n">
        <v>290</v>
      </c>
      <c r="C7">
        <f>$G$2+$G$1*A7</f>
        <v/>
      </c>
      <c r="D7">
        <f>B7-C7</f>
        <v/>
      </c>
    </row>
    <row r="8">
      <c r="A8" t="inlineStr">
        <is>
          <t>sum of residuals</t>
        </is>
      </c>
      <c r="D8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2026-09-28T18:33:02Z</dcterms:created>
  <dcterms:modified xsi:type="dcterms:W3CDTF">2026-09-28T18:33:02Z</dcterms:modified>
</cp:coreProperties>
</file>