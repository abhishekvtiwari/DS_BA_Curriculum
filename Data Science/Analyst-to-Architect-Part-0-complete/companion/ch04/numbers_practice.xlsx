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iscounts" sheetId="3" state="visible" r:id="rId3"/>
    <sheet xmlns:r="http://schemas.openxmlformats.org/officeDocument/2006/relationships" name="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product_cost</t>
        </is>
      </c>
      <c r="D1" s="1" t="inlineStr">
        <is>
          <t>target</t>
        </is>
      </c>
      <c r="E1" s="1" t="inlineStr">
        <is>
          <t>gross_margin_pct</t>
        </is>
      </c>
      <c r="F1" s="1" t="inlineStr">
        <is>
          <t>pct_change</t>
        </is>
      </c>
      <c r="G1" s="1" t="inlineStr">
        <is>
          <t>margin_change_points</t>
        </is>
      </c>
      <c r="H1" s="1" t="inlineStr">
        <is>
          <t>pct_of_target</t>
        </is>
      </c>
    </row>
    <row r="2">
      <c r="A2" t="inlineStr">
        <is>
          <t>2025-01</t>
        </is>
      </c>
      <c r="B2" t="n">
        <v>202640</v>
      </c>
      <c r="C2" t="n">
        <v>143500</v>
      </c>
      <c r="D2" t="n">
        <v>300000</v>
      </c>
      <c r="E2">
        <f>(B2-C2)/B2</f>
        <v/>
      </c>
      <c r="H2">
        <f>B2/D2</f>
        <v/>
      </c>
    </row>
    <row r="3">
      <c r="A3" t="inlineStr">
        <is>
          <t>2025-02</t>
        </is>
      </c>
      <c r="B3" t="n">
        <v>253664</v>
      </c>
      <c r="C3" t="n">
        <v>187600</v>
      </c>
      <c r="D3" t="n">
        <v>300000</v>
      </c>
      <c r="E3">
        <f>(B3-C3)/B3</f>
        <v/>
      </c>
      <c r="F3">
        <f>(B3-B2)/B2</f>
        <v/>
      </c>
      <c r="G3">
        <f>(E3-E2)*100</f>
        <v/>
      </c>
      <c r="H3">
        <f>B3/D3</f>
        <v/>
      </c>
    </row>
    <row r="4">
      <c r="A4" t="inlineStr">
        <is>
          <t>2025-03</t>
        </is>
      </c>
      <c r="B4" t="n">
        <v>278007.5</v>
      </c>
      <c r="C4" t="n">
        <v>205100</v>
      </c>
      <c r="D4" t="n">
        <v>320000</v>
      </c>
      <c r="E4">
        <f>(B4-C4)/B4</f>
        <v/>
      </c>
      <c r="F4">
        <f>(B4-B3)/B3</f>
        <v/>
      </c>
      <c r="G4">
        <f>(E4-E3)*100</f>
        <v/>
      </c>
      <c r="H4">
        <f>B4/D4</f>
        <v/>
      </c>
    </row>
    <row r="5">
      <c r="A5" t="inlineStr">
        <is>
          <t>2025-04</t>
        </is>
      </c>
      <c r="B5" t="n">
        <v>210281.5</v>
      </c>
      <c r="C5" t="n">
        <v>144950</v>
      </c>
      <c r="D5" t="n">
        <v>320000</v>
      </c>
      <c r="E5">
        <f>(B5-C5)/B5</f>
        <v/>
      </c>
      <c r="F5">
        <f>(B5-B4)/B4</f>
        <v/>
      </c>
      <c r="G5">
        <f>(E5-E4)*100</f>
        <v/>
      </c>
      <c r="H5">
        <f>B5/D5</f>
        <v/>
      </c>
    </row>
    <row r="6">
      <c r="A6" t="inlineStr">
        <is>
          <t>2025-05</t>
        </is>
      </c>
      <c r="B6" t="n">
        <v>329358.75</v>
      </c>
      <c r="C6" t="n">
        <v>248850</v>
      </c>
      <c r="D6" t="n">
        <v>320000</v>
      </c>
      <c r="E6">
        <f>(B6-C6)/B6</f>
        <v/>
      </c>
      <c r="F6">
        <f>(B6-B5)/B5</f>
        <v/>
      </c>
      <c r="G6">
        <f>(E6-E5)*100</f>
        <v/>
      </c>
      <c r="H6">
        <f>B6/D6</f>
        <v/>
      </c>
    </row>
    <row r="7">
      <c r="A7" t="inlineStr">
        <is>
          <t>2025-06</t>
        </is>
      </c>
      <c r="B7" t="n">
        <v>186928</v>
      </c>
      <c r="C7" t="n">
        <v>140050</v>
      </c>
      <c r="D7" t="n">
        <v>300000</v>
      </c>
      <c r="E7">
        <f>(B7-C7)/B7</f>
        <v/>
      </c>
      <c r="F7">
        <f>(B7-B6)/B6</f>
        <v/>
      </c>
      <c r="G7">
        <f>(E7-E6)*100</f>
        <v/>
      </c>
      <c r="H7">
        <f>B7/D7</f>
        <v/>
      </c>
    </row>
    <row r="8">
      <c r="A8" t="inlineStr">
        <is>
          <t>2025-07</t>
        </is>
      </c>
      <c r="B8" t="n">
        <v>232692.25</v>
      </c>
      <c r="C8" t="n">
        <v>169100</v>
      </c>
      <c r="D8" t="n">
        <v>280000</v>
      </c>
      <c r="E8">
        <f>(B8-C8)/B8</f>
        <v/>
      </c>
      <c r="F8">
        <f>(B8-B7)/B7</f>
        <v/>
      </c>
      <c r="G8">
        <f>(E8-E7)*100</f>
        <v/>
      </c>
      <c r="H8">
        <f>B8/D8</f>
        <v/>
      </c>
    </row>
    <row r="9">
      <c r="A9" t="inlineStr">
        <is>
          <t>2025-08</t>
        </is>
      </c>
      <c r="B9" t="n">
        <v>329282</v>
      </c>
      <c r="C9" t="n">
        <v>245450</v>
      </c>
      <c r="D9" t="n">
        <v>320000</v>
      </c>
      <c r="E9">
        <f>(B9-C9)/B9</f>
        <v/>
      </c>
      <c r="F9">
        <f>(B9-B8)/B8</f>
        <v/>
      </c>
      <c r="G9">
        <f>(E9-E8)*100</f>
        <v/>
      </c>
      <c r="H9">
        <f>B9/D9</f>
        <v/>
      </c>
    </row>
    <row r="10">
      <c r="A10" t="inlineStr">
        <is>
          <t>2025-09</t>
        </is>
      </c>
      <c r="B10" t="n">
        <v>558314.75</v>
      </c>
      <c r="C10" t="n">
        <v>417850</v>
      </c>
      <c r="D10" t="n">
        <v>380000</v>
      </c>
      <c r="E10">
        <f>(B10-C10)/B10</f>
        <v/>
      </c>
      <c r="F10">
        <f>(B10-B9)/B9</f>
        <v/>
      </c>
      <c r="G10">
        <f>(E10-E9)*100</f>
        <v/>
      </c>
      <c r="H10">
        <f>B10/D10</f>
        <v/>
      </c>
    </row>
    <row r="11">
      <c r="A11" t="inlineStr">
        <is>
          <t>2025-10</t>
        </is>
      </c>
      <c r="B11" t="n">
        <v>681070.75</v>
      </c>
      <c r="C11" t="n">
        <v>490950</v>
      </c>
      <c r="D11" t="n">
        <v>520000</v>
      </c>
      <c r="E11">
        <f>(B11-C11)/B11</f>
        <v/>
      </c>
      <c r="F11">
        <f>(B11-B10)/B10</f>
        <v/>
      </c>
      <c r="G11">
        <f>(E11-E10)*100</f>
        <v/>
      </c>
      <c r="H11">
        <f>B11/D11</f>
        <v/>
      </c>
    </row>
    <row r="12">
      <c r="A12" t="inlineStr">
        <is>
          <t>2025-11</t>
        </is>
      </c>
      <c r="B12" t="n">
        <v>633408</v>
      </c>
      <c r="C12" t="n">
        <v>481400</v>
      </c>
      <c r="D12" t="n">
        <v>500000</v>
      </c>
      <c r="E12">
        <f>(B12-C12)/B12</f>
        <v/>
      </c>
      <c r="F12">
        <f>(B12-B11)/B11</f>
        <v/>
      </c>
      <c r="G12">
        <f>(E12-E11)*100</f>
        <v/>
      </c>
      <c r="H12">
        <f>B12/D12</f>
        <v/>
      </c>
    </row>
    <row r="13">
      <c r="A13" t="inlineStr">
        <is>
          <t>2025-12</t>
        </is>
      </c>
      <c r="B13" t="n">
        <v>439823.5</v>
      </c>
      <c r="C13" t="n">
        <v>323450</v>
      </c>
      <c r="D13" t="n">
        <v>380000</v>
      </c>
      <c r="E13">
        <f>(B13-C13)/B13</f>
        <v/>
      </c>
      <c r="F13">
        <f>(B13-B12)/B12</f>
        <v/>
      </c>
      <c r="G13">
        <f>(E13-E12)*100</f>
        <v/>
      </c>
      <c r="H13">
        <f>B13/D13</f>
        <v/>
      </c>
    </row>
    <row r="15">
      <c r="A15" t="inlineStr">
        <is>
          <t>total</t>
        </is>
      </c>
      <c r="B15">
        <f>SUM(B2:B13)</f>
        <v/>
      </c>
      <c r="D15">
        <f>SUM(D2:D13)</f>
        <v/>
      </c>
      <c r="H15">
        <f>B15/D15</f>
        <v/>
      </c>
    </row>
    <row r="17">
      <c r="A17" t="inlineStr">
        <is>
          <t>average of monthly % changes</t>
        </is>
      </c>
      <c r="F17">
        <f>AVERAGE(F3:F13)</f>
        <v/>
      </c>
    </row>
    <row r="18">
      <c r="A18" t="inlineStr">
        <is>
          <t>compound monthly growth, Jan to Dec</t>
        </is>
      </c>
      <c r="F18">
        <f>(B13/B2)^(1/11)-1</f>
        <v/>
      </c>
    </row>
    <row r="19">
      <c r="A19" t="inlineStr">
        <is>
          <t>same, with RRI</t>
        </is>
      </c>
      <c r="F19">
        <f>_xlfn.RRI(11,B2,B13)</f>
        <v/>
      </c>
    </row>
    <row r="21">
      <c r="A21" t="inlineStr">
        <is>
          <t>CAGR needed: 4,335,471 to 6,000,000 in 3 years</t>
        </is>
      </c>
      <c r="F21">
        <f>(6000000/4335471)^(1/3)-1</f>
        <v/>
      </c>
    </row>
    <row r="22">
      <c r="A22" t="inlineStr">
        <is>
          <t>same, with RRI</t>
        </is>
      </c>
      <c r="F22">
        <f>_xlfn.RRI(3,4335471,6000000)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order_value</t>
        </is>
      </c>
      <c r="C1" s="1" t="n"/>
      <c r="D1" s="1" t="inlineStr">
        <is>
          <t>mean</t>
        </is>
      </c>
      <c r="E1" s="1">
        <f>AVERAGE(B2:B174)</f>
        <v/>
      </c>
    </row>
    <row r="2">
      <c r="A2" t="n">
        <v>10001</v>
      </c>
      <c r="B2" t="n">
        <v>2900</v>
      </c>
      <c r="D2" t="inlineStr">
        <is>
          <t>median</t>
        </is>
      </c>
      <c r="E2">
        <f>MEDIAN(B2:B174)</f>
        <v/>
      </c>
    </row>
    <row r="3">
      <c r="A3" t="n">
        <v>10002</v>
      </c>
      <c r="B3" t="n">
        <v>20900</v>
      </c>
      <c r="D3" t="inlineStr">
        <is>
          <t>orders above the mean</t>
        </is>
      </c>
      <c r="E3">
        <f>COUNTIF(B2:B174,"&gt;"&amp;E1)</f>
        <v/>
      </c>
    </row>
    <row r="4">
      <c r="A4" t="n">
        <v>10003</v>
      </c>
      <c r="B4" t="n">
        <v>45712.5</v>
      </c>
      <c r="D4" t="inlineStr">
        <is>
          <t>count</t>
        </is>
      </c>
      <c r="E4">
        <f>COUNT(B2:B174)</f>
        <v/>
      </c>
    </row>
    <row r="5">
      <c r="A5" t="n">
        <v>10004</v>
      </c>
      <c r="B5" t="n">
        <v>27887.5</v>
      </c>
    </row>
    <row r="6">
      <c r="A6" t="n">
        <v>10005</v>
      </c>
      <c r="B6" t="n">
        <v>6127.5</v>
      </c>
    </row>
    <row r="7">
      <c r="A7" t="n">
        <v>10006</v>
      </c>
      <c r="B7" t="n">
        <v>17812.5</v>
      </c>
    </row>
    <row r="8">
      <c r="A8" t="n">
        <v>10007</v>
      </c>
      <c r="B8" t="n">
        <v>40150</v>
      </c>
    </row>
    <row r="9">
      <c r="A9" t="n">
        <v>10008</v>
      </c>
      <c r="B9" t="n">
        <v>41150</v>
      </c>
    </row>
    <row r="10">
      <c r="A10" t="n">
        <v>10009</v>
      </c>
      <c r="B10" t="n">
        <v>34275</v>
      </c>
    </row>
    <row r="11">
      <c r="A11" t="n">
        <v>10010</v>
      </c>
      <c r="B11" t="n">
        <v>31450</v>
      </c>
    </row>
    <row r="12">
      <c r="A12" t="n">
        <v>10011</v>
      </c>
      <c r="B12" t="n">
        <v>30415</v>
      </c>
    </row>
    <row r="13">
      <c r="A13" t="n">
        <v>10012</v>
      </c>
      <c r="B13" t="n">
        <v>60300</v>
      </c>
    </row>
    <row r="14">
      <c r="A14" t="n">
        <v>10013</v>
      </c>
      <c r="B14" t="n">
        <v>20259</v>
      </c>
    </row>
    <row r="15">
      <c r="A15" t="n">
        <v>10014</v>
      </c>
      <c r="B15" t="n">
        <v>17250</v>
      </c>
    </row>
    <row r="16">
      <c r="A16" t="n">
        <v>10015</v>
      </c>
      <c r="B16" t="n">
        <v>5800</v>
      </c>
    </row>
    <row r="17">
      <c r="A17" t="n">
        <v>10016</v>
      </c>
      <c r="B17" t="n">
        <v>24912.5</v>
      </c>
    </row>
    <row r="18">
      <c r="A18" t="n">
        <v>10017</v>
      </c>
      <c r="B18" t="n">
        <v>14440</v>
      </c>
    </row>
    <row r="19">
      <c r="A19" t="n">
        <v>10018</v>
      </c>
      <c r="B19" t="n">
        <v>14562.5</v>
      </c>
    </row>
    <row r="20">
      <c r="A20" t="n">
        <v>10019</v>
      </c>
      <c r="B20" t="n">
        <v>17235</v>
      </c>
    </row>
    <row r="21">
      <c r="A21" t="n">
        <v>10020</v>
      </c>
      <c r="B21" t="n">
        <v>47527.5</v>
      </c>
    </row>
    <row r="22">
      <c r="A22" t="n">
        <v>10021</v>
      </c>
      <c r="B22" t="n">
        <v>9300</v>
      </c>
    </row>
    <row r="23">
      <c r="A23" t="n">
        <v>10022</v>
      </c>
      <c r="B23" t="n">
        <v>39450</v>
      </c>
    </row>
    <row r="24">
      <c r="A24" t="n">
        <v>10023</v>
      </c>
      <c r="B24" t="n">
        <v>2900</v>
      </c>
    </row>
    <row r="25">
      <c r="A25" t="n">
        <v>10024</v>
      </c>
      <c r="B25" t="n">
        <v>27795</v>
      </c>
    </row>
    <row r="26">
      <c r="A26" t="n">
        <v>10025</v>
      </c>
      <c r="B26" t="n">
        <v>21375</v>
      </c>
    </row>
    <row r="27">
      <c r="A27" t="n">
        <v>10026</v>
      </c>
      <c r="B27" t="n">
        <v>40750</v>
      </c>
    </row>
    <row r="28">
      <c r="A28" t="n">
        <v>10027</v>
      </c>
      <c r="B28" t="n">
        <v>11600</v>
      </c>
    </row>
    <row r="29">
      <c r="A29" t="n">
        <v>10028</v>
      </c>
      <c r="B29" t="n">
        <v>24937.5</v>
      </c>
    </row>
    <row r="30">
      <c r="A30" t="n">
        <v>10029</v>
      </c>
      <c r="B30" t="n">
        <v>35137.5</v>
      </c>
    </row>
    <row r="31">
      <c r="A31" t="n">
        <v>10030</v>
      </c>
      <c r="B31" t="n">
        <v>12635</v>
      </c>
    </row>
    <row r="32">
      <c r="A32" t="n">
        <v>10031</v>
      </c>
      <c r="B32" t="n">
        <v>5934</v>
      </c>
    </row>
    <row r="33">
      <c r="A33" t="n">
        <v>10032</v>
      </c>
      <c r="B33" t="n">
        <v>19825</v>
      </c>
    </row>
    <row r="34">
      <c r="A34" t="n">
        <v>10033</v>
      </c>
      <c r="B34" t="n">
        <v>13110</v>
      </c>
    </row>
    <row r="35">
      <c r="A35" t="n">
        <v>10035</v>
      </c>
      <c r="B35" t="n">
        <v>10212.5</v>
      </c>
    </row>
    <row r="36">
      <c r="A36" t="n">
        <v>10036</v>
      </c>
      <c r="B36" t="n">
        <v>34995</v>
      </c>
    </row>
    <row r="37">
      <c r="A37" t="n">
        <v>10037</v>
      </c>
      <c r="B37" t="n">
        <v>27615</v>
      </c>
    </row>
    <row r="38">
      <c r="A38" t="n">
        <v>10038</v>
      </c>
      <c r="B38" t="n">
        <v>19000</v>
      </c>
    </row>
    <row r="39">
      <c r="A39" t="n">
        <v>10039</v>
      </c>
      <c r="B39" t="n">
        <v>32387.5</v>
      </c>
    </row>
    <row r="40">
      <c r="A40" t="n">
        <v>10040</v>
      </c>
      <c r="B40" t="n">
        <v>6887.5</v>
      </c>
    </row>
    <row r="41">
      <c r="A41" t="n">
        <v>10041</v>
      </c>
      <c r="B41" t="n">
        <v>20555</v>
      </c>
    </row>
    <row r="42">
      <c r="A42" t="n">
        <v>10042</v>
      </c>
      <c r="B42" t="n">
        <v>7125</v>
      </c>
    </row>
    <row r="43">
      <c r="A43" t="n">
        <v>10043</v>
      </c>
      <c r="B43" t="n">
        <v>23650</v>
      </c>
    </row>
    <row r="44">
      <c r="A44" t="n">
        <v>10044</v>
      </c>
      <c r="B44" t="n">
        <v>51310</v>
      </c>
    </row>
    <row r="45">
      <c r="A45" t="n">
        <v>10045</v>
      </c>
      <c r="B45" t="n">
        <v>22775</v>
      </c>
    </row>
    <row r="46">
      <c r="A46" t="n">
        <v>10046</v>
      </c>
      <c r="B46" t="n">
        <v>5805</v>
      </c>
    </row>
    <row r="47">
      <c r="A47" t="n">
        <v>10047</v>
      </c>
      <c r="B47" t="n">
        <v>17250</v>
      </c>
    </row>
    <row r="48">
      <c r="A48" t="n">
        <v>10048</v>
      </c>
      <c r="B48" t="n">
        <v>8000</v>
      </c>
    </row>
    <row r="49">
      <c r="A49" t="n">
        <v>10049</v>
      </c>
      <c r="B49" t="n">
        <v>22335</v>
      </c>
    </row>
    <row r="50">
      <c r="A50" t="n">
        <v>10050</v>
      </c>
      <c r="B50" t="n">
        <v>36607.5</v>
      </c>
    </row>
    <row r="51">
      <c r="A51" t="n">
        <v>10051</v>
      </c>
      <c r="B51" t="n">
        <v>21050</v>
      </c>
    </row>
    <row r="52">
      <c r="A52" t="n">
        <v>10052</v>
      </c>
      <c r="B52" t="n">
        <v>28600</v>
      </c>
    </row>
    <row r="53">
      <c r="A53" t="n">
        <v>10053</v>
      </c>
      <c r="B53" t="n">
        <v>21945</v>
      </c>
    </row>
    <row r="54">
      <c r="A54" t="n">
        <v>10054</v>
      </c>
      <c r="B54" t="n">
        <v>12635</v>
      </c>
    </row>
    <row r="55">
      <c r="A55" t="n">
        <v>10055</v>
      </c>
      <c r="B55" t="n">
        <v>2300</v>
      </c>
    </row>
    <row r="56">
      <c r="A56" t="n">
        <v>10056</v>
      </c>
      <c r="B56" t="n">
        <v>10996.25</v>
      </c>
    </row>
    <row r="57">
      <c r="A57" t="n">
        <v>10057</v>
      </c>
      <c r="B57" t="n">
        <v>44100</v>
      </c>
    </row>
    <row r="58">
      <c r="A58" t="n">
        <v>10058</v>
      </c>
      <c r="B58" t="n">
        <v>19787.5</v>
      </c>
    </row>
    <row r="59">
      <c r="A59" t="n">
        <v>10059</v>
      </c>
      <c r="B59" t="n">
        <v>3750</v>
      </c>
    </row>
    <row r="60">
      <c r="A60" t="n">
        <v>10060</v>
      </c>
      <c r="B60" t="n">
        <v>8265</v>
      </c>
    </row>
    <row r="61">
      <c r="A61" t="n">
        <v>10061</v>
      </c>
      <c r="B61" t="n">
        <v>1377.5</v>
      </c>
    </row>
    <row r="62">
      <c r="A62" t="n">
        <v>10062</v>
      </c>
      <c r="B62" t="n">
        <v>14155</v>
      </c>
    </row>
    <row r="63">
      <c r="A63" t="n">
        <v>10063</v>
      </c>
      <c r="B63" t="n">
        <v>10238.75</v>
      </c>
    </row>
    <row r="64">
      <c r="A64" t="n">
        <v>10064</v>
      </c>
      <c r="B64" t="n">
        <v>22523.5</v>
      </c>
    </row>
    <row r="65">
      <c r="A65" t="n">
        <v>10065</v>
      </c>
      <c r="B65" t="n">
        <v>2042.5</v>
      </c>
    </row>
    <row r="66">
      <c r="A66" t="n">
        <v>10066</v>
      </c>
      <c r="B66" t="n">
        <v>30602</v>
      </c>
    </row>
    <row r="67">
      <c r="A67" t="n">
        <v>10067</v>
      </c>
      <c r="B67" t="n">
        <v>9981.25</v>
      </c>
    </row>
    <row r="68">
      <c r="A68" t="n">
        <v>10068</v>
      </c>
      <c r="B68" t="n">
        <v>6450</v>
      </c>
    </row>
    <row r="69">
      <c r="A69" t="n">
        <v>10069</v>
      </c>
      <c r="B69" t="n">
        <v>23325</v>
      </c>
    </row>
    <row r="70">
      <c r="A70" t="n">
        <v>10070</v>
      </c>
      <c r="B70" t="n">
        <v>34430</v>
      </c>
    </row>
    <row r="71">
      <c r="A71" t="n">
        <v>10071</v>
      </c>
      <c r="B71" t="n">
        <v>34512.5</v>
      </c>
    </row>
    <row r="72">
      <c r="A72" t="n">
        <v>10072</v>
      </c>
      <c r="B72" t="n">
        <v>13300</v>
      </c>
    </row>
    <row r="73">
      <c r="A73" t="n">
        <v>10073</v>
      </c>
      <c r="B73" t="n">
        <v>12355</v>
      </c>
    </row>
    <row r="74">
      <c r="A74" t="n">
        <v>10074</v>
      </c>
      <c r="B74" t="n">
        <v>16900</v>
      </c>
    </row>
    <row r="75">
      <c r="A75" t="n">
        <v>10075</v>
      </c>
      <c r="B75" t="n">
        <v>22805</v>
      </c>
    </row>
    <row r="76">
      <c r="A76" t="n">
        <v>10076</v>
      </c>
      <c r="B76" t="n">
        <v>6746.25</v>
      </c>
    </row>
    <row r="77">
      <c r="A77" t="n">
        <v>10077</v>
      </c>
      <c r="B77" t="n">
        <v>8170</v>
      </c>
    </row>
    <row r="78">
      <c r="A78" t="n">
        <v>10078</v>
      </c>
      <c r="B78" t="n">
        <v>10687.5</v>
      </c>
    </row>
    <row r="79">
      <c r="A79" t="n">
        <v>10079</v>
      </c>
      <c r="B79" t="n">
        <v>22042.5</v>
      </c>
    </row>
    <row r="80">
      <c r="A80" t="n">
        <v>10080</v>
      </c>
      <c r="B80" t="n">
        <v>11463.5</v>
      </c>
    </row>
    <row r="81">
      <c r="A81" t="n">
        <v>10081</v>
      </c>
      <c r="B81" t="n">
        <v>15285</v>
      </c>
    </row>
    <row r="82">
      <c r="A82" t="n">
        <v>10082</v>
      </c>
      <c r="B82" t="n">
        <v>37662.5</v>
      </c>
    </row>
    <row r="83">
      <c r="A83" t="n">
        <v>10083</v>
      </c>
      <c r="B83" t="n">
        <v>20762.5</v>
      </c>
    </row>
    <row r="84">
      <c r="A84" t="n">
        <v>10084</v>
      </c>
      <c r="B84" t="n">
        <v>25640</v>
      </c>
    </row>
    <row r="85">
      <c r="A85" t="n">
        <v>10085</v>
      </c>
      <c r="B85" t="n">
        <v>25070</v>
      </c>
    </row>
    <row r="86">
      <c r="A86" t="n">
        <v>10086</v>
      </c>
      <c r="B86" t="n">
        <v>22450</v>
      </c>
    </row>
    <row r="87">
      <c r="A87" t="n">
        <v>10087</v>
      </c>
      <c r="B87" t="n">
        <v>44570</v>
      </c>
    </row>
    <row r="88">
      <c r="A88" t="n">
        <v>10088</v>
      </c>
      <c r="B88" t="n">
        <v>18897.5</v>
      </c>
    </row>
    <row r="89">
      <c r="A89" t="n">
        <v>10089</v>
      </c>
      <c r="B89" t="n">
        <v>24820</v>
      </c>
    </row>
    <row r="90">
      <c r="A90" t="n">
        <v>10090</v>
      </c>
      <c r="B90" t="n">
        <v>38610</v>
      </c>
    </row>
    <row r="91">
      <c r="A91" t="n">
        <v>10091</v>
      </c>
      <c r="B91" t="n">
        <v>19000</v>
      </c>
    </row>
    <row r="92">
      <c r="A92" t="n">
        <v>10092</v>
      </c>
      <c r="B92" t="n">
        <v>33487.5</v>
      </c>
    </row>
    <row r="93">
      <c r="A93" t="n">
        <v>10093</v>
      </c>
      <c r="B93" t="n">
        <v>14168</v>
      </c>
    </row>
    <row r="94">
      <c r="A94" t="n">
        <v>10094</v>
      </c>
      <c r="B94" t="n">
        <v>17200</v>
      </c>
    </row>
    <row r="95">
      <c r="A95" t="n">
        <v>10095</v>
      </c>
      <c r="B95" t="n">
        <v>29559</v>
      </c>
    </row>
    <row r="96">
      <c r="A96" t="n">
        <v>10096</v>
      </c>
      <c r="B96" t="n">
        <v>6600</v>
      </c>
    </row>
    <row r="97">
      <c r="A97" t="n">
        <v>10097</v>
      </c>
      <c r="B97" t="n">
        <v>9210</v>
      </c>
    </row>
    <row r="98">
      <c r="A98" t="n">
        <v>10098</v>
      </c>
      <c r="B98" t="n">
        <v>20100</v>
      </c>
    </row>
    <row r="99">
      <c r="A99" t="n">
        <v>10099</v>
      </c>
      <c r="B99" t="n">
        <v>58920</v>
      </c>
    </row>
    <row r="100">
      <c r="A100" t="n">
        <v>10100</v>
      </c>
      <c r="B100" t="n">
        <v>33627.5</v>
      </c>
    </row>
    <row r="101">
      <c r="A101" t="n">
        <v>10101</v>
      </c>
      <c r="B101" t="n">
        <v>50334</v>
      </c>
    </row>
    <row r="102">
      <c r="A102" t="n">
        <v>10102</v>
      </c>
      <c r="B102" t="n">
        <v>13585</v>
      </c>
    </row>
    <row r="103">
      <c r="A103" t="n">
        <v>10103</v>
      </c>
      <c r="B103" t="n">
        <v>13800</v>
      </c>
    </row>
    <row r="104">
      <c r="A104" t="n">
        <v>10104</v>
      </c>
      <c r="B104" t="n">
        <v>27558.75</v>
      </c>
    </row>
    <row r="105">
      <c r="A105" t="n">
        <v>10105</v>
      </c>
      <c r="B105" t="n">
        <v>39100</v>
      </c>
    </row>
    <row r="106">
      <c r="A106" t="n">
        <v>10106</v>
      </c>
      <c r="B106" t="n">
        <v>48165</v>
      </c>
    </row>
    <row r="107">
      <c r="A107" t="n">
        <v>10107</v>
      </c>
      <c r="B107" t="n">
        <v>60570</v>
      </c>
    </row>
    <row r="108">
      <c r="A108" t="n">
        <v>10108</v>
      </c>
      <c r="B108" t="n">
        <v>26200</v>
      </c>
    </row>
    <row r="109">
      <c r="A109" t="n">
        <v>10109</v>
      </c>
      <c r="B109" t="n">
        <v>15850</v>
      </c>
    </row>
    <row r="110">
      <c r="A110" t="n">
        <v>10110</v>
      </c>
      <c r="B110" t="n">
        <v>30725</v>
      </c>
    </row>
    <row r="111">
      <c r="A111" t="n">
        <v>10111</v>
      </c>
      <c r="B111" t="n">
        <v>12900</v>
      </c>
    </row>
    <row r="112">
      <c r="A112" t="n">
        <v>10112</v>
      </c>
      <c r="B112" t="n">
        <v>34580</v>
      </c>
    </row>
    <row r="113">
      <c r="A113" t="n">
        <v>10113</v>
      </c>
      <c r="B113" t="n">
        <v>24932.5</v>
      </c>
    </row>
    <row r="114">
      <c r="A114" t="n">
        <v>10114</v>
      </c>
      <c r="B114" t="n">
        <v>39767</v>
      </c>
    </row>
    <row r="115">
      <c r="A115" t="n">
        <v>10115</v>
      </c>
      <c r="B115" t="n">
        <v>7600</v>
      </c>
    </row>
    <row r="116">
      <c r="A116" t="n">
        <v>10116</v>
      </c>
      <c r="B116" t="n">
        <v>57050</v>
      </c>
    </row>
    <row r="117">
      <c r="A117" t="n">
        <v>10117</v>
      </c>
      <c r="B117" t="n">
        <v>35950</v>
      </c>
    </row>
    <row r="118">
      <c r="A118" t="n">
        <v>10118</v>
      </c>
      <c r="B118" t="n">
        <v>41500</v>
      </c>
    </row>
    <row r="119">
      <c r="A119" t="n">
        <v>10119</v>
      </c>
      <c r="B119" t="n">
        <v>57380</v>
      </c>
    </row>
    <row r="120">
      <c r="A120" t="n">
        <v>10120</v>
      </c>
      <c r="B120" t="n">
        <v>10400</v>
      </c>
    </row>
    <row r="121">
      <c r="A121" t="n">
        <v>10121</v>
      </c>
      <c r="B121" t="n">
        <v>32252.5</v>
      </c>
    </row>
    <row r="122">
      <c r="A122" t="n">
        <v>10122</v>
      </c>
      <c r="B122" t="n">
        <v>45465</v>
      </c>
    </row>
    <row r="123">
      <c r="A123" t="n">
        <v>10123</v>
      </c>
      <c r="B123" t="n">
        <v>10565</v>
      </c>
    </row>
    <row r="124">
      <c r="A124" t="n">
        <v>10124</v>
      </c>
      <c r="B124" t="n">
        <v>56100</v>
      </c>
    </row>
    <row r="125">
      <c r="A125" t="n">
        <v>10125</v>
      </c>
      <c r="B125" t="n">
        <v>15136</v>
      </c>
    </row>
    <row r="126">
      <c r="A126" t="n">
        <v>10126</v>
      </c>
      <c r="B126" t="n">
        <v>100278</v>
      </c>
    </row>
    <row r="127">
      <c r="A127" t="n">
        <v>10127</v>
      </c>
      <c r="B127" t="n">
        <v>28500</v>
      </c>
    </row>
    <row r="128">
      <c r="A128" t="n">
        <v>10128</v>
      </c>
      <c r="B128" t="n">
        <v>32371.25</v>
      </c>
    </row>
    <row r="129">
      <c r="A129" t="n">
        <v>10129</v>
      </c>
      <c r="B129" t="n">
        <v>8600</v>
      </c>
    </row>
    <row r="130">
      <c r="A130" t="n">
        <v>10130</v>
      </c>
      <c r="B130" t="n">
        <v>13500</v>
      </c>
    </row>
    <row r="131">
      <c r="A131" t="n">
        <v>10132</v>
      </c>
      <c r="B131" t="n">
        <v>27950</v>
      </c>
    </row>
    <row r="132">
      <c r="A132" t="n">
        <v>10133</v>
      </c>
      <c r="B132" t="n">
        <v>68875</v>
      </c>
    </row>
    <row r="133">
      <c r="A133" t="n">
        <v>10134</v>
      </c>
      <c r="B133" t="n">
        <v>5750</v>
      </c>
    </row>
    <row r="134">
      <c r="A134" t="n">
        <v>10135</v>
      </c>
      <c r="B134" t="n">
        <v>20108</v>
      </c>
    </row>
    <row r="135">
      <c r="A135" t="n">
        <v>10136</v>
      </c>
      <c r="B135" t="n">
        <v>13340</v>
      </c>
    </row>
    <row r="136">
      <c r="A136" t="n">
        <v>10137</v>
      </c>
      <c r="B136" t="n">
        <v>4132.5</v>
      </c>
    </row>
    <row r="137">
      <c r="A137" t="n">
        <v>10138</v>
      </c>
      <c r="B137" t="n">
        <v>17588.75</v>
      </c>
    </row>
    <row r="138">
      <c r="A138" t="n">
        <v>10139</v>
      </c>
      <c r="B138" t="n">
        <v>48376</v>
      </c>
    </row>
    <row r="139">
      <c r="A139" t="n">
        <v>10140</v>
      </c>
      <c r="B139" t="n">
        <v>39870</v>
      </c>
    </row>
    <row r="140">
      <c r="A140" t="n">
        <v>10141</v>
      </c>
      <c r="B140" t="n">
        <v>24107.5</v>
      </c>
    </row>
    <row r="141">
      <c r="A141" t="n">
        <v>10142</v>
      </c>
      <c r="B141" t="n">
        <v>51870</v>
      </c>
    </row>
    <row r="142">
      <c r="A142" t="n">
        <v>10143</v>
      </c>
      <c r="B142" t="n">
        <v>53012</v>
      </c>
    </row>
    <row r="143">
      <c r="A143" t="n">
        <v>10144</v>
      </c>
      <c r="B143" t="n">
        <v>12507.5</v>
      </c>
    </row>
    <row r="144">
      <c r="A144" t="n">
        <v>10145</v>
      </c>
      <c r="B144" t="n">
        <v>21650</v>
      </c>
    </row>
    <row r="145">
      <c r="A145" t="n">
        <v>10146</v>
      </c>
      <c r="B145" t="n">
        <v>82250</v>
      </c>
    </row>
    <row r="146">
      <c r="A146" t="n">
        <v>10147</v>
      </c>
      <c r="B146" t="n">
        <v>50895</v>
      </c>
    </row>
    <row r="147">
      <c r="A147" t="n">
        <v>10148</v>
      </c>
      <c r="B147" t="n">
        <v>42750</v>
      </c>
    </row>
    <row r="148">
      <c r="A148" t="n">
        <v>10149</v>
      </c>
      <c r="B148" t="n">
        <v>49530</v>
      </c>
    </row>
    <row r="149">
      <c r="A149" t="n">
        <v>10150</v>
      </c>
      <c r="B149" t="n">
        <v>8050</v>
      </c>
    </row>
    <row r="150">
      <c r="A150" t="n">
        <v>10151</v>
      </c>
      <c r="B150" t="n">
        <v>74217.5</v>
      </c>
    </row>
    <row r="151">
      <c r="A151" t="n">
        <v>10152</v>
      </c>
      <c r="B151" t="n">
        <v>12397.5</v>
      </c>
    </row>
    <row r="152">
      <c r="A152" t="n">
        <v>10153</v>
      </c>
      <c r="B152" t="n">
        <v>2731.25</v>
      </c>
    </row>
    <row r="153">
      <c r="A153" t="n">
        <v>10154</v>
      </c>
      <c r="B153" t="n">
        <v>10212.5</v>
      </c>
    </row>
    <row r="154">
      <c r="A154" t="n">
        <v>10155</v>
      </c>
      <c r="B154" t="n">
        <v>3610</v>
      </c>
    </row>
    <row r="155">
      <c r="A155" t="n">
        <v>10156</v>
      </c>
      <c r="B155" t="n">
        <v>6450</v>
      </c>
    </row>
    <row r="156">
      <c r="A156" t="n">
        <v>10157</v>
      </c>
      <c r="B156" t="n">
        <v>17200</v>
      </c>
    </row>
    <row r="157">
      <c r="A157" t="n">
        <v>10158</v>
      </c>
      <c r="B157" t="n">
        <v>25375</v>
      </c>
    </row>
    <row r="158">
      <c r="A158" t="n">
        <v>10159</v>
      </c>
      <c r="B158" t="n">
        <v>46486.5</v>
      </c>
    </row>
    <row r="159">
      <c r="A159" t="n">
        <v>10160</v>
      </c>
      <c r="B159" t="n">
        <v>9808.5</v>
      </c>
    </row>
    <row r="160">
      <c r="A160" t="n">
        <v>10161</v>
      </c>
      <c r="B160" t="n">
        <v>13705</v>
      </c>
    </row>
    <row r="161">
      <c r="A161" t="n">
        <v>10162</v>
      </c>
      <c r="B161" t="n">
        <v>65817.5</v>
      </c>
    </row>
    <row r="162">
      <c r="A162" t="n">
        <v>10163</v>
      </c>
      <c r="B162" t="n">
        <v>3828</v>
      </c>
    </row>
    <row r="163">
      <c r="A163" t="n">
        <v>10164</v>
      </c>
      <c r="B163" t="n">
        <v>3870</v>
      </c>
    </row>
    <row r="164">
      <c r="A164" t="n">
        <v>10165</v>
      </c>
      <c r="B164" t="n">
        <v>19035</v>
      </c>
    </row>
    <row r="165">
      <c r="A165" t="n">
        <v>10166</v>
      </c>
      <c r="B165" t="n">
        <v>35300</v>
      </c>
    </row>
    <row r="166">
      <c r="A166" t="n">
        <v>10167</v>
      </c>
      <c r="B166" t="n">
        <v>18765</v>
      </c>
    </row>
    <row r="167">
      <c r="A167" t="n">
        <v>10168</v>
      </c>
      <c r="B167" t="n">
        <v>17350</v>
      </c>
    </row>
    <row r="168">
      <c r="A168" t="n">
        <v>10169</v>
      </c>
      <c r="B168" t="n">
        <v>35700</v>
      </c>
    </row>
    <row r="169">
      <c r="A169" t="n">
        <v>10170</v>
      </c>
      <c r="B169" t="n">
        <v>36750</v>
      </c>
    </row>
    <row r="170">
      <c r="A170" t="n">
        <v>10171</v>
      </c>
      <c r="B170" t="n">
        <v>37628</v>
      </c>
    </row>
    <row r="171">
      <c r="A171" t="n">
        <v>10172</v>
      </c>
      <c r="B171" t="n">
        <v>23850</v>
      </c>
    </row>
    <row r="172">
      <c r="A172" t="n">
        <v>10173</v>
      </c>
      <c r="B172" t="n">
        <v>5750</v>
      </c>
    </row>
    <row r="173">
      <c r="A173" t="n">
        <v>10174</v>
      </c>
      <c r="B173" t="n">
        <v>2755</v>
      </c>
    </row>
    <row r="174">
      <c r="A174" t="n">
        <v>10175</v>
      </c>
      <c r="B174" t="n">
        <v>38050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discount_pct</t>
        </is>
      </c>
      <c r="B1" s="1" t="inlineStr">
        <is>
          <t>order_lines</t>
        </is>
      </c>
      <c r="C1" s="1" t="inlineStr">
        <is>
          <t>gross_value</t>
        </is>
      </c>
      <c r="D1" s="1" t="n"/>
      <c r="E1" s="1" t="inlineStr">
        <is>
          <t>simple average discount (per line)</t>
        </is>
      </c>
      <c r="F1" s="1">
        <f>SUMPRODUCT(A2:A6,B2:B6)/SUM(B2:B6)</f>
        <v/>
      </c>
    </row>
    <row r="2">
      <c r="A2" t="n">
        <v>0</v>
      </c>
      <c r="B2" t="n">
        <v>140</v>
      </c>
      <c r="C2" t="n">
        <v>1681625</v>
      </c>
      <c r="E2" t="inlineStr">
        <is>
          <t>weighted by gross value</t>
        </is>
      </c>
      <c r="F2">
        <f>SUMPRODUCT(A2:A6,C2:C6)/SUM(C2:C6)</f>
        <v/>
      </c>
    </row>
    <row r="3">
      <c r="A3" t="n">
        <v>5</v>
      </c>
      <c r="B3" t="n">
        <v>112</v>
      </c>
      <c r="C3" t="n">
        <v>1496700</v>
      </c>
      <c r="E3" t="inlineStr">
        <is>
          <t>most common discount (mode of lines)</t>
        </is>
      </c>
      <c r="F3">
        <f>INDEX(A2:A6,MATCH(MAX(B2:B6),B2:B6,0))</f>
        <v/>
      </c>
    </row>
    <row r="4">
      <c r="A4" t="n">
        <v>8</v>
      </c>
      <c r="B4" t="n">
        <v>19</v>
      </c>
      <c r="C4" t="n">
        <v>408250</v>
      </c>
    </row>
    <row r="5">
      <c r="A5" t="n">
        <v>10</v>
      </c>
      <c r="B5" t="n">
        <v>25</v>
      </c>
      <c r="C5" t="n">
        <v>484950</v>
      </c>
    </row>
    <row r="6">
      <c r="A6" t="n">
        <v>12</v>
      </c>
      <c r="B6" t="n">
        <v>30</v>
      </c>
      <c r="C6" t="n">
        <v>477200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revenue</t>
        </is>
      </c>
      <c r="C1" s="1" t="inlineStr">
        <is>
          <t>share</t>
        </is>
      </c>
      <c r="D1" s="1" t="inlineStr">
        <is>
          <t>share_rounded</t>
        </is>
      </c>
    </row>
    <row r="2">
      <c r="A2" t="inlineStr">
        <is>
          <t>Wholesale</t>
        </is>
      </c>
      <c r="B2" t="n">
        <v>1702658.5</v>
      </c>
      <c r="C2">
        <f>B2/SUM($B$2:$B$4)</f>
        <v/>
      </c>
      <c r="D2">
        <f>ROUND(C2*100,0)</f>
        <v/>
      </c>
    </row>
    <row r="3">
      <c r="A3" t="inlineStr">
        <is>
          <t>Retail</t>
        </is>
      </c>
      <c r="B3" t="n">
        <v>1488773.75</v>
      </c>
      <c r="C3">
        <f>B3/SUM($B$2:$B$4)</f>
        <v/>
      </c>
      <c r="D3">
        <f>ROUND(C3*100,0)</f>
        <v/>
      </c>
    </row>
    <row r="4">
      <c r="A4" t="inlineStr">
        <is>
          <t>Hospitality</t>
        </is>
      </c>
      <c r="B4" t="n">
        <v>1144038.75</v>
      </c>
      <c r="C4">
        <f>B4/SUM($B$2:$B$4)</f>
        <v/>
      </c>
      <c r="D4">
        <f>ROUND(C4*100,0)</f>
        <v/>
      </c>
    </row>
    <row r="5">
      <c r="A5" t="inlineStr">
        <is>
          <t>total</t>
        </is>
      </c>
      <c r="C5">
        <f>SUM(C2:C4)</f>
        <v/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2026-09-16T18:03:40Z</dcterms:created>
  <dcterms:modified xmlns:dcterms="http://purl.org/dc/terms/" xmlns:xsi="http://www.w3.org/2001/XMLSchema-instance" xsi:type="dcterms:W3CDTF">2026-09-16T18:03:40Z</dcterms:modified>
</cp:coreProperties>
</file>