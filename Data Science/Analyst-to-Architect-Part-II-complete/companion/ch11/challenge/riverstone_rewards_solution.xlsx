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s" sheetId="1" state="visible" r:id="rId1"/>
    <sheet xmlns:r="http://schemas.openxmlformats.org/officeDocument/2006/relationships" name="Line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Customers" sheetId="4" state="visible" r:id="rId4"/>
    <sheet xmlns:r="http://schemas.openxmlformats.org/officeDocument/2006/relationships" name="Month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5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item</t>
        </is>
      </c>
      <c r="C1" s="1" t="inlineStr">
        <is>
          <t>answer</t>
        </is>
      </c>
    </row>
    <row r="2">
      <c r="A2" t="inlineStr">
        <is>
          <t>L1</t>
        </is>
      </c>
      <c r="B2" t="inlineStr">
        <is>
          <t>orders</t>
        </is>
      </c>
      <c r="C2">
        <f>COUNT(Orders!A2:A174)</f>
        <v/>
      </c>
    </row>
    <row r="3">
      <c r="A3" t="inlineStr">
        <is>
          <t>L1</t>
        </is>
      </c>
      <c r="B3" t="inlineStr">
        <is>
          <t>orders &gt;= 25,000</t>
        </is>
      </c>
      <c r="C3">
        <f>COUNTIF(Orders!D2:D174,"&gt;=25000")</f>
        <v/>
      </c>
    </row>
    <row r="4">
      <c r="A4" t="inlineStr">
        <is>
          <t>L2</t>
        </is>
      </c>
      <c r="B4" t="inlineStr">
        <is>
          <t>total base points</t>
        </is>
      </c>
      <c r="C4">
        <f>SUM(Orders!G2:G174)</f>
        <v/>
      </c>
    </row>
    <row r="5">
      <c r="A5" t="inlineStr">
        <is>
          <t>L2</t>
        </is>
      </c>
      <c r="B5" t="inlineStr">
        <is>
          <t>top customer by base points</t>
        </is>
      </c>
      <c r="C5">
        <f>INDEX(Customers!A2:A24,MATCH(MAX(Customers!G2:G24),Customers!G2:G24,0))</f>
        <v/>
      </c>
    </row>
    <row r="6">
      <c r="A6" t="inlineStr">
        <is>
          <t>L3</t>
        </is>
      </c>
      <c r="B6" t="inlineStr">
        <is>
          <t>Gold orders</t>
        </is>
      </c>
      <c r="C6">
        <f>COUNTIF(Orders!I2:I174,1.5)</f>
        <v/>
      </c>
    </row>
    <row r="7">
      <c r="A7" t="inlineStr">
        <is>
          <t>L3</t>
        </is>
      </c>
      <c r="B7" t="inlineStr">
        <is>
          <t>Silver orders</t>
        </is>
      </c>
      <c r="C7">
        <f>COUNTIF(Orders!I2:I174,1.25)</f>
        <v/>
      </c>
    </row>
    <row r="8">
      <c r="A8" t="inlineStr">
        <is>
          <t>L4</t>
        </is>
      </c>
      <c r="B8" t="inlineStr">
        <is>
          <t>tier points</t>
        </is>
      </c>
      <c r="C8">
        <f>SUM(Orders!J2:J174)</f>
        <v/>
      </c>
    </row>
    <row r="9">
      <c r="A9" t="inlineStr">
        <is>
          <t>L5</t>
        </is>
      </c>
      <c r="B9" t="inlineStr">
        <is>
          <t>streak orders</t>
        </is>
      </c>
      <c r="C9">
        <f>COUNTIF(Orders!K2:K174,200)</f>
        <v/>
      </c>
    </row>
    <row r="10">
      <c r="A10" t="inlineStr">
        <is>
          <t>L5</t>
        </is>
      </c>
      <c r="B10" t="inlineStr">
        <is>
          <t>tier + streak points</t>
        </is>
      </c>
      <c r="C10">
        <f>SUM(Orders!J2:K174)</f>
        <v/>
      </c>
    </row>
    <row r="11">
      <c r="A11" t="inlineStr">
        <is>
          <t>L6</t>
        </is>
      </c>
      <c r="B11" t="inlineStr">
        <is>
          <t>total order points</t>
        </is>
      </c>
      <c r="C11">
        <f>SUM(Orders!M2:M174)</f>
        <v/>
      </c>
    </row>
    <row r="12">
      <c r="A12" t="inlineStr">
        <is>
          <t>L7</t>
        </is>
      </c>
      <c r="B12" t="inlineStr">
        <is>
          <t>customers losing points</t>
        </is>
      </c>
      <c r="C12">
        <f>COUNTIF(Customers!C2:C24,"&gt;0")</f>
        <v/>
      </c>
    </row>
    <row r="13">
      <c r="A13" t="inlineStr">
        <is>
          <t>L7</t>
        </is>
      </c>
      <c r="B13" t="inlineStr">
        <is>
          <t>expired points</t>
        </is>
      </c>
      <c r="C13">
        <f>SUM(Orders!O2:O174)</f>
        <v/>
      </c>
    </row>
    <row r="14">
      <c r="A14" t="inlineStr">
        <is>
          <t>L8</t>
        </is>
      </c>
      <c r="B14" t="inlineStr">
        <is>
          <t>highest balance</t>
        </is>
      </c>
      <c r="C14">
        <f>MAX(Customers!D2:D24)</f>
        <v/>
      </c>
    </row>
    <row r="15">
      <c r="A15" t="inlineStr">
        <is>
          <t>L8</t>
        </is>
      </c>
      <c r="B15" t="inlineStr">
        <is>
          <t>customer with highest balance</t>
        </is>
      </c>
      <c r="C15">
        <f>INDEX(Customers!A2:A24,MATCH(MAX(Customers!D2:D24),Customers!D2:D24,0))</f>
        <v/>
      </c>
    </row>
    <row r="16">
      <c r="A16" t="inlineStr">
        <is>
          <t>L8</t>
        </is>
      </c>
      <c r="B16" t="inlineStr">
        <is>
          <t>customers &gt;= 4,000</t>
        </is>
      </c>
      <c r="C16">
        <f>COUNTIF(Customers!D2:D24,"&gt;=4000")</f>
        <v/>
      </c>
    </row>
    <row r="17">
      <c r="A17" t="inlineStr">
        <is>
          <t>B1</t>
        </is>
      </c>
      <c r="B17" t="inlineStr">
        <is>
          <t>first order_id reaching 5,000</t>
        </is>
      </c>
      <c r="C17">
        <f>MIN(Orders!P2:P174)</f>
        <v/>
      </c>
    </row>
    <row r="18">
      <c r="A18" t="inlineStr">
        <is>
          <t>B1</t>
        </is>
      </c>
      <c r="B18" t="inlineStr">
        <is>
          <t>customer</t>
        </is>
      </c>
      <c r="C18">
        <f>INDEX(Orders!C2:C174,MATCH(MIN(Orders!P2:P174),Orders!A2:A174,0))</f>
        <v/>
      </c>
    </row>
    <row r="19">
      <c r="A19" t="inlineStr">
        <is>
          <t>B2</t>
        </is>
      </c>
      <c r="B19" t="inlineStr">
        <is>
          <t>top month points</t>
        </is>
      </c>
      <c r="C19">
        <f>MAX(Months!B2:B13)</f>
        <v/>
      </c>
    </row>
    <row r="20">
      <c r="A20" t="inlineStr">
        <is>
          <t>B2</t>
        </is>
      </c>
      <c r="B20" t="inlineStr">
        <is>
          <t>top month</t>
        </is>
      </c>
      <c r="C20" s="2">
        <f>INDEX(Months!A2:A13,MATCH(MAX(Months!B2:B13),Months!B2:B13,0))</f>
        <v/>
      </c>
    </row>
    <row r="21">
      <c r="A21" t="inlineStr">
        <is>
          <t>B3</t>
        </is>
      </c>
      <c r="B21" t="inlineStr">
        <is>
          <t>customers ordering every month</t>
        </is>
      </c>
      <c r="C21">
        <f>COUNTIF(Customers!F2:F24,12)</f>
        <v/>
      </c>
    </row>
    <row r="22">
      <c r="A22" t="inlineStr">
        <is>
          <t>B4</t>
        </is>
      </c>
      <c r="B22" t="inlineStr">
        <is>
          <t>Metro Mart rank</t>
        </is>
      </c>
      <c r="C22">
        <f>INDEX(Customers!E2:E24,MATCH("Metro Mart",Customers!A2:A24,0))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product_id</t>
        </is>
      </c>
      <c r="E1" t="inlineStr">
        <is>
          <t>quantity</t>
        </is>
      </c>
      <c r="F1" t="inlineStr">
        <is>
          <t>unit_price</t>
        </is>
      </c>
      <c r="G1" t="inlineStr">
        <is>
          <t>discount_pct</t>
        </is>
      </c>
      <c r="H1" t="inlineStr">
        <is>
          <t>status</t>
        </is>
      </c>
      <c r="I1" t="inlineStr">
        <is>
          <t>net_revenue</t>
        </is>
      </c>
    </row>
    <row r="2">
      <c r="A2" t="n">
        <v>10001</v>
      </c>
      <c r="B2" s="3" t="n">
        <v>45659</v>
      </c>
      <c r="C2" t="inlineStr">
        <is>
          <t>Patel Kitchenware</t>
        </is>
      </c>
      <c r="D2" t="n">
        <v>108</v>
      </c>
      <c r="E2" t="n">
        <v>10</v>
      </c>
      <c r="F2" t="n">
        <v>290</v>
      </c>
      <c r="G2" t="n">
        <v>0</v>
      </c>
      <c r="H2" t="inlineStr">
        <is>
          <t>Delivered</t>
        </is>
      </c>
      <c r="I2" t="n">
        <v>2900</v>
      </c>
    </row>
    <row r="3">
      <c r="A3" t="n">
        <v>10002</v>
      </c>
      <c r="B3" s="3" t="n">
        <v>45662</v>
      </c>
      <c r="C3" t="inlineStr">
        <is>
          <t>Green Leaf Hotels</t>
        </is>
      </c>
      <c r="D3" t="n">
        <v>107</v>
      </c>
      <c r="E3" t="n">
        <v>55</v>
      </c>
      <c r="F3" t="n">
        <v>380</v>
      </c>
      <c r="G3" t="n">
        <v>0</v>
      </c>
      <c r="H3" t="inlineStr">
        <is>
          <t>Delivered</t>
        </is>
      </c>
      <c r="I3" t="n">
        <v>20900</v>
      </c>
    </row>
    <row r="4">
      <c r="A4" t="n">
        <v>10003</v>
      </c>
      <c r="B4" s="3" t="n">
        <v>45669</v>
      </c>
      <c r="C4" t="inlineStr">
        <is>
          <t>Metro Mart</t>
        </is>
      </c>
      <c r="D4" t="n">
        <v>101</v>
      </c>
      <c r="E4" t="n">
        <v>25</v>
      </c>
      <c r="F4" t="n">
        <v>430</v>
      </c>
      <c r="G4" t="n">
        <v>0</v>
      </c>
      <c r="H4" t="inlineStr">
        <is>
          <t>Delivered</t>
        </is>
      </c>
      <c r="I4" t="n">
        <v>10750</v>
      </c>
    </row>
    <row r="5">
      <c r="A5" t="n">
        <v>10003</v>
      </c>
      <c r="B5" s="3" t="n">
        <v>45669</v>
      </c>
      <c r="C5" t="inlineStr">
        <is>
          <t>Metro Mart</t>
        </is>
      </c>
      <c r="D5" t="n">
        <v>102</v>
      </c>
      <c r="E5" t="n">
        <v>45</v>
      </c>
      <c r="F5" t="n">
        <v>750</v>
      </c>
      <c r="G5" t="n">
        <v>5</v>
      </c>
      <c r="H5" t="inlineStr">
        <is>
          <t>Delivered</t>
        </is>
      </c>
      <c r="I5" t="n">
        <v>32062.5</v>
      </c>
    </row>
    <row r="6">
      <c r="A6" t="n">
        <v>10003</v>
      </c>
      <c r="B6" s="3" t="n">
        <v>45669</v>
      </c>
      <c r="C6" t="inlineStr">
        <is>
          <t>Metro Mart</t>
        </is>
      </c>
      <c r="D6" t="n">
        <v>108</v>
      </c>
      <c r="E6" t="n">
        <v>10</v>
      </c>
      <c r="F6" t="n">
        <v>290</v>
      </c>
      <c r="G6" t="n">
        <v>0</v>
      </c>
      <c r="H6" t="inlineStr">
        <is>
          <t>Delivered</t>
        </is>
      </c>
      <c r="I6" t="n">
        <v>2900</v>
      </c>
    </row>
    <row r="7">
      <c r="A7" t="n">
        <v>10004</v>
      </c>
      <c r="B7" s="3" t="n">
        <v>45670</v>
      </c>
      <c r="C7" t="inlineStr">
        <is>
          <t>Metro Mart</t>
        </is>
      </c>
      <c r="D7" t="n">
        <v>101</v>
      </c>
      <c r="E7" t="n">
        <v>40</v>
      </c>
      <c r="F7" t="n">
        <v>430</v>
      </c>
      <c r="G7" t="n">
        <v>0</v>
      </c>
      <c r="H7" t="inlineStr">
        <is>
          <t>Delivered</t>
        </is>
      </c>
      <c r="I7" t="n">
        <v>17200</v>
      </c>
    </row>
    <row r="8">
      <c r="A8" t="n">
        <v>10004</v>
      </c>
      <c r="B8" s="3" t="n">
        <v>45670</v>
      </c>
      <c r="C8" t="inlineStr">
        <is>
          <t>Metro Mart</t>
        </is>
      </c>
      <c r="D8" t="n">
        <v>102</v>
      </c>
      <c r="E8" t="n">
        <v>15</v>
      </c>
      <c r="F8" t="n">
        <v>750</v>
      </c>
      <c r="G8" t="n">
        <v>5</v>
      </c>
      <c r="H8" t="inlineStr">
        <is>
          <t>Delivered</t>
        </is>
      </c>
      <c r="I8" t="n">
        <v>10687.5</v>
      </c>
    </row>
    <row r="9">
      <c r="A9" t="n">
        <v>10005</v>
      </c>
      <c r="B9" s="3" t="n">
        <v>45677</v>
      </c>
      <c r="C9" t="inlineStr">
        <is>
          <t>Green Leaf Hotels</t>
        </is>
      </c>
      <c r="D9" t="n">
        <v>101</v>
      </c>
      <c r="E9" t="n">
        <v>15</v>
      </c>
      <c r="F9" t="n">
        <v>430</v>
      </c>
      <c r="G9" t="n">
        <v>5</v>
      </c>
      <c r="H9" t="inlineStr">
        <is>
          <t>Delivered</t>
        </is>
      </c>
      <c r="I9" t="n">
        <v>6127.5</v>
      </c>
    </row>
    <row r="10">
      <c r="A10" t="n">
        <v>10006</v>
      </c>
      <c r="B10" s="3" t="n">
        <v>45678</v>
      </c>
      <c r="C10" t="inlineStr">
        <is>
          <t>Coastal Foods</t>
        </is>
      </c>
      <c r="D10" t="n">
        <v>102</v>
      </c>
      <c r="E10" t="n">
        <v>25</v>
      </c>
      <c r="F10" t="n">
        <v>750</v>
      </c>
      <c r="G10" t="n">
        <v>5</v>
      </c>
      <c r="H10" t="inlineStr">
        <is>
          <t>Delivered</t>
        </is>
      </c>
      <c r="I10" t="n">
        <v>17812.5</v>
      </c>
    </row>
    <row r="11">
      <c r="A11" t="n">
        <v>10007</v>
      </c>
      <c r="B11" s="3" t="n">
        <v>45681</v>
      </c>
      <c r="C11" t="inlineStr">
        <is>
          <t>Sharma Hardware</t>
        </is>
      </c>
      <c r="D11" t="n">
        <v>101</v>
      </c>
      <c r="E11" t="n">
        <v>45</v>
      </c>
      <c r="F11" t="n">
        <v>430</v>
      </c>
      <c r="G11" t="n">
        <v>0</v>
      </c>
      <c r="H11" t="inlineStr">
        <is>
          <t>Delivered</t>
        </is>
      </c>
      <c r="I11" t="n">
        <v>19350</v>
      </c>
    </row>
    <row r="12">
      <c r="A12" t="n">
        <v>10007</v>
      </c>
      <c r="B12" s="3" t="n">
        <v>45681</v>
      </c>
      <c r="C12" t="inlineStr">
        <is>
          <t>Sharma Hardware</t>
        </is>
      </c>
      <c r="D12" t="n">
        <v>102</v>
      </c>
      <c r="E12" t="n">
        <v>20</v>
      </c>
      <c r="F12" t="n">
        <v>750</v>
      </c>
      <c r="G12" t="n">
        <v>0</v>
      </c>
      <c r="H12" t="inlineStr">
        <is>
          <t>Delivered</t>
        </is>
      </c>
      <c r="I12" t="n">
        <v>15000</v>
      </c>
    </row>
    <row r="13">
      <c r="A13" t="n">
        <v>10007</v>
      </c>
      <c r="B13" s="3" t="n">
        <v>45681</v>
      </c>
      <c r="C13" t="inlineStr">
        <is>
          <t>Sharma Hardware</t>
        </is>
      </c>
      <c r="D13" t="n">
        <v>108</v>
      </c>
      <c r="E13" t="n">
        <v>20</v>
      </c>
      <c r="F13" t="n">
        <v>290</v>
      </c>
      <c r="G13" t="n">
        <v>0</v>
      </c>
      <c r="H13" t="inlineStr">
        <is>
          <t>Delivered</t>
        </is>
      </c>
      <c r="I13" t="n">
        <v>5800</v>
      </c>
    </row>
    <row r="14">
      <c r="A14" t="n">
        <v>10008</v>
      </c>
      <c r="B14" s="3" t="n">
        <v>45683</v>
      </c>
      <c r="C14" t="inlineStr">
        <is>
          <t>Sharma Hardware</t>
        </is>
      </c>
      <c r="D14" t="n">
        <v>101</v>
      </c>
      <c r="E14" t="n">
        <v>30</v>
      </c>
      <c r="F14" t="n">
        <v>430</v>
      </c>
      <c r="G14" t="n">
        <v>0</v>
      </c>
      <c r="H14" t="inlineStr">
        <is>
          <t>Delivered</t>
        </is>
      </c>
      <c r="I14" t="n">
        <v>12900</v>
      </c>
    </row>
    <row r="15">
      <c r="A15" t="n">
        <v>10008</v>
      </c>
      <c r="B15" s="3" t="n">
        <v>45683</v>
      </c>
      <c r="C15" t="inlineStr">
        <is>
          <t>Sharma Hardware</t>
        </is>
      </c>
      <c r="D15" t="n">
        <v>102</v>
      </c>
      <c r="E15" t="n">
        <v>25</v>
      </c>
      <c r="F15" t="n">
        <v>750</v>
      </c>
      <c r="G15" t="n">
        <v>0</v>
      </c>
      <c r="H15" t="inlineStr">
        <is>
          <t>Delivered</t>
        </is>
      </c>
      <c r="I15" t="n">
        <v>18750</v>
      </c>
    </row>
    <row r="16">
      <c r="A16" t="n">
        <v>10008</v>
      </c>
      <c r="B16" s="3" t="n">
        <v>45683</v>
      </c>
      <c r="C16" t="inlineStr">
        <is>
          <t>Sharma Hardware</t>
        </is>
      </c>
      <c r="D16" t="n">
        <v>107</v>
      </c>
      <c r="E16" t="n">
        <v>25</v>
      </c>
      <c r="F16" t="n">
        <v>380</v>
      </c>
      <c r="G16" t="n">
        <v>0</v>
      </c>
      <c r="H16" t="inlineStr">
        <is>
          <t>Delivered</t>
        </is>
      </c>
      <c r="I16" t="n">
        <v>9500</v>
      </c>
    </row>
    <row r="17">
      <c r="A17" t="n">
        <v>10009</v>
      </c>
      <c r="B17" s="3" t="n">
        <v>45690</v>
      </c>
      <c r="C17" t="inlineStr">
        <is>
          <t>City Needs Store</t>
        </is>
      </c>
      <c r="D17" t="n">
        <v>101</v>
      </c>
      <c r="E17" t="n">
        <v>30</v>
      </c>
      <c r="F17" t="n">
        <v>430</v>
      </c>
      <c r="G17" t="n">
        <v>0</v>
      </c>
      <c r="H17" t="inlineStr">
        <is>
          <t>Delivered</t>
        </is>
      </c>
      <c r="I17" t="n">
        <v>12900</v>
      </c>
    </row>
    <row r="18">
      <c r="A18" t="n">
        <v>10009</v>
      </c>
      <c r="B18" s="3" t="n">
        <v>45690</v>
      </c>
      <c r="C18" t="inlineStr">
        <is>
          <t>City Needs Store</t>
        </is>
      </c>
      <c r="D18" t="n">
        <v>102</v>
      </c>
      <c r="E18" t="n">
        <v>30</v>
      </c>
      <c r="F18" t="n">
        <v>750</v>
      </c>
      <c r="G18" t="n">
        <v>5</v>
      </c>
      <c r="H18" t="inlineStr">
        <is>
          <t>Delivered</t>
        </is>
      </c>
      <c r="I18" t="n">
        <v>21375</v>
      </c>
    </row>
    <row r="19">
      <c r="A19" t="n">
        <v>10010</v>
      </c>
      <c r="B19" s="3" t="n">
        <v>45693</v>
      </c>
      <c r="C19" t="inlineStr">
        <is>
          <t>Sharma Hardware</t>
        </is>
      </c>
      <c r="D19" t="n">
        <v>101</v>
      </c>
      <c r="E19" t="n">
        <v>20</v>
      </c>
      <c r="F19" t="n">
        <v>430</v>
      </c>
      <c r="G19" t="n">
        <v>0</v>
      </c>
      <c r="H19" t="inlineStr">
        <is>
          <t>Delivered</t>
        </is>
      </c>
      <c r="I19" t="n">
        <v>8600</v>
      </c>
    </row>
    <row r="20">
      <c r="A20" t="n">
        <v>10010</v>
      </c>
      <c r="B20" s="3" t="n">
        <v>45693</v>
      </c>
      <c r="C20" t="inlineStr">
        <is>
          <t>Sharma Hardware</t>
        </is>
      </c>
      <c r="D20" t="n">
        <v>103</v>
      </c>
      <c r="E20" t="n">
        <v>10</v>
      </c>
      <c r="F20" t="n">
        <v>115</v>
      </c>
      <c r="G20" t="n">
        <v>0</v>
      </c>
      <c r="H20" t="inlineStr">
        <is>
          <t>Delivered</t>
        </is>
      </c>
      <c r="I20" t="n">
        <v>1150</v>
      </c>
    </row>
    <row r="21">
      <c r="A21" t="n">
        <v>10010</v>
      </c>
      <c r="B21" s="3" t="n">
        <v>45693</v>
      </c>
      <c r="C21" t="inlineStr">
        <is>
          <t>Sharma Hardware</t>
        </is>
      </c>
      <c r="D21" t="n">
        <v>104</v>
      </c>
      <c r="E21" t="n">
        <v>35</v>
      </c>
      <c r="F21" t="n">
        <v>620</v>
      </c>
      <c r="G21" t="n">
        <v>0</v>
      </c>
      <c r="H21" t="inlineStr">
        <is>
          <t>Delivered</t>
        </is>
      </c>
      <c r="I21" t="n">
        <v>21700</v>
      </c>
    </row>
    <row r="22">
      <c r="A22" t="n">
        <v>10011</v>
      </c>
      <c r="B22" s="3" t="n">
        <v>45704</v>
      </c>
      <c r="C22" t="inlineStr">
        <is>
          <t>Green Leaf Hotels</t>
        </is>
      </c>
      <c r="D22" t="n">
        <v>101</v>
      </c>
      <c r="E22" t="n">
        <v>25</v>
      </c>
      <c r="F22" t="n">
        <v>430</v>
      </c>
      <c r="G22" t="n">
        <v>0</v>
      </c>
      <c r="H22" t="inlineStr">
        <is>
          <t>Delivered</t>
        </is>
      </c>
      <c r="I22" t="n">
        <v>10750</v>
      </c>
    </row>
    <row r="23">
      <c r="A23" t="n">
        <v>10011</v>
      </c>
      <c r="B23" s="3" t="n">
        <v>45704</v>
      </c>
      <c r="C23" t="inlineStr">
        <is>
          <t>Green Leaf Hotels</t>
        </is>
      </c>
      <c r="D23" t="n">
        <v>107</v>
      </c>
      <c r="E23" t="n">
        <v>30</v>
      </c>
      <c r="F23" t="n">
        <v>380</v>
      </c>
      <c r="G23" t="n">
        <v>0</v>
      </c>
      <c r="H23" t="inlineStr">
        <is>
          <t>Delivered</t>
        </is>
      </c>
      <c r="I23" t="n">
        <v>11400</v>
      </c>
    </row>
    <row r="24">
      <c r="A24" t="n">
        <v>10011</v>
      </c>
      <c r="B24" s="3" t="n">
        <v>45704</v>
      </c>
      <c r="C24" t="inlineStr">
        <is>
          <t>Green Leaf Hotels</t>
        </is>
      </c>
      <c r="D24" t="n">
        <v>108</v>
      </c>
      <c r="E24" t="n">
        <v>30</v>
      </c>
      <c r="F24" t="n">
        <v>290</v>
      </c>
      <c r="G24" t="n">
        <v>5</v>
      </c>
      <c r="H24" t="inlineStr">
        <is>
          <t>Delivered</t>
        </is>
      </c>
      <c r="I24" t="n">
        <v>8265</v>
      </c>
    </row>
    <row r="25">
      <c r="A25" t="n">
        <v>10012</v>
      </c>
      <c r="B25" s="3" t="n">
        <v>45704</v>
      </c>
      <c r="C25" t="inlineStr">
        <is>
          <t>Coastal Foods</t>
        </is>
      </c>
      <c r="D25" t="n">
        <v>105</v>
      </c>
      <c r="E25" t="n">
        <v>40</v>
      </c>
      <c r="F25" t="n">
        <v>1400</v>
      </c>
      <c r="G25" t="n">
        <v>12</v>
      </c>
      <c r="H25" t="inlineStr">
        <is>
          <t>Delivered</t>
        </is>
      </c>
      <c r="I25" t="n">
        <v>49280</v>
      </c>
    </row>
    <row r="26">
      <c r="A26" t="n">
        <v>10012</v>
      </c>
      <c r="B26" s="3" t="n">
        <v>45704</v>
      </c>
      <c r="C26" t="inlineStr">
        <is>
          <t>Coastal Foods</t>
        </is>
      </c>
      <c r="D26" t="n">
        <v>108</v>
      </c>
      <c r="E26" t="n">
        <v>40</v>
      </c>
      <c r="F26" t="n">
        <v>290</v>
      </c>
      <c r="G26" t="n">
        <v>5</v>
      </c>
      <c r="H26" t="inlineStr">
        <is>
          <t>Delivered</t>
        </is>
      </c>
      <c r="I26" t="n">
        <v>11020</v>
      </c>
    </row>
    <row r="27">
      <c r="A27" t="n">
        <v>10013</v>
      </c>
      <c r="B27" s="3" t="n">
        <v>45705</v>
      </c>
      <c r="C27" t="inlineStr">
        <is>
          <t>Northgate Distributors</t>
        </is>
      </c>
      <c r="D27" t="n">
        <v>101</v>
      </c>
      <c r="E27" t="n">
        <v>30</v>
      </c>
      <c r="F27" t="n">
        <v>430</v>
      </c>
      <c r="G27" t="n">
        <v>5</v>
      </c>
      <c r="H27" t="inlineStr">
        <is>
          <t>Delivered</t>
        </is>
      </c>
      <c r="I27" t="n">
        <v>12255</v>
      </c>
    </row>
    <row r="28">
      <c r="A28" t="n">
        <v>10013</v>
      </c>
      <c r="B28" s="3" t="n">
        <v>45705</v>
      </c>
      <c r="C28" t="inlineStr">
        <is>
          <t>Northgate Distributors</t>
        </is>
      </c>
      <c r="D28" t="n">
        <v>108</v>
      </c>
      <c r="E28" t="n">
        <v>30</v>
      </c>
      <c r="F28" t="n">
        <v>290</v>
      </c>
      <c r="G28" t="n">
        <v>8</v>
      </c>
      <c r="H28" t="inlineStr">
        <is>
          <t>Delivered</t>
        </is>
      </c>
      <c r="I28" t="n">
        <v>8004</v>
      </c>
    </row>
    <row r="29">
      <c r="A29" t="n">
        <v>10014</v>
      </c>
      <c r="B29" s="3" t="n">
        <v>45705</v>
      </c>
      <c r="C29" t="inlineStr">
        <is>
          <t>Northgate Distributors</t>
        </is>
      </c>
      <c r="D29" t="n">
        <v>102</v>
      </c>
      <c r="E29" t="n">
        <v>25</v>
      </c>
      <c r="F29" t="n">
        <v>750</v>
      </c>
      <c r="G29" t="n">
        <v>8</v>
      </c>
      <c r="H29" t="inlineStr">
        <is>
          <t>Delivered</t>
        </is>
      </c>
      <c r="I29" t="n">
        <v>17250</v>
      </c>
    </row>
    <row r="30">
      <c r="A30" t="n">
        <v>10015</v>
      </c>
      <c r="B30" s="3" t="n">
        <v>45708</v>
      </c>
      <c r="C30" t="inlineStr">
        <is>
          <t>Sunrise Caterers</t>
        </is>
      </c>
      <c r="D30" t="n">
        <v>108</v>
      </c>
      <c r="E30" t="n">
        <v>20</v>
      </c>
      <c r="F30" t="n">
        <v>290</v>
      </c>
      <c r="G30" t="n">
        <v>0</v>
      </c>
      <c r="H30" t="inlineStr">
        <is>
          <t>Delivered</t>
        </is>
      </c>
      <c r="I30" t="n">
        <v>5800</v>
      </c>
    </row>
    <row r="31">
      <c r="A31" t="n">
        <v>10016</v>
      </c>
      <c r="B31" s="3" t="n">
        <v>45708</v>
      </c>
      <c r="C31" t="inlineStr">
        <is>
          <t>Fresh Bowl Kitchens</t>
        </is>
      </c>
      <c r="D31" t="n">
        <v>101</v>
      </c>
      <c r="E31" t="n">
        <v>25</v>
      </c>
      <c r="F31" t="n">
        <v>430</v>
      </c>
      <c r="G31" t="n">
        <v>0</v>
      </c>
      <c r="H31" t="inlineStr">
        <is>
          <t>Delivered</t>
        </is>
      </c>
      <c r="I31" t="n">
        <v>10750</v>
      </c>
    </row>
    <row r="32">
      <c r="A32" t="n">
        <v>10016</v>
      </c>
      <c r="B32" s="3" t="n">
        <v>45708</v>
      </c>
      <c r="C32" t="inlineStr">
        <is>
          <t>Fresh Bowl Kitchens</t>
        </is>
      </c>
      <c r="D32" t="n">
        <v>103</v>
      </c>
      <c r="E32" t="n">
        <v>50</v>
      </c>
      <c r="F32" t="n">
        <v>115</v>
      </c>
      <c r="G32" t="n">
        <v>5</v>
      </c>
      <c r="H32" t="inlineStr">
        <is>
          <t>Delivered</t>
        </is>
      </c>
      <c r="I32" t="n">
        <v>5462.5</v>
      </c>
    </row>
    <row r="33">
      <c r="A33" t="n">
        <v>10016</v>
      </c>
      <c r="B33" s="3" t="n">
        <v>45708</v>
      </c>
      <c r="C33" t="inlineStr">
        <is>
          <t>Fresh Bowl Kitchens</t>
        </is>
      </c>
      <c r="D33" t="n">
        <v>108</v>
      </c>
      <c r="E33" t="n">
        <v>30</v>
      </c>
      <c r="F33" t="n">
        <v>290</v>
      </c>
      <c r="G33" t="n">
        <v>0</v>
      </c>
      <c r="H33" t="inlineStr">
        <is>
          <t>Delivered</t>
        </is>
      </c>
      <c r="I33" t="n">
        <v>8700</v>
      </c>
    </row>
    <row r="34">
      <c r="A34" t="n">
        <v>10017</v>
      </c>
      <c r="B34" s="3" t="n">
        <v>45713</v>
      </c>
      <c r="C34" t="inlineStr">
        <is>
          <t>Metro Mart</t>
        </is>
      </c>
      <c r="D34" t="n">
        <v>107</v>
      </c>
      <c r="E34" t="n">
        <v>40</v>
      </c>
      <c r="F34" t="n">
        <v>380</v>
      </c>
      <c r="G34" t="n">
        <v>5</v>
      </c>
      <c r="H34" t="inlineStr">
        <is>
          <t>Delivered</t>
        </is>
      </c>
      <c r="I34" t="n">
        <v>14440</v>
      </c>
    </row>
    <row r="35">
      <c r="A35" t="n">
        <v>10018</v>
      </c>
      <c r="B35" s="3" t="n">
        <v>45716</v>
      </c>
      <c r="C35" t="inlineStr">
        <is>
          <t>Sharma Hardware</t>
        </is>
      </c>
      <c r="D35" t="n">
        <v>101</v>
      </c>
      <c r="E35" t="n">
        <v>25</v>
      </c>
      <c r="F35" t="n">
        <v>430</v>
      </c>
      <c r="G35" t="n">
        <v>5</v>
      </c>
      <c r="H35" t="inlineStr">
        <is>
          <t>Delivered</t>
        </is>
      </c>
      <c r="I35" t="n">
        <v>10212.5</v>
      </c>
    </row>
    <row r="36">
      <c r="A36" t="n">
        <v>10018</v>
      </c>
      <c r="B36" s="3" t="n">
        <v>45716</v>
      </c>
      <c r="C36" t="inlineStr">
        <is>
          <t>Sharma Hardware</t>
        </is>
      </c>
      <c r="D36" t="n">
        <v>108</v>
      </c>
      <c r="E36" t="n">
        <v>15</v>
      </c>
      <c r="F36" t="n">
        <v>290</v>
      </c>
      <c r="G36" t="n">
        <v>0</v>
      </c>
      <c r="H36" t="inlineStr">
        <is>
          <t>Delivered</t>
        </is>
      </c>
      <c r="I36" t="n">
        <v>4350</v>
      </c>
    </row>
    <row r="37">
      <c r="A37" t="n">
        <v>10019</v>
      </c>
      <c r="B37" s="3" t="n">
        <v>45720</v>
      </c>
      <c r="C37" t="inlineStr">
        <is>
          <t>Green Leaf Hotels</t>
        </is>
      </c>
      <c r="D37" t="n">
        <v>103</v>
      </c>
      <c r="E37" t="n">
        <v>40</v>
      </c>
      <c r="F37" t="n">
        <v>115</v>
      </c>
      <c r="G37" t="n">
        <v>0</v>
      </c>
      <c r="H37" t="inlineStr">
        <is>
          <t>Delivered</t>
        </is>
      </c>
      <c r="I37" t="n">
        <v>4600</v>
      </c>
    </row>
    <row r="38">
      <c r="A38" t="n">
        <v>10019</v>
      </c>
      <c r="B38" s="3" t="n">
        <v>45720</v>
      </c>
      <c r="C38" t="inlineStr">
        <is>
          <t>Green Leaf Hotels</t>
        </is>
      </c>
      <c r="D38" t="n">
        <v>107</v>
      </c>
      <c r="E38" t="n">
        <v>35</v>
      </c>
      <c r="F38" t="n">
        <v>380</v>
      </c>
      <c r="G38" t="n">
        <v>5</v>
      </c>
      <c r="H38" t="inlineStr">
        <is>
          <t>Delivered</t>
        </is>
      </c>
      <c r="I38" t="n">
        <v>12635</v>
      </c>
    </row>
    <row r="39">
      <c r="A39" t="n">
        <v>10020</v>
      </c>
      <c r="B39" s="3" t="n">
        <v>45726</v>
      </c>
      <c r="C39" t="inlineStr">
        <is>
          <t>Coastal Foods</t>
        </is>
      </c>
      <c r="D39" t="n">
        <v>101</v>
      </c>
      <c r="E39" t="n">
        <v>15</v>
      </c>
      <c r="F39" t="n">
        <v>430</v>
      </c>
      <c r="G39" t="n">
        <v>5</v>
      </c>
      <c r="H39" t="inlineStr">
        <is>
          <t>Delivered</t>
        </is>
      </c>
      <c r="I39" t="n">
        <v>6127.5</v>
      </c>
    </row>
    <row r="40">
      <c r="A40" t="n">
        <v>10020</v>
      </c>
      <c r="B40" s="3" t="n">
        <v>45726</v>
      </c>
      <c r="C40" t="inlineStr">
        <is>
          <t>Coastal Foods</t>
        </is>
      </c>
      <c r="D40" t="n">
        <v>102</v>
      </c>
      <c r="E40" t="n">
        <v>15</v>
      </c>
      <c r="F40" t="n">
        <v>750</v>
      </c>
      <c r="G40" t="n">
        <v>12</v>
      </c>
      <c r="H40" t="inlineStr">
        <is>
          <t>Delivered</t>
        </is>
      </c>
      <c r="I40" t="n">
        <v>9900</v>
      </c>
    </row>
    <row r="41">
      <c r="A41" t="n">
        <v>10020</v>
      </c>
      <c r="B41" s="3" t="n">
        <v>45726</v>
      </c>
      <c r="C41" t="inlineStr">
        <is>
          <t>Coastal Foods</t>
        </is>
      </c>
      <c r="D41" t="n">
        <v>105</v>
      </c>
      <c r="E41" t="n">
        <v>25</v>
      </c>
      <c r="F41" t="n">
        <v>1400</v>
      </c>
      <c r="G41" t="n">
        <v>10</v>
      </c>
      <c r="H41" t="inlineStr">
        <is>
          <t>Delivered</t>
        </is>
      </c>
      <c r="I41" t="n">
        <v>31500</v>
      </c>
    </row>
    <row r="42">
      <c r="A42" t="n">
        <v>10021</v>
      </c>
      <c r="B42" s="3" t="n">
        <v>45734</v>
      </c>
      <c r="C42" t="inlineStr">
        <is>
          <t>Metro Mart</t>
        </is>
      </c>
      <c r="D42" t="n">
        <v>104</v>
      </c>
      <c r="E42" t="n">
        <v>15</v>
      </c>
      <c r="F42" t="n">
        <v>620</v>
      </c>
      <c r="G42" t="n">
        <v>0</v>
      </c>
      <c r="H42" t="inlineStr">
        <is>
          <t>Delivered</t>
        </is>
      </c>
      <c r="I42" t="n">
        <v>9300</v>
      </c>
    </row>
    <row r="43">
      <c r="A43" t="n">
        <v>10022</v>
      </c>
      <c r="B43" s="3" t="n">
        <v>45737</v>
      </c>
      <c r="C43" t="inlineStr">
        <is>
          <t>Sharma Hardware</t>
        </is>
      </c>
      <c r="D43" t="n">
        <v>102</v>
      </c>
      <c r="E43" t="n">
        <v>45</v>
      </c>
      <c r="F43" t="n">
        <v>750</v>
      </c>
      <c r="G43" t="n">
        <v>0</v>
      </c>
      <c r="H43" t="inlineStr">
        <is>
          <t>Delivered</t>
        </is>
      </c>
      <c r="I43" t="n">
        <v>33750</v>
      </c>
    </row>
    <row r="44">
      <c r="A44" t="n">
        <v>10022</v>
      </c>
      <c r="B44" s="3" t="n">
        <v>45737</v>
      </c>
      <c r="C44" t="inlineStr">
        <is>
          <t>Sharma Hardware</t>
        </is>
      </c>
      <c r="D44" t="n">
        <v>107</v>
      </c>
      <c r="E44" t="n">
        <v>15</v>
      </c>
      <c r="F44" t="n">
        <v>380</v>
      </c>
      <c r="G44" t="n">
        <v>0</v>
      </c>
      <c r="H44" t="inlineStr">
        <is>
          <t>Delivered</t>
        </is>
      </c>
      <c r="I44" t="n">
        <v>5700</v>
      </c>
    </row>
    <row r="45">
      <c r="A45" t="n">
        <v>10023</v>
      </c>
      <c r="B45" s="3" t="n">
        <v>45737</v>
      </c>
      <c r="C45" t="inlineStr">
        <is>
          <t>Blue Bay Cafe</t>
        </is>
      </c>
      <c r="D45" t="n">
        <v>108</v>
      </c>
      <c r="E45" t="n">
        <v>10</v>
      </c>
      <c r="F45" t="n">
        <v>290</v>
      </c>
      <c r="G45" t="n">
        <v>0</v>
      </c>
      <c r="H45" t="inlineStr">
        <is>
          <t>Delivered</t>
        </is>
      </c>
      <c r="I45" t="n">
        <v>2900</v>
      </c>
    </row>
    <row r="46">
      <c r="A46" t="n">
        <v>10024</v>
      </c>
      <c r="B46" s="3" t="n">
        <v>45738</v>
      </c>
      <c r="C46" t="inlineStr">
        <is>
          <t>Northgate Distributors</t>
        </is>
      </c>
      <c r="D46" t="n">
        <v>101</v>
      </c>
      <c r="E46" t="n">
        <v>35</v>
      </c>
      <c r="F46" t="n">
        <v>430</v>
      </c>
      <c r="G46" t="n">
        <v>10</v>
      </c>
      <c r="H46" t="inlineStr">
        <is>
          <t>Delivered</t>
        </is>
      </c>
      <c r="I46" t="n">
        <v>13545</v>
      </c>
    </row>
    <row r="47">
      <c r="A47" t="n">
        <v>10024</v>
      </c>
      <c r="B47" s="3" t="n">
        <v>45738</v>
      </c>
      <c r="C47" t="inlineStr">
        <is>
          <t>Northgate Distributors</t>
        </is>
      </c>
      <c r="D47" t="n">
        <v>102</v>
      </c>
      <c r="E47" t="n">
        <v>20</v>
      </c>
      <c r="F47" t="n">
        <v>750</v>
      </c>
      <c r="G47" t="n">
        <v>5</v>
      </c>
      <c r="H47" t="inlineStr">
        <is>
          <t>Delivered</t>
        </is>
      </c>
      <c r="I47" t="n">
        <v>14250</v>
      </c>
    </row>
    <row r="48">
      <c r="A48" t="n">
        <v>10025</v>
      </c>
      <c r="B48" s="3" t="n">
        <v>45738</v>
      </c>
      <c r="C48" t="inlineStr">
        <is>
          <t>City Needs Store</t>
        </is>
      </c>
      <c r="D48" t="n">
        <v>102</v>
      </c>
      <c r="E48" t="n">
        <v>30</v>
      </c>
      <c r="F48" t="n">
        <v>750</v>
      </c>
      <c r="G48" t="n">
        <v>5</v>
      </c>
      <c r="H48" t="inlineStr">
        <is>
          <t>Delivered</t>
        </is>
      </c>
      <c r="I48" t="n">
        <v>21375</v>
      </c>
    </row>
    <row r="49">
      <c r="A49" t="n">
        <v>10026</v>
      </c>
      <c r="B49" s="3" t="n">
        <v>45742</v>
      </c>
      <c r="C49" t="inlineStr">
        <is>
          <t>Fresh Bowl Kitchens</t>
        </is>
      </c>
      <c r="D49" t="n">
        <v>101</v>
      </c>
      <c r="E49" t="n">
        <v>55</v>
      </c>
      <c r="F49" t="n">
        <v>430</v>
      </c>
      <c r="G49" t="n">
        <v>0</v>
      </c>
      <c r="H49" t="inlineStr">
        <is>
          <t>Delivered</t>
        </is>
      </c>
      <c r="I49" t="n">
        <v>23650</v>
      </c>
    </row>
    <row r="50">
      <c r="A50" t="n">
        <v>10026</v>
      </c>
      <c r="B50" s="3" t="n">
        <v>45742</v>
      </c>
      <c r="C50" t="inlineStr">
        <is>
          <t>Fresh Bowl Kitchens</t>
        </is>
      </c>
      <c r="D50" t="n">
        <v>107</v>
      </c>
      <c r="E50" t="n">
        <v>45</v>
      </c>
      <c r="F50" t="n">
        <v>380</v>
      </c>
      <c r="G50" t="n">
        <v>0</v>
      </c>
      <c r="H50" t="inlineStr">
        <is>
          <t>Delivered</t>
        </is>
      </c>
      <c r="I50" t="n">
        <v>17100</v>
      </c>
    </row>
    <row r="51">
      <c r="A51" t="n">
        <v>10027</v>
      </c>
      <c r="B51" s="3" t="n">
        <v>45743</v>
      </c>
      <c r="C51" t="inlineStr">
        <is>
          <t>Om Sai Provisions</t>
        </is>
      </c>
      <c r="D51" t="n">
        <v>108</v>
      </c>
      <c r="E51" t="n">
        <v>40</v>
      </c>
      <c r="F51" t="n">
        <v>290</v>
      </c>
      <c r="G51" t="n">
        <v>0</v>
      </c>
      <c r="H51" t="inlineStr">
        <is>
          <t>Delivered</t>
        </is>
      </c>
      <c r="I51" t="n">
        <v>11600</v>
      </c>
    </row>
    <row r="52">
      <c r="A52" t="n">
        <v>10028</v>
      </c>
      <c r="B52" s="3" t="n">
        <v>45744</v>
      </c>
      <c r="C52" t="inlineStr">
        <is>
          <t>Sharma Hardware</t>
        </is>
      </c>
      <c r="D52" t="n">
        <v>102</v>
      </c>
      <c r="E52" t="n">
        <v>35</v>
      </c>
      <c r="F52" t="n">
        <v>750</v>
      </c>
      <c r="G52" t="n">
        <v>5</v>
      </c>
      <c r="H52" t="inlineStr">
        <is>
          <t>Delivered</t>
        </is>
      </c>
      <c r="I52" t="n">
        <v>24937.5</v>
      </c>
    </row>
    <row r="53">
      <c r="A53" t="n">
        <v>10029</v>
      </c>
      <c r="B53" s="3" t="n">
        <v>45744</v>
      </c>
      <c r="C53" t="inlineStr">
        <is>
          <t>Patel Kitchenware</t>
        </is>
      </c>
      <c r="D53" t="n">
        <v>102</v>
      </c>
      <c r="E53" t="n">
        <v>25</v>
      </c>
      <c r="F53" t="n">
        <v>750</v>
      </c>
      <c r="G53" t="n">
        <v>0</v>
      </c>
      <c r="H53" t="inlineStr">
        <is>
          <t>Delivered</t>
        </is>
      </c>
      <c r="I53" t="n">
        <v>18750</v>
      </c>
    </row>
    <row r="54">
      <c r="A54" t="n">
        <v>10029</v>
      </c>
      <c r="B54" s="3" t="n">
        <v>45744</v>
      </c>
      <c r="C54" t="inlineStr">
        <is>
          <t>Patel Kitchenware</t>
        </is>
      </c>
      <c r="D54" t="n">
        <v>106</v>
      </c>
      <c r="E54" t="n">
        <v>15</v>
      </c>
      <c r="F54" t="n">
        <v>1150</v>
      </c>
      <c r="G54" t="n">
        <v>5</v>
      </c>
      <c r="H54" t="inlineStr">
        <is>
          <t>Delivered</t>
        </is>
      </c>
      <c r="I54" t="n">
        <v>16387.5</v>
      </c>
    </row>
    <row r="55">
      <c r="A55" t="n">
        <v>10030</v>
      </c>
      <c r="B55" s="3" t="n">
        <v>45755</v>
      </c>
      <c r="C55" t="inlineStr">
        <is>
          <t>Metro Mart</t>
        </is>
      </c>
      <c r="D55" t="n">
        <v>107</v>
      </c>
      <c r="E55" t="n">
        <v>35</v>
      </c>
      <c r="F55" t="n">
        <v>380</v>
      </c>
      <c r="G55" t="n">
        <v>5</v>
      </c>
      <c r="H55" t="inlineStr">
        <is>
          <t>Delivered</t>
        </is>
      </c>
      <c r="I55" t="n">
        <v>12635</v>
      </c>
    </row>
    <row r="56">
      <c r="A56" t="n">
        <v>10031</v>
      </c>
      <c r="B56" s="3" t="n">
        <v>45756</v>
      </c>
      <c r="C56" t="inlineStr">
        <is>
          <t>Harbour Traders</t>
        </is>
      </c>
      <c r="D56" t="n">
        <v>101</v>
      </c>
      <c r="E56" t="n">
        <v>15</v>
      </c>
      <c r="F56" t="n">
        <v>430</v>
      </c>
      <c r="G56" t="n">
        <v>8</v>
      </c>
      <c r="H56" t="inlineStr">
        <is>
          <t>Delivered</t>
        </is>
      </c>
      <c r="I56" t="n">
        <v>5934</v>
      </c>
    </row>
    <row r="57">
      <c r="A57" t="n">
        <v>10032</v>
      </c>
      <c r="B57" s="3" t="n">
        <v>45758</v>
      </c>
      <c r="C57" t="inlineStr">
        <is>
          <t>Patel Kitchenware</t>
        </is>
      </c>
      <c r="D57" t="n">
        <v>101</v>
      </c>
      <c r="E57" t="n">
        <v>30</v>
      </c>
      <c r="F57" t="n">
        <v>430</v>
      </c>
      <c r="G57" t="n">
        <v>0</v>
      </c>
      <c r="H57" t="inlineStr">
        <is>
          <t>Delivered</t>
        </is>
      </c>
      <c r="I57" t="n">
        <v>12900</v>
      </c>
    </row>
    <row r="58">
      <c r="A58" t="n">
        <v>10032</v>
      </c>
      <c r="B58" s="3" t="n">
        <v>45758</v>
      </c>
      <c r="C58" t="inlineStr">
        <is>
          <t>Patel Kitchenware</t>
        </is>
      </c>
      <c r="D58" t="n">
        <v>103</v>
      </c>
      <c r="E58" t="n">
        <v>35</v>
      </c>
      <c r="F58" t="n">
        <v>115</v>
      </c>
      <c r="G58" t="n">
        <v>0</v>
      </c>
      <c r="H58" t="inlineStr">
        <is>
          <t>Delivered</t>
        </is>
      </c>
      <c r="I58" t="n">
        <v>4025</v>
      </c>
    </row>
    <row r="59">
      <c r="A59" t="n">
        <v>10032</v>
      </c>
      <c r="B59" s="3" t="n">
        <v>45758</v>
      </c>
      <c r="C59" t="inlineStr">
        <is>
          <t>Patel Kitchenware</t>
        </is>
      </c>
      <c r="D59" t="n">
        <v>108</v>
      </c>
      <c r="E59" t="n">
        <v>10</v>
      </c>
      <c r="F59" t="n">
        <v>290</v>
      </c>
      <c r="G59" t="n">
        <v>0</v>
      </c>
      <c r="H59" t="inlineStr">
        <is>
          <t>Delivered</t>
        </is>
      </c>
      <c r="I59" t="n">
        <v>2900</v>
      </c>
    </row>
    <row r="60">
      <c r="A60" t="n">
        <v>10033</v>
      </c>
      <c r="B60" s="3" t="n">
        <v>45758</v>
      </c>
      <c r="C60" t="inlineStr">
        <is>
          <t>Green Leaf Hotels</t>
        </is>
      </c>
      <c r="D60" t="n">
        <v>104</v>
      </c>
      <c r="E60" t="n">
        <v>10</v>
      </c>
      <c r="F60" t="n">
        <v>620</v>
      </c>
      <c r="G60" t="n">
        <v>5</v>
      </c>
      <c r="H60" t="inlineStr">
        <is>
          <t>Delivered</t>
        </is>
      </c>
      <c r="I60" t="n">
        <v>5890</v>
      </c>
    </row>
    <row r="61">
      <c r="A61" t="n">
        <v>10033</v>
      </c>
      <c r="B61" s="3" t="n">
        <v>45758</v>
      </c>
      <c r="C61" t="inlineStr">
        <is>
          <t>Green Leaf Hotels</t>
        </is>
      </c>
      <c r="D61" t="n">
        <v>107</v>
      </c>
      <c r="E61" t="n">
        <v>20</v>
      </c>
      <c r="F61" t="n">
        <v>380</v>
      </c>
      <c r="G61" t="n">
        <v>5</v>
      </c>
      <c r="H61" t="inlineStr">
        <is>
          <t>Delivered</t>
        </is>
      </c>
      <c r="I61" t="n">
        <v>7220</v>
      </c>
    </row>
    <row r="62">
      <c r="A62" t="n">
        <v>10034</v>
      </c>
      <c r="B62" s="3" t="n">
        <v>45760</v>
      </c>
      <c r="C62" t="inlineStr">
        <is>
          <t>City Needs Store</t>
        </is>
      </c>
      <c r="D62" t="n">
        <v>104</v>
      </c>
      <c r="E62" t="n">
        <v>40</v>
      </c>
      <c r="F62" t="n">
        <v>620</v>
      </c>
      <c r="G62" t="n">
        <v>0</v>
      </c>
      <c r="H62" t="inlineStr">
        <is>
          <t>Cancelled</t>
        </is>
      </c>
      <c r="I62" t="n">
        <v>24800</v>
      </c>
    </row>
    <row r="63">
      <c r="A63" t="n">
        <v>10035</v>
      </c>
      <c r="B63" s="3" t="n">
        <v>45761</v>
      </c>
      <c r="C63" t="inlineStr">
        <is>
          <t>Green Leaf Hotels</t>
        </is>
      </c>
      <c r="D63" t="n">
        <v>101</v>
      </c>
      <c r="E63" t="n">
        <v>25</v>
      </c>
      <c r="F63" t="n">
        <v>430</v>
      </c>
      <c r="G63" t="n">
        <v>5</v>
      </c>
      <c r="H63" t="inlineStr">
        <is>
          <t>Delivered</t>
        </is>
      </c>
      <c r="I63" t="n">
        <v>10212.5</v>
      </c>
    </row>
    <row r="64">
      <c r="A64" t="n">
        <v>10036</v>
      </c>
      <c r="B64" s="3" t="n">
        <v>45762</v>
      </c>
      <c r="C64" t="inlineStr">
        <is>
          <t>Fresh Bowl Kitchens</t>
        </is>
      </c>
      <c r="D64" t="n">
        <v>103</v>
      </c>
      <c r="E64" t="n">
        <v>35</v>
      </c>
      <c r="F64" t="n">
        <v>115</v>
      </c>
      <c r="G64" t="n">
        <v>0</v>
      </c>
      <c r="H64" t="inlineStr">
        <is>
          <t>Delivered</t>
        </is>
      </c>
      <c r="I64" t="n">
        <v>4025</v>
      </c>
    </row>
    <row r="65">
      <c r="A65" t="n">
        <v>10036</v>
      </c>
      <c r="B65" s="3" t="n">
        <v>45762</v>
      </c>
      <c r="C65" t="inlineStr">
        <is>
          <t>Fresh Bowl Kitchens</t>
        </is>
      </c>
      <c r="D65" t="n">
        <v>104</v>
      </c>
      <c r="E65" t="n">
        <v>30</v>
      </c>
      <c r="F65" t="n">
        <v>620</v>
      </c>
      <c r="G65" t="n">
        <v>5</v>
      </c>
      <c r="H65" t="inlineStr">
        <is>
          <t>Delivered</t>
        </is>
      </c>
      <c r="I65" t="n">
        <v>17670</v>
      </c>
    </row>
    <row r="66">
      <c r="A66" t="n">
        <v>10036</v>
      </c>
      <c r="B66" s="3" t="n">
        <v>45762</v>
      </c>
      <c r="C66" t="inlineStr">
        <is>
          <t>Fresh Bowl Kitchens</t>
        </is>
      </c>
      <c r="D66" t="n">
        <v>107</v>
      </c>
      <c r="E66" t="n">
        <v>35</v>
      </c>
      <c r="F66" t="n">
        <v>380</v>
      </c>
      <c r="G66" t="n">
        <v>0</v>
      </c>
      <c r="H66" t="inlineStr">
        <is>
          <t>Delivered</t>
        </is>
      </c>
      <c r="I66" t="n">
        <v>13300</v>
      </c>
    </row>
    <row r="67">
      <c r="A67" t="n">
        <v>10037</v>
      </c>
      <c r="B67" s="3" t="n">
        <v>45767</v>
      </c>
      <c r="C67" t="inlineStr">
        <is>
          <t>Metro Mart</t>
        </is>
      </c>
      <c r="D67" t="n">
        <v>101</v>
      </c>
      <c r="E67" t="n">
        <v>45</v>
      </c>
      <c r="F67" t="n">
        <v>430</v>
      </c>
      <c r="G67" t="n">
        <v>0</v>
      </c>
      <c r="H67" t="inlineStr">
        <is>
          <t>Delivered</t>
        </is>
      </c>
      <c r="I67" t="n">
        <v>19350</v>
      </c>
    </row>
    <row r="68">
      <c r="A68" t="n">
        <v>10037</v>
      </c>
      <c r="B68" s="3" t="n">
        <v>45767</v>
      </c>
      <c r="C68" t="inlineStr">
        <is>
          <t>Metro Mart</t>
        </is>
      </c>
      <c r="D68" t="n">
        <v>108</v>
      </c>
      <c r="E68" t="n">
        <v>30</v>
      </c>
      <c r="F68" t="n">
        <v>290</v>
      </c>
      <c r="G68" t="n">
        <v>5</v>
      </c>
      <c r="H68" t="inlineStr">
        <is>
          <t>Delivered</t>
        </is>
      </c>
      <c r="I68" t="n">
        <v>8265</v>
      </c>
    </row>
    <row r="69">
      <c r="A69" t="n">
        <v>10038</v>
      </c>
      <c r="B69" s="3" t="n">
        <v>45768</v>
      </c>
      <c r="C69" t="inlineStr">
        <is>
          <t>Sunrise Caterers</t>
        </is>
      </c>
      <c r="D69" t="n">
        <v>107</v>
      </c>
      <c r="E69" t="n">
        <v>50</v>
      </c>
      <c r="F69" t="n">
        <v>380</v>
      </c>
      <c r="G69" t="n">
        <v>0</v>
      </c>
      <c r="H69" t="inlineStr">
        <is>
          <t>Delivered</t>
        </is>
      </c>
      <c r="I69" t="n">
        <v>19000</v>
      </c>
    </row>
    <row r="70">
      <c r="A70" t="n">
        <v>10039</v>
      </c>
      <c r="B70" s="3" t="n">
        <v>45769</v>
      </c>
      <c r="C70" t="inlineStr">
        <is>
          <t>Sharma Hardware</t>
        </is>
      </c>
      <c r="D70" t="n">
        <v>102</v>
      </c>
      <c r="E70" t="n">
        <v>15</v>
      </c>
      <c r="F70" t="n">
        <v>750</v>
      </c>
      <c r="G70" t="n">
        <v>5</v>
      </c>
      <c r="H70" t="inlineStr">
        <is>
          <t>Delivered</t>
        </is>
      </c>
      <c r="I70" t="n">
        <v>10687.5</v>
      </c>
    </row>
    <row r="71">
      <c r="A71" t="n">
        <v>10039</v>
      </c>
      <c r="B71" s="3" t="n">
        <v>45769</v>
      </c>
      <c r="C71" t="inlineStr">
        <is>
          <t>Sharma Hardware</t>
        </is>
      </c>
      <c r="D71" t="n">
        <v>104</v>
      </c>
      <c r="E71" t="n">
        <v>35</v>
      </c>
      <c r="F71" t="n">
        <v>620</v>
      </c>
      <c r="G71" t="n">
        <v>0</v>
      </c>
      <c r="H71" t="inlineStr">
        <is>
          <t>Delivered</t>
        </is>
      </c>
      <c r="I71" t="n">
        <v>21700</v>
      </c>
    </row>
    <row r="72">
      <c r="A72" t="n">
        <v>10040</v>
      </c>
      <c r="B72" s="3" t="n">
        <v>45770</v>
      </c>
      <c r="C72" t="inlineStr">
        <is>
          <t>Coastal Foods</t>
        </is>
      </c>
      <c r="D72" t="n">
        <v>108</v>
      </c>
      <c r="E72" t="n">
        <v>25</v>
      </c>
      <c r="F72" t="n">
        <v>290</v>
      </c>
      <c r="G72" t="n">
        <v>5</v>
      </c>
      <c r="H72" t="inlineStr">
        <is>
          <t>Delivered</t>
        </is>
      </c>
      <c r="I72" t="n">
        <v>6887.5</v>
      </c>
    </row>
    <row r="73">
      <c r="A73" t="n">
        <v>10041</v>
      </c>
      <c r="B73" s="3" t="n">
        <v>45770</v>
      </c>
      <c r="C73" t="inlineStr">
        <is>
          <t>Fresh Bowl Kitchens</t>
        </is>
      </c>
      <c r="D73" t="n">
        <v>103</v>
      </c>
      <c r="E73" t="n">
        <v>35</v>
      </c>
      <c r="F73" t="n">
        <v>115</v>
      </c>
      <c r="G73" t="n">
        <v>0</v>
      </c>
      <c r="H73" t="inlineStr">
        <is>
          <t>Delivered</t>
        </is>
      </c>
      <c r="I73" t="n">
        <v>4025</v>
      </c>
    </row>
    <row r="74">
      <c r="A74" t="n">
        <v>10041</v>
      </c>
      <c r="B74" s="3" t="n">
        <v>45770</v>
      </c>
      <c r="C74" t="inlineStr">
        <is>
          <t>Fresh Bowl Kitchens</t>
        </is>
      </c>
      <c r="D74" t="n">
        <v>108</v>
      </c>
      <c r="E74" t="n">
        <v>60</v>
      </c>
      <c r="F74" t="n">
        <v>290</v>
      </c>
      <c r="G74" t="n">
        <v>5</v>
      </c>
      <c r="H74" t="inlineStr">
        <is>
          <t>Delivered</t>
        </is>
      </c>
      <c r="I74" t="n">
        <v>16530</v>
      </c>
    </row>
    <row r="75">
      <c r="A75" t="n">
        <v>10042</v>
      </c>
      <c r="B75" s="3" t="n">
        <v>45772</v>
      </c>
      <c r="C75" t="inlineStr">
        <is>
          <t>Northgate Distributors</t>
        </is>
      </c>
      <c r="D75" t="n">
        <v>102</v>
      </c>
      <c r="E75" t="n">
        <v>10</v>
      </c>
      <c r="F75" t="n">
        <v>750</v>
      </c>
      <c r="G75" t="n">
        <v>5</v>
      </c>
      <c r="H75" t="inlineStr">
        <is>
          <t>Delivered</t>
        </is>
      </c>
      <c r="I75" t="n">
        <v>7125</v>
      </c>
    </row>
    <row r="76">
      <c r="A76" t="n">
        <v>10043</v>
      </c>
      <c r="B76" s="3" t="n">
        <v>45781</v>
      </c>
      <c r="C76" t="inlineStr">
        <is>
          <t>Patel Kitchenware</t>
        </is>
      </c>
      <c r="D76" t="n">
        <v>102</v>
      </c>
      <c r="E76" t="n">
        <v>15</v>
      </c>
      <c r="F76" t="n">
        <v>750</v>
      </c>
      <c r="G76" t="n">
        <v>0</v>
      </c>
      <c r="H76" t="inlineStr">
        <is>
          <t>Delivered</t>
        </is>
      </c>
      <c r="I76" t="n">
        <v>11250</v>
      </c>
    </row>
    <row r="77">
      <c r="A77" t="n">
        <v>10043</v>
      </c>
      <c r="B77" s="3" t="n">
        <v>45781</v>
      </c>
      <c r="C77" t="inlineStr">
        <is>
          <t>Patel Kitchenware</t>
        </is>
      </c>
      <c r="D77" t="n">
        <v>104</v>
      </c>
      <c r="E77" t="n">
        <v>20</v>
      </c>
      <c r="F77" t="n">
        <v>620</v>
      </c>
      <c r="G77" t="n">
        <v>0</v>
      </c>
      <c r="H77" t="inlineStr">
        <is>
          <t>Delivered</t>
        </is>
      </c>
      <c r="I77" t="n">
        <v>12400</v>
      </c>
    </row>
    <row r="78">
      <c r="A78" t="n">
        <v>10044</v>
      </c>
      <c r="B78" s="3" t="n">
        <v>45781</v>
      </c>
      <c r="C78" t="inlineStr">
        <is>
          <t>Coastal Foods</t>
        </is>
      </c>
      <c r="D78" t="n">
        <v>101</v>
      </c>
      <c r="E78" t="n">
        <v>15</v>
      </c>
      <c r="F78" t="n">
        <v>430</v>
      </c>
      <c r="G78" t="n">
        <v>8</v>
      </c>
      <c r="H78" t="inlineStr">
        <is>
          <t>Delivered</t>
        </is>
      </c>
      <c r="I78" t="n">
        <v>5934</v>
      </c>
    </row>
    <row r="79">
      <c r="A79" t="n">
        <v>10044</v>
      </c>
      <c r="B79" s="3" t="n">
        <v>45781</v>
      </c>
      <c r="C79" t="inlineStr">
        <is>
          <t>Coastal Foods</t>
        </is>
      </c>
      <c r="D79" t="n">
        <v>105</v>
      </c>
      <c r="E79" t="n">
        <v>35</v>
      </c>
      <c r="F79" t="n">
        <v>1400</v>
      </c>
      <c r="G79" t="n">
        <v>10</v>
      </c>
      <c r="H79" t="inlineStr">
        <is>
          <t>Delivered</t>
        </is>
      </c>
      <c r="I79" t="n">
        <v>44100</v>
      </c>
    </row>
    <row r="80">
      <c r="A80" t="n">
        <v>10044</v>
      </c>
      <c r="B80" s="3" t="n">
        <v>45781</v>
      </c>
      <c r="C80" t="inlineStr">
        <is>
          <t>Coastal Foods</t>
        </is>
      </c>
      <c r="D80" t="n">
        <v>108</v>
      </c>
      <c r="E80" t="n">
        <v>5</v>
      </c>
      <c r="F80" t="n">
        <v>290</v>
      </c>
      <c r="G80" t="n">
        <v>12</v>
      </c>
      <c r="H80" t="inlineStr">
        <is>
          <t>Delivered</t>
        </is>
      </c>
      <c r="I80" t="n">
        <v>1276</v>
      </c>
    </row>
    <row r="81">
      <c r="A81" t="n">
        <v>10045</v>
      </c>
      <c r="B81" s="3" t="n">
        <v>45781</v>
      </c>
      <c r="C81" t="inlineStr">
        <is>
          <t>Om Sai Provisions</t>
        </is>
      </c>
      <c r="D81" t="n">
        <v>102</v>
      </c>
      <c r="E81" t="n">
        <v>25</v>
      </c>
      <c r="F81" t="n">
        <v>750</v>
      </c>
      <c r="G81" t="n">
        <v>0</v>
      </c>
      <c r="H81" t="inlineStr">
        <is>
          <t>Delivered</t>
        </is>
      </c>
      <c r="I81" t="n">
        <v>18750</v>
      </c>
    </row>
    <row r="82">
      <c r="A82" t="n">
        <v>10045</v>
      </c>
      <c r="B82" s="3" t="n">
        <v>45781</v>
      </c>
      <c r="C82" t="inlineStr">
        <is>
          <t>Om Sai Provisions</t>
        </is>
      </c>
      <c r="D82" t="n">
        <v>103</v>
      </c>
      <c r="E82" t="n">
        <v>35</v>
      </c>
      <c r="F82" t="n">
        <v>115</v>
      </c>
      <c r="G82" t="n">
        <v>0</v>
      </c>
      <c r="H82" t="inlineStr">
        <is>
          <t>Delivered</t>
        </is>
      </c>
      <c r="I82" t="n">
        <v>4025</v>
      </c>
    </row>
    <row r="83">
      <c r="A83" t="n">
        <v>10046</v>
      </c>
      <c r="B83" s="3" t="n">
        <v>45783</v>
      </c>
      <c r="C83" t="inlineStr">
        <is>
          <t>Deccan Packaging</t>
        </is>
      </c>
      <c r="D83" t="n">
        <v>101</v>
      </c>
      <c r="E83" t="n">
        <v>15</v>
      </c>
      <c r="F83" t="n">
        <v>430</v>
      </c>
      <c r="G83" t="n">
        <v>10</v>
      </c>
      <c r="H83" t="inlineStr">
        <is>
          <t>Delivered</t>
        </is>
      </c>
      <c r="I83" t="n">
        <v>5805</v>
      </c>
    </row>
    <row r="84">
      <c r="A84" t="n">
        <v>10047</v>
      </c>
      <c r="B84" s="3" t="n">
        <v>45784</v>
      </c>
      <c r="C84" t="inlineStr">
        <is>
          <t>Sharma Hardware</t>
        </is>
      </c>
      <c r="D84" t="n">
        <v>106</v>
      </c>
      <c r="E84" t="n">
        <v>15</v>
      </c>
      <c r="F84" t="n">
        <v>1150</v>
      </c>
      <c r="G84" t="n">
        <v>0</v>
      </c>
      <c r="H84" t="inlineStr">
        <is>
          <t>Delivered</t>
        </is>
      </c>
      <c r="I84" t="n">
        <v>17250</v>
      </c>
    </row>
    <row r="85">
      <c r="A85" t="n">
        <v>10048</v>
      </c>
      <c r="B85" s="3" t="n">
        <v>45785</v>
      </c>
      <c r="C85" t="inlineStr">
        <is>
          <t>Metro Mart</t>
        </is>
      </c>
      <c r="D85" t="n">
        <v>103</v>
      </c>
      <c r="E85" t="n">
        <v>20</v>
      </c>
      <c r="F85" t="n">
        <v>115</v>
      </c>
      <c r="G85" t="n">
        <v>0</v>
      </c>
      <c r="H85" t="inlineStr">
        <is>
          <t>Delivered</t>
        </is>
      </c>
      <c r="I85" t="n">
        <v>2300</v>
      </c>
    </row>
    <row r="86">
      <c r="A86" t="n">
        <v>10048</v>
      </c>
      <c r="B86" s="3" t="n">
        <v>45785</v>
      </c>
      <c r="C86" t="inlineStr">
        <is>
          <t>Metro Mart</t>
        </is>
      </c>
      <c r="D86" t="n">
        <v>107</v>
      </c>
      <c r="E86" t="n">
        <v>15</v>
      </c>
      <c r="F86" t="n">
        <v>380</v>
      </c>
      <c r="G86" t="n">
        <v>0</v>
      </c>
      <c r="H86" t="inlineStr">
        <is>
          <t>Delivered</t>
        </is>
      </c>
      <c r="I86" t="n">
        <v>5700</v>
      </c>
    </row>
    <row r="87">
      <c r="A87" t="n">
        <v>10049</v>
      </c>
      <c r="B87" s="3" t="n">
        <v>45790</v>
      </c>
      <c r="C87" t="inlineStr">
        <is>
          <t>Northgate Distributors</t>
        </is>
      </c>
      <c r="D87" t="n">
        <v>102</v>
      </c>
      <c r="E87" t="n">
        <v>20</v>
      </c>
      <c r="F87" t="n">
        <v>750</v>
      </c>
      <c r="G87" t="n">
        <v>12</v>
      </c>
      <c r="H87" t="inlineStr">
        <is>
          <t>Delivered</t>
        </is>
      </c>
      <c r="I87" t="n">
        <v>13200</v>
      </c>
    </row>
    <row r="88">
      <c r="A88" t="n">
        <v>10049</v>
      </c>
      <c r="B88" s="3" t="n">
        <v>45790</v>
      </c>
      <c r="C88" t="inlineStr">
        <is>
          <t>Northgate Distributors</t>
        </is>
      </c>
      <c r="D88" t="n">
        <v>108</v>
      </c>
      <c r="E88" t="n">
        <v>35</v>
      </c>
      <c r="F88" t="n">
        <v>290</v>
      </c>
      <c r="G88" t="n">
        <v>10</v>
      </c>
      <c r="H88" t="inlineStr">
        <is>
          <t>Delivered</t>
        </is>
      </c>
      <c r="I88" t="n">
        <v>9135</v>
      </c>
    </row>
    <row r="89">
      <c r="A89" t="n">
        <v>10050</v>
      </c>
      <c r="B89" s="3" t="n">
        <v>45792</v>
      </c>
      <c r="C89" t="inlineStr">
        <is>
          <t>Northgate Distributors</t>
        </is>
      </c>
      <c r="D89" t="n">
        <v>101</v>
      </c>
      <c r="E89" t="n">
        <v>40</v>
      </c>
      <c r="F89" t="n">
        <v>430</v>
      </c>
      <c r="G89" t="n">
        <v>10</v>
      </c>
      <c r="H89" t="inlineStr">
        <is>
          <t>Delivered</t>
        </is>
      </c>
      <c r="I89" t="n">
        <v>15480</v>
      </c>
    </row>
    <row r="90">
      <c r="A90" t="n">
        <v>10050</v>
      </c>
      <c r="B90" s="3" t="n">
        <v>45792</v>
      </c>
      <c r="C90" t="inlineStr">
        <is>
          <t>Northgate Distributors</t>
        </is>
      </c>
      <c r="D90" t="n">
        <v>102</v>
      </c>
      <c r="E90" t="n">
        <v>15</v>
      </c>
      <c r="F90" t="n">
        <v>750</v>
      </c>
      <c r="G90" t="n">
        <v>5</v>
      </c>
      <c r="H90" t="inlineStr">
        <is>
          <t>Delivered</t>
        </is>
      </c>
      <c r="I90" t="n">
        <v>10687.5</v>
      </c>
    </row>
    <row r="91">
      <c r="A91" t="n">
        <v>10050</v>
      </c>
      <c r="B91" s="3" t="n">
        <v>45792</v>
      </c>
      <c r="C91" t="inlineStr">
        <is>
          <t>Northgate Distributors</t>
        </is>
      </c>
      <c r="D91" t="n">
        <v>108</v>
      </c>
      <c r="E91" t="n">
        <v>40</v>
      </c>
      <c r="F91" t="n">
        <v>290</v>
      </c>
      <c r="G91" t="n">
        <v>10</v>
      </c>
      <c r="H91" t="inlineStr">
        <is>
          <t>Delivered</t>
        </is>
      </c>
      <c r="I91" t="n">
        <v>10440</v>
      </c>
    </row>
    <row r="92">
      <c r="A92" t="n">
        <v>10051</v>
      </c>
      <c r="B92" s="3" t="n">
        <v>45793</v>
      </c>
      <c r="C92" t="inlineStr">
        <is>
          <t>Fresh Bowl Kitchens</t>
        </is>
      </c>
      <c r="D92" t="n">
        <v>103</v>
      </c>
      <c r="E92" t="n">
        <v>55</v>
      </c>
      <c r="F92" t="n">
        <v>115</v>
      </c>
      <c r="G92" t="n">
        <v>0</v>
      </c>
      <c r="H92" t="inlineStr">
        <is>
          <t>Delivered</t>
        </is>
      </c>
      <c r="I92" t="n">
        <v>6325</v>
      </c>
    </row>
    <row r="93">
      <c r="A93" t="n">
        <v>10051</v>
      </c>
      <c r="B93" s="3" t="n">
        <v>45793</v>
      </c>
      <c r="C93" t="inlineStr">
        <is>
          <t>Fresh Bowl Kitchens</t>
        </is>
      </c>
      <c r="D93" t="n">
        <v>104</v>
      </c>
      <c r="E93" t="n">
        <v>25</v>
      </c>
      <c r="F93" t="n">
        <v>620</v>
      </c>
      <c r="G93" t="n">
        <v>5</v>
      </c>
      <c r="H93" t="inlineStr">
        <is>
          <t>Delivered</t>
        </is>
      </c>
      <c r="I93" t="n">
        <v>14725</v>
      </c>
    </row>
    <row r="94">
      <c r="A94" t="n">
        <v>10052</v>
      </c>
      <c r="B94" s="3" t="n">
        <v>45797</v>
      </c>
      <c r="C94" t="inlineStr">
        <is>
          <t>Green Leaf Hotels</t>
        </is>
      </c>
      <c r="D94" t="n">
        <v>101</v>
      </c>
      <c r="E94" t="n">
        <v>35</v>
      </c>
      <c r="F94" t="n">
        <v>430</v>
      </c>
      <c r="G94" t="n">
        <v>0</v>
      </c>
      <c r="H94" t="inlineStr">
        <is>
          <t>Delivered</t>
        </is>
      </c>
      <c r="I94" t="n">
        <v>15050</v>
      </c>
    </row>
    <row r="95">
      <c r="A95" t="n">
        <v>10052</v>
      </c>
      <c r="B95" s="3" t="n">
        <v>45797</v>
      </c>
      <c r="C95" t="inlineStr">
        <is>
          <t>Green Leaf Hotels</t>
        </is>
      </c>
      <c r="D95" t="n">
        <v>103</v>
      </c>
      <c r="E95" t="n">
        <v>10</v>
      </c>
      <c r="F95" t="n">
        <v>115</v>
      </c>
      <c r="G95" t="n">
        <v>0</v>
      </c>
      <c r="H95" t="inlineStr">
        <is>
          <t>Delivered</t>
        </is>
      </c>
      <c r="I95" t="n">
        <v>1150</v>
      </c>
    </row>
    <row r="96">
      <c r="A96" t="n">
        <v>10052</v>
      </c>
      <c r="B96" s="3" t="n">
        <v>45797</v>
      </c>
      <c r="C96" t="inlineStr">
        <is>
          <t>Green Leaf Hotels</t>
        </is>
      </c>
      <c r="D96" t="n">
        <v>104</v>
      </c>
      <c r="E96" t="n">
        <v>20</v>
      </c>
      <c r="F96" t="n">
        <v>620</v>
      </c>
      <c r="G96" t="n">
        <v>0</v>
      </c>
      <c r="H96" t="inlineStr">
        <is>
          <t>Delivered</t>
        </is>
      </c>
      <c r="I96" t="n">
        <v>12400</v>
      </c>
    </row>
    <row r="97">
      <c r="A97" t="n">
        <v>10053</v>
      </c>
      <c r="B97" s="3" t="n">
        <v>45797</v>
      </c>
      <c r="C97" t="inlineStr">
        <is>
          <t>Green Leaf Hotels</t>
        </is>
      </c>
      <c r="D97" t="n">
        <v>103</v>
      </c>
      <c r="E97" t="n">
        <v>40</v>
      </c>
      <c r="F97" t="n">
        <v>115</v>
      </c>
      <c r="G97" t="n">
        <v>5</v>
      </c>
      <c r="H97" t="inlineStr">
        <is>
          <t>Delivered</t>
        </is>
      </c>
      <c r="I97" t="n">
        <v>4370</v>
      </c>
    </row>
    <row r="98">
      <c r="A98" t="n">
        <v>10053</v>
      </c>
      <c r="B98" s="3" t="n">
        <v>45797</v>
      </c>
      <c r="C98" t="inlineStr">
        <is>
          <t>Green Leaf Hotels</t>
        </is>
      </c>
      <c r="D98" t="n">
        <v>107</v>
      </c>
      <c r="E98" t="n">
        <v>10</v>
      </c>
      <c r="F98" t="n">
        <v>380</v>
      </c>
      <c r="G98" t="n">
        <v>0</v>
      </c>
      <c r="H98" t="inlineStr">
        <is>
          <t>Delivered</t>
        </is>
      </c>
      <c r="I98" t="n">
        <v>3800</v>
      </c>
    </row>
    <row r="99">
      <c r="A99" t="n">
        <v>10053</v>
      </c>
      <c r="B99" s="3" t="n">
        <v>45797</v>
      </c>
      <c r="C99" t="inlineStr">
        <is>
          <t>Green Leaf Hotels</t>
        </is>
      </c>
      <c r="D99" t="n">
        <v>108</v>
      </c>
      <c r="E99" t="n">
        <v>50</v>
      </c>
      <c r="F99" t="n">
        <v>290</v>
      </c>
      <c r="G99" t="n">
        <v>5</v>
      </c>
      <c r="H99" t="inlineStr">
        <is>
          <t>Delivered</t>
        </is>
      </c>
      <c r="I99" t="n">
        <v>13775</v>
      </c>
    </row>
    <row r="100">
      <c r="A100" t="n">
        <v>10054</v>
      </c>
      <c r="B100" s="3" t="n">
        <v>45798</v>
      </c>
      <c r="C100" t="inlineStr">
        <is>
          <t>Sunrise Caterers</t>
        </is>
      </c>
      <c r="D100" t="n">
        <v>107</v>
      </c>
      <c r="E100" t="n">
        <v>35</v>
      </c>
      <c r="F100" t="n">
        <v>380</v>
      </c>
      <c r="G100" t="n">
        <v>5</v>
      </c>
      <c r="H100" t="inlineStr">
        <is>
          <t>Delivered</t>
        </is>
      </c>
      <c r="I100" t="n">
        <v>12635</v>
      </c>
    </row>
    <row r="101">
      <c r="A101" t="n">
        <v>10055</v>
      </c>
      <c r="B101" s="3" t="n">
        <v>45798</v>
      </c>
      <c r="C101" t="inlineStr">
        <is>
          <t>Blue Bay Cafe</t>
        </is>
      </c>
      <c r="D101" t="n">
        <v>103</v>
      </c>
      <c r="E101" t="n">
        <v>20</v>
      </c>
      <c r="F101" t="n">
        <v>115</v>
      </c>
      <c r="G101" t="n">
        <v>0</v>
      </c>
      <c r="H101" t="inlineStr">
        <is>
          <t>Delivered</t>
        </is>
      </c>
      <c r="I101" t="n">
        <v>2300</v>
      </c>
    </row>
    <row r="102">
      <c r="A102" t="n">
        <v>10056</v>
      </c>
      <c r="B102" s="3" t="n">
        <v>45799</v>
      </c>
      <c r="C102" t="inlineStr">
        <is>
          <t>Lakeview Resorts</t>
        </is>
      </c>
      <c r="D102" t="n">
        <v>103</v>
      </c>
      <c r="E102" t="n">
        <v>25</v>
      </c>
      <c r="F102" t="n">
        <v>115</v>
      </c>
      <c r="G102" t="n">
        <v>5</v>
      </c>
      <c r="H102" t="inlineStr">
        <is>
          <t>Delivered</t>
        </is>
      </c>
      <c r="I102" t="n">
        <v>2731.25</v>
      </c>
    </row>
    <row r="103">
      <c r="A103" t="n">
        <v>10056</v>
      </c>
      <c r="B103" s="3" t="n">
        <v>45799</v>
      </c>
      <c r="C103" t="inlineStr">
        <is>
          <t>Lakeview Resorts</t>
        </is>
      </c>
      <c r="D103" t="n">
        <v>108</v>
      </c>
      <c r="E103" t="n">
        <v>30</v>
      </c>
      <c r="F103" t="n">
        <v>290</v>
      </c>
      <c r="G103" t="n">
        <v>5</v>
      </c>
      <c r="H103" t="inlineStr">
        <is>
          <t>Delivered</t>
        </is>
      </c>
      <c r="I103" t="n">
        <v>8265</v>
      </c>
    </row>
    <row r="104">
      <c r="A104" t="n">
        <v>10057</v>
      </c>
      <c r="B104" s="3" t="n">
        <v>45804</v>
      </c>
      <c r="C104" t="inlineStr">
        <is>
          <t>Harbour Traders</t>
        </is>
      </c>
      <c r="D104" t="n">
        <v>105</v>
      </c>
      <c r="E104" t="n">
        <v>35</v>
      </c>
      <c r="F104" t="n">
        <v>1400</v>
      </c>
      <c r="G104" t="n">
        <v>10</v>
      </c>
      <c r="H104" t="inlineStr">
        <is>
          <t>Delivered</t>
        </is>
      </c>
      <c r="I104" t="n">
        <v>44100</v>
      </c>
    </row>
    <row r="105">
      <c r="A105" t="n">
        <v>10058</v>
      </c>
      <c r="B105" s="3" t="n">
        <v>45809</v>
      </c>
      <c r="C105" t="inlineStr">
        <is>
          <t>Fresh Bowl Kitchens</t>
        </is>
      </c>
      <c r="D105" t="n">
        <v>101</v>
      </c>
      <c r="E105" t="n">
        <v>30</v>
      </c>
      <c r="F105" t="n">
        <v>430</v>
      </c>
      <c r="G105" t="n">
        <v>0</v>
      </c>
      <c r="H105" t="inlineStr">
        <is>
          <t>Delivered</t>
        </is>
      </c>
      <c r="I105" t="n">
        <v>12900</v>
      </c>
    </row>
    <row r="106">
      <c r="A106" t="n">
        <v>10058</v>
      </c>
      <c r="B106" s="3" t="n">
        <v>45809</v>
      </c>
      <c r="C106" t="inlineStr">
        <is>
          <t>Fresh Bowl Kitchens</t>
        </is>
      </c>
      <c r="D106" t="n">
        <v>108</v>
      </c>
      <c r="E106" t="n">
        <v>25</v>
      </c>
      <c r="F106" t="n">
        <v>290</v>
      </c>
      <c r="G106" t="n">
        <v>5</v>
      </c>
      <c r="H106" t="inlineStr">
        <is>
          <t>Delivered</t>
        </is>
      </c>
      <c r="I106" t="n">
        <v>6887.5</v>
      </c>
    </row>
    <row r="107">
      <c r="A107" t="n">
        <v>10059</v>
      </c>
      <c r="B107" s="3" t="n">
        <v>45812</v>
      </c>
      <c r="C107" t="inlineStr">
        <is>
          <t>Sharma Hardware</t>
        </is>
      </c>
      <c r="D107" t="n">
        <v>102</v>
      </c>
      <c r="E107" t="n">
        <v>5</v>
      </c>
      <c r="F107" t="n">
        <v>750</v>
      </c>
      <c r="G107" t="n">
        <v>0</v>
      </c>
      <c r="H107" t="inlineStr">
        <is>
          <t>Delivered</t>
        </is>
      </c>
      <c r="I107" t="n">
        <v>3750</v>
      </c>
    </row>
    <row r="108">
      <c r="A108" t="n">
        <v>10060</v>
      </c>
      <c r="B108" s="3" t="n">
        <v>45814</v>
      </c>
      <c r="C108" t="inlineStr">
        <is>
          <t>Coastal Foods</t>
        </is>
      </c>
      <c r="D108" t="n">
        <v>108</v>
      </c>
      <c r="E108" t="n">
        <v>30</v>
      </c>
      <c r="F108" t="n">
        <v>290</v>
      </c>
      <c r="G108" t="n">
        <v>5</v>
      </c>
      <c r="H108" t="inlineStr">
        <is>
          <t>Delivered</t>
        </is>
      </c>
      <c r="I108" t="n">
        <v>8265</v>
      </c>
    </row>
    <row r="109">
      <c r="A109" t="n">
        <v>10061</v>
      </c>
      <c r="B109" s="3" t="n">
        <v>45817</v>
      </c>
      <c r="C109" t="inlineStr">
        <is>
          <t>Spice Route Restaurants</t>
        </is>
      </c>
      <c r="D109" t="n">
        <v>108</v>
      </c>
      <c r="E109" t="n">
        <v>5</v>
      </c>
      <c r="F109" t="n">
        <v>290</v>
      </c>
      <c r="G109" t="n">
        <v>5</v>
      </c>
      <c r="H109" t="inlineStr">
        <is>
          <t>Delivered</t>
        </is>
      </c>
      <c r="I109" t="n">
        <v>1377.5</v>
      </c>
    </row>
    <row r="110">
      <c r="A110" t="n">
        <v>10062</v>
      </c>
      <c r="B110" s="3" t="n">
        <v>45818</v>
      </c>
      <c r="C110" t="inlineStr">
        <is>
          <t>Patel Kitchenware</t>
        </is>
      </c>
      <c r="D110" t="n">
        <v>104</v>
      </c>
      <c r="E110" t="n">
        <v>10</v>
      </c>
      <c r="F110" t="n">
        <v>620</v>
      </c>
      <c r="G110" t="n">
        <v>5</v>
      </c>
      <c r="H110" t="inlineStr">
        <is>
          <t>Delivered</t>
        </is>
      </c>
      <c r="I110" t="n">
        <v>5890</v>
      </c>
    </row>
    <row r="111">
      <c r="A111" t="n">
        <v>10062</v>
      </c>
      <c r="B111" s="3" t="n">
        <v>45818</v>
      </c>
      <c r="C111" t="inlineStr">
        <is>
          <t>Patel Kitchenware</t>
        </is>
      </c>
      <c r="D111" t="n">
        <v>108</v>
      </c>
      <c r="E111" t="n">
        <v>30</v>
      </c>
      <c r="F111" t="n">
        <v>290</v>
      </c>
      <c r="G111" t="n">
        <v>5</v>
      </c>
      <c r="H111" t="inlineStr">
        <is>
          <t>Delivered</t>
        </is>
      </c>
      <c r="I111" t="n">
        <v>8265</v>
      </c>
    </row>
    <row r="112">
      <c r="A112" t="n">
        <v>10063</v>
      </c>
      <c r="B112" s="3" t="n">
        <v>45818</v>
      </c>
      <c r="C112" t="inlineStr">
        <is>
          <t>Sunrise Caterers</t>
        </is>
      </c>
      <c r="D112" t="n">
        <v>101</v>
      </c>
      <c r="E112" t="n">
        <v>20</v>
      </c>
      <c r="F112" t="n">
        <v>430</v>
      </c>
      <c r="G112" t="n">
        <v>0</v>
      </c>
      <c r="H112" t="inlineStr">
        <is>
          <t>Delivered</t>
        </is>
      </c>
      <c r="I112" t="n">
        <v>8600</v>
      </c>
    </row>
    <row r="113">
      <c r="A113" t="n">
        <v>10063</v>
      </c>
      <c r="B113" s="3" t="n">
        <v>45818</v>
      </c>
      <c r="C113" t="inlineStr">
        <is>
          <t>Sunrise Caterers</t>
        </is>
      </c>
      <c r="D113" t="n">
        <v>103</v>
      </c>
      <c r="E113" t="n">
        <v>15</v>
      </c>
      <c r="F113" t="n">
        <v>115</v>
      </c>
      <c r="G113" t="n">
        <v>5</v>
      </c>
      <c r="H113" t="inlineStr">
        <is>
          <t>Delivered</t>
        </is>
      </c>
      <c r="I113" t="n">
        <v>1638.75</v>
      </c>
    </row>
    <row r="114">
      <c r="A114" t="n">
        <v>10064</v>
      </c>
      <c r="B114" s="3" t="n">
        <v>45818</v>
      </c>
      <c r="C114" t="inlineStr">
        <is>
          <t>Harbour Traders</t>
        </is>
      </c>
      <c r="D114" t="n">
        <v>101</v>
      </c>
      <c r="E114" t="n">
        <v>15</v>
      </c>
      <c r="F114" t="n">
        <v>430</v>
      </c>
      <c r="G114" t="n">
        <v>12</v>
      </c>
      <c r="H114" t="inlineStr">
        <is>
          <t>Delivered</t>
        </is>
      </c>
      <c r="I114" t="n">
        <v>5676</v>
      </c>
    </row>
    <row r="115">
      <c r="A115" t="n">
        <v>10064</v>
      </c>
      <c r="B115" s="3" t="n">
        <v>45818</v>
      </c>
      <c r="C115" t="inlineStr">
        <is>
          <t>Harbour Traders</t>
        </is>
      </c>
      <c r="D115" t="n">
        <v>102</v>
      </c>
      <c r="E115" t="n">
        <v>15</v>
      </c>
      <c r="F115" t="n">
        <v>750</v>
      </c>
      <c r="G115" t="n">
        <v>5</v>
      </c>
      <c r="H115" t="inlineStr">
        <is>
          <t>Delivered</t>
        </is>
      </c>
      <c r="I115" t="n">
        <v>10687.5</v>
      </c>
    </row>
    <row r="116">
      <c r="A116" t="n">
        <v>10064</v>
      </c>
      <c r="B116" s="3" t="n">
        <v>45818</v>
      </c>
      <c r="C116" t="inlineStr">
        <is>
          <t>Harbour Traders</t>
        </is>
      </c>
      <c r="D116" t="n">
        <v>105</v>
      </c>
      <c r="E116" t="n">
        <v>5</v>
      </c>
      <c r="F116" t="n">
        <v>1400</v>
      </c>
      <c r="G116" t="n">
        <v>12</v>
      </c>
      <c r="H116" t="inlineStr">
        <is>
          <t>Delivered</t>
        </is>
      </c>
      <c r="I116" t="n">
        <v>6160</v>
      </c>
    </row>
    <row r="117">
      <c r="A117" t="n">
        <v>10065</v>
      </c>
      <c r="B117" s="3" t="n">
        <v>45818</v>
      </c>
      <c r="C117" t="inlineStr">
        <is>
          <t>Spice Route Restaurants</t>
        </is>
      </c>
      <c r="D117" t="n">
        <v>101</v>
      </c>
      <c r="E117" t="n">
        <v>5</v>
      </c>
      <c r="F117" t="n">
        <v>430</v>
      </c>
      <c r="G117" t="n">
        <v>5</v>
      </c>
      <c r="H117" t="inlineStr">
        <is>
          <t>Delivered</t>
        </is>
      </c>
      <c r="I117" t="n">
        <v>2042.5</v>
      </c>
    </row>
    <row r="118">
      <c r="A118" t="n">
        <v>10066</v>
      </c>
      <c r="B118" s="3" t="n">
        <v>45821</v>
      </c>
      <c r="C118" t="inlineStr">
        <is>
          <t>Northgate Distributors</t>
        </is>
      </c>
      <c r="D118" t="n">
        <v>105</v>
      </c>
      <c r="E118" t="n">
        <v>20</v>
      </c>
      <c r="F118" t="n">
        <v>1400</v>
      </c>
      <c r="G118" t="n">
        <v>5</v>
      </c>
      <c r="H118" t="inlineStr">
        <is>
          <t>Delivered</t>
        </is>
      </c>
      <c r="I118" t="n">
        <v>26600</v>
      </c>
    </row>
    <row r="119">
      <c r="A119" t="n">
        <v>10066</v>
      </c>
      <c r="B119" s="3" t="n">
        <v>45821</v>
      </c>
      <c r="C119" t="inlineStr">
        <is>
          <t>Northgate Distributors</t>
        </is>
      </c>
      <c r="D119" t="n">
        <v>108</v>
      </c>
      <c r="E119" t="n">
        <v>15</v>
      </c>
      <c r="F119" t="n">
        <v>290</v>
      </c>
      <c r="G119" t="n">
        <v>8</v>
      </c>
      <c r="H119" t="inlineStr">
        <is>
          <t>Delivered</t>
        </is>
      </c>
      <c r="I119" t="n">
        <v>4002</v>
      </c>
    </row>
    <row r="120">
      <c r="A120" t="n">
        <v>10067</v>
      </c>
      <c r="B120" s="3" t="n">
        <v>45822</v>
      </c>
      <c r="C120" t="inlineStr">
        <is>
          <t>Om Sai Provisions</t>
        </is>
      </c>
      <c r="D120" t="n">
        <v>103</v>
      </c>
      <c r="E120" t="n">
        <v>25</v>
      </c>
      <c r="F120" t="n">
        <v>115</v>
      </c>
      <c r="G120" t="n">
        <v>5</v>
      </c>
      <c r="H120" t="inlineStr">
        <is>
          <t>Delivered</t>
        </is>
      </c>
      <c r="I120" t="n">
        <v>2731.25</v>
      </c>
    </row>
    <row r="121">
      <c r="A121" t="n">
        <v>10067</v>
      </c>
      <c r="B121" s="3" t="n">
        <v>45822</v>
      </c>
      <c r="C121" t="inlineStr">
        <is>
          <t>Om Sai Provisions</t>
        </is>
      </c>
      <c r="D121" t="n">
        <v>108</v>
      </c>
      <c r="E121" t="n">
        <v>25</v>
      </c>
      <c r="F121" t="n">
        <v>290</v>
      </c>
      <c r="G121" t="n">
        <v>0</v>
      </c>
      <c r="H121" t="inlineStr">
        <is>
          <t>Delivered</t>
        </is>
      </c>
      <c r="I121" t="n">
        <v>7250</v>
      </c>
    </row>
    <row r="122">
      <c r="A122" t="n">
        <v>10068</v>
      </c>
      <c r="B122" s="3" t="n">
        <v>45826</v>
      </c>
      <c r="C122" t="inlineStr">
        <is>
          <t>Metro Mart</t>
        </is>
      </c>
      <c r="D122" t="n">
        <v>101</v>
      </c>
      <c r="E122" t="n">
        <v>15</v>
      </c>
      <c r="F122" t="n">
        <v>430</v>
      </c>
      <c r="G122" t="n">
        <v>0</v>
      </c>
      <c r="H122" t="inlineStr">
        <is>
          <t>Delivered</t>
        </is>
      </c>
      <c r="I122" t="n">
        <v>6450</v>
      </c>
    </row>
    <row r="123">
      <c r="A123" t="n">
        <v>10069</v>
      </c>
      <c r="B123" s="3" t="n">
        <v>45832</v>
      </c>
      <c r="C123" t="inlineStr">
        <is>
          <t>Green Leaf Hotels</t>
        </is>
      </c>
      <c r="D123" t="n">
        <v>101</v>
      </c>
      <c r="E123" t="n">
        <v>20</v>
      </c>
      <c r="F123" t="n">
        <v>430</v>
      </c>
      <c r="G123" t="n">
        <v>0</v>
      </c>
      <c r="H123" t="inlineStr">
        <is>
          <t>Delivered</t>
        </is>
      </c>
      <c r="I123" t="n">
        <v>8600</v>
      </c>
    </row>
    <row r="124">
      <c r="A124" t="n">
        <v>10069</v>
      </c>
      <c r="B124" s="3" t="n">
        <v>45832</v>
      </c>
      <c r="C124" t="inlineStr">
        <is>
          <t>Green Leaf Hotels</t>
        </is>
      </c>
      <c r="D124" t="n">
        <v>104</v>
      </c>
      <c r="E124" t="n">
        <v>25</v>
      </c>
      <c r="F124" t="n">
        <v>620</v>
      </c>
      <c r="G124" t="n">
        <v>5</v>
      </c>
      <c r="H124" t="inlineStr">
        <is>
          <t>Delivered</t>
        </is>
      </c>
      <c r="I124" t="n">
        <v>14725</v>
      </c>
    </row>
    <row r="125">
      <c r="A125" t="n">
        <v>10070</v>
      </c>
      <c r="B125" s="3" t="n">
        <v>45836</v>
      </c>
      <c r="C125" t="inlineStr">
        <is>
          <t>Deccan Packaging</t>
        </is>
      </c>
      <c r="D125" t="n">
        <v>105</v>
      </c>
      <c r="E125" t="n">
        <v>20</v>
      </c>
      <c r="F125" t="n">
        <v>1400</v>
      </c>
      <c r="G125" t="n">
        <v>5</v>
      </c>
      <c r="H125" t="inlineStr">
        <is>
          <t>Delivered</t>
        </is>
      </c>
      <c r="I125" t="n">
        <v>26600</v>
      </c>
    </row>
    <row r="126">
      <c r="A126" t="n">
        <v>10070</v>
      </c>
      <c r="B126" s="3" t="n">
        <v>45836</v>
      </c>
      <c r="C126" t="inlineStr">
        <is>
          <t>Deccan Packaging</t>
        </is>
      </c>
      <c r="D126" t="n">
        <v>108</v>
      </c>
      <c r="E126" t="n">
        <v>30</v>
      </c>
      <c r="F126" t="n">
        <v>290</v>
      </c>
      <c r="G126" t="n">
        <v>10</v>
      </c>
      <c r="H126" t="inlineStr">
        <is>
          <t>Delivered</t>
        </is>
      </c>
      <c r="I126" t="n">
        <v>7830</v>
      </c>
    </row>
    <row r="127">
      <c r="A127" t="n">
        <v>10071</v>
      </c>
      <c r="B127" s="3" t="n">
        <v>45841</v>
      </c>
      <c r="C127" t="inlineStr">
        <is>
          <t>Spice Route Restaurants</t>
        </is>
      </c>
      <c r="D127" t="n">
        <v>104</v>
      </c>
      <c r="E127" t="n">
        <v>30</v>
      </c>
      <c r="F127" t="n">
        <v>620</v>
      </c>
      <c r="G127" t="n">
        <v>0</v>
      </c>
      <c r="H127" t="inlineStr">
        <is>
          <t>Delivered</t>
        </is>
      </c>
      <c r="I127" t="n">
        <v>18600</v>
      </c>
    </row>
    <row r="128">
      <c r="A128" t="n">
        <v>10071</v>
      </c>
      <c r="B128" s="3" t="n">
        <v>45841</v>
      </c>
      <c r="C128" t="inlineStr">
        <is>
          <t>Spice Route Restaurants</t>
        </is>
      </c>
      <c r="D128" t="n">
        <v>107</v>
      </c>
      <c r="E128" t="n">
        <v>25</v>
      </c>
      <c r="F128" t="n">
        <v>380</v>
      </c>
      <c r="G128" t="n">
        <v>5</v>
      </c>
      <c r="H128" t="inlineStr">
        <is>
          <t>Delivered</t>
        </is>
      </c>
      <c r="I128" t="n">
        <v>9025</v>
      </c>
    </row>
    <row r="129">
      <c r="A129" t="n">
        <v>10071</v>
      </c>
      <c r="B129" s="3" t="n">
        <v>45841</v>
      </c>
      <c r="C129" t="inlineStr">
        <is>
          <t>Spice Route Restaurants</t>
        </is>
      </c>
      <c r="D129" t="n">
        <v>108</v>
      </c>
      <c r="E129" t="n">
        <v>25</v>
      </c>
      <c r="F129" t="n">
        <v>290</v>
      </c>
      <c r="G129" t="n">
        <v>5</v>
      </c>
      <c r="H129" t="inlineStr">
        <is>
          <t>Delivered</t>
        </is>
      </c>
      <c r="I129" t="n">
        <v>6887.5</v>
      </c>
    </row>
    <row r="130">
      <c r="A130" t="n">
        <v>10072</v>
      </c>
      <c r="B130" s="3" t="n">
        <v>45845</v>
      </c>
      <c r="C130" t="inlineStr">
        <is>
          <t>Green Leaf Hotels</t>
        </is>
      </c>
      <c r="D130" t="n">
        <v>107</v>
      </c>
      <c r="E130" t="n">
        <v>35</v>
      </c>
      <c r="F130" t="n">
        <v>380</v>
      </c>
      <c r="G130" t="n">
        <v>0</v>
      </c>
      <c r="H130" t="inlineStr">
        <is>
          <t>Delivered</t>
        </is>
      </c>
      <c r="I130" t="n">
        <v>13300</v>
      </c>
    </row>
    <row r="131">
      <c r="A131" t="n">
        <v>10073</v>
      </c>
      <c r="B131" s="3" t="n">
        <v>45848</v>
      </c>
      <c r="C131" t="inlineStr">
        <is>
          <t>Metro Mart</t>
        </is>
      </c>
      <c r="D131" t="n">
        <v>103</v>
      </c>
      <c r="E131" t="n">
        <v>5</v>
      </c>
      <c r="F131" t="n">
        <v>115</v>
      </c>
      <c r="G131" t="n">
        <v>0</v>
      </c>
      <c r="H131" t="inlineStr">
        <is>
          <t>Delivered</t>
        </is>
      </c>
      <c r="I131" t="n">
        <v>575</v>
      </c>
    </row>
    <row r="132">
      <c r="A132" t="n">
        <v>10073</v>
      </c>
      <c r="B132" s="3" t="n">
        <v>45848</v>
      </c>
      <c r="C132" t="inlineStr">
        <is>
          <t>Metro Mart</t>
        </is>
      </c>
      <c r="D132" t="n">
        <v>104</v>
      </c>
      <c r="E132" t="n">
        <v>20</v>
      </c>
      <c r="F132" t="n">
        <v>620</v>
      </c>
      <c r="G132" t="n">
        <v>5</v>
      </c>
      <c r="H132" t="inlineStr">
        <is>
          <t>Delivered</t>
        </is>
      </c>
      <c r="I132" t="n">
        <v>11780</v>
      </c>
    </row>
    <row r="133">
      <c r="A133" t="n">
        <v>10074</v>
      </c>
      <c r="B133" s="3" t="n">
        <v>45853</v>
      </c>
      <c r="C133" t="inlineStr">
        <is>
          <t>Blue Bay Cafe</t>
        </is>
      </c>
      <c r="D133" t="n">
        <v>104</v>
      </c>
      <c r="E133" t="n">
        <v>15</v>
      </c>
      <c r="F133" t="n">
        <v>620</v>
      </c>
      <c r="G133" t="n">
        <v>0</v>
      </c>
      <c r="H133" t="inlineStr">
        <is>
          <t>Delivered</t>
        </is>
      </c>
      <c r="I133" t="n">
        <v>9300</v>
      </c>
    </row>
    <row r="134">
      <c r="A134" t="n">
        <v>10074</v>
      </c>
      <c r="B134" s="3" t="n">
        <v>45853</v>
      </c>
      <c r="C134" t="inlineStr">
        <is>
          <t>Blue Bay Cafe</t>
        </is>
      </c>
      <c r="D134" t="n">
        <v>107</v>
      </c>
      <c r="E134" t="n">
        <v>20</v>
      </c>
      <c r="F134" t="n">
        <v>380</v>
      </c>
      <c r="G134" t="n">
        <v>0</v>
      </c>
      <c r="H134" t="inlineStr">
        <is>
          <t>Delivered</t>
        </is>
      </c>
      <c r="I134" t="n">
        <v>7600</v>
      </c>
    </row>
    <row r="135">
      <c r="A135" t="n">
        <v>10075</v>
      </c>
      <c r="B135" s="3" t="n">
        <v>45853</v>
      </c>
      <c r="C135" t="inlineStr">
        <is>
          <t>Fresh Bowl Kitchens</t>
        </is>
      </c>
      <c r="D135" t="n">
        <v>101</v>
      </c>
      <c r="E135" t="n">
        <v>20</v>
      </c>
      <c r="F135" t="n">
        <v>430</v>
      </c>
      <c r="G135" t="n">
        <v>0</v>
      </c>
      <c r="H135" t="inlineStr">
        <is>
          <t>Delivered</t>
        </is>
      </c>
      <c r="I135" t="n">
        <v>8600</v>
      </c>
    </row>
    <row r="136">
      <c r="A136" t="n">
        <v>10075</v>
      </c>
      <c r="B136" s="3" t="n">
        <v>45853</v>
      </c>
      <c r="C136" t="inlineStr">
        <is>
          <t>Fresh Bowl Kitchens</t>
        </is>
      </c>
      <c r="D136" t="n">
        <v>104</v>
      </c>
      <c r="E136" t="n">
        <v>20</v>
      </c>
      <c r="F136" t="n">
        <v>620</v>
      </c>
      <c r="G136" t="n">
        <v>0</v>
      </c>
      <c r="H136" t="inlineStr">
        <is>
          <t>Delivered</t>
        </is>
      </c>
      <c r="I136" t="n">
        <v>12400</v>
      </c>
    </row>
    <row r="137">
      <c r="A137" t="n">
        <v>10075</v>
      </c>
      <c r="B137" s="3" t="n">
        <v>45853</v>
      </c>
      <c r="C137" t="inlineStr">
        <is>
          <t>Fresh Bowl Kitchens</t>
        </is>
      </c>
      <c r="D137" t="n">
        <v>107</v>
      </c>
      <c r="E137" t="n">
        <v>5</v>
      </c>
      <c r="F137" t="n">
        <v>380</v>
      </c>
      <c r="G137" t="n">
        <v>5</v>
      </c>
      <c r="H137" t="inlineStr">
        <is>
          <t>Delivered</t>
        </is>
      </c>
      <c r="I137" t="n">
        <v>1805</v>
      </c>
    </row>
    <row r="138">
      <c r="A138" t="n">
        <v>10076</v>
      </c>
      <c r="B138" s="3" t="n">
        <v>45858</v>
      </c>
      <c r="C138" t="inlineStr">
        <is>
          <t>Spice Route Restaurants</t>
        </is>
      </c>
      <c r="D138" t="n">
        <v>103</v>
      </c>
      <c r="E138" t="n">
        <v>5</v>
      </c>
      <c r="F138" t="n">
        <v>115</v>
      </c>
      <c r="G138" t="n">
        <v>5</v>
      </c>
      <c r="H138" t="inlineStr">
        <is>
          <t>Delivered</t>
        </is>
      </c>
      <c r="I138" t="n">
        <v>546.25</v>
      </c>
    </row>
    <row r="139">
      <c r="A139" t="n">
        <v>10076</v>
      </c>
      <c r="B139" s="3" t="n">
        <v>45858</v>
      </c>
      <c r="C139" t="inlineStr">
        <is>
          <t>Spice Route Restaurants</t>
        </is>
      </c>
      <c r="D139" t="n">
        <v>104</v>
      </c>
      <c r="E139" t="n">
        <v>10</v>
      </c>
      <c r="F139" t="n">
        <v>620</v>
      </c>
      <c r="G139" t="n">
        <v>0</v>
      </c>
      <c r="H139" t="inlineStr">
        <is>
          <t>Delivered</t>
        </is>
      </c>
      <c r="I139" t="n">
        <v>6200</v>
      </c>
    </row>
    <row r="140">
      <c r="A140" t="n">
        <v>10077</v>
      </c>
      <c r="B140" s="3" t="n">
        <v>45859</v>
      </c>
      <c r="C140" t="inlineStr">
        <is>
          <t>Metro Mart</t>
        </is>
      </c>
      <c r="D140" t="n">
        <v>107</v>
      </c>
      <c r="E140" t="n">
        <v>15</v>
      </c>
      <c r="F140" t="n">
        <v>380</v>
      </c>
      <c r="G140" t="n">
        <v>5</v>
      </c>
      <c r="H140" t="inlineStr">
        <is>
          <t>Delivered</t>
        </is>
      </c>
      <c r="I140" t="n">
        <v>5415</v>
      </c>
    </row>
    <row r="141">
      <c r="A141" t="n">
        <v>10077</v>
      </c>
      <c r="B141" s="3" t="n">
        <v>45859</v>
      </c>
      <c r="C141" t="inlineStr">
        <is>
          <t>Metro Mart</t>
        </is>
      </c>
      <c r="D141" t="n">
        <v>108</v>
      </c>
      <c r="E141" t="n">
        <v>10</v>
      </c>
      <c r="F141" t="n">
        <v>290</v>
      </c>
      <c r="G141" t="n">
        <v>5</v>
      </c>
      <c r="H141" t="inlineStr">
        <is>
          <t>Delivered</t>
        </is>
      </c>
      <c r="I141" t="n">
        <v>2755</v>
      </c>
    </row>
    <row r="142">
      <c r="A142" t="n">
        <v>10078</v>
      </c>
      <c r="B142" s="3" t="n">
        <v>45859</v>
      </c>
      <c r="C142" t="inlineStr">
        <is>
          <t>Evergreen Mart</t>
        </is>
      </c>
      <c r="D142" t="n">
        <v>102</v>
      </c>
      <c r="E142" t="n">
        <v>15</v>
      </c>
      <c r="F142" t="n">
        <v>750</v>
      </c>
      <c r="G142" t="n">
        <v>5</v>
      </c>
      <c r="H142" t="inlineStr">
        <is>
          <t>Delivered</t>
        </is>
      </c>
      <c r="I142" t="n">
        <v>10687.5</v>
      </c>
    </row>
    <row r="143">
      <c r="A143" t="n">
        <v>10079</v>
      </c>
      <c r="B143" s="3" t="n">
        <v>45860</v>
      </c>
      <c r="C143" t="inlineStr">
        <is>
          <t>Om Sai Provisions</t>
        </is>
      </c>
      <c r="D143" t="n">
        <v>101</v>
      </c>
      <c r="E143" t="n">
        <v>5</v>
      </c>
      <c r="F143" t="n">
        <v>430</v>
      </c>
      <c r="G143" t="n">
        <v>5</v>
      </c>
      <c r="H143" t="inlineStr">
        <is>
          <t>Delivered</t>
        </is>
      </c>
      <c r="I143" t="n">
        <v>2042.5</v>
      </c>
    </row>
    <row r="144">
      <c r="A144" t="n">
        <v>10079</v>
      </c>
      <c r="B144" s="3" t="n">
        <v>45860</v>
      </c>
      <c r="C144" t="inlineStr">
        <is>
          <t>Om Sai Provisions</t>
        </is>
      </c>
      <c r="D144" t="n">
        <v>104</v>
      </c>
      <c r="E144" t="n">
        <v>20</v>
      </c>
      <c r="F144" t="n">
        <v>620</v>
      </c>
      <c r="G144" t="n">
        <v>0</v>
      </c>
      <c r="H144" t="inlineStr">
        <is>
          <t>Delivered</t>
        </is>
      </c>
      <c r="I144" t="n">
        <v>12400</v>
      </c>
    </row>
    <row r="145">
      <c r="A145" t="n">
        <v>10079</v>
      </c>
      <c r="B145" s="3" t="n">
        <v>45860</v>
      </c>
      <c r="C145" t="inlineStr">
        <is>
          <t>Om Sai Provisions</t>
        </is>
      </c>
      <c r="D145" t="n">
        <v>107</v>
      </c>
      <c r="E145" t="n">
        <v>20</v>
      </c>
      <c r="F145" t="n">
        <v>380</v>
      </c>
      <c r="G145" t="n">
        <v>0</v>
      </c>
      <c r="H145" t="inlineStr">
        <is>
          <t>Delivered</t>
        </is>
      </c>
      <c r="I145" t="n">
        <v>7600</v>
      </c>
    </row>
    <row r="146">
      <c r="A146" t="n">
        <v>10080</v>
      </c>
      <c r="B146" s="3" t="n">
        <v>45863</v>
      </c>
      <c r="C146" t="inlineStr">
        <is>
          <t>Deccan Packaging</t>
        </is>
      </c>
      <c r="D146" t="n">
        <v>101</v>
      </c>
      <c r="E146" t="n">
        <v>15</v>
      </c>
      <c r="F146" t="n">
        <v>430</v>
      </c>
      <c r="G146" t="n">
        <v>5</v>
      </c>
      <c r="H146" t="inlineStr">
        <is>
          <t>Delivered</t>
        </is>
      </c>
      <c r="I146" t="n">
        <v>6127.5</v>
      </c>
    </row>
    <row r="147">
      <c r="A147" t="n">
        <v>10080</v>
      </c>
      <c r="B147" s="3" t="n">
        <v>45863</v>
      </c>
      <c r="C147" t="inlineStr">
        <is>
          <t>Deccan Packaging</t>
        </is>
      </c>
      <c r="D147" t="n">
        <v>108</v>
      </c>
      <c r="E147" t="n">
        <v>20</v>
      </c>
      <c r="F147" t="n">
        <v>290</v>
      </c>
      <c r="G147" t="n">
        <v>8</v>
      </c>
      <c r="H147" t="inlineStr">
        <is>
          <t>Delivered</t>
        </is>
      </c>
      <c r="I147" t="n">
        <v>5336</v>
      </c>
    </row>
    <row r="148">
      <c r="A148" t="n">
        <v>10081</v>
      </c>
      <c r="B148" s="3" t="n">
        <v>45864</v>
      </c>
      <c r="C148" t="inlineStr">
        <is>
          <t>Sharma Hardware</t>
        </is>
      </c>
      <c r="D148" t="n">
        <v>101</v>
      </c>
      <c r="E148" t="n">
        <v>15</v>
      </c>
      <c r="F148" t="n">
        <v>430</v>
      </c>
      <c r="G148" t="n">
        <v>0</v>
      </c>
      <c r="H148" t="inlineStr">
        <is>
          <t>Delivered</t>
        </is>
      </c>
      <c r="I148" t="n">
        <v>6450</v>
      </c>
    </row>
    <row r="149">
      <c r="A149" t="n">
        <v>10081</v>
      </c>
      <c r="B149" s="3" t="n">
        <v>45864</v>
      </c>
      <c r="C149" t="inlineStr">
        <is>
          <t>Sharma Hardware</t>
        </is>
      </c>
      <c r="D149" t="n">
        <v>104</v>
      </c>
      <c r="E149" t="n">
        <v>15</v>
      </c>
      <c r="F149" t="n">
        <v>620</v>
      </c>
      <c r="G149" t="n">
        <v>5</v>
      </c>
      <c r="H149" t="inlineStr">
        <is>
          <t>Delivered</t>
        </is>
      </c>
      <c r="I149" t="n">
        <v>8835</v>
      </c>
    </row>
    <row r="150">
      <c r="A150" t="n">
        <v>10082</v>
      </c>
      <c r="B150" s="3" t="n">
        <v>45864</v>
      </c>
      <c r="C150" t="inlineStr">
        <is>
          <t>Coastal Foods</t>
        </is>
      </c>
      <c r="D150" t="n">
        <v>101</v>
      </c>
      <c r="E150" t="n">
        <v>25</v>
      </c>
      <c r="F150" t="n">
        <v>430</v>
      </c>
      <c r="G150" t="n">
        <v>12</v>
      </c>
      <c r="H150" t="inlineStr">
        <is>
          <t>Delivered</t>
        </is>
      </c>
      <c r="I150" t="n">
        <v>9460</v>
      </c>
    </row>
    <row r="151">
      <c r="A151" t="n">
        <v>10082</v>
      </c>
      <c r="B151" s="3" t="n">
        <v>45864</v>
      </c>
      <c r="C151" t="inlineStr">
        <is>
          <t>Coastal Foods</t>
        </is>
      </c>
      <c r="D151" t="n">
        <v>102</v>
      </c>
      <c r="E151" t="n">
        <v>5</v>
      </c>
      <c r="F151" t="n">
        <v>750</v>
      </c>
      <c r="G151" t="n">
        <v>5</v>
      </c>
      <c r="H151" t="inlineStr">
        <is>
          <t>Delivered</t>
        </is>
      </c>
      <c r="I151" t="n">
        <v>3562.5</v>
      </c>
    </row>
    <row r="152">
      <c r="A152" t="n">
        <v>10082</v>
      </c>
      <c r="B152" s="3" t="n">
        <v>45864</v>
      </c>
      <c r="C152" t="inlineStr">
        <is>
          <t>Coastal Foods</t>
        </is>
      </c>
      <c r="D152" t="n">
        <v>105</v>
      </c>
      <c r="E152" t="n">
        <v>20</v>
      </c>
      <c r="F152" t="n">
        <v>1400</v>
      </c>
      <c r="G152" t="n">
        <v>12</v>
      </c>
      <c r="H152" t="inlineStr">
        <is>
          <t>Delivered</t>
        </is>
      </c>
      <c r="I152" t="n">
        <v>24640</v>
      </c>
    </row>
    <row r="153">
      <c r="A153" t="n">
        <v>10083</v>
      </c>
      <c r="B153" s="3" t="n">
        <v>45864</v>
      </c>
      <c r="C153" t="inlineStr">
        <is>
          <t>Harbour Traders</t>
        </is>
      </c>
      <c r="D153" t="n">
        <v>102</v>
      </c>
      <c r="E153" t="n">
        <v>15</v>
      </c>
      <c r="F153" t="n">
        <v>750</v>
      </c>
      <c r="G153" t="n">
        <v>5</v>
      </c>
      <c r="H153" t="inlineStr">
        <is>
          <t>Delivered</t>
        </is>
      </c>
      <c r="I153" t="n">
        <v>10687.5</v>
      </c>
    </row>
    <row r="154">
      <c r="A154" t="n">
        <v>10083</v>
      </c>
      <c r="B154" s="3" t="n">
        <v>45864</v>
      </c>
      <c r="C154" t="inlineStr">
        <is>
          <t>Harbour Traders</t>
        </is>
      </c>
      <c r="D154" t="n">
        <v>105</v>
      </c>
      <c r="E154" t="n">
        <v>5</v>
      </c>
      <c r="F154" t="n">
        <v>1400</v>
      </c>
      <c r="G154" t="n">
        <v>12</v>
      </c>
      <c r="H154" t="inlineStr">
        <is>
          <t>Delivered</t>
        </is>
      </c>
      <c r="I154" t="n">
        <v>6160</v>
      </c>
    </row>
    <row r="155">
      <c r="A155" t="n">
        <v>10083</v>
      </c>
      <c r="B155" s="3" t="n">
        <v>45864</v>
      </c>
      <c r="C155" t="inlineStr">
        <is>
          <t>Harbour Traders</t>
        </is>
      </c>
      <c r="D155" t="n">
        <v>108</v>
      </c>
      <c r="E155" t="n">
        <v>15</v>
      </c>
      <c r="F155" t="n">
        <v>290</v>
      </c>
      <c r="G155" t="n">
        <v>10</v>
      </c>
      <c r="H155" t="inlineStr">
        <is>
          <t>Delivered</t>
        </is>
      </c>
      <c r="I155" t="n">
        <v>3915</v>
      </c>
    </row>
    <row r="156">
      <c r="A156" t="n">
        <v>10084</v>
      </c>
      <c r="B156" s="3" t="n">
        <v>45872</v>
      </c>
      <c r="C156" t="inlineStr">
        <is>
          <t>Green Leaf Hotels</t>
        </is>
      </c>
      <c r="D156" t="n">
        <v>101</v>
      </c>
      <c r="E156" t="n">
        <v>40</v>
      </c>
      <c r="F156" t="n">
        <v>430</v>
      </c>
      <c r="G156" t="n">
        <v>5</v>
      </c>
      <c r="H156" t="inlineStr">
        <is>
          <t>Delivered</t>
        </is>
      </c>
      <c r="I156" t="n">
        <v>16340</v>
      </c>
    </row>
    <row r="157">
      <c r="A157" t="n">
        <v>10084</v>
      </c>
      <c r="B157" s="3" t="n">
        <v>45872</v>
      </c>
      <c r="C157" t="inlineStr">
        <is>
          <t>Green Leaf Hotels</t>
        </is>
      </c>
      <c r="D157" t="n">
        <v>104</v>
      </c>
      <c r="E157" t="n">
        <v>15</v>
      </c>
      <c r="F157" t="n">
        <v>620</v>
      </c>
      <c r="G157" t="n">
        <v>0</v>
      </c>
      <c r="H157" t="inlineStr">
        <is>
          <t>Delivered</t>
        </is>
      </c>
      <c r="I157" t="n">
        <v>9300</v>
      </c>
    </row>
    <row r="158">
      <c r="A158" t="n">
        <v>10085</v>
      </c>
      <c r="B158" s="3" t="n">
        <v>45873</v>
      </c>
      <c r="C158" t="inlineStr">
        <is>
          <t>Evergreen Mart</t>
        </is>
      </c>
      <c r="D158" t="n">
        <v>101</v>
      </c>
      <c r="E158" t="n">
        <v>15</v>
      </c>
      <c r="F158" t="n">
        <v>430</v>
      </c>
      <c r="G158" t="n">
        <v>0</v>
      </c>
      <c r="H158" t="inlineStr">
        <is>
          <t>Delivered</t>
        </is>
      </c>
      <c r="I158" t="n">
        <v>6450</v>
      </c>
    </row>
    <row r="159">
      <c r="A159" t="n">
        <v>10085</v>
      </c>
      <c r="B159" s="3" t="n">
        <v>45873</v>
      </c>
      <c r="C159" t="inlineStr">
        <is>
          <t>Evergreen Mart</t>
        </is>
      </c>
      <c r="D159" t="n">
        <v>102</v>
      </c>
      <c r="E159" t="n">
        <v>20</v>
      </c>
      <c r="F159" t="n">
        <v>750</v>
      </c>
      <c r="G159" t="n">
        <v>5</v>
      </c>
      <c r="H159" t="inlineStr">
        <is>
          <t>Delivered</t>
        </is>
      </c>
      <c r="I159" t="n">
        <v>14250</v>
      </c>
    </row>
    <row r="160">
      <c r="A160" t="n">
        <v>10085</v>
      </c>
      <c r="B160" s="3" t="n">
        <v>45873</v>
      </c>
      <c r="C160" t="inlineStr">
        <is>
          <t>Evergreen Mart</t>
        </is>
      </c>
      <c r="D160" t="n">
        <v>103</v>
      </c>
      <c r="E160" t="n">
        <v>40</v>
      </c>
      <c r="F160" t="n">
        <v>115</v>
      </c>
      <c r="G160" t="n">
        <v>5</v>
      </c>
      <c r="H160" t="inlineStr">
        <is>
          <t>Delivered</t>
        </is>
      </c>
      <c r="I160" t="n">
        <v>4370</v>
      </c>
    </row>
    <row r="161">
      <c r="A161" t="n">
        <v>10086</v>
      </c>
      <c r="B161" s="3" t="n">
        <v>45880</v>
      </c>
      <c r="C161" t="inlineStr">
        <is>
          <t>Metro Mart</t>
        </is>
      </c>
      <c r="D161" t="n">
        <v>107</v>
      </c>
      <c r="E161" t="n">
        <v>40</v>
      </c>
      <c r="F161" t="n">
        <v>380</v>
      </c>
      <c r="G161" t="n">
        <v>0</v>
      </c>
      <c r="H161" t="inlineStr">
        <is>
          <t>Delivered</t>
        </is>
      </c>
      <c r="I161" t="n">
        <v>15200</v>
      </c>
    </row>
    <row r="162">
      <c r="A162" t="n">
        <v>10086</v>
      </c>
      <c r="B162" s="3" t="n">
        <v>45880</v>
      </c>
      <c r="C162" t="inlineStr">
        <is>
          <t>Metro Mart</t>
        </is>
      </c>
      <c r="D162" t="n">
        <v>108</v>
      </c>
      <c r="E162" t="n">
        <v>25</v>
      </c>
      <c r="F162" t="n">
        <v>290</v>
      </c>
      <c r="G162" t="n">
        <v>0</v>
      </c>
      <c r="H162" t="inlineStr">
        <is>
          <t>Delivered</t>
        </is>
      </c>
      <c r="I162" t="n">
        <v>7250</v>
      </c>
    </row>
    <row r="163">
      <c r="A163" t="n">
        <v>10087</v>
      </c>
      <c r="B163" s="3" t="n">
        <v>45880</v>
      </c>
      <c r="C163" t="inlineStr">
        <is>
          <t>Deccan Packaging</t>
        </is>
      </c>
      <c r="D163" t="n">
        <v>101</v>
      </c>
      <c r="E163" t="n">
        <v>10</v>
      </c>
      <c r="F163" t="n">
        <v>430</v>
      </c>
      <c r="G163" t="n">
        <v>10</v>
      </c>
      <c r="H163" t="inlineStr">
        <is>
          <t>Delivered</t>
        </is>
      </c>
      <c r="I163" t="n">
        <v>3870</v>
      </c>
    </row>
    <row r="164">
      <c r="A164" t="n">
        <v>10087</v>
      </c>
      <c r="B164" s="3" t="n">
        <v>45880</v>
      </c>
      <c r="C164" t="inlineStr">
        <is>
          <t>Deccan Packaging</t>
        </is>
      </c>
      <c r="D164" t="n">
        <v>102</v>
      </c>
      <c r="E164" t="n">
        <v>15</v>
      </c>
      <c r="F164" t="n">
        <v>750</v>
      </c>
      <c r="G164" t="n">
        <v>12</v>
      </c>
      <c r="H164" t="inlineStr">
        <is>
          <t>Delivered</t>
        </is>
      </c>
      <c r="I164" t="n">
        <v>9900</v>
      </c>
    </row>
    <row r="165">
      <c r="A165" t="n">
        <v>10087</v>
      </c>
      <c r="B165" s="3" t="n">
        <v>45880</v>
      </c>
      <c r="C165" t="inlineStr">
        <is>
          <t>Deccan Packaging</t>
        </is>
      </c>
      <c r="D165" t="n">
        <v>105</v>
      </c>
      <c r="E165" t="n">
        <v>25</v>
      </c>
      <c r="F165" t="n">
        <v>1400</v>
      </c>
      <c r="G165" t="n">
        <v>12</v>
      </c>
      <c r="H165" t="inlineStr">
        <is>
          <t>Delivered</t>
        </is>
      </c>
      <c r="I165" t="n">
        <v>30800</v>
      </c>
    </row>
    <row r="166">
      <c r="A166" t="n">
        <v>10088</v>
      </c>
      <c r="B166" s="3" t="n">
        <v>45881</v>
      </c>
      <c r="C166" t="inlineStr">
        <is>
          <t>Sharma Hardware</t>
        </is>
      </c>
      <c r="D166" t="n">
        <v>101</v>
      </c>
      <c r="E166" t="n">
        <v>35</v>
      </c>
      <c r="F166" t="n">
        <v>430</v>
      </c>
      <c r="G166" t="n">
        <v>5</v>
      </c>
      <c r="H166" t="inlineStr">
        <is>
          <t>Delivered</t>
        </is>
      </c>
      <c r="I166" t="n">
        <v>14297.5</v>
      </c>
    </row>
    <row r="167">
      <c r="A167" t="n">
        <v>10088</v>
      </c>
      <c r="B167" s="3" t="n">
        <v>45881</v>
      </c>
      <c r="C167" t="inlineStr">
        <is>
          <t>Sharma Hardware</t>
        </is>
      </c>
      <c r="D167" t="n">
        <v>103</v>
      </c>
      <c r="E167" t="n">
        <v>40</v>
      </c>
      <c r="F167" t="n">
        <v>115</v>
      </c>
      <c r="G167" t="n">
        <v>0</v>
      </c>
      <c r="H167" t="inlineStr">
        <is>
          <t>Delivered</t>
        </is>
      </c>
      <c r="I167" t="n">
        <v>4600</v>
      </c>
    </row>
    <row r="168">
      <c r="A168" t="n">
        <v>10089</v>
      </c>
      <c r="B168" s="3" t="n">
        <v>45882</v>
      </c>
      <c r="C168" t="inlineStr">
        <is>
          <t>Evergreen Mart</t>
        </is>
      </c>
      <c r="D168" t="n">
        <v>104</v>
      </c>
      <c r="E168" t="n">
        <v>10</v>
      </c>
      <c r="F168" t="n">
        <v>620</v>
      </c>
      <c r="G168" t="n">
        <v>0</v>
      </c>
      <c r="H168" t="inlineStr">
        <is>
          <t>Delivered</t>
        </is>
      </c>
      <c r="I168" t="n">
        <v>6200</v>
      </c>
    </row>
    <row r="169">
      <c r="A169" t="n">
        <v>10089</v>
      </c>
      <c r="B169" s="3" t="n">
        <v>45882</v>
      </c>
      <c r="C169" t="inlineStr">
        <is>
          <t>Evergreen Mart</t>
        </is>
      </c>
      <c r="D169" t="n">
        <v>107</v>
      </c>
      <c r="E169" t="n">
        <v>20</v>
      </c>
      <c r="F169" t="n">
        <v>380</v>
      </c>
      <c r="G169" t="n">
        <v>0</v>
      </c>
      <c r="H169" t="inlineStr">
        <is>
          <t>Delivered</t>
        </is>
      </c>
      <c r="I169" t="n">
        <v>7600</v>
      </c>
    </row>
    <row r="170">
      <c r="A170" t="n">
        <v>10089</v>
      </c>
      <c r="B170" s="3" t="n">
        <v>45882</v>
      </c>
      <c r="C170" t="inlineStr">
        <is>
          <t>Evergreen Mart</t>
        </is>
      </c>
      <c r="D170" t="n">
        <v>108</v>
      </c>
      <c r="E170" t="n">
        <v>40</v>
      </c>
      <c r="F170" t="n">
        <v>290</v>
      </c>
      <c r="G170" t="n">
        <v>5</v>
      </c>
      <c r="H170" t="inlineStr">
        <is>
          <t>Delivered</t>
        </is>
      </c>
      <c r="I170" t="n">
        <v>11020</v>
      </c>
    </row>
    <row r="171">
      <c r="A171" t="n">
        <v>10090</v>
      </c>
      <c r="B171" s="3" t="n">
        <v>45883</v>
      </c>
      <c r="C171" t="inlineStr">
        <is>
          <t>Patel Kitchenware</t>
        </is>
      </c>
      <c r="D171" t="n">
        <v>101</v>
      </c>
      <c r="E171" t="n">
        <v>35</v>
      </c>
      <c r="F171" t="n">
        <v>430</v>
      </c>
      <c r="G171" t="n">
        <v>0</v>
      </c>
      <c r="H171" t="inlineStr">
        <is>
          <t>Delivered</t>
        </is>
      </c>
      <c r="I171" t="n">
        <v>15050</v>
      </c>
    </row>
    <row r="172">
      <c r="A172" t="n">
        <v>10090</v>
      </c>
      <c r="B172" s="3" t="n">
        <v>45883</v>
      </c>
      <c r="C172" t="inlineStr">
        <is>
          <t>Patel Kitchenware</t>
        </is>
      </c>
      <c r="D172" t="n">
        <v>104</v>
      </c>
      <c r="E172" t="n">
        <v>40</v>
      </c>
      <c r="F172" t="n">
        <v>620</v>
      </c>
      <c r="G172" t="n">
        <v>5</v>
      </c>
      <c r="H172" t="inlineStr">
        <is>
          <t>Delivered</t>
        </is>
      </c>
      <c r="I172" t="n">
        <v>23560</v>
      </c>
    </row>
    <row r="173">
      <c r="A173" t="n">
        <v>10091</v>
      </c>
      <c r="B173" s="3" t="n">
        <v>45884</v>
      </c>
      <c r="C173" t="inlineStr">
        <is>
          <t>Spice Route Restaurants</t>
        </is>
      </c>
      <c r="D173" t="n">
        <v>107</v>
      </c>
      <c r="E173" t="n">
        <v>50</v>
      </c>
      <c r="F173" t="n">
        <v>380</v>
      </c>
      <c r="G173" t="n">
        <v>0</v>
      </c>
      <c r="H173" t="inlineStr">
        <is>
          <t>Delivered</t>
        </is>
      </c>
      <c r="I173" t="n">
        <v>19000</v>
      </c>
    </row>
    <row r="174">
      <c r="A174" t="n">
        <v>10092</v>
      </c>
      <c r="B174" s="3" t="n">
        <v>45884</v>
      </c>
      <c r="C174" t="inlineStr">
        <is>
          <t>Western Logistics</t>
        </is>
      </c>
      <c r="D174" t="n">
        <v>105</v>
      </c>
      <c r="E174" t="n">
        <v>20</v>
      </c>
      <c r="F174" t="n">
        <v>1400</v>
      </c>
      <c r="G174" t="n">
        <v>5</v>
      </c>
      <c r="H174" t="inlineStr">
        <is>
          <t>Delivered</t>
        </is>
      </c>
      <c r="I174" t="n">
        <v>26600</v>
      </c>
    </row>
    <row r="175">
      <c r="A175" t="n">
        <v>10092</v>
      </c>
      <c r="B175" s="3" t="n">
        <v>45884</v>
      </c>
      <c r="C175" t="inlineStr">
        <is>
          <t>Western Logistics</t>
        </is>
      </c>
      <c r="D175" t="n">
        <v>108</v>
      </c>
      <c r="E175" t="n">
        <v>25</v>
      </c>
      <c r="F175" t="n">
        <v>290</v>
      </c>
      <c r="G175" t="n">
        <v>5</v>
      </c>
      <c r="H175" t="inlineStr">
        <is>
          <t>Delivered</t>
        </is>
      </c>
      <c r="I175" t="n">
        <v>6887.5</v>
      </c>
    </row>
    <row r="176">
      <c r="A176" t="n">
        <v>10093</v>
      </c>
      <c r="B176" s="3" t="n">
        <v>45888</v>
      </c>
      <c r="C176" t="inlineStr">
        <is>
          <t>Deccan Packaging</t>
        </is>
      </c>
      <c r="D176" t="n">
        <v>101</v>
      </c>
      <c r="E176" t="n">
        <v>20</v>
      </c>
      <c r="F176" t="n">
        <v>430</v>
      </c>
      <c r="G176" t="n">
        <v>12</v>
      </c>
      <c r="H176" t="inlineStr">
        <is>
          <t>Delivered</t>
        </is>
      </c>
      <c r="I176" t="n">
        <v>7568</v>
      </c>
    </row>
    <row r="177">
      <c r="A177" t="n">
        <v>10093</v>
      </c>
      <c r="B177" s="3" t="n">
        <v>45888</v>
      </c>
      <c r="C177" t="inlineStr">
        <is>
          <t>Deccan Packaging</t>
        </is>
      </c>
      <c r="D177" t="n">
        <v>102</v>
      </c>
      <c r="E177" t="n">
        <v>10</v>
      </c>
      <c r="F177" t="n">
        <v>750</v>
      </c>
      <c r="G177" t="n">
        <v>12</v>
      </c>
      <c r="H177" t="inlineStr">
        <is>
          <t>Delivered</t>
        </is>
      </c>
      <c r="I177" t="n">
        <v>6600</v>
      </c>
    </row>
    <row r="178">
      <c r="A178" t="n">
        <v>10094</v>
      </c>
      <c r="B178" s="3" t="n">
        <v>45892</v>
      </c>
      <c r="C178" t="inlineStr">
        <is>
          <t>Fresh Bowl Kitchens</t>
        </is>
      </c>
      <c r="D178" t="n">
        <v>101</v>
      </c>
      <c r="E178" t="n">
        <v>40</v>
      </c>
      <c r="F178" t="n">
        <v>430</v>
      </c>
      <c r="G178" t="n">
        <v>0</v>
      </c>
      <c r="H178" t="inlineStr">
        <is>
          <t>Delivered</t>
        </is>
      </c>
      <c r="I178" t="n">
        <v>17200</v>
      </c>
    </row>
    <row r="179">
      <c r="A179" t="n">
        <v>10095</v>
      </c>
      <c r="B179" s="3" t="n">
        <v>45893</v>
      </c>
      <c r="C179" t="inlineStr">
        <is>
          <t>Harbour Traders</t>
        </is>
      </c>
      <c r="D179" t="n">
        <v>101</v>
      </c>
      <c r="E179" t="n">
        <v>15</v>
      </c>
      <c r="F179" t="n">
        <v>430</v>
      </c>
      <c r="G179" t="n">
        <v>8</v>
      </c>
      <c r="H179" t="inlineStr">
        <is>
          <t>Delivered</t>
        </is>
      </c>
      <c r="I179" t="n">
        <v>5934</v>
      </c>
    </row>
    <row r="180">
      <c r="A180" t="n">
        <v>10095</v>
      </c>
      <c r="B180" s="3" t="n">
        <v>45893</v>
      </c>
      <c r="C180" t="inlineStr">
        <is>
          <t>Harbour Traders</t>
        </is>
      </c>
      <c r="D180" t="n">
        <v>102</v>
      </c>
      <c r="E180" t="n">
        <v>35</v>
      </c>
      <c r="F180" t="n">
        <v>750</v>
      </c>
      <c r="G180" t="n">
        <v>10</v>
      </c>
      <c r="H180" t="inlineStr">
        <is>
          <t>Delivered</t>
        </is>
      </c>
      <c r="I180" t="n">
        <v>23625</v>
      </c>
    </row>
    <row r="181">
      <c r="A181" t="n">
        <v>10096</v>
      </c>
      <c r="B181" s="3" t="n">
        <v>45895</v>
      </c>
      <c r="C181" t="inlineStr">
        <is>
          <t>Coastal Foods</t>
        </is>
      </c>
      <c r="D181" t="n">
        <v>102</v>
      </c>
      <c r="E181" t="n">
        <v>10</v>
      </c>
      <c r="F181" t="n">
        <v>750</v>
      </c>
      <c r="G181" t="n">
        <v>12</v>
      </c>
      <c r="H181" t="inlineStr">
        <is>
          <t>Delivered</t>
        </is>
      </c>
      <c r="I181" t="n">
        <v>6600</v>
      </c>
    </row>
    <row r="182">
      <c r="A182" t="n">
        <v>10097</v>
      </c>
      <c r="B182" s="3" t="n">
        <v>45896</v>
      </c>
      <c r="C182" t="inlineStr">
        <is>
          <t>Northgate Distributors</t>
        </is>
      </c>
      <c r="D182" t="n">
        <v>102</v>
      </c>
      <c r="E182" t="n">
        <v>10</v>
      </c>
      <c r="F182" t="n">
        <v>750</v>
      </c>
      <c r="G182" t="n">
        <v>12</v>
      </c>
      <c r="H182" t="inlineStr">
        <is>
          <t>Delivered</t>
        </is>
      </c>
      <c r="I182" t="n">
        <v>6600</v>
      </c>
    </row>
    <row r="183">
      <c r="A183" t="n">
        <v>10097</v>
      </c>
      <c r="B183" s="3" t="n">
        <v>45896</v>
      </c>
      <c r="C183" t="inlineStr">
        <is>
          <t>Northgate Distributors</t>
        </is>
      </c>
      <c r="D183" t="n">
        <v>108</v>
      </c>
      <c r="E183" t="n">
        <v>10</v>
      </c>
      <c r="F183" t="n">
        <v>290</v>
      </c>
      <c r="G183" t="n">
        <v>10</v>
      </c>
      <c r="H183" t="inlineStr">
        <is>
          <t>Delivered</t>
        </is>
      </c>
      <c r="I183" t="n">
        <v>2610</v>
      </c>
    </row>
    <row r="184">
      <c r="A184" t="n">
        <v>10098</v>
      </c>
      <c r="B184" s="3" t="n">
        <v>45902</v>
      </c>
      <c r="C184" t="inlineStr">
        <is>
          <t>Evergreen Mart</t>
        </is>
      </c>
      <c r="D184" t="n">
        <v>101</v>
      </c>
      <c r="E184" t="n">
        <v>40</v>
      </c>
      <c r="F184" t="n">
        <v>430</v>
      </c>
      <c r="G184" t="n">
        <v>0</v>
      </c>
      <c r="H184" t="inlineStr">
        <is>
          <t>Delivered</t>
        </is>
      </c>
      <c r="I184" t="n">
        <v>17200</v>
      </c>
    </row>
    <row r="185">
      <c r="A185" t="n">
        <v>10098</v>
      </c>
      <c r="B185" s="3" t="n">
        <v>45902</v>
      </c>
      <c r="C185" t="inlineStr">
        <is>
          <t>Evergreen Mart</t>
        </is>
      </c>
      <c r="D185" t="n">
        <v>108</v>
      </c>
      <c r="E185" t="n">
        <v>10</v>
      </c>
      <c r="F185" t="n">
        <v>290</v>
      </c>
      <c r="G185" t="n">
        <v>0</v>
      </c>
      <c r="H185" t="inlineStr">
        <is>
          <t>Delivered</t>
        </is>
      </c>
      <c r="I185" t="n">
        <v>2900</v>
      </c>
    </row>
    <row r="186">
      <c r="A186" t="n">
        <v>10099</v>
      </c>
      <c r="B186" s="3" t="n">
        <v>45902</v>
      </c>
      <c r="C186" t="inlineStr">
        <is>
          <t>Western Logistics</t>
        </is>
      </c>
      <c r="D186" t="n">
        <v>102</v>
      </c>
      <c r="E186" t="n">
        <v>15</v>
      </c>
      <c r="F186" t="n">
        <v>750</v>
      </c>
      <c r="G186" t="n">
        <v>5</v>
      </c>
      <c r="H186" t="inlineStr">
        <is>
          <t>Delivered</t>
        </is>
      </c>
      <c r="I186" t="n">
        <v>10687.5</v>
      </c>
    </row>
    <row r="187">
      <c r="A187" t="n">
        <v>10099</v>
      </c>
      <c r="B187" s="3" t="n">
        <v>45902</v>
      </c>
      <c r="C187" t="inlineStr">
        <is>
          <t>Western Logistics</t>
        </is>
      </c>
      <c r="D187" t="n">
        <v>105</v>
      </c>
      <c r="E187" t="n">
        <v>35</v>
      </c>
      <c r="F187" t="n">
        <v>1400</v>
      </c>
      <c r="G187" t="n">
        <v>10</v>
      </c>
      <c r="H187" t="inlineStr">
        <is>
          <t>Delivered</t>
        </is>
      </c>
      <c r="I187" t="n">
        <v>44100</v>
      </c>
    </row>
    <row r="188">
      <c r="A188" t="n">
        <v>10099</v>
      </c>
      <c r="B188" s="3" t="n">
        <v>45902</v>
      </c>
      <c r="C188" t="inlineStr">
        <is>
          <t>Western Logistics</t>
        </is>
      </c>
      <c r="D188" t="n">
        <v>108</v>
      </c>
      <c r="E188" t="n">
        <v>15</v>
      </c>
      <c r="F188" t="n">
        <v>290</v>
      </c>
      <c r="G188" t="n">
        <v>5</v>
      </c>
      <c r="H188" t="inlineStr">
        <is>
          <t>Delivered</t>
        </is>
      </c>
      <c r="I188" t="n">
        <v>4132.5</v>
      </c>
    </row>
    <row r="189">
      <c r="A189" t="n">
        <v>10100</v>
      </c>
      <c r="B189" s="3" t="n">
        <v>45903</v>
      </c>
      <c r="C189" t="inlineStr">
        <is>
          <t>Kitchen Kraft</t>
        </is>
      </c>
      <c r="D189" t="n">
        <v>101</v>
      </c>
      <c r="E189" t="n">
        <v>15</v>
      </c>
      <c r="F189" t="n">
        <v>430</v>
      </c>
      <c r="G189" t="n">
        <v>5</v>
      </c>
      <c r="H189" t="inlineStr">
        <is>
          <t>Delivered</t>
        </is>
      </c>
      <c r="I189" t="n">
        <v>6127.5</v>
      </c>
    </row>
    <row r="190">
      <c r="A190" t="n">
        <v>10100</v>
      </c>
      <c r="B190" s="3" t="n">
        <v>45903</v>
      </c>
      <c r="C190" t="inlineStr">
        <is>
          <t>Kitchen Kraft</t>
        </is>
      </c>
      <c r="D190" t="n">
        <v>104</v>
      </c>
      <c r="E190" t="n">
        <v>35</v>
      </c>
      <c r="F190" t="n">
        <v>620</v>
      </c>
      <c r="G190" t="n">
        <v>0</v>
      </c>
      <c r="H190" t="inlineStr">
        <is>
          <t>Delivered</t>
        </is>
      </c>
      <c r="I190" t="n">
        <v>21700</v>
      </c>
    </row>
    <row r="191">
      <c r="A191" t="n">
        <v>10100</v>
      </c>
      <c r="B191" s="3" t="n">
        <v>45903</v>
      </c>
      <c r="C191" t="inlineStr">
        <is>
          <t>Kitchen Kraft</t>
        </is>
      </c>
      <c r="D191" t="n">
        <v>108</v>
      </c>
      <c r="E191" t="n">
        <v>20</v>
      </c>
      <c r="F191" t="n">
        <v>290</v>
      </c>
      <c r="G191" t="n">
        <v>0</v>
      </c>
      <c r="H191" t="inlineStr">
        <is>
          <t>Delivered</t>
        </is>
      </c>
      <c r="I191" t="n">
        <v>5800</v>
      </c>
    </row>
    <row r="192">
      <c r="A192" t="n">
        <v>10101</v>
      </c>
      <c r="B192" s="3" t="n">
        <v>45907</v>
      </c>
      <c r="C192" t="inlineStr">
        <is>
          <t>Deccan Packaging</t>
        </is>
      </c>
      <c r="D192" t="n">
        <v>101</v>
      </c>
      <c r="E192" t="n">
        <v>10</v>
      </c>
      <c r="F192" t="n">
        <v>430</v>
      </c>
      <c r="G192" t="n">
        <v>12</v>
      </c>
      <c r="H192" t="inlineStr">
        <is>
          <t>Delivered</t>
        </is>
      </c>
      <c r="I192" t="n">
        <v>3784</v>
      </c>
    </row>
    <row r="193">
      <c r="A193" t="n">
        <v>10101</v>
      </c>
      <c r="B193" s="3" t="n">
        <v>45907</v>
      </c>
      <c r="C193" t="inlineStr">
        <is>
          <t>Deccan Packaging</t>
        </is>
      </c>
      <c r="D193" t="n">
        <v>105</v>
      </c>
      <c r="E193" t="n">
        <v>35</v>
      </c>
      <c r="F193" t="n">
        <v>1400</v>
      </c>
      <c r="G193" t="n">
        <v>5</v>
      </c>
      <c r="H193" t="inlineStr">
        <is>
          <t>Delivered</t>
        </is>
      </c>
      <c r="I193" t="n">
        <v>46550</v>
      </c>
    </row>
    <row r="194">
      <c r="A194" t="n">
        <v>10102</v>
      </c>
      <c r="B194" s="3" t="n">
        <v>45909</v>
      </c>
      <c r="C194" t="inlineStr">
        <is>
          <t>Royal Banquets</t>
        </is>
      </c>
      <c r="D194" t="n">
        <v>101</v>
      </c>
      <c r="E194" t="n">
        <v>10</v>
      </c>
      <c r="F194" t="n">
        <v>430</v>
      </c>
      <c r="G194" t="n">
        <v>5</v>
      </c>
      <c r="H194" t="inlineStr">
        <is>
          <t>Delivered</t>
        </is>
      </c>
      <c r="I194" t="n">
        <v>4085</v>
      </c>
    </row>
    <row r="195">
      <c r="A195" t="n">
        <v>10102</v>
      </c>
      <c r="B195" s="3" t="n">
        <v>45909</v>
      </c>
      <c r="C195" t="inlineStr">
        <is>
          <t>Royal Banquets</t>
        </is>
      </c>
      <c r="D195" t="n">
        <v>107</v>
      </c>
      <c r="E195" t="n">
        <v>25</v>
      </c>
      <c r="F195" t="n">
        <v>380</v>
      </c>
      <c r="G195" t="n">
        <v>0</v>
      </c>
      <c r="H195" t="inlineStr">
        <is>
          <t>Delivered</t>
        </is>
      </c>
      <c r="I195" t="n">
        <v>9500</v>
      </c>
    </row>
    <row r="196">
      <c r="A196" t="n">
        <v>10103</v>
      </c>
      <c r="B196" s="3" t="n">
        <v>45911</v>
      </c>
      <c r="C196" t="inlineStr">
        <is>
          <t>Coastal Foods</t>
        </is>
      </c>
      <c r="D196" t="n">
        <v>102</v>
      </c>
      <c r="E196" t="n">
        <v>20</v>
      </c>
      <c r="F196" t="n">
        <v>750</v>
      </c>
      <c r="G196" t="n">
        <v>8</v>
      </c>
      <c r="H196" t="inlineStr">
        <is>
          <t>Delivered</t>
        </is>
      </c>
      <c r="I196" t="n">
        <v>13800</v>
      </c>
    </row>
    <row r="197">
      <c r="A197" t="n">
        <v>10104</v>
      </c>
      <c r="B197" s="3" t="n">
        <v>45911</v>
      </c>
      <c r="C197" t="inlineStr">
        <is>
          <t>Fresh Bowl Kitchens</t>
        </is>
      </c>
      <c r="D197" t="n">
        <v>103</v>
      </c>
      <c r="E197" t="n">
        <v>55</v>
      </c>
      <c r="F197" t="n">
        <v>115</v>
      </c>
      <c r="G197" t="n">
        <v>5</v>
      </c>
      <c r="H197" t="inlineStr">
        <is>
          <t>Delivered</t>
        </is>
      </c>
      <c r="I197" t="n">
        <v>6008.75</v>
      </c>
    </row>
    <row r="198">
      <c r="A198" t="n">
        <v>10104</v>
      </c>
      <c r="B198" s="3" t="n">
        <v>45911</v>
      </c>
      <c r="C198" t="inlineStr">
        <is>
          <t>Fresh Bowl Kitchens</t>
        </is>
      </c>
      <c r="D198" t="n">
        <v>107</v>
      </c>
      <c r="E198" t="n">
        <v>30</v>
      </c>
      <c r="F198" t="n">
        <v>380</v>
      </c>
      <c r="G198" t="n">
        <v>0</v>
      </c>
      <c r="H198" t="inlineStr">
        <is>
          <t>Delivered</t>
        </is>
      </c>
      <c r="I198" t="n">
        <v>11400</v>
      </c>
    </row>
    <row r="199">
      <c r="A199" t="n">
        <v>10104</v>
      </c>
      <c r="B199" s="3" t="n">
        <v>45911</v>
      </c>
      <c r="C199" t="inlineStr">
        <is>
          <t>Fresh Bowl Kitchens</t>
        </is>
      </c>
      <c r="D199" t="n">
        <v>108</v>
      </c>
      <c r="E199" t="n">
        <v>35</v>
      </c>
      <c r="F199" t="n">
        <v>290</v>
      </c>
      <c r="G199" t="n">
        <v>0</v>
      </c>
      <c r="H199" t="inlineStr">
        <is>
          <t>Delivered</t>
        </is>
      </c>
      <c r="I199" t="n">
        <v>10150</v>
      </c>
    </row>
    <row r="200">
      <c r="A200" t="n">
        <v>10105</v>
      </c>
      <c r="B200" s="3" t="n">
        <v>45912</v>
      </c>
      <c r="C200" t="inlineStr">
        <is>
          <t>Tasty Tiffins</t>
        </is>
      </c>
      <c r="D200" t="n">
        <v>101</v>
      </c>
      <c r="E200" t="n">
        <v>10</v>
      </c>
      <c r="F200" t="n">
        <v>430</v>
      </c>
      <c r="G200" t="n">
        <v>0</v>
      </c>
      <c r="H200" t="inlineStr">
        <is>
          <t>Delivered</t>
        </is>
      </c>
      <c r="I200" t="n">
        <v>4300</v>
      </c>
    </row>
    <row r="201">
      <c r="A201" t="n">
        <v>10105</v>
      </c>
      <c r="B201" s="3" t="n">
        <v>45912</v>
      </c>
      <c r="C201" t="inlineStr">
        <is>
          <t>Tasty Tiffins</t>
        </is>
      </c>
      <c r="D201" t="n">
        <v>103</v>
      </c>
      <c r="E201" t="n">
        <v>60</v>
      </c>
      <c r="F201" t="n">
        <v>115</v>
      </c>
      <c r="G201" t="n">
        <v>0</v>
      </c>
      <c r="H201" t="inlineStr">
        <is>
          <t>Delivered</t>
        </is>
      </c>
      <c r="I201" t="n">
        <v>6900</v>
      </c>
    </row>
    <row r="202">
      <c r="A202" t="n">
        <v>10105</v>
      </c>
      <c r="B202" s="3" t="n">
        <v>45912</v>
      </c>
      <c r="C202" t="inlineStr">
        <is>
          <t>Tasty Tiffins</t>
        </is>
      </c>
      <c r="D202" t="n">
        <v>104</v>
      </c>
      <c r="E202" t="n">
        <v>45</v>
      </c>
      <c r="F202" t="n">
        <v>620</v>
      </c>
      <c r="G202" t="n">
        <v>0</v>
      </c>
      <c r="H202" t="inlineStr">
        <is>
          <t>Delivered</t>
        </is>
      </c>
      <c r="I202" t="n">
        <v>27900</v>
      </c>
    </row>
    <row r="203">
      <c r="A203" t="n">
        <v>10106</v>
      </c>
      <c r="B203" s="3" t="n">
        <v>45913</v>
      </c>
      <c r="C203" t="inlineStr">
        <is>
          <t>Harbour Traders</t>
        </is>
      </c>
      <c r="D203" t="n">
        <v>105</v>
      </c>
      <c r="E203" t="n">
        <v>30</v>
      </c>
      <c r="F203" t="n">
        <v>1400</v>
      </c>
      <c r="G203" t="n">
        <v>5</v>
      </c>
      <c r="H203" t="inlineStr">
        <is>
          <t>Delivered</t>
        </is>
      </c>
      <c r="I203" t="n">
        <v>39900</v>
      </c>
    </row>
    <row r="204">
      <c r="A204" t="n">
        <v>10106</v>
      </c>
      <c r="B204" s="3" t="n">
        <v>45913</v>
      </c>
      <c r="C204" t="inlineStr">
        <is>
          <t>Harbour Traders</t>
        </is>
      </c>
      <c r="D204" t="n">
        <v>108</v>
      </c>
      <c r="E204" t="n">
        <v>30</v>
      </c>
      <c r="F204" t="n">
        <v>290</v>
      </c>
      <c r="G204" t="n">
        <v>5</v>
      </c>
      <c r="H204" t="inlineStr">
        <is>
          <t>Delivered</t>
        </is>
      </c>
      <c r="I204" t="n">
        <v>8265</v>
      </c>
    </row>
    <row r="205">
      <c r="A205" t="n">
        <v>10107</v>
      </c>
      <c r="B205" s="3" t="n">
        <v>45913</v>
      </c>
      <c r="C205" t="inlineStr">
        <is>
          <t>Deccan Packaging</t>
        </is>
      </c>
      <c r="D205" t="n">
        <v>101</v>
      </c>
      <c r="E205" t="n">
        <v>10</v>
      </c>
      <c r="F205" t="n">
        <v>430</v>
      </c>
      <c r="G205" t="n">
        <v>10</v>
      </c>
      <c r="H205" t="inlineStr">
        <is>
          <t>Delivered</t>
        </is>
      </c>
      <c r="I205" t="n">
        <v>3870</v>
      </c>
    </row>
    <row r="206">
      <c r="A206" t="n">
        <v>10107</v>
      </c>
      <c r="B206" s="3" t="n">
        <v>45913</v>
      </c>
      <c r="C206" t="inlineStr">
        <is>
          <t>Deccan Packaging</t>
        </is>
      </c>
      <c r="D206" t="n">
        <v>105</v>
      </c>
      <c r="E206" t="n">
        <v>45</v>
      </c>
      <c r="F206" t="n">
        <v>1400</v>
      </c>
      <c r="G206" t="n">
        <v>10</v>
      </c>
      <c r="H206" t="inlineStr">
        <is>
          <t>Delivered</t>
        </is>
      </c>
      <c r="I206" t="n">
        <v>56700</v>
      </c>
    </row>
    <row r="207">
      <c r="A207" t="n">
        <v>10108</v>
      </c>
      <c r="B207" s="3" t="n">
        <v>45915</v>
      </c>
      <c r="C207" t="inlineStr">
        <is>
          <t>Festive Gifts Co</t>
        </is>
      </c>
      <c r="D207" t="n">
        <v>101</v>
      </c>
      <c r="E207" t="n">
        <v>30</v>
      </c>
      <c r="F207" t="n">
        <v>430</v>
      </c>
      <c r="G207" t="n">
        <v>0</v>
      </c>
      <c r="H207" t="inlineStr">
        <is>
          <t>Delivered</t>
        </is>
      </c>
      <c r="I207" t="n">
        <v>12900</v>
      </c>
    </row>
    <row r="208">
      <c r="A208" t="n">
        <v>10108</v>
      </c>
      <c r="B208" s="3" t="n">
        <v>45915</v>
      </c>
      <c r="C208" t="inlineStr">
        <is>
          <t>Festive Gifts Co</t>
        </is>
      </c>
      <c r="D208" t="n">
        <v>107</v>
      </c>
      <c r="E208" t="n">
        <v>35</v>
      </c>
      <c r="F208" t="n">
        <v>380</v>
      </c>
      <c r="G208" t="n">
        <v>0</v>
      </c>
      <c r="H208" t="inlineStr">
        <is>
          <t>Delivered</t>
        </is>
      </c>
      <c r="I208" t="n">
        <v>13300</v>
      </c>
    </row>
    <row r="209">
      <c r="A209" t="n">
        <v>10109</v>
      </c>
      <c r="B209" s="3" t="n">
        <v>45918</v>
      </c>
      <c r="C209" t="inlineStr">
        <is>
          <t>Lakeview Resorts</t>
        </is>
      </c>
      <c r="D209" t="n">
        <v>107</v>
      </c>
      <c r="E209" t="n">
        <v>15</v>
      </c>
      <c r="F209" t="n">
        <v>380</v>
      </c>
      <c r="G209" t="n">
        <v>0</v>
      </c>
      <c r="H209" t="inlineStr">
        <is>
          <t>Delivered</t>
        </is>
      </c>
      <c r="I209" t="n">
        <v>5700</v>
      </c>
    </row>
    <row r="210">
      <c r="A210" t="n">
        <v>10109</v>
      </c>
      <c r="B210" s="3" t="n">
        <v>45918</v>
      </c>
      <c r="C210" t="inlineStr">
        <is>
          <t>Lakeview Resorts</t>
        </is>
      </c>
      <c r="D210" t="n">
        <v>108</v>
      </c>
      <c r="E210" t="n">
        <v>35</v>
      </c>
      <c r="F210" t="n">
        <v>290</v>
      </c>
      <c r="G210" t="n">
        <v>0</v>
      </c>
      <c r="H210" t="inlineStr">
        <is>
          <t>Delivered</t>
        </is>
      </c>
      <c r="I210" t="n">
        <v>10150</v>
      </c>
    </row>
    <row r="211">
      <c r="A211" t="n">
        <v>10110</v>
      </c>
      <c r="B211" s="3" t="n">
        <v>45921</v>
      </c>
      <c r="C211" t="inlineStr">
        <is>
          <t>Sharma Hardware</t>
        </is>
      </c>
      <c r="D211" t="n">
        <v>104</v>
      </c>
      <c r="E211" t="n">
        <v>35</v>
      </c>
      <c r="F211" t="n">
        <v>620</v>
      </c>
      <c r="G211" t="n">
        <v>0</v>
      </c>
      <c r="H211" t="inlineStr">
        <is>
          <t>Delivered</t>
        </is>
      </c>
      <c r="I211" t="n">
        <v>21700</v>
      </c>
    </row>
    <row r="212">
      <c r="A212" t="n">
        <v>10110</v>
      </c>
      <c r="B212" s="3" t="n">
        <v>45921</v>
      </c>
      <c r="C212" t="inlineStr">
        <is>
          <t>Sharma Hardware</t>
        </is>
      </c>
      <c r="D212" t="n">
        <v>107</v>
      </c>
      <c r="E212" t="n">
        <v>25</v>
      </c>
      <c r="F212" t="n">
        <v>380</v>
      </c>
      <c r="G212" t="n">
        <v>5</v>
      </c>
      <c r="H212" t="inlineStr">
        <is>
          <t>Delivered</t>
        </is>
      </c>
      <c r="I212" t="n">
        <v>9025</v>
      </c>
    </row>
    <row r="213">
      <c r="A213" t="n">
        <v>10111</v>
      </c>
      <c r="B213" s="3" t="n">
        <v>45922</v>
      </c>
      <c r="C213" t="inlineStr">
        <is>
          <t>Green Leaf Hotels</t>
        </is>
      </c>
      <c r="D213" t="n">
        <v>101</v>
      </c>
      <c r="E213" t="n">
        <v>30</v>
      </c>
      <c r="F213" t="n">
        <v>430</v>
      </c>
      <c r="G213" t="n">
        <v>0</v>
      </c>
      <c r="H213" t="inlineStr">
        <is>
          <t>Delivered</t>
        </is>
      </c>
      <c r="I213" t="n">
        <v>12900</v>
      </c>
    </row>
    <row r="214">
      <c r="A214" t="n">
        <v>10112</v>
      </c>
      <c r="B214" s="3" t="n">
        <v>45922</v>
      </c>
      <c r="C214" t="inlineStr">
        <is>
          <t>Green Leaf Hotels</t>
        </is>
      </c>
      <c r="D214" t="n">
        <v>101</v>
      </c>
      <c r="E214" t="n">
        <v>10</v>
      </c>
      <c r="F214" t="n">
        <v>430</v>
      </c>
      <c r="G214" t="n">
        <v>5</v>
      </c>
      <c r="H214" t="inlineStr">
        <is>
          <t>Delivered</t>
        </is>
      </c>
      <c r="I214" t="n">
        <v>4085</v>
      </c>
    </row>
    <row r="215">
      <c r="A215" t="n">
        <v>10112</v>
      </c>
      <c r="B215" s="3" t="n">
        <v>45922</v>
      </c>
      <c r="C215" t="inlineStr">
        <is>
          <t>Green Leaf Hotels</t>
        </is>
      </c>
      <c r="D215" t="n">
        <v>104</v>
      </c>
      <c r="E215" t="n">
        <v>15</v>
      </c>
      <c r="F215" t="n">
        <v>620</v>
      </c>
      <c r="G215" t="n">
        <v>5</v>
      </c>
      <c r="H215" t="inlineStr">
        <is>
          <t>Delivered</t>
        </is>
      </c>
      <c r="I215" t="n">
        <v>8835</v>
      </c>
    </row>
    <row r="216">
      <c r="A216" t="n">
        <v>10112</v>
      </c>
      <c r="B216" s="3" t="n">
        <v>45922</v>
      </c>
      <c r="C216" t="inlineStr">
        <is>
          <t>Green Leaf Hotels</t>
        </is>
      </c>
      <c r="D216" t="n">
        <v>107</v>
      </c>
      <c r="E216" t="n">
        <v>60</v>
      </c>
      <c r="F216" t="n">
        <v>380</v>
      </c>
      <c r="G216" t="n">
        <v>5</v>
      </c>
      <c r="H216" t="inlineStr">
        <is>
          <t>Delivered</t>
        </is>
      </c>
      <c r="I216" t="n">
        <v>21660</v>
      </c>
    </row>
    <row r="217">
      <c r="A217" t="n">
        <v>10113</v>
      </c>
      <c r="B217" s="3" t="n">
        <v>45923</v>
      </c>
      <c r="C217" t="inlineStr">
        <is>
          <t>Metro Mart</t>
        </is>
      </c>
      <c r="D217" t="n">
        <v>101</v>
      </c>
      <c r="E217" t="n">
        <v>25</v>
      </c>
      <c r="F217" t="n">
        <v>430</v>
      </c>
      <c r="G217" t="n">
        <v>5</v>
      </c>
      <c r="H217" t="inlineStr">
        <is>
          <t>Delivered</t>
        </is>
      </c>
      <c r="I217" t="n">
        <v>10212.5</v>
      </c>
    </row>
    <row r="218">
      <c r="A218" t="n">
        <v>10113</v>
      </c>
      <c r="B218" s="3" t="n">
        <v>45923</v>
      </c>
      <c r="C218" t="inlineStr">
        <is>
          <t>Metro Mart</t>
        </is>
      </c>
      <c r="D218" t="n">
        <v>102</v>
      </c>
      <c r="E218" t="n">
        <v>10</v>
      </c>
      <c r="F218" t="n">
        <v>750</v>
      </c>
      <c r="G218" t="n">
        <v>0</v>
      </c>
      <c r="H218" t="inlineStr">
        <is>
          <t>Delivered</t>
        </is>
      </c>
      <c r="I218" t="n">
        <v>7500</v>
      </c>
    </row>
    <row r="219">
      <c r="A219" t="n">
        <v>10113</v>
      </c>
      <c r="B219" s="3" t="n">
        <v>45923</v>
      </c>
      <c r="C219" t="inlineStr">
        <is>
          <t>Metro Mart</t>
        </is>
      </c>
      <c r="D219" t="n">
        <v>107</v>
      </c>
      <c r="E219" t="n">
        <v>20</v>
      </c>
      <c r="F219" t="n">
        <v>380</v>
      </c>
      <c r="G219" t="n">
        <v>5</v>
      </c>
      <c r="H219" t="inlineStr">
        <is>
          <t>Delivered</t>
        </is>
      </c>
      <c r="I219" t="n">
        <v>7220</v>
      </c>
    </row>
    <row r="220">
      <c r="A220" t="n">
        <v>10114</v>
      </c>
      <c r="B220" s="3" t="n">
        <v>45924</v>
      </c>
      <c r="C220" t="inlineStr">
        <is>
          <t>Northgate Distributors</t>
        </is>
      </c>
      <c r="D220" t="n">
        <v>101</v>
      </c>
      <c r="E220" t="n">
        <v>25</v>
      </c>
      <c r="F220" t="n">
        <v>430</v>
      </c>
      <c r="G220" t="n">
        <v>12</v>
      </c>
      <c r="H220" t="inlineStr">
        <is>
          <t>Delivered</t>
        </is>
      </c>
      <c r="I220" t="n">
        <v>9460</v>
      </c>
    </row>
    <row r="221">
      <c r="A221" t="n">
        <v>10114</v>
      </c>
      <c r="B221" s="3" t="n">
        <v>45924</v>
      </c>
      <c r="C221" t="inlineStr">
        <is>
          <t>Northgate Distributors</t>
        </is>
      </c>
      <c r="D221" t="n">
        <v>102</v>
      </c>
      <c r="E221" t="n">
        <v>30</v>
      </c>
      <c r="F221" t="n">
        <v>750</v>
      </c>
      <c r="G221" t="n">
        <v>5</v>
      </c>
      <c r="H221" t="inlineStr">
        <is>
          <t>Delivered</t>
        </is>
      </c>
      <c r="I221" t="n">
        <v>21375</v>
      </c>
    </row>
    <row r="222">
      <c r="A222" t="n">
        <v>10114</v>
      </c>
      <c r="B222" s="3" t="n">
        <v>45924</v>
      </c>
      <c r="C222" t="inlineStr">
        <is>
          <t>Northgate Distributors</t>
        </is>
      </c>
      <c r="D222" t="n">
        <v>108</v>
      </c>
      <c r="E222" t="n">
        <v>35</v>
      </c>
      <c r="F222" t="n">
        <v>290</v>
      </c>
      <c r="G222" t="n">
        <v>12</v>
      </c>
      <c r="H222" t="inlineStr">
        <is>
          <t>Delivered</t>
        </is>
      </c>
      <c r="I222" t="n">
        <v>8932</v>
      </c>
    </row>
    <row r="223">
      <c r="A223" t="n">
        <v>10115</v>
      </c>
      <c r="B223" s="3" t="n">
        <v>45928</v>
      </c>
      <c r="C223" t="inlineStr">
        <is>
          <t>Spice Route Restaurants</t>
        </is>
      </c>
      <c r="D223" t="n">
        <v>107</v>
      </c>
      <c r="E223" t="n">
        <v>20</v>
      </c>
      <c r="F223" t="n">
        <v>380</v>
      </c>
      <c r="G223" t="n">
        <v>0</v>
      </c>
      <c r="H223" t="inlineStr">
        <is>
          <t>Delivered</t>
        </is>
      </c>
      <c r="I223" t="n">
        <v>7600</v>
      </c>
    </row>
    <row r="224">
      <c r="A224" t="n">
        <v>10116</v>
      </c>
      <c r="B224" s="3" t="n">
        <v>45932</v>
      </c>
      <c r="C224" t="inlineStr">
        <is>
          <t>Metro Mart</t>
        </is>
      </c>
      <c r="D224" t="n">
        <v>101</v>
      </c>
      <c r="E224" t="n">
        <v>20</v>
      </c>
      <c r="F224" t="n">
        <v>430</v>
      </c>
      <c r="G224" t="n">
        <v>0</v>
      </c>
      <c r="H224" t="inlineStr">
        <is>
          <t>Delivered</t>
        </is>
      </c>
      <c r="I224" t="n">
        <v>8600</v>
      </c>
    </row>
    <row r="225">
      <c r="A225" t="n">
        <v>10116</v>
      </c>
      <c r="B225" s="3" t="n">
        <v>45932</v>
      </c>
      <c r="C225" t="inlineStr">
        <is>
          <t>Metro Mart</t>
        </is>
      </c>
      <c r="D225" t="n">
        <v>102</v>
      </c>
      <c r="E225" t="n">
        <v>60</v>
      </c>
      <c r="F225" t="n">
        <v>750</v>
      </c>
      <c r="G225" t="n">
        <v>0</v>
      </c>
      <c r="H225" t="inlineStr">
        <is>
          <t>Delivered</t>
        </is>
      </c>
      <c r="I225" t="n">
        <v>45000</v>
      </c>
    </row>
    <row r="226">
      <c r="A226" t="n">
        <v>10116</v>
      </c>
      <c r="B226" s="3" t="n">
        <v>45932</v>
      </c>
      <c r="C226" t="inlineStr">
        <is>
          <t>Metro Mart</t>
        </is>
      </c>
      <c r="D226" t="n">
        <v>103</v>
      </c>
      <c r="E226" t="n">
        <v>30</v>
      </c>
      <c r="F226" t="n">
        <v>115</v>
      </c>
      <c r="G226" t="n">
        <v>0</v>
      </c>
      <c r="H226" t="inlineStr">
        <is>
          <t>Delivered</t>
        </is>
      </c>
      <c r="I226" t="n">
        <v>3450</v>
      </c>
    </row>
    <row r="227">
      <c r="A227" t="n">
        <v>10117</v>
      </c>
      <c r="B227" s="3" t="n">
        <v>45932</v>
      </c>
      <c r="C227" t="inlineStr">
        <is>
          <t>Kitchen Kraft</t>
        </is>
      </c>
      <c r="D227" t="n">
        <v>102</v>
      </c>
      <c r="E227" t="n">
        <v>15</v>
      </c>
      <c r="F227" t="n">
        <v>750</v>
      </c>
      <c r="G227" t="n">
        <v>0</v>
      </c>
      <c r="H227" t="inlineStr">
        <is>
          <t>Delivered</t>
        </is>
      </c>
      <c r="I227" t="n">
        <v>11250</v>
      </c>
    </row>
    <row r="228">
      <c r="A228" t="n">
        <v>10117</v>
      </c>
      <c r="B228" s="3" t="n">
        <v>45932</v>
      </c>
      <c r="C228" t="inlineStr">
        <is>
          <t>Kitchen Kraft</t>
        </is>
      </c>
      <c r="D228" t="n">
        <v>107</v>
      </c>
      <c r="E228" t="n">
        <v>65</v>
      </c>
      <c r="F228" t="n">
        <v>380</v>
      </c>
      <c r="G228" t="n">
        <v>0</v>
      </c>
      <c r="H228" t="inlineStr">
        <is>
          <t>Delivered</t>
        </is>
      </c>
      <c r="I228" t="n">
        <v>24700</v>
      </c>
    </row>
    <row r="229">
      <c r="A229" t="n">
        <v>10118</v>
      </c>
      <c r="B229" s="3" t="n">
        <v>45933</v>
      </c>
      <c r="C229" t="inlineStr">
        <is>
          <t>Green Leaf Hotels</t>
        </is>
      </c>
      <c r="D229" t="n">
        <v>103</v>
      </c>
      <c r="E229" t="n">
        <v>80</v>
      </c>
      <c r="F229" t="n">
        <v>115</v>
      </c>
      <c r="G229" t="n">
        <v>0</v>
      </c>
      <c r="H229" t="inlineStr">
        <is>
          <t>Delivered</t>
        </is>
      </c>
      <c r="I229" t="n">
        <v>9200</v>
      </c>
    </row>
    <row r="230">
      <c r="A230" t="n">
        <v>10118</v>
      </c>
      <c r="B230" s="3" t="n">
        <v>45933</v>
      </c>
      <c r="C230" t="inlineStr">
        <is>
          <t>Green Leaf Hotels</t>
        </is>
      </c>
      <c r="D230" t="n">
        <v>107</v>
      </c>
      <c r="E230" t="n">
        <v>85</v>
      </c>
      <c r="F230" t="n">
        <v>380</v>
      </c>
      <c r="G230" t="n">
        <v>0</v>
      </c>
      <c r="H230" t="inlineStr">
        <is>
          <t>Delivered</t>
        </is>
      </c>
      <c r="I230" t="n">
        <v>32300</v>
      </c>
    </row>
    <row r="231">
      <c r="A231" t="n">
        <v>10119</v>
      </c>
      <c r="B231" s="3" t="n">
        <v>45933</v>
      </c>
      <c r="C231" t="inlineStr">
        <is>
          <t>Fresh Bowl Kitchens</t>
        </is>
      </c>
      <c r="D231" t="n">
        <v>101</v>
      </c>
      <c r="E231" t="n">
        <v>80</v>
      </c>
      <c r="F231" t="n">
        <v>430</v>
      </c>
      <c r="G231" t="n">
        <v>5</v>
      </c>
      <c r="H231" t="inlineStr">
        <is>
          <t>Delivered</t>
        </is>
      </c>
      <c r="I231" t="n">
        <v>32680</v>
      </c>
    </row>
    <row r="232">
      <c r="A232" t="n">
        <v>10119</v>
      </c>
      <c r="B232" s="3" t="n">
        <v>45933</v>
      </c>
      <c r="C232" t="inlineStr">
        <is>
          <t>Fresh Bowl Kitchens</t>
        </is>
      </c>
      <c r="D232" t="n">
        <v>107</v>
      </c>
      <c r="E232" t="n">
        <v>65</v>
      </c>
      <c r="F232" t="n">
        <v>380</v>
      </c>
      <c r="G232" t="n">
        <v>0</v>
      </c>
      <c r="H232" t="inlineStr">
        <is>
          <t>Delivered</t>
        </is>
      </c>
      <c r="I232" t="n">
        <v>24700</v>
      </c>
    </row>
    <row r="233">
      <c r="A233" t="n">
        <v>10120</v>
      </c>
      <c r="B233" s="3" t="n">
        <v>45935</v>
      </c>
      <c r="C233" t="inlineStr">
        <is>
          <t>Green Leaf Hotels</t>
        </is>
      </c>
      <c r="D233" t="n">
        <v>103</v>
      </c>
      <c r="E233" t="n">
        <v>40</v>
      </c>
      <c r="F233" t="n">
        <v>115</v>
      </c>
      <c r="G233" t="n">
        <v>0</v>
      </c>
      <c r="H233" t="inlineStr">
        <is>
          <t>Delivered</t>
        </is>
      </c>
      <c r="I233" t="n">
        <v>4600</v>
      </c>
    </row>
    <row r="234">
      <c r="A234" t="n">
        <v>10120</v>
      </c>
      <c r="B234" s="3" t="n">
        <v>45935</v>
      </c>
      <c r="C234" t="inlineStr">
        <is>
          <t>Green Leaf Hotels</t>
        </is>
      </c>
      <c r="D234" t="n">
        <v>108</v>
      </c>
      <c r="E234" t="n">
        <v>20</v>
      </c>
      <c r="F234" t="n">
        <v>290</v>
      </c>
      <c r="G234" t="n">
        <v>0</v>
      </c>
      <c r="H234" t="inlineStr">
        <is>
          <t>Delivered</t>
        </is>
      </c>
      <c r="I234" t="n">
        <v>5800</v>
      </c>
    </row>
    <row r="235">
      <c r="A235" t="n">
        <v>10121</v>
      </c>
      <c r="B235" s="3" t="n">
        <v>45936</v>
      </c>
      <c r="C235" t="inlineStr">
        <is>
          <t>Sea Breeze Hotel</t>
        </is>
      </c>
      <c r="D235" t="n">
        <v>107</v>
      </c>
      <c r="E235" t="n">
        <v>55</v>
      </c>
      <c r="F235" t="n">
        <v>380</v>
      </c>
      <c r="G235" t="n">
        <v>5</v>
      </c>
      <c r="H235" t="inlineStr">
        <is>
          <t>Delivered</t>
        </is>
      </c>
      <c r="I235" t="n">
        <v>19855</v>
      </c>
    </row>
    <row r="236">
      <c r="A236" t="n">
        <v>10121</v>
      </c>
      <c r="B236" s="3" t="n">
        <v>45936</v>
      </c>
      <c r="C236" t="inlineStr">
        <is>
          <t>Sea Breeze Hotel</t>
        </is>
      </c>
      <c r="D236" t="n">
        <v>108</v>
      </c>
      <c r="E236" t="n">
        <v>45</v>
      </c>
      <c r="F236" t="n">
        <v>290</v>
      </c>
      <c r="G236" t="n">
        <v>5</v>
      </c>
      <c r="H236" t="inlineStr">
        <is>
          <t>Delivered</t>
        </is>
      </c>
      <c r="I236" t="n">
        <v>12397.5</v>
      </c>
    </row>
    <row r="237">
      <c r="A237" t="n">
        <v>10122</v>
      </c>
      <c r="B237" s="3" t="n">
        <v>45937</v>
      </c>
      <c r="C237" t="inlineStr">
        <is>
          <t>Western Logistics</t>
        </is>
      </c>
      <c r="D237" t="n">
        <v>102</v>
      </c>
      <c r="E237" t="n">
        <v>40</v>
      </c>
      <c r="F237" t="n">
        <v>750</v>
      </c>
      <c r="G237" t="n">
        <v>5</v>
      </c>
      <c r="H237" t="inlineStr">
        <is>
          <t>Delivered</t>
        </is>
      </c>
      <c r="I237" t="n">
        <v>28500</v>
      </c>
    </row>
    <row r="238">
      <c r="A238" t="n">
        <v>10122</v>
      </c>
      <c r="B238" s="3" t="n">
        <v>45937</v>
      </c>
      <c r="C238" t="inlineStr">
        <is>
          <t>Western Logistics</t>
        </is>
      </c>
      <c r="D238" t="n">
        <v>108</v>
      </c>
      <c r="E238" t="n">
        <v>65</v>
      </c>
      <c r="F238" t="n">
        <v>290</v>
      </c>
      <c r="G238" t="n">
        <v>10</v>
      </c>
      <c r="H238" t="inlineStr">
        <is>
          <t>Delivered</t>
        </is>
      </c>
      <c r="I238" t="n">
        <v>16965</v>
      </c>
    </row>
    <row r="239">
      <c r="A239" t="n">
        <v>10123</v>
      </c>
      <c r="B239" s="3" t="n">
        <v>45938</v>
      </c>
      <c r="C239" t="inlineStr">
        <is>
          <t>Spice Route Restaurants</t>
        </is>
      </c>
      <c r="D239" t="n">
        <v>103</v>
      </c>
      <c r="E239" t="n">
        <v>20</v>
      </c>
      <c r="F239" t="n">
        <v>115</v>
      </c>
      <c r="G239" t="n">
        <v>0</v>
      </c>
      <c r="H239" t="inlineStr">
        <is>
          <t>Delivered</t>
        </is>
      </c>
      <c r="I239" t="n">
        <v>2300</v>
      </c>
    </row>
    <row r="240">
      <c r="A240" t="n">
        <v>10123</v>
      </c>
      <c r="B240" s="3" t="n">
        <v>45938</v>
      </c>
      <c r="C240" t="inlineStr">
        <is>
          <t>Spice Route Restaurants</t>
        </is>
      </c>
      <c r="D240" t="n">
        <v>108</v>
      </c>
      <c r="E240" t="n">
        <v>30</v>
      </c>
      <c r="F240" t="n">
        <v>290</v>
      </c>
      <c r="G240" t="n">
        <v>5</v>
      </c>
      <c r="H240" t="inlineStr">
        <is>
          <t>Delivered</t>
        </is>
      </c>
      <c r="I240" t="n">
        <v>8265</v>
      </c>
    </row>
    <row r="241">
      <c r="A241" t="n">
        <v>10124</v>
      </c>
      <c r="B241" s="3" t="n">
        <v>45938</v>
      </c>
      <c r="C241" t="inlineStr">
        <is>
          <t>Evergreen Mart</t>
        </is>
      </c>
      <c r="D241" t="n">
        <v>102</v>
      </c>
      <c r="E241" t="n">
        <v>50</v>
      </c>
      <c r="F241" t="n">
        <v>750</v>
      </c>
      <c r="G241" t="n">
        <v>0</v>
      </c>
      <c r="H241" t="inlineStr">
        <is>
          <t>Delivered</t>
        </is>
      </c>
      <c r="I241" t="n">
        <v>37500</v>
      </c>
    </row>
    <row r="242">
      <c r="A242" t="n">
        <v>10124</v>
      </c>
      <c r="B242" s="3" t="n">
        <v>45938</v>
      </c>
      <c r="C242" t="inlineStr">
        <is>
          <t>Evergreen Mart</t>
        </is>
      </c>
      <c r="D242" t="n">
        <v>104</v>
      </c>
      <c r="E242" t="n">
        <v>30</v>
      </c>
      <c r="F242" t="n">
        <v>620</v>
      </c>
      <c r="G242" t="n">
        <v>0</v>
      </c>
      <c r="H242" t="inlineStr">
        <is>
          <t>Delivered</t>
        </is>
      </c>
      <c r="I242" t="n">
        <v>18600</v>
      </c>
    </row>
    <row r="243">
      <c r="A243" t="n">
        <v>10125</v>
      </c>
      <c r="B243" s="3" t="n">
        <v>45942</v>
      </c>
      <c r="C243" t="inlineStr">
        <is>
          <t>Deccan Packaging</t>
        </is>
      </c>
      <c r="D243" t="n">
        <v>101</v>
      </c>
      <c r="E243" t="n">
        <v>40</v>
      </c>
      <c r="F243" t="n">
        <v>430</v>
      </c>
      <c r="G243" t="n">
        <v>12</v>
      </c>
      <c r="H243" t="inlineStr">
        <is>
          <t>Delivered</t>
        </is>
      </c>
      <c r="I243" t="n">
        <v>15136</v>
      </c>
    </row>
    <row r="244">
      <c r="A244" t="n">
        <v>10126</v>
      </c>
      <c r="B244" s="3" t="n">
        <v>45943</v>
      </c>
      <c r="C244" t="inlineStr">
        <is>
          <t>Harbour Traders</t>
        </is>
      </c>
      <c r="D244" t="n">
        <v>101</v>
      </c>
      <c r="E244" t="n">
        <v>55</v>
      </c>
      <c r="F244" t="n">
        <v>430</v>
      </c>
      <c r="G244" t="n">
        <v>8</v>
      </c>
      <c r="H244" t="inlineStr">
        <is>
          <t>Delivered</t>
        </is>
      </c>
      <c r="I244" t="n">
        <v>21758</v>
      </c>
    </row>
    <row r="245">
      <c r="A245" t="n">
        <v>10126</v>
      </c>
      <c r="B245" s="3" t="n">
        <v>45943</v>
      </c>
      <c r="C245" t="inlineStr">
        <is>
          <t>Harbour Traders</t>
        </is>
      </c>
      <c r="D245" t="n">
        <v>102</v>
      </c>
      <c r="E245" t="n">
        <v>40</v>
      </c>
      <c r="F245" t="n">
        <v>750</v>
      </c>
      <c r="G245" t="n">
        <v>10</v>
      </c>
      <c r="H245" t="inlineStr">
        <is>
          <t>Delivered</t>
        </is>
      </c>
      <c r="I245" t="n">
        <v>27000</v>
      </c>
    </row>
    <row r="246">
      <c r="A246" t="n">
        <v>10126</v>
      </c>
      <c r="B246" s="3" t="n">
        <v>45943</v>
      </c>
      <c r="C246" t="inlineStr">
        <is>
          <t>Harbour Traders</t>
        </is>
      </c>
      <c r="D246" t="n">
        <v>105</v>
      </c>
      <c r="E246" t="n">
        <v>40</v>
      </c>
      <c r="F246" t="n">
        <v>1400</v>
      </c>
      <c r="G246" t="n">
        <v>8</v>
      </c>
      <c r="H246" t="inlineStr">
        <is>
          <t>Delivered</t>
        </is>
      </c>
      <c r="I246" t="n">
        <v>51520</v>
      </c>
    </row>
    <row r="247">
      <c r="A247" t="n">
        <v>10127</v>
      </c>
      <c r="B247" s="3" t="n">
        <v>45944</v>
      </c>
      <c r="C247" t="inlineStr">
        <is>
          <t>Metro Mart</t>
        </is>
      </c>
      <c r="D247" t="n">
        <v>102</v>
      </c>
      <c r="E247" t="n">
        <v>40</v>
      </c>
      <c r="F247" t="n">
        <v>750</v>
      </c>
      <c r="G247" t="n">
        <v>5</v>
      </c>
      <c r="H247" t="inlineStr">
        <is>
          <t>Delivered</t>
        </is>
      </c>
      <c r="I247" t="n">
        <v>28500</v>
      </c>
    </row>
    <row r="248">
      <c r="A248" t="n">
        <v>10128</v>
      </c>
      <c r="B248" s="3" t="n">
        <v>45945</v>
      </c>
      <c r="C248" t="inlineStr">
        <is>
          <t>Lakeview Resorts</t>
        </is>
      </c>
      <c r="D248" t="n">
        <v>103</v>
      </c>
      <c r="E248" t="n">
        <v>65</v>
      </c>
      <c r="F248" t="n">
        <v>115</v>
      </c>
      <c r="G248" t="n">
        <v>5</v>
      </c>
      <c r="H248" t="inlineStr">
        <is>
          <t>Delivered</t>
        </is>
      </c>
      <c r="I248" t="n">
        <v>7101.25</v>
      </c>
    </row>
    <row r="249">
      <c r="A249" t="n">
        <v>10128</v>
      </c>
      <c r="B249" s="3" t="n">
        <v>45945</v>
      </c>
      <c r="C249" t="inlineStr">
        <is>
          <t>Lakeview Resorts</t>
        </is>
      </c>
      <c r="D249" t="n">
        <v>107</v>
      </c>
      <c r="E249" t="n">
        <v>70</v>
      </c>
      <c r="F249" t="n">
        <v>380</v>
      </c>
      <c r="G249" t="n">
        <v>5</v>
      </c>
      <c r="H249" t="inlineStr">
        <is>
          <t>Delivered</t>
        </is>
      </c>
      <c r="I249" t="n">
        <v>25270</v>
      </c>
    </row>
    <row r="250">
      <c r="A250" t="n">
        <v>10129</v>
      </c>
      <c r="B250" s="3" t="n">
        <v>45945</v>
      </c>
      <c r="C250" t="inlineStr">
        <is>
          <t>Evergreen Mart</t>
        </is>
      </c>
      <c r="D250" t="n">
        <v>101</v>
      </c>
      <c r="E250" t="n">
        <v>20</v>
      </c>
      <c r="F250" t="n">
        <v>430</v>
      </c>
      <c r="G250" t="n">
        <v>0</v>
      </c>
      <c r="H250" t="inlineStr">
        <is>
          <t>Delivered</t>
        </is>
      </c>
      <c r="I250" t="n">
        <v>8600</v>
      </c>
    </row>
    <row r="251">
      <c r="A251" t="n">
        <v>10130</v>
      </c>
      <c r="B251" s="3" t="n">
        <v>45948</v>
      </c>
      <c r="C251" t="inlineStr">
        <is>
          <t>Northgate Distributors</t>
        </is>
      </c>
      <c r="D251" t="n">
        <v>102</v>
      </c>
      <c r="E251" t="n">
        <v>20</v>
      </c>
      <c r="F251" t="n">
        <v>750</v>
      </c>
      <c r="G251" t="n">
        <v>10</v>
      </c>
      <c r="H251" t="inlineStr">
        <is>
          <t>Delivered</t>
        </is>
      </c>
      <c r="I251" t="n">
        <v>13500</v>
      </c>
    </row>
    <row r="252">
      <c r="A252" t="n">
        <v>10131</v>
      </c>
      <c r="B252" s="3" t="n">
        <v>45948</v>
      </c>
      <c r="C252" t="inlineStr">
        <is>
          <t>Festive Gifts Co</t>
        </is>
      </c>
      <c r="D252" t="n">
        <v>103</v>
      </c>
      <c r="E252" t="n">
        <v>70</v>
      </c>
      <c r="F252" t="n">
        <v>115</v>
      </c>
      <c r="G252" t="n">
        <v>0</v>
      </c>
      <c r="H252" t="inlineStr">
        <is>
          <t>Cancelled</t>
        </is>
      </c>
      <c r="I252" t="n">
        <v>8050</v>
      </c>
    </row>
    <row r="253">
      <c r="A253" t="n">
        <v>10131</v>
      </c>
      <c r="B253" s="3" t="n">
        <v>45948</v>
      </c>
      <c r="C253" t="inlineStr">
        <is>
          <t>Festive Gifts Co</t>
        </is>
      </c>
      <c r="D253" t="n">
        <v>107</v>
      </c>
      <c r="E253" t="n">
        <v>25</v>
      </c>
      <c r="F253" t="n">
        <v>380</v>
      </c>
      <c r="G253" t="n">
        <v>0</v>
      </c>
      <c r="H253" t="inlineStr">
        <is>
          <t>Cancelled</t>
        </is>
      </c>
      <c r="I253" t="n">
        <v>9500</v>
      </c>
    </row>
    <row r="254">
      <c r="A254" t="n">
        <v>10131</v>
      </c>
      <c r="B254" s="3" t="n">
        <v>45948</v>
      </c>
      <c r="C254" t="inlineStr">
        <is>
          <t>Festive Gifts Co</t>
        </is>
      </c>
      <c r="D254" t="n">
        <v>108</v>
      </c>
      <c r="E254" t="n">
        <v>70</v>
      </c>
      <c r="F254" t="n">
        <v>290</v>
      </c>
      <c r="G254" t="n">
        <v>0</v>
      </c>
      <c r="H254" t="inlineStr">
        <is>
          <t>Cancelled</t>
        </is>
      </c>
      <c r="I254" t="n">
        <v>20300</v>
      </c>
    </row>
    <row r="255">
      <c r="A255" t="n">
        <v>10132</v>
      </c>
      <c r="B255" s="3" t="n">
        <v>45950</v>
      </c>
      <c r="C255" t="inlineStr">
        <is>
          <t>Sharma Hardware</t>
        </is>
      </c>
      <c r="D255" t="n">
        <v>101</v>
      </c>
      <c r="E255" t="n">
        <v>65</v>
      </c>
      <c r="F255" t="n">
        <v>430</v>
      </c>
      <c r="G255" t="n">
        <v>0</v>
      </c>
      <c r="H255" t="inlineStr">
        <is>
          <t>Delivered</t>
        </is>
      </c>
      <c r="I255" t="n">
        <v>27950</v>
      </c>
    </row>
    <row r="256">
      <c r="A256" t="n">
        <v>10133</v>
      </c>
      <c r="B256" s="3" t="n">
        <v>45955</v>
      </c>
      <c r="C256" t="inlineStr">
        <is>
          <t>Sharma Hardware</t>
        </is>
      </c>
      <c r="D256" t="n">
        <v>102</v>
      </c>
      <c r="E256" t="n">
        <v>70</v>
      </c>
      <c r="F256" t="n">
        <v>750</v>
      </c>
      <c r="G256" t="n">
        <v>5</v>
      </c>
      <c r="H256" t="inlineStr">
        <is>
          <t>Delivered</t>
        </is>
      </c>
      <c r="I256" t="n">
        <v>49875</v>
      </c>
    </row>
    <row r="257">
      <c r="A257" t="n">
        <v>10133</v>
      </c>
      <c r="B257" s="3" t="n">
        <v>45955</v>
      </c>
      <c r="C257" t="inlineStr">
        <is>
          <t>Sharma Hardware</t>
        </is>
      </c>
      <c r="D257" t="n">
        <v>107</v>
      </c>
      <c r="E257" t="n">
        <v>50</v>
      </c>
      <c r="F257" t="n">
        <v>380</v>
      </c>
      <c r="G257" t="n">
        <v>0</v>
      </c>
      <c r="H257" t="inlineStr">
        <is>
          <t>Delivered</t>
        </is>
      </c>
      <c r="I257" t="n">
        <v>19000</v>
      </c>
    </row>
    <row r="258">
      <c r="A258" t="n">
        <v>10134</v>
      </c>
      <c r="B258" s="3" t="n">
        <v>45956</v>
      </c>
      <c r="C258" t="inlineStr">
        <is>
          <t>Tasty Tiffins</t>
        </is>
      </c>
      <c r="D258" t="n">
        <v>103</v>
      </c>
      <c r="E258" t="n">
        <v>50</v>
      </c>
      <c r="F258" t="n">
        <v>115</v>
      </c>
      <c r="G258" t="n">
        <v>0</v>
      </c>
      <c r="H258" t="inlineStr">
        <is>
          <t>Delivered</t>
        </is>
      </c>
      <c r="I258" t="n">
        <v>5750</v>
      </c>
    </row>
    <row r="259">
      <c r="A259" t="n">
        <v>10135</v>
      </c>
      <c r="B259" s="3" t="n">
        <v>45957</v>
      </c>
      <c r="C259" t="inlineStr">
        <is>
          <t>Coastal Foods</t>
        </is>
      </c>
      <c r="D259" t="n">
        <v>102</v>
      </c>
      <c r="E259" t="n">
        <v>15</v>
      </c>
      <c r="F259" t="n">
        <v>750</v>
      </c>
      <c r="G259" t="n">
        <v>12</v>
      </c>
      <c r="H259" t="inlineStr">
        <is>
          <t>Delivered</t>
        </is>
      </c>
      <c r="I259" t="n">
        <v>9900</v>
      </c>
    </row>
    <row r="260">
      <c r="A260" t="n">
        <v>10135</v>
      </c>
      <c r="B260" s="3" t="n">
        <v>45957</v>
      </c>
      <c r="C260" t="inlineStr">
        <is>
          <t>Coastal Foods</t>
        </is>
      </c>
      <c r="D260" t="n">
        <v>108</v>
      </c>
      <c r="E260" t="n">
        <v>40</v>
      </c>
      <c r="F260" t="n">
        <v>290</v>
      </c>
      <c r="G260" t="n">
        <v>12</v>
      </c>
      <c r="H260" t="inlineStr">
        <is>
          <t>Delivered</t>
        </is>
      </c>
      <c r="I260" t="n">
        <v>10208</v>
      </c>
    </row>
    <row r="261">
      <c r="A261" t="n">
        <v>10136</v>
      </c>
      <c r="B261" s="3" t="n">
        <v>45957</v>
      </c>
      <c r="C261" t="inlineStr">
        <is>
          <t>Western Logistics</t>
        </is>
      </c>
      <c r="D261" t="n">
        <v>108</v>
      </c>
      <c r="E261" t="n">
        <v>50</v>
      </c>
      <c r="F261" t="n">
        <v>290</v>
      </c>
      <c r="G261" t="n">
        <v>8</v>
      </c>
      <c r="H261" t="inlineStr">
        <is>
          <t>Delivered</t>
        </is>
      </c>
      <c r="I261" t="n">
        <v>13340</v>
      </c>
    </row>
    <row r="262">
      <c r="A262" t="n">
        <v>10137</v>
      </c>
      <c r="B262" s="3" t="n">
        <v>45965</v>
      </c>
      <c r="C262" t="inlineStr">
        <is>
          <t>Fresh Bowl Kitchens</t>
        </is>
      </c>
      <c r="D262" t="n">
        <v>108</v>
      </c>
      <c r="E262" t="n">
        <v>15</v>
      </c>
      <c r="F262" t="n">
        <v>290</v>
      </c>
      <c r="G262" t="n">
        <v>5</v>
      </c>
      <c r="H262" t="inlineStr">
        <is>
          <t>Delivered</t>
        </is>
      </c>
      <c r="I262" t="n">
        <v>4132.5</v>
      </c>
    </row>
    <row r="263">
      <c r="A263" t="n">
        <v>10138</v>
      </c>
      <c r="B263" s="3" t="n">
        <v>45966</v>
      </c>
      <c r="C263" t="inlineStr">
        <is>
          <t>Green Leaf Hotels</t>
        </is>
      </c>
      <c r="D263" t="n">
        <v>103</v>
      </c>
      <c r="E263" t="n">
        <v>15</v>
      </c>
      <c r="F263" t="n">
        <v>115</v>
      </c>
      <c r="G263" t="n">
        <v>5</v>
      </c>
      <c r="H263" t="inlineStr">
        <is>
          <t>Delivered</t>
        </is>
      </c>
      <c r="I263" t="n">
        <v>1638.75</v>
      </c>
    </row>
    <row r="264">
      <c r="A264" t="n">
        <v>10138</v>
      </c>
      <c r="B264" s="3" t="n">
        <v>45966</v>
      </c>
      <c r="C264" t="inlineStr">
        <is>
          <t>Green Leaf Hotels</t>
        </is>
      </c>
      <c r="D264" t="n">
        <v>108</v>
      </c>
      <c r="E264" t="n">
        <v>55</v>
      </c>
      <c r="F264" t="n">
        <v>290</v>
      </c>
      <c r="G264" t="n">
        <v>0</v>
      </c>
      <c r="H264" t="inlineStr">
        <is>
          <t>Delivered</t>
        </is>
      </c>
      <c r="I264" t="n">
        <v>15950</v>
      </c>
    </row>
    <row r="265">
      <c r="A265" t="n">
        <v>10139</v>
      </c>
      <c r="B265" s="3" t="n">
        <v>45967</v>
      </c>
      <c r="C265" t="inlineStr">
        <is>
          <t>Harbour Traders</t>
        </is>
      </c>
      <c r="D265" t="n">
        <v>101</v>
      </c>
      <c r="E265" t="n">
        <v>60</v>
      </c>
      <c r="F265" t="n">
        <v>430</v>
      </c>
      <c r="G265" t="n">
        <v>8</v>
      </c>
      <c r="H265" t="inlineStr">
        <is>
          <t>Delivered</t>
        </is>
      </c>
      <c r="I265" t="n">
        <v>23736</v>
      </c>
    </row>
    <row r="266">
      <c r="A266" t="n">
        <v>10139</v>
      </c>
      <c r="B266" s="3" t="n">
        <v>45967</v>
      </c>
      <c r="C266" t="inlineStr">
        <is>
          <t>Harbour Traders</t>
        </is>
      </c>
      <c r="D266" t="n">
        <v>105</v>
      </c>
      <c r="E266" t="n">
        <v>20</v>
      </c>
      <c r="F266" t="n">
        <v>1400</v>
      </c>
      <c r="G266" t="n">
        <v>12</v>
      </c>
      <c r="H266" t="inlineStr">
        <is>
          <t>Delivered</t>
        </is>
      </c>
      <c r="I266" t="n">
        <v>24640</v>
      </c>
    </row>
    <row r="267">
      <c r="A267" t="n">
        <v>10140</v>
      </c>
      <c r="B267" s="3" t="n">
        <v>45970</v>
      </c>
      <c r="C267" t="inlineStr">
        <is>
          <t>Patel Kitchenware</t>
        </is>
      </c>
      <c r="D267" t="n">
        <v>103</v>
      </c>
      <c r="E267" t="n">
        <v>65</v>
      </c>
      <c r="F267" t="n">
        <v>115</v>
      </c>
      <c r="G267" t="n">
        <v>0</v>
      </c>
      <c r="H267" t="inlineStr">
        <is>
          <t>Delivered</t>
        </is>
      </c>
      <c r="I267" t="n">
        <v>7475</v>
      </c>
    </row>
    <row r="268">
      <c r="A268" t="n">
        <v>10140</v>
      </c>
      <c r="B268" s="3" t="n">
        <v>45970</v>
      </c>
      <c r="C268" t="inlineStr">
        <is>
          <t>Patel Kitchenware</t>
        </is>
      </c>
      <c r="D268" t="n">
        <v>104</v>
      </c>
      <c r="E268" t="n">
        <v>55</v>
      </c>
      <c r="F268" t="n">
        <v>620</v>
      </c>
      <c r="G268" t="n">
        <v>5</v>
      </c>
      <c r="H268" t="inlineStr">
        <is>
          <t>Delivered</t>
        </is>
      </c>
      <c r="I268" t="n">
        <v>32395</v>
      </c>
    </row>
    <row r="269">
      <c r="A269" t="n">
        <v>10141</v>
      </c>
      <c r="B269" s="3" t="n">
        <v>45970</v>
      </c>
      <c r="C269" t="inlineStr">
        <is>
          <t>Blue Bay Cafe</t>
        </is>
      </c>
      <c r="D269" t="n">
        <v>104</v>
      </c>
      <c r="E269" t="n">
        <v>10</v>
      </c>
      <c r="F269" t="n">
        <v>620</v>
      </c>
      <c r="G269" t="n">
        <v>0</v>
      </c>
      <c r="H269" t="inlineStr">
        <is>
          <t>Delivered</t>
        </is>
      </c>
      <c r="I269" t="n">
        <v>6200</v>
      </c>
    </row>
    <row r="270">
      <c r="A270" t="n">
        <v>10141</v>
      </c>
      <c r="B270" s="3" t="n">
        <v>45970</v>
      </c>
      <c r="C270" t="inlineStr">
        <is>
          <t>Blue Bay Cafe</t>
        </is>
      </c>
      <c r="D270" t="n">
        <v>108</v>
      </c>
      <c r="E270" t="n">
        <v>65</v>
      </c>
      <c r="F270" t="n">
        <v>290</v>
      </c>
      <c r="G270" t="n">
        <v>5</v>
      </c>
      <c r="H270" t="inlineStr">
        <is>
          <t>Delivered</t>
        </is>
      </c>
      <c r="I270" t="n">
        <v>17907.5</v>
      </c>
    </row>
    <row r="271">
      <c r="A271" t="n">
        <v>10142</v>
      </c>
      <c r="B271" s="3" t="n">
        <v>45970</v>
      </c>
      <c r="C271" t="inlineStr">
        <is>
          <t>Spice Route Restaurants</t>
        </is>
      </c>
      <c r="D271" t="n">
        <v>104</v>
      </c>
      <c r="E271" t="n">
        <v>60</v>
      </c>
      <c r="F271" t="n">
        <v>620</v>
      </c>
      <c r="G271" t="n">
        <v>5</v>
      </c>
      <c r="H271" t="inlineStr">
        <is>
          <t>Delivered</t>
        </is>
      </c>
      <c r="I271" t="n">
        <v>35340</v>
      </c>
    </row>
    <row r="272">
      <c r="A272" t="n">
        <v>10142</v>
      </c>
      <c r="B272" s="3" t="n">
        <v>45970</v>
      </c>
      <c r="C272" t="inlineStr">
        <is>
          <t>Spice Route Restaurants</t>
        </is>
      </c>
      <c r="D272" t="n">
        <v>108</v>
      </c>
      <c r="E272" t="n">
        <v>60</v>
      </c>
      <c r="F272" t="n">
        <v>290</v>
      </c>
      <c r="G272" t="n">
        <v>5</v>
      </c>
      <c r="H272" t="inlineStr">
        <is>
          <t>Delivered</t>
        </is>
      </c>
      <c r="I272" t="n">
        <v>16530</v>
      </c>
    </row>
    <row r="273">
      <c r="A273" t="n">
        <v>10143</v>
      </c>
      <c r="B273" s="3" t="n">
        <v>45972</v>
      </c>
      <c r="C273" t="inlineStr">
        <is>
          <t>Northgate Distributors</t>
        </is>
      </c>
      <c r="D273" t="n">
        <v>101</v>
      </c>
      <c r="E273" t="n">
        <v>55</v>
      </c>
      <c r="F273" t="n">
        <v>430</v>
      </c>
      <c r="G273" t="n">
        <v>12</v>
      </c>
      <c r="H273" t="inlineStr">
        <is>
          <t>Delivered</t>
        </is>
      </c>
      <c r="I273" t="n">
        <v>20812</v>
      </c>
    </row>
    <row r="274">
      <c r="A274" t="n">
        <v>10143</v>
      </c>
      <c r="B274" s="3" t="n">
        <v>45972</v>
      </c>
      <c r="C274" t="inlineStr">
        <is>
          <t>Northgate Distributors</t>
        </is>
      </c>
      <c r="D274" t="n">
        <v>105</v>
      </c>
      <c r="E274" t="n">
        <v>25</v>
      </c>
      <c r="F274" t="n">
        <v>1400</v>
      </c>
      <c r="G274" t="n">
        <v>8</v>
      </c>
      <c r="H274" t="inlineStr">
        <is>
          <t>Delivered</t>
        </is>
      </c>
      <c r="I274" t="n">
        <v>32200</v>
      </c>
    </row>
    <row r="275">
      <c r="A275" t="n">
        <v>10144</v>
      </c>
      <c r="B275" s="3" t="n">
        <v>45973</v>
      </c>
      <c r="C275" t="inlineStr">
        <is>
          <t>Deccan Packaging</t>
        </is>
      </c>
      <c r="D275" t="n">
        <v>101</v>
      </c>
      <c r="E275" t="n">
        <v>15</v>
      </c>
      <c r="F275" t="n">
        <v>430</v>
      </c>
      <c r="G275" t="n">
        <v>5</v>
      </c>
      <c r="H275" t="inlineStr">
        <is>
          <t>Delivered</t>
        </is>
      </c>
      <c r="I275" t="n">
        <v>6127.5</v>
      </c>
    </row>
    <row r="276">
      <c r="A276" t="n">
        <v>10144</v>
      </c>
      <c r="B276" s="3" t="n">
        <v>45973</v>
      </c>
      <c r="C276" t="inlineStr">
        <is>
          <t>Deccan Packaging</t>
        </is>
      </c>
      <c r="D276" t="n">
        <v>108</v>
      </c>
      <c r="E276" t="n">
        <v>25</v>
      </c>
      <c r="F276" t="n">
        <v>290</v>
      </c>
      <c r="G276" t="n">
        <v>12</v>
      </c>
      <c r="H276" t="inlineStr">
        <is>
          <t>Delivered</t>
        </is>
      </c>
      <c r="I276" t="n">
        <v>6380</v>
      </c>
    </row>
    <row r="277">
      <c r="A277" t="n">
        <v>10145</v>
      </c>
      <c r="B277" s="3" t="n">
        <v>45973</v>
      </c>
      <c r="C277" t="inlineStr">
        <is>
          <t>Kitchen Kraft</t>
        </is>
      </c>
      <c r="D277" t="n">
        <v>107</v>
      </c>
      <c r="E277" t="n">
        <v>15</v>
      </c>
      <c r="F277" t="n">
        <v>380</v>
      </c>
      <c r="G277" t="n">
        <v>0</v>
      </c>
      <c r="H277" t="inlineStr">
        <is>
          <t>Delivered</t>
        </is>
      </c>
      <c r="I277" t="n">
        <v>5700</v>
      </c>
    </row>
    <row r="278">
      <c r="A278" t="n">
        <v>10145</v>
      </c>
      <c r="B278" s="3" t="n">
        <v>45973</v>
      </c>
      <c r="C278" t="inlineStr">
        <is>
          <t>Kitchen Kraft</t>
        </is>
      </c>
      <c r="D278" t="n">
        <v>108</v>
      </c>
      <c r="E278" t="n">
        <v>55</v>
      </c>
      <c r="F278" t="n">
        <v>290</v>
      </c>
      <c r="G278" t="n">
        <v>0</v>
      </c>
      <c r="H278" t="inlineStr">
        <is>
          <t>Delivered</t>
        </is>
      </c>
      <c r="I278" t="n">
        <v>15950</v>
      </c>
    </row>
    <row r="279">
      <c r="A279" t="n">
        <v>10146</v>
      </c>
      <c r="B279" s="3" t="n">
        <v>45977</v>
      </c>
      <c r="C279" t="inlineStr">
        <is>
          <t>Sharma Hardware</t>
        </is>
      </c>
      <c r="D279" t="n">
        <v>102</v>
      </c>
      <c r="E279" t="n">
        <v>65</v>
      </c>
      <c r="F279" t="n">
        <v>750</v>
      </c>
      <c r="G279" t="n">
        <v>0</v>
      </c>
      <c r="H279" t="inlineStr">
        <is>
          <t>Delivered</t>
        </is>
      </c>
      <c r="I279" t="n">
        <v>48750</v>
      </c>
    </row>
    <row r="280">
      <c r="A280" t="n">
        <v>10146</v>
      </c>
      <c r="B280" s="3" t="n">
        <v>45977</v>
      </c>
      <c r="C280" t="inlineStr">
        <is>
          <t>Sharma Hardware</t>
        </is>
      </c>
      <c r="D280" t="n">
        <v>107</v>
      </c>
      <c r="E280" t="n">
        <v>50</v>
      </c>
      <c r="F280" t="n">
        <v>380</v>
      </c>
      <c r="G280" t="n">
        <v>0</v>
      </c>
      <c r="H280" t="inlineStr">
        <is>
          <t>Delivered</t>
        </is>
      </c>
      <c r="I280" t="n">
        <v>19000</v>
      </c>
    </row>
    <row r="281">
      <c r="A281" t="n">
        <v>10146</v>
      </c>
      <c r="B281" s="3" t="n">
        <v>45977</v>
      </c>
      <c r="C281" t="inlineStr">
        <is>
          <t>Sharma Hardware</t>
        </is>
      </c>
      <c r="D281" t="n">
        <v>108</v>
      </c>
      <c r="E281" t="n">
        <v>50</v>
      </c>
      <c r="F281" t="n">
        <v>290</v>
      </c>
      <c r="G281" t="n">
        <v>0</v>
      </c>
      <c r="H281" t="inlineStr">
        <is>
          <t>Delivered</t>
        </is>
      </c>
      <c r="I281" t="n">
        <v>14500</v>
      </c>
    </row>
    <row r="282">
      <c r="A282" t="n">
        <v>10147</v>
      </c>
      <c r="B282" s="3" t="n">
        <v>45977</v>
      </c>
      <c r="C282" t="inlineStr">
        <is>
          <t>Western Logistics</t>
        </is>
      </c>
      <c r="D282" t="n">
        <v>101</v>
      </c>
      <c r="E282" t="n">
        <v>30</v>
      </c>
      <c r="F282" t="n">
        <v>430</v>
      </c>
      <c r="G282" t="n">
        <v>5</v>
      </c>
      <c r="H282" t="inlineStr">
        <is>
          <t>Delivered</t>
        </is>
      </c>
      <c r="I282" t="n">
        <v>12255</v>
      </c>
    </row>
    <row r="283">
      <c r="A283" t="n">
        <v>10147</v>
      </c>
      <c r="B283" s="3" t="n">
        <v>45977</v>
      </c>
      <c r="C283" t="inlineStr">
        <is>
          <t>Western Logistics</t>
        </is>
      </c>
      <c r="D283" t="n">
        <v>105</v>
      </c>
      <c r="E283" t="n">
        <v>30</v>
      </c>
      <c r="F283" t="n">
        <v>1400</v>
      </c>
      <c r="G283" t="n">
        <v>8</v>
      </c>
      <c r="H283" t="inlineStr">
        <is>
          <t>Delivered</t>
        </is>
      </c>
      <c r="I283" t="n">
        <v>38640</v>
      </c>
    </row>
    <row r="284">
      <c r="A284" t="n">
        <v>10148</v>
      </c>
      <c r="B284" s="3" t="n">
        <v>45977</v>
      </c>
      <c r="C284" t="inlineStr">
        <is>
          <t>Western Logistics</t>
        </is>
      </c>
      <c r="D284" t="n">
        <v>102</v>
      </c>
      <c r="E284" t="n">
        <v>45</v>
      </c>
      <c r="F284" t="n">
        <v>750</v>
      </c>
      <c r="G284" t="n">
        <v>12</v>
      </c>
      <c r="H284" t="inlineStr">
        <is>
          <t>Delivered</t>
        </is>
      </c>
      <c r="I284" t="n">
        <v>29700</v>
      </c>
    </row>
    <row r="285">
      <c r="A285" t="n">
        <v>10148</v>
      </c>
      <c r="B285" s="3" t="n">
        <v>45977</v>
      </c>
      <c r="C285" t="inlineStr">
        <is>
          <t>Western Logistics</t>
        </is>
      </c>
      <c r="D285" t="n">
        <v>108</v>
      </c>
      <c r="E285" t="n">
        <v>50</v>
      </c>
      <c r="F285" t="n">
        <v>290</v>
      </c>
      <c r="G285" t="n">
        <v>10</v>
      </c>
      <c r="H285" t="inlineStr">
        <is>
          <t>Delivered</t>
        </is>
      </c>
      <c r="I285" t="n">
        <v>13050</v>
      </c>
    </row>
    <row r="286">
      <c r="A286" t="n">
        <v>10149</v>
      </c>
      <c r="B286" s="3" t="n">
        <v>45979</v>
      </c>
      <c r="C286" t="inlineStr">
        <is>
          <t>Coastal Foods</t>
        </is>
      </c>
      <c r="D286" t="n">
        <v>102</v>
      </c>
      <c r="E286" t="n">
        <v>45</v>
      </c>
      <c r="F286" t="n">
        <v>750</v>
      </c>
      <c r="G286" t="n">
        <v>8</v>
      </c>
      <c r="H286" t="inlineStr">
        <is>
          <t>Delivered</t>
        </is>
      </c>
      <c r="I286" t="n">
        <v>31050</v>
      </c>
    </row>
    <row r="287">
      <c r="A287" t="n">
        <v>10149</v>
      </c>
      <c r="B287" s="3" t="n">
        <v>45979</v>
      </c>
      <c r="C287" t="inlineStr">
        <is>
          <t>Coastal Foods</t>
        </is>
      </c>
      <c r="D287" t="n">
        <v>105</v>
      </c>
      <c r="E287" t="n">
        <v>15</v>
      </c>
      <c r="F287" t="n">
        <v>1400</v>
      </c>
      <c r="G287" t="n">
        <v>12</v>
      </c>
      <c r="H287" t="inlineStr">
        <is>
          <t>Delivered</t>
        </is>
      </c>
      <c r="I287" t="n">
        <v>18480</v>
      </c>
    </row>
    <row r="288">
      <c r="A288" t="n">
        <v>10150</v>
      </c>
      <c r="B288" s="3" t="n">
        <v>45980</v>
      </c>
      <c r="C288" t="inlineStr">
        <is>
          <t>Festive Gifts Co</t>
        </is>
      </c>
      <c r="D288" t="n">
        <v>103</v>
      </c>
      <c r="E288" t="n">
        <v>70</v>
      </c>
      <c r="F288" t="n">
        <v>115</v>
      </c>
      <c r="G288" t="n">
        <v>0</v>
      </c>
      <c r="H288" t="inlineStr">
        <is>
          <t>Delivered</t>
        </is>
      </c>
      <c r="I288" t="n">
        <v>8050</v>
      </c>
    </row>
    <row r="289">
      <c r="A289" t="n">
        <v>10151</v>
      </c>
      <c r="B289" s="3" t="n">
        <v>45983</v>
      </c>
      <c r="C289" t="inlineStr">
        <is>
          <t>Harbour Traders</t>
        </is>
      </c>
      <c r="D289" t="n">
        <v>102</v>
      </c>
      <c r="E289" t="n">
        <v>35</v>
      </c>
      <c r="F289" t="n">
        <v>750</v>
      </c>
      <c r="G289" t="n">
        <v>5</v>
      </c>
      <c r="H289" t="inlineStr">
        <is>
          <t>Delivered</t>
        </is>
      </c>
      <c r="I289" t="n">
        <v>24937.5</v>
      </c>
    </row>
    <row r="290">
      <c r="A290" t="n">
        <v>10151</v>
      </c>
      <c r="B290" s="3" t="n">
        <v>45983</v>
      </c>
      <c r="C290" t="inlineStr">
        <is>
          <t>Harbour Traders</t>
        </is>
      </c>
      <c r="D290" t="n">
        <v>105</v>
      </c>
      <c r="E290" t="n">
        <v>40</v>
      </c>
      <c r="F290" t="n">
        <v>1400</v>
      </c>
      <c r="G290" t="n">
        <v>12</v>
      </c>
      <c r="H290" t="inlineStr">
        <is>
          <t>Delivered</t>
        </is>
      </c>
      <c r="I290" t="n">
        <v>49280</v>
      </c>
    </row>
    <row r="291">
      <c r="A291" t="n">
        <v>10152</v>
      </c>
      <c r="B291" s="3" t="n">
        <v>45983</v>
      </c>
      <c r="C291" t="inlineStr">
        <is>
          <t>Deccan Packaging</t>
        </is>
      </c>
      <c r="D291" t="n">
        <v>108</v>
      </c>
      <c r="E291" t="n">
        <v>45</v>
      </c>
      <c r="F291" t="n">
        <v>290</v>
      </c>
      <c r="G291" t="n">
        <v>5</v>
      </c>
      <c r="H291" t="inlineStr">
        <is>
          <t>Delivered</t>
        </is>
      </c>
      <c r="I291" t="n">
        <v>12397.5</v>
      </c>
    </row>
    <row r="292">
      <c r="A292" t="n">
        <v>10153</v>
      </c>
      <c r="B292" s="3" t="n">
        <v>45984</v>
      </c>
      <c r="C292" t="inlineStr">
        <is>
          <t>Royal Banquets</t>
        </is>
      </c>
      <c r="D292" t="n">
        <v>103</v>
      </c>
      <c r="E292" t="n">
        <v>25</v>
      </c>
      <c r="F292" t="n">
        <v>115</v>
      </c>
      <c r="G292" t="n">
        <v>5</v>
      </c>
      <c r="H292" t="inlineStr">
        <is>
          <t>Delivered</t>
        </is>
      </c>
      <c r="I292" t="n">
        <v>2731.25</v>
      </c>
    </row>
    <row r="293">
      <c r="A293" t="n">
        <v>10154</v>
      </c>
      <c r="B293" s="3" t="n">
        <v>45986</v>
      </c>
      <c r="C293" t="inlineStr">
        <is>
          <t>Spice Route Restaurants</t>
        </is>
      </c>
      <c r="D293" t="n">
        <v>101</v>
      </c>
      <c r="E293" t="n">
        <v>25</v>
      </c>
      <c r="F293" t="n">
        <v>430</v>
      </c>
      <c r="G293" t="n">
        <v>5</v>
      </c>
      <c r="H293" t="inlineStr">
        <is>
          <t>Delivered</t>
        </is>
      </c>
      <c r="I293" t="n">
        <v>10212.5</v>
      </c>
    </row>
    <row r="294">
      <c r="A294" t="n">
        <v>10155</v>
      </c>
      <c r="B294" s="3" t="n">
        <v>45987</v>
      </c>
      <c r="C294" t="inlineStr">
        <is>
          <t>Green Leaf Hotels</t>
        </is>
      </c>
      <c r="D294" t="n">
        <v>107</v>
      </c>
      <c r="E294" t="n">
        <v>10</v>
      </c>
      <c r="F294" t="n">
        <v>380</v>
      </c>
      <c r="G294" t="n">
        <v>5</v>
      </c>
      <c r="H294" t="inlineStr">
        <is>
          <t>Delivered</t>
        </is>
      </c>
      <c r="I294" t="n">
        <v>3610</v>
      </c>
    </row>
    <row r="295">
      <c r="A295" t="n">
        <v>10156</v>
      </c>
      <c r="B295" s="3" t="n">
        <v>45987</v>
      </c>
      <c r="C295" t="inlineStr">
        <is>
          <t>Metro Mart</t>
        </is>
      </c>
      <c r="D295" t="n">
        <v>101</v>
      </c>
      <c r="E295" t="n">
        <v>15</v>
      </c>
      <c r="F295" t="n">
        <v>430</v>
      </c>
      <c r="G295" t="n">
        <v>0</v>
      </c>
      <c r="H295" t="inlineStr">
        <is>
          <t>Delivered</t>
        </is>
      </c>
      <c r="I295" t="n">
        <v>6450</v>
      </c>
    </row>
    <row r="296">
      <c r="A296" t="n">
        <v>10157</v>
      </c>
      <c r="B296" s="3" t="n">
        <v>45989</v>
      </c>
      <c r="C296" t="inlineStr">
        <is>
          <t>Evergreen Mart</t>
        </is>
      </c>
      <c r="D296" t="n">
        <v>101</v>
      </c>
      <c r="E296" t="n">
        <v>40</v>
      </c>
      <c r="F296" t="n">
        <v>430</v>
      </c>
      <c r="G296" t="n">
        <v>0</v>
      </c>
      <c r="H296" t="inlineStr">
        <is>
          <t>Delivered</t>
        </is>
      </c>
      <c r="I296" t="n">
        <v>17200</v>
      </c>
    </row>
    <row r="297">
      <c r="A297" t="n">
        <v>10158</v>
      </c>
      <c r="B297" s="3" t="n">
        <v>45992</v>
      </c>
      <c r="C297" t="inlineStr">
        <is>
          <t>Sea Breeze Hotel</t>
        </is>
      </c>
      <c r="D297" t="n">
        <v>103</v>
      </c>
      <c r="E297" t="n">
        <v>5</v>
      </c>
      <c r="F297" t="n">
        <v>115</v>
      </c>
      <c r="G297" t="n">
        <v>0</v>
      </c>
      <c r="H297" t="inlineStr">
        <is>
          <t>Delivered</t>
        </is>
      </c>
      <c r="I297" t="n">
        <v>575</v>
      </c>
    </row>
    <row r="298">
      <c r="A298" t="n">
        <v>10158</v>
      </c>
      <c r="B298" s="3" t="n">
        <v>45992</v>
      </c>
      <c r="C298" t="inlineStr">
        <is>
          <t>Sea Breeze Hotel</t>
        </is>
      </c>
      <c r="D298" t="n">
        <v>104</v>
      </c>
      <c r="E298" t="n">
        <v>40</v>
      </c>
      <c r="F298" t="n">
        <v>620</v>
      </c>
      <c r="G298" t="n">
        <v>0</v>
      </c>
      <c r="H298" t="inlineStr">
        <is>
          <t>Delivered</t>
        </is>
      </c>
      <c r="I298" t="n">
        <v>24800</v>
      </c>
    </row>
    <row r="299">
      <c r="A299" t="n">
        <v>10159</v>
      </c>
      <c r="B299" s="3" t="n">
        <v>45992</v>
      </c>
      <c r="C299" t="inlineStr">
        <is>
          <t>Prime Wholesale</t>
        </is>
      </c>
      <c r="D299" t="n">
        <v>101</v>
      </c>
      <c r="E299" t="n">
        <v>35</v>
      </c>
      <c r="F299" t="n">
        <v>430</v>
      </c>
      <c r="G299" t="n">
        <v>10</v>
      </c>
      <c r="H299" t="inlineStr">
        <is>
          <t>Delivered</t>
        </is>
      </c>
      <c r="I299" t="n">
        <v>13545</v>
      </c>
    </row>
    <row r="300">
      <c r="A300" t="n">
        <v>10159</v>
      </c>
      <c r="B300" s="3" t="n">
        <v>45992</v>
      </c>
      <c r="C300" t="inlineStr">
        <is>
          <t>Prime Wholesale</t>
        </is>
      </c>
      <c r="D300" t="n">
        <v>102</v>
      </c>
      <c r="E300" t="n">
        <v>35</v>
      </c>
      <c r="F300" t="n">
        <v>750</v>
      </c>
      <c r="G300" t="n">
        <v>5</v>
      </c>
      <c r="H300" t="inlineStr">
        <is>
          <t>Delivered</t>
        </is>
      </c>
      <c r="I300" t="n">
        <v>24937.5</v>
      </c>
    </row>
    <row r="301">
      <c r="A301" t="n">
        <v>10159</v>
      </c>
      <c r="B301" s="3" t="n">
        <v>45992</v>
      </c>
      <c r="C301" t="inlineStr">
        <is>
          <t>Prime Wholesale</t>
        </is>
      </c>
      <c r="D301" t="n">
        <v>108</v>
      </c>
      <c r="E301" t="n">
        <v>30</v>
      </c>
      <c r="F301" t="n">
        <v>290</v>
      </c>
      <c r="G301" t="n">
        <v>8</v>
      </c>
      <c r="H301" t="inlineStr">
        <is>
          <t>Delivered</t>
        </is>
      </c>
      <c r="I301" t="n">
        <v>8004</v>
      </c>
    </row>
    <row r="302">
      <c r="A302" t="n">
        <v>10160</v>
      </c>
      <c r="B302" s="3" t="n">
        <v>45995</v>
      </c>
      <c r="C302" t="inlineStr">
        <is>
          <t>Northgate Distributors</t>
        </is>
      </c>
      <c r="D302" t="n">
        <v>101</v>
      </c>
      <c r="E302" t="n">
        <v>15</v>
      </c>
      <c r="F302" t="n">
        <v>430</v>
      </c>
      <c r="G302" t="n">
        <v>12</v>
      </c>
      <c r="H302" t="inlineStr">
        <is>
          <t>Delivered</t>
        </is>
      </c>
      <c r="I302" t="n">
        <v>5676</v>
      </c>
    </row>
    <row r="303">
      <c r="A303" t="n">
        <v>10160</v>
      </c>
      <c r="B303" s="3" t="n">
        <v>45995</v>
      </c>
      <c r="C303" t="inlineStr">
        <is>
          <t>Northgate Distributors</t>
        </is>
      </c>
      <c r="D303" t="n">
        <v>108</v>
      </c>
      <c r="E303" t="n">
        <v>15</v>
      </c>
      <c r="F303" t="n">
        <v>290</v>
      </c>
      <c r="G303" t="n">
        <v>5</v>
      </c>
      <c r="H303" t="inlineStr">
        <is>
          <t>Delivered</t>
        </is>
      </c>
      <c r="I303" t="n">
        <v>4132.5</v>
      </c>
    </row>
    <row r="304">
      <c r="A304" t="n">
        <v>10161</v>
      </c>
      <c r="B304" s="3" t="n">
        <v>45996</v>
      </c>
      <c r="C304" t="inlineStr">
        <is>
          <t>Sharma Hardware</t>
        </is>
      </c>
      <c r="D304" t="n">
        <v>103</v>
      </c>
      <c r="E304" t="n">
        <v>25</v>
      </c>
      <c r="F304" t="n">
        <v>115</v>
      </c>
      <c r="G304" t="n">
        <v>0</v>
      </c>
      <c r="H304" t="inlineStr">
        <is>
          <t>Delivered</t>
        </is>
      </c>
      <c r="I304" t="n">
        <v>2875</v>
      </c>
    </row>
    <row r="305">
      <c r="A305" t="n">
        <v>10161</v>
      </c>
      <c r="B305" s="3" t="n">
        <v>45996</v>
      </c>
      <c r="C305" t="inlineStr">
        <is>
          <t>Sharma Hardware</t>
        </is>
      </c>
      <c r="D305" t="n">
        <v>107</v>
      </c>
      <c r="E305" t="n">
        <v>30</v>
      </c>
      <c r="F305" t="n">
        <v>380</v>
      </c>
      <c r="G305" t="n">
        <v>5</v>
      </c>
      <c r="H305" t="inlineStr">
        <is>
          <t>Delivered</t>
        </is>
      </c>
      <c r="I305" t="n">
        <v>10830</v>
      </c>
    </row>
    <row r="306">
      <c r="A306" t="n">
        <v>10162</v>
      </c>
      <c r="B306" s="3" t="n">
        <v>45999</v>
      </c>
      <c r="C306" t="inlineStr">
        <is>
          <t>Northgate Distributors</t>
        </is>
      </c>
      <c r="D306" t="n">
        <v>101</v>
      </c>
      <c r="E306" t="n">
        <v>35</v>
      </c>
      <c r="F306" t="n">
        <v>430</v>
      </c>
      <c r="G306" t="n">
        <v>5</v>
      </c>
      <c r="H306" t="inlineStr">
        <is>
          <t>Delivered</t>
        </is>
      </c>
      <c r="I306" t="n">
        <v>14297.5</v>
      </c>
    </row>
    <row r="307">
      <c r="A307" t="n">
        <v>10162</v>
      </c>
      <c r="B307" s="3" t="n">
        <v>45999</v>
      </c>
      <c r="C307" t="inlineStr">
        <is>
          <t>Northgate Distributors</t>
        </is>
      </c>
      <c r="D307" t="n">
        <v>105</v>
      </c>
      <c r="E307" t="n">
        <v>40</v>
      </c>
      <c r="F307" t="n">
        <v>1400</v>
      </c>
      <c r="G307" t="n">
        <v>8</v>
      </c>
      <c r="H307" t="inlineStr">
        <is>
          <t>Delivered</t>
        </is>
      </c>
      <c r="I307" t="n">
        <v>51520</v>
      </c>
    </row>
    <row r="308">
      <c r="A308" t="n">
        <v>10163</v>
      </c>
      <c r="B308" s="3" t="n">
        <v>46001</v>
      </c>
      <c r="C308" t="inlineStr">
        <is>
          <t>Coastal Foods</t>
        </is>
      </c>
      <c r="D308" t="n">
        <v>108</v>
      </c>
      <c r="E308" t="n">
        <v>15</v>
      </c>
      <c r="F308" t="n">
        <v>290</v>
      </c>
      <c r="G308" t="n">
        <v>12</v>
      </c>
      <c r="H308" t="inlineStr">
        <is>
          <t>Delivered</t>
        </is>
      </c>
      <c r="I308" t="n">
        <v>3828</v>
      </c>
    </row>
    <row r="309">
      <c r="A309" t="n">
        <v>10164</v>
      </c>
      <c r="B309" s="3" t="n">
        <v>46001</v>
      </c>
      <c r="C309" t="inlineStr">
        <is>
          <t>Western Logistics</t>
        </is>
      </c>
      <c r="D309" t="n">
        <v>101</v>
      </c>
      <c r="E309" t="n">
        <v>10</v>
      </c>
      <c r="F309" t="n">
        <v>430</v>
      </c>
      <c r="G309" t="n">
        <v>10</v>
      </c>
      <c r="H309" t="inlineStr">
        <is>
          <t>Delivered</t>
        </is>
      </c>
      <c r="I309" t="n">
        <v>3870</v>
      </c>
    </row>
    <row r="310">
      <c r="A310" t="n">
        <v>10165</v>
      </c>
      <c r="B310" s="3" t="n">
        <v>46003</v>
      </c>
      <c r="C310" t="inlineStr">
        <is>
          <t>Prime Wholesale</t>
        </is>
      </c>
      <c r="D310" t="n">
        <v>102</v>
      </c>
      <c r="E310" t="n">
        <v>15</v>
      </c>
      <c r="F310" t="n">
        <v>750</v>
      </c>
      <c r="G310" t="n">
        <v>12</v>
      </c>
      <c r="H310" t="inlineStr">
        <is>
          <t>Delivered</t>
        </is>
      </c>
      <c r="I310" t="n">
        <v>9900</v>
      </c>
    </row>
    <row r="311">
      <c r="A311" t="n">
        <v>10165</v>
      </c>
      <c r="B311" s="3" t="n">
        <v>46003</v>
      </c>
      <c r="C311" t="inlineStr">
        <is>
          <t>Prime Wholesale</t>
        </is>
      </c>
      <c r="D311" t="n">
        <v>108</v>
      </c>
      <c r="E311" t="n">
        <v>35</v>
      </c>
      <c r="F311" t="n">
        <v>290</v>
      </c>
      <c r="G311" t="n">
        <v>10</v>
      </c>
      <c r="H311" t="inlineStr">
        <is>
          <t>Delivered</t>
        </is>
      </c>
      <c r="I311" t="n">
        <v>9135</v>
      </c>
    </row>
    <row r="312">
      <c r="A312" t="n">
        <v>10166</v>
      </c>
      <c r="B312" s="3" t="n">
        <v>46004</v>
      </c>
      <c r="C312" t="inlineStr">
        <is>
          <t>Sea Breeze Hotel</t>
        </is>
      </c>
      <c r="D312" t="n">
        <v>101</v>
      </c>
      <c r="E312" t="n">
        <v>10</v>
      </c>
      <c r="F312" t="n">
        <v>430</v>
      </c>
      <c r="G312" t="n">
        <v>0</v>
      </c>
      <c r="H312" t="inlineStr">
        <is>
          <t>Delivered</t>
        </is>
      </c>
      <c r="I312" t="n">
        <v>4300</v>
      </c>
    </row>
    <row r="313">
      <c r="A313" t="n">
        <v>10166</v>
      </c>
      <c r="B313" s="3" t="n">
        <v>46004</v>
      </c>
      <c r="C313" t="inlineStr">
        <is>
          <t>Sea Breeze Hotel</t>
        </is>
      </c>
      <c r="D313" t="n">
        <v>104</v>
      </c>
      <c r="E313" t="n">
        <v>50</v>
      </c>
      <c r="F313" t="n">
        <v>620</v>
      </c>
      <c r="G313" t="n">
        <v>0</v>
      </c>
      <c r="H313" t="inlineStr">
        <is>
          <t>Delivered</t>
        </is>
      </c>
      <c r="I313" t="n">
        <v>31000</v>
      </c>
    </row>
    <row r="314">
      <c r="A314" t="n">
        <v>10167</v>
      </c>
      <c r="B314" s="3" t="n">
        <v>46005</v>
      </c>
      <c r="C314" t="inlineStr">
        <is>
          <t>Harbour Traders</t>
        </is>
      </c>
      <c r="D314" t="n">
        <v>101</v>
      </c>
      <c r="E314" t="n">
        <v>35</v>
      </c>
      <c r="F314" t="n">
        <v>430</v>
      </c>
      <c r="G314" t="n">
        <v>10</v>
      </c>
      <c r="H314" t="inlineStr">
        <is>
          <t>Delivered</t>
        </is>
      </c>
      <c r="I314" t="n">
        <v>13545</v>
      </c>
    </row>
    <row r="315">
      <c r="A315" t="n">
        <v>10167</v>
      </c>
      <c r="B315" s="3" t="n">
        <v>46005</v>
      </c>
      <c r="C315" t="inlineStr">
        <is>
          <t>Harbour Traders</t>
        </is>
      </c>
      <c r="D315" t="n">
        <v>108</v>
      </c>
      <c r="E315" t="n">
        <v>20</v>
      </c>
      <c r="F315" t="n">
        <v>290</v>
      </c>
      <c r="G315" t="n">
        <v>10</v>
      </c>
      <c r="H315" t="inlineStr">
        <is>
          <t>Delivered</t>
        </is>
      </c>
      <c r="I315" t="n">
        <v>5220</v>
      </c>
    </row>
    <row r="316">
      <c r="A316" t="n">
        <v>10168</v>
      </c>
      <c r="B316" s="3" t="n">
        <v>46007</v>
      </c>
      <c r="C316" t="inlineStr">
        <is>
          <t>Metro Mart</t>
        </is>
      </c>
      <c r="D316" t="n">
        <v>101</v>
      </c>
      <c r="E316" t="n">
        <v>35</v>
      </c>
      <c r="F316" t="n">
        <v>430</v>
      </c>
      <c r="G316" t="n">
        <v>0</v>
      </c>
      <c r="H316" t="inlineStr">
        <is>
          <t>Delivered</t>
        </is>
      </c>
      <c r="I316" t="n">
        <v>15050</v>
      </c>
    </row>
    <row r="317">
      <c r="A317" t="n">
        <v>10168</v>
      </c>
      <c r="B317" s="3" t="n">
        <v>46007</v>
      </c>
      <c r="C317" t="inlineStr">
        <is>
          <t>Metro Mart</t>
        </is>
      </c>
      <c r="D317" t="n">
        <v>103</v>
      </c>
      <c r="E317" t="n">
        <v>20</v>
      </c>
      <c r="F317" t="n">
        <v>115</v>
      </c>
      <c r="G317" t="n">
        <v>0</v>
      </c>
      <c r="H317" t="inlineStr">
        <is>
          <t>Delivered</t>
        </is>
      </c>
      <c r="I317" t="n">
        <v>2300</v>
      </c>
    </row>
    <row r="318">
      <c r="A318" t="n">
        <v>10169</v>
      </c>
      <c r="B318" s="3" t="n">
        <v>46007</v>
      </c>
      <c r="C318" t="inlineStr">
        <is>
          <t>Evergreen Mart</t>
        </is>
      </c>
      <c r="D318" t="n">
        <v>101</v>
      </c>
      <c r="E318" t="n">
        <v>25</v>
      </c>
      <c r="F318" t="n">
        <v>430</v>
      </c>
      <c r="G318" t="n">
        <v>5</v>
      </c>
      <c r="H318" t="inlineStr">
        <is>
          <t>Delivered</t>
        </is>
      </c>
      <c r="I318" t="n">
        <v>10212.5</v>
      </c>
    </row>
    <row r="319">
      <c r="A319" t="n">
        <v>10169</v>
      </c>
      <c r="B319" s="3" t="n">
        <v>46007</v>
      </c>
      <c r="C319" t="inlineStr">
        <is>
          <t>Evergreen Mart</t>
        </is>
      </c>
      <c r="D319" t="n">
        <v>104</v>
      </c>
      <c r="E319" t="n">
        <v>30</v>
      </c>
      <c r="F319" t="n">
        <v>620</v>
      </c>
      <c r="G319" t="n">
        <v>0</v>
      </c>
      <c r="H319" t="inlineStr">
        <is>
          <t>Delivered</t>
        </is>
      </c>
      <c r="I319" t="n">
        <v>18600</v>
      </c>
    </row>
    <row r="320">
      <c r="A320" t="n">
        <v>10169</v>
      </c>
      <c r="B320" s="3" t="n">
        <v>46007</v>
      </c>
      <c r="C320" t="inlineStr">
        <is>
          <t>Evergreen Mart</t>
        </is>
      </c>
      <c r="D320" t="n">
        <v>108</v>
      </c>
      <c r="E320" t="n">
        <v>25</v>
      </c>
      <c r="F320" t="n">
        <v>290</v>
      </c>
      <c r="G320" t="n">
        <v>5</v>
      </c>
      <c r="H320" t="inlineStr">
        <is>
          <t>Delivered</t>
        </is>
      </c>
      <c r="I320" t="n">
        <v>6887.5</v>
      </c>
    </row>
    <row r="321">
      <c r="A321" t="n">
        <v>10170</v>
      </c>
      <c r="B321" s="3" t="n">
        <v>46007</v>
      </c>
      <c r="C321" t="inlineStr">
        <is>
          <t>Kitchen Kraft</t>
        </is>
      </c>
      <c r="D321" t="n">
        <v>101</v>
      </c>
      <c r="E321" t="n">
        <v>35</v>
      </c>
      <c r="F321" t="n">
        <v>430</v>
      </c>
      <c r="G321" t="n">
        <v>0</v>
      </c>
      <c r="H321" t="inlineStr">
        <is>
          <t>Delivered</t>
        </is>
      </c>
      <c r="I321" t="n">
        <v>15050</v>
      </c>
    </row>
    <row r="322">
      <c r="A322" t="n">
        <v>10170</v>
      </c>
      <c r="B322" s="3" t="n">
        <v>46007</v>
      </c>
      <c r="C322" t="inlineStr">
        <is>
          <t>Kitchen Kraft</t>
        </is>
      </c>
      <c r="D322" t="n">
        <v>104</v>
      </c>
      <c r="E322" t="n">
        <v>35</v>
      </c>
      <c r="F322" t="n">
        <v>620</v>
      </c>
      <c r="G322" t="n">
        <v>0</v>
      </c>
      <c r="H322" t="inlineStr">
        <is>
          <t>Delivered</t>
        </is>
      </c>
      <c r="I322" t="n">
        <v>21700</v>
      </c>
    </row>
    <row r="323">
      <c r="A323" t="n">
        <v>10171</v>
      </c>
      <c r="B323" s="3" t="n">
        <v>46008</v>
      </c>
      <c r="C323" t="inlineStr">
        <is>
          <t>Deccan Packaging</t>
        </is>
      </c>
      <c r="D323" t="n">
        <v>101</v>
      </c>
      <c r="E323" t="n">
        <v>30</v>
      </c>
      <c r="F323" t="n">
        <v>430</v>
      </c>
      <c r="G323" t="n">
        <v>8</v>
      </c>
      <c r="H323" t="inlineStr">
        <is>
          <t>Delivered</t>
        </is>
      </c>
      <c r="I323" t="n">
        <v>11868</v>
      </c>
    </row>
    <row r="324">
      <c r="A324" t="n">
        <v>10171</v>
      </c>
      <c r="B324" s="3" t="n">
        <v>46008</v>
      </c>
      <c r="C324" t="inlineStr">
        <is>
          <t>Deccan Packaging</t>
        </is>
      </c>
      <c r="D324" t="n">
        <v>105</v>
      </c>
      <c r="E324" t="n">
        <v>20</v>
      </c>
      <c r="F324" t="n">
        <v>1400</v>
      </c>
      <c r="G324" t="n">
        <v>8</v>
      </c>
      <c r="H324" t="inlineStr">
        <is>
          <t>Delivered</t>
        </is>
      </c>
      <c r="I324" t="n">
        <v>25760</v>
      </c>
    </row>
    <row r="325">
      <c r="A325" t="n">
        <v>10172</v>
      </c>
      <c r="B325" s="3" t="n">
        <v>46009</v>
      </c>
      <c r="C325" t="inlineStr">
        <is>
          <t>Spice Route Restaurants</t>
        </is>
      </c>
      <c r="D325" t="n">
        <v>107</v>
      </c>
      <c r="E325" t="n">
        <v>50</v>
      </c>
      <c r="F325" t="n">
        <v>380</v>
      </c>
      <c r="G325" t="n">
        <v>5</v>
      </c>
      <c r="H325" t="inlineStr">
        <is>
          <t>Delivered</t>
        </is>
      </c>
      <c r="I325" t="n">
        <v>18050</v>
      </c>
    </row>
    <row r="326">
      <c r="A326" t="n">
        <v>10172</v>
      </c>
      <c r="B326" s="3" t="n">
        <v>46009</v>
      </c>
      <c r="C326" t="inlineStr">
        <is>
          <t>Spice Route Restaurants</t>
        </is>
      </c>
      <c r="D326" t="n">
        <v>108</v>
      </c>
      <c r="E326" t="n">
        <v>20</v>
      </c>
      <c r="F326" t="n">
        <v>290</v>
      </c>
      <c r="G326" t="n">
        <v>0</v>
      </c>
      <c r="H326" t="inlineStr">
        <is>
          <t>Delivered</t>
        </is>
      </c>
      <c r="I326" t="n">
        <v>5800</v>
      </c>
    </row>
    <row r="327">
      <c r="A327" t="n">
        <v>10173</v>
      </c>
      <c r="B327" s="3" t="n">
        <v>46010</v>
      </c>
      <c r="C327" t="inlineStr">
        <is>
          <t>Fresh Bowl Kitchens</t>
        </is>
      </c>
      <c r="D327" t="n">
        <v>103</v>
      </c>
      <c r="E327" t="n">
        <v>50</v>
      </c>
      <c r="F327" t="n">
        <v>115</v>
      </c>
      <c r="G327" t="n">
        <v>0</v>
      </c>
      <c r="H327" t="inlineStr">
        <is>
          <t>Delivered</t>
        </is>
      </c>
      <c r="I327" t="n">
        <v>5750</v>
      </c>
    </row>
    <row r="328">
      <c r="A328" t="n">
        <v>10174</v>
      </c>
      <c r="B328" s="3" t="n">
        <v>46012</v>
      </c>
      <c r="C328" t="inlineStr">
        <is>
          <t>Lakeview Resorts</t>
        </is>
      </c>
      <c r="D328" t="n">
        <v>108</v>
      </c>
      <c r="E328" t="n">
        <v>10</v>
      </c>
      <c r="F328" t="n">
        <v>290</v>
      </c>
      <c r="G328" t="n">
        <v>5</v>
      </c>
      <c r="H328" t="inlineStr">
        <is>
          <t>Pending</t>
        </is>
      </c>
      <c r="I328" t="n">
        <v>2755</v>
      </c>
    </row>
    <row r="329">
      <c r="A329" t="n">
        <v>10175</v>
      </c>
      <c r="B329" s="3" t="n">
        <v>46014</v>
      </c>
      <c r="C329" t="inlineStr">
        <is>
          <t>Royal Banquets</t>
        </is>
      </c>
      <c r="D329" t="n">
        <v>101</v>
      </c>
      <c r="E329" t="n">
        <v>55</v>
      </c>
      <c r="F329" t="n">
        <v>430</v>
      </c>
      <c r="G329" t="n">
        <v>0</v>
      </c>
      <c r="H329" t="inlineStr">
        <is>
          <t>Shipped</t>
        </is>
      </c>
      <c r="I329" t="n">
        <v>23650</v>
      </c>
    </row>
    <row r="330">
      <c r="A330" t="n">
        <v>10175</v>
      </c>
      <c r="B330" s="3" t="n">
        <v>46014</v>
      </c>
      <c r="C330" t="inlineStr">
        <is>
          <t>Royal Banquets</t>
        </is>
      </c>
      <c r="D330" t="n">
        <v>107</v>
      </c>
      <c r="E330" t="n">
        <v>15</v>
      </c>
      <c r="F330" t="n">
        <v>380</v>
      </c>
      <c r="G330" t="n">
        <v>0</v>
      </c>
      <c r="H330" t="inlineStr">
        <is>
          <t>Shipped</t>
        </is>
      </c>
      <c r="I330" t="n">
        <v>5700</v>
      </c>
    </row>
    <row r="331">
      <c r="A331" t="n">
        <v>10175</v>
      </c>
      <c r="B331" s="3" t="n">
        <v>46014</v>
      </c>
      <c r="C331" t="inlineStr">
        <is>
          <t>Royal Banquets</t>
        </is>
      </c>
      <c r="D331" t="n">
        <v>108</v>
      </c>
      <c r="E331" t="n">
        <v>30</v>
      </c>
      <c r="F331" t="n">
        <v>290</v>
      </c>
      <c r="G331" t="n">
        <v>0</v>
      </c>
      <c r="H331" t="inlineStr">
        <is>
          <t>Shipped</t>
        </is>
      </c>
      <c r="I331" t="n">
        <v>8700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</t>
        </is>
      </c>
      <c r="D1" s="1" t="inlineStr">
        <is>
          <t>value</t>
        </is>
      </c>
      <c r="E1" s="1" t="inlineStr">
        <is>
          <t>lines</t>
        </is>
      </c>
      <c r="F1" s="1" t="inlineStr">
        <is>
          <t>month</t>
        </is>
      </c>
      <c r="G1" s="1" t="inlineStr">
        <is>
          <t>base</t>
        </is>
      </c>
      <c r="H1" s="1" t="inlineStr">
        <is>
          <t>prev_spend</t>
        </is>
      </c>
      <c r="I1" s="1" t="inlineStr">
        <is>
          <t>multiplier</t>
        </is>
      </c>
      <c r="J1" s="1" t="inlineStr">
        <is>
          <t>tier_points</t>
        </is>
      </c>
      <c r="K1" s="1" t="inlineStr">
        <is>
          <t>streak</t>
        </is>
      </c>
      <c r="L1" s="1" t="inlineStr">
        <is>
          <t>basket</t>
        </is>
      </c>
      <c r="M1" s="1" t="inlineStr">
        <is>
          <t>points</t>
        </is>
      </c>
      <c r="N1" s="1" t="inlineStr">
        <is>
          <t>running_points</t>
        </is>
      </c>
      <c r="O1" s="1" t="inlineStr">
        <is>
          <t>expired</t>
        </is>
      </c>
      <c r="P1" s="1" t="inlineStr">
        <is>
          <t>hit_5000</t>
        </is>
      </c>
    </row>
    <row r="2">
      <c r="A2" t="n">
        <v>10001</v>
      </c>
      <c r="B2" s="3">
        <f>INDEX(Lines!$B$2:$B$331,MATCH(A2,Lines!$A$2:$A$331,0))</f>
        <v/>
      </c>
      <c r="C2">
        <f>INDEX(Lines!$C$2:$C$331,MATCH(A2,Lines!$A$2:$A$331,0))</f>
        <v/>
      </c>
      <c r="D2">
        <f>SUMIFS(Lines!$I$2:$I$331,Lines!$A$2:$A$331,A2)</f>
        <v/>
      </c>
      <c r="E2">
        <f>COUNTIFS(Lines!$A$2:$A$331,A2)</f>
        <v/>
      </c>
      <c r="F2" s="3">
        <f>DATE(YEAR(B2),MONTH(B2),1)</f>
        <v/>
      </c>
      <c r="G2">
        <f>INT(D2/100)</f>
        <v/>
      </c>
      <c r="H2">
        <f>SUMIFS($D$2:D2,$C$2:C2,C2)-D2</f>
        <v/>
      </c>
      <c r="I2">
        <f>IF(H2&gt;=250000,1.5,IF(H2&gt;=100000,1.25,1))</f>
        <v/>
      </c>
      <c r="J2">
        <f>ROUNDDOWN(G2*I2,0)</f>
        <v/>
      </c>
      <c r="K2">
        <f>IF(COUNTIFS($C$2:$C$174,C2,$F$2:$F$174,EDATE(F2,-1))&gt;0,200,0)</f>
        <v/>
      </c>
      <c r="L2">
        <f>IF(E2&gt;=3,100,0)</f>
        <v/>
      </c>
      <c r="M2">
        <f>J2+K2+L2</f>
        <v/>
      </c>
      <c r="N2">
        <f>SUMIFS($M$2:M2,$C$2:C2,C2)</f>
        <v/>
      </c>
      <c r="O2">
        <f>IF(AND(B2&lt;DATE(2025,7,1),COUNTIFS($C$2:$C$174,C2,$B$2:$B$174,"&gt;="&amp;DATE(2025,10,1))=0),M2,0)</f>
        <v/>
      </c>
      <c r="P2">
        <f>IF(N2&gt;=5000,A2,"")</f>
        <v/>
      </c>
    </row>
    <row r="3">
      <c r="A3" t="n">
        <v>10002</v>
      </c>
      <c r="B3" s="3">
        <f>INDEX(Lines!$B$2:$B$331,MATCH(A3,Lines!$A$2:$A$331,0))</f>
        <v/>
      </c>
      <c r="C3">
        <f>INDEX(Lines!$C$2:$C$331,MATCH(A3,Lines!$A$2:$A$331,0))</f>
        <v/>
      </c>
      <c r="D3">
        <f>SUMIFS(Lines!$I$2:$I$331,Lines!$A$2:$A$331,A3)</f>
        <v/>
      </c>
      <c r="E3">
        <f>COUNTIFS(Lines!$A$2:$A$331,A3)</f>
        <v/>
      </c>
      <c r="F3" s="3">
        <f>DATE(YEAR(B3),MONTH(B3),1)</f>
        <v/>
      </c>
      <c r="G3">
        <f>INT(D3/100)</f>
        <v/>
      </c>
      <c r="H3">
        <f>SUMIFS($D$2:D3,$C$2:C3,C3)-D3</f>
        <v/>
      </c>
      <c r="I3">
        <f>IF(H3&gt;=250000,1.5,IF(H3&gt;=100000,1.25,1))</f>
        <v/>
      </c>
      <c r="J3">
        <f>ROUNDDOWN(G3*I3,0)</f>
        <v/>
      </c>
      <c r="K3">
        <f>IF(COUNTIFS($C$2:$C$174,C3,$F$2:$F$174,EDATE(F3,-1))&gt;0,200,0)</f>
        <v/>
      </c>
      <c r="L3">
        <f>IF(E3&gt;=3,100,0)</f>
        <v/>
      </c>
      <c r="M3">
        <f>J3+K3+L3</f>
        <v/>
      </c>
      <c r="N3">
        <f>SUMIFS($M$2:M3,$C$2:C3,C3)</f>
        <v/>
      </c>
      <c r="O3">
        <f>IF(AND(B3&lt;DATE(2025,7,1),COUNTIFS($C$2:$C$174,C3,$B$2:$B$174,"&gt;="&amp;DATE(2025,10,1))=0),M3,0)</f>
        <v/>
      </c>
      <c r="P3">
        <f>IF(N3&gt;=5000,A3,"")</f>
        <v/>
      </c>
    </row>
    <row r="4">
      <c r="A4" t="n">
        <v>10003</v>
      </c>
      <c r="B4" s="3">
        <f>INDEX(Lines!$B$2:$B$331,MATCH(A4,Lines!$A$2:$A$331,0))</f>
        <v/>
      </c>
      <c r="C4">
        <f>INDEX(Lines!$C$2:$C$331,MATCH(A4,Lines!$A$2:$A$331,0))</f>
        <v/>
      </c>
      <c r="D4">
        <f>SUMIFS(Lines!$I$2:$I$331,Lines!$A$2:$A$331,A4)</f>
        <v/>
      </c>
      <c r="E4">
        <f>COUNTIFS(Lines!$A$2:$A$331,A4)</f>
        <v/>
      </c>
      <c r="F4" s="3">
        <f>DATE(YEAR(B4),MONTH(B4),1)</f>
        <v/>
      </c>
      <c r="G4">
        <f>INT(D4/100)</f>
        <v/>
      </c>
      <c r="H4">
        <f>SUMIFS($D$2:D4,$C$2:C4,C4)-D4</f>
        <v/>
      </c>
      <c r="I4">
        <f>IF(H4&gt;=250000,1.5,IF(H4&gt;=100000,1.25,1))</f>
        <v/>
      </c>
      <c r="J4">
        <f>ROUNDDOWN(G4*I4,0)</f>
        <v/>
      </c>
      <c r="K4">
        <f>IF(COUNTIFS($C$2:$C$174,C4,$F$2:$F$174,EDATE(F4,-1))&gt;0,200,0)</f>
        <v/>
      </c>
      <c r="L4">
        <f>IF(E4&gt;=3,100,0)</f>
        <v/>
      </c>
      <c r="M4">
        <f>J4+K4+L4</f>
        <v/>
      </c>
      <c r="N4">
        <f>SUMIFS($M$2:M4,$C$2:C4,C4)</f>
        <v/>
      </c>
      <c r="O4">
        <f>IF(AND(B4&lt;DATE(2025,7,1),COUNTIFS($C$2:$C$174,C4,$B$2:$B$174,"&gt;="&amp;DATE(2025,10,1))=0),M4,0)</f>
        <v/>
      </c>
      <c r="P4">
        <f>IF(N4&gt;=5000,A4,"")</f>
        <v/>
      </c>
    </row>
    <row r="5">
      <c r="A5" t="n">
        <v>10004</v>
      </c>
      <c r="B5" s="3">
        <f>INDEX(Lines!$B$2:$B$331,MATCH(A5,Lines!$A$2:$A$331,0))</f>
        <v/>
      </c>
      <c r="C5">
        <f>INDEX(Lines!$C$2:$C$331,MATCH(A5,Lines!$A$2:$A$331,0))</f>
        <v/>
      </c>
      <c r="D5">
        <f>SUMIFS(Lines!$I$2:$I$331,Lines!$A$2:$A$331,A5)</f>
        <v/>
      </c>
      <c r="E5">
        <f>COUNTIFS(Lines!$A$2:$A$331,A5)</f>
        <v/>
      </c>
      <c r="F5" s="3">
        <f>DATE(YEAR(B5),MONTH(B5),1)</f>
        <v/>
      </c>
      <c r="G5">
        <f>INT(D5/100)</f>
        <v/>
      </c>
      <c r="H5">
        <f>SUMIFS($D$2:D5,$C$2:C5,C5)-D5</f>
        <v/>
      </c>
      <c r="I5">
        <f>IF(H5&gt;=250000,1.5,IF(H5&gt;=100000,1.25,1))</f>
        <v/>
      </c>
      <c r="J5">
        <f>ROUNDDOWN(G5*I5,0)</f>
        <v/>
      </c>
      <c r="K5">
        <f>IF(COUNTIFS($C$2:$C$174,C5,$F$2:$F$174,EDATE(F5,-1))&gt;0,200,0)</f>
        <v/>
      </c>
      <c r="L5">
        <f>IF(E5&gt;=3,100,0)</f>
        <v/>
      </c>
      <c r="M5">
        <f>J5+K5+L5</f>
        <v/>
      </c>
      <c r="N5">
        <f>SUMIFS($M$2:M5,$C$2:C5,C5)</f>
        <v/>
      </c>
      <c r="O5">
        <f>IF(AND(B5&lt;DATE(2025,7,1),COUNTIFS($C$2:$C$174,C5,$B$2:$B$174,"&gt;="&amp;DATE(2025,10,1))=0),M5,0)</f>
        <v/>
      </c>
      <c r="P5">
        <f>IF(N5&gt;=5000,A5,"")</f>
        <v/>
      </c>
    </row>
    <row r="6">
      <c r="A6" t="n">
        <v>10005</v>
      </c>
      <c r="B6" s="3">
        <f>INDEX(Lines!$B$2:$B$331,MATCH(A6,Lines!$A$2:$A$331,0))</f>
        <v/>
      </c>
      <c r="C6">
        <f>INDEX(Lines!$C$2:$C$331,MATCH(A6,Lines!$A$2:$A$331,0))</f>
        <v/>
      </c>
      <c r="D6">
        <f>SUMIFS(Lines!$I$2:$I$331,Lines!$A$2:$A$331,A6)</f>
        <v/>
      </c>
      <c r="E6">
        <f>COUNTIFS(Lines!$A$2:$A$331,A6)</f>
        <v/>
      </c>
      <c r="F6" s="3">
        <f>DATE(YEAR(B6),MONTH(B6),1)</f>
        <v/>
      </c>
      <c r="G6">
        <f>INT(D6/100)</f>
        <v/>
      </c>
      <c r="H6">
        <f>SUMIFS($D$2:D6,$C$2:C6,C6)-D6</f>
        <v/>
      </c>
      <c r="I6">
        <f>IF(H6&gt;=250000,1.5,IF(H6&gt;=100000,1.25,1))</f>
        <v/>
      </c>
      <c r="J6">
        <f>ROUNDDOWN(G6*I6,0)</f>
        <v/>
      </c>
      <c r="K6">
        <f>IF(COUNTIFS($C$2:$C$174,C6,$F$2:$F$174,EDATE(F6,-1))&gt;0,200,0)</f>
        <v/>
      </c>
      <c r="L6">
        <f>IF(E6&gt;=3,100,0)</f>
        <v/>
      </c>
      <c r="M6">
        <f>J6+K6+L6</f>
        <v/>
      </c>
      <c r="N6">
        <f>SUMIFS($M$2:M6,$C$2:C6,C6)</f>
        <v/>
      </c>
      <c r="O6">
        <f>IF(AND(B6&lt;DATE(2025,7,1),COUNTIFS($C$2:$C$174,C6,$B$2:$B$174,"&gt;="&amp;DATE(2025,10,1))=0),M6,0)</f>
        <v/>
      </c>
      <c r="P6">
        <f>IF(N6&gt;=5000,A6,"")</f>
        <v/>
      </c>
    </row>
    <row r="7">
      <c r="A7" t="n">
        <v>10006</v>
      </c>
      <c r="B7" s="3">
        <f>INDEX(Lines!$B$2:$B$331,MATCH(A7,Lines!$A$2:$A$331,0))</f>
        <v/>
      </c>
      <c r="C7">
        <f>INDEX(Lines!$C$2:$C$331,MATCH(A7,Lines!$A$2:$A$331,0))</f>
        <v/>
      </c>
      <c r="D7">
        <f>SUMIFS(Lines!$I$2:$I$331,Lines!$A$2:$A$331,A7)</f>
        <v/>
      </c>
      <c r="E7">
        <f>COUNTIFS(Lines!$A$2:$A$331,A7)</f>
        <v/>
      </c>
      <c r="F7" s="3">
        <f>DATE(YEAR(B7),MONTH(B7),1)</f>
        <v/>
      </c>
      <c r="G7">
        <f>INT(D7/100)</f>
        <v/>
      </c>
      <c r="H7">
        <f>SUMIFS($D$2:D7,$C$2:C7,C7)-D7</f>
        <v/>
      </c>
      <c r="I7">
        <f>IF(H7&gt;=250000,1.5,IF(H7&gt;=100000,1.25,1))</f>
        <v/>
      </c>
      <c r="J7">
        <f>ROUNDDOWN(G7*I7,0)</f>
        <v/>
      </c>
      <c r="K7">
        <f>IF(COUNTIFS($C$2:$C$174,C7,$F$2:$F$174,EDATE(F7,-1))&gt;0,200,0)</f>
        <v/>
      </c>
      <c r="L7">
        <f>IF(E7&gt;=3,100,0)</f>
        <v/>
      </c>
      <c r="M7">
        <f>J7+K7+L7</f>
        <v/>
      </c>
      <c r="N7">
        <f>SUMIFS($M$2:M7,$C$2:C7,C7)</f>
        <v/>
      </c>
      <c r="O7">
        <f>IF(AND(B7&lt;DATE(2025,7,1),COUNTIFS($C$2:$C$174,C7,$B$2:$B$174,"&gt;="&amp;DATE(2025,10,1))=0),M7,0)</f>
        <v/>
      </c>
      <c r="P7">
        <f>IF(N7&gt;=5000,A7,"")</f>
        <v/>
      </c>
    </row>
    <row r="8">
      <c r="A8" t="n">
        <v>10007</v>
      </c>
      <c r="B8" s="3">
        <f>INDEX(Lines!$B$2:$B$331,MATCH(A8,Lines!$A$2:$A$331,0))</f>
        <v/>
      </c>
      <c r="C8">
        <f>INDEX(Lines!$C$2:$C$331,MATCH(A8,Lines!$A$2:$A$331,0))</f>
        <v/>
      </c>
      <c r="D8">
        <f>SUMIFS(Lines!$I$2:$I$331,Lines!$A$2:$A$331,A8)</f>
        <v/>
      </c>
      <c r="E8">
        <f>COUNTIFS(Lines!$A$2:$A$331,A8)</f>
        <v/>
      </c>
      <c r="F8" s="3">
        <f>DATE(YEAR(B8),MONTH(B8),1)</f>
        <v/>
      </c>
      <c r="G8">
        <f>INT(D8/100)</f>
        <v/>
      </c>
      <c r="H8">
        <f>SUMIFS($D$2:D8,$C$2:C8,C8)-D8</f>
        <v/>
      </c>
      <c r="I8">
        <f>IF(H8&gt;=250000,1.5,IF(H8&gt;=100000,1.25,1))</f>
        <v/>
      </c>
      <c r="J8">
        <f>ROUNDDOWN(G8*I8,0)</f>
        <v/>
      </c>
      <c r="K8">
        <f>IF(COUNTIFS($C$2:$C$174,C8,$F$2:$F$174,EDATE(F8,-1))&gt;0,200,0)</f>
        <v/>
      </c>
      <c r="L8">
        <f>IF(E8&gt;=3,100,0)</f>
        <v/>
      </c>
      <c r="M8">
        <f>J8+K8+L8</f>
        <v/>
      </c>
      <c r="N8">
        <f>SUMIFS($M$2:M8,$C$2:C8,C8)</f>
        <v/>
      </c>
      <c r="O8">
        <f>IF(AND(B8&lt;DATE(2025,7,1),COUNTIFS($C$2:$C$174,C8,$B$2:$B$174,"&gt;="&amp;DATE(2025,10,1))=0),M8,0)</f>
        <v/>
      </c>
      <c r="P8">
        <f>IF(N8&gt;=5000,A8,"")</f>
        <v/>
      </c>
    </row>
    <row r="9">
      <c r="A9" t="n">
        <v>10008</v>
      </c>
      <c r="B9" s="3">
        <f>INDEX(Lines!$B$2:$B$331,MATCH(A9,Lines!$A$2:$A$331,0))</f>
        <v/>
      </c>
      <c r="C9">
        <f>INDEX(Lines!$C$2:$C$331,MATCH(A9,Lines!$A$2:$A$331,0))</f>
        <v/>
      </c>
      <c r="D9">
        <f>SUMIFS(Lines!$I$2:$I$331,Lines!$A$2:$A$331,A9)</f>
        <v/>
      </c>
      <c r="E9">
        <f>COUNTIFS(Lines!$A$2:$A$331,A9)</f>
        <v/>
      </c>
      <c r="F9" s="3">
        <f>DATE(YEAR(B9),MONTH(B9),1)</f>
        <v/>
      </c>
      <c r="G9">
        <f>INT(D9/100)</f>
        <v/>
      </c>
      <c r="H9">
        <f>SUMIFS($D$2:D9,$C$2:C9,C9)-D9</f>
        <v/>
      </c>
      <c r="I9">
        <f>IF(H9&gt;=250000,1.5,IF(H9&gt;=100000,1.25,1))</f>
        <v/>
      </c>
      <c r="J9">
        <f>ROUNDDOWN(G9*I9,0)</f>
        <v/>
      </c>
      <c r="K9">
        <f>IF(COUNTIFS($C$2:$C$174,C9,$F$2:$F$174,EDATE(F9,-1))&gt;0,200,0)</f>
        <v/>
      </c>
      <c r="L9">
        <f>IF(E9&gt;=3,100,0)</f>
        <v/>
      </c>
      <c r="M9">
        <f>J9+K9+L9</f>
        <v/>
      </c>
      <c r="N9">
        <f>SUMIFS($M$2:M9,$C$2:C9,C9)</f>
        <v/>
      </c>
      <c r="O9">
        <f>IF(AND(B9&lt;DATE(2025,7,1),COUNTIFS($C$2:$C$174,C9,$B$2:$B$174,"&gt;="&amp;DATE(2025,10,1))=0),M9,0)</f>
        <v/>
      </c>
      <c r="P9">
        <f>IF(N9&gt;=5000,A9,"")</f>
        <v/>
      </c>
    </row>
    <row r="10">
      <c r="A10" t="n">
        <v>10009</v>
      </c>
      <c r="B10" s="3">
        <f>INDEX(Lines!$B$2:$B$331,MATCH(A10,Lines!$A$2:$A$331,0))</f>
        <v/>
      </c>
      <c r="C10">
        <f>INDEX(Lines!$C$2:$C$331,MATCH(A10,Lines!$A$2:$A$331,0))</f>
        <v/>
      </c>
      <c r="D10">
        <f>SUMIFS(Lines!$I$2:$I$331,Lines!$A$2:$A$331,A10)</f>
        <v/>
      </c>
      <c r="E10">
        <f>COUNTIFS(Lines!$A$2:$A$331,A10)</f>
        <v/>
      </c>
      <c r="F10" s="3">
        <f>DATE(YEAR(B10),MONTH(B10),1)</f>
        <v/>
      </c>
      <c r="G10">
        <f>INT(D10/100)</f>
        <v/>
      </c>
      <c r="H10">
        <f>SUMIFS($D$2:D10,$C$2:C10,C10)-D10</f>
        <v/>
      </c>
      <c r="I10">
        <f>IF(H10&gt;=250000,1.5,IF(H10&gt;=100000,1.25,1))</f>
        <v/>
      </c>
      <c r="J10">
        <f>ROUNDDOWN(G10*I10,0)</f>
        <v/>
      </c>
      <c r="K10">
        <f>IF(COUNTIFS($C$2:$C$174,C10,$F$2:$F$174,EDATE(F10,-1))&gt;0,200,0)</f>
        <v/>
      </c>
      <c r="L10">
        <f>IF(E10&gt;=3,100,0)</f>
        <v/>
      </c>
      <c r="M10">
        <f>J10+K10+L10</f>
        <v/>
      </c>
      <c r="N10">
        <f>SUMIFS($M$2:M10,$C$2:C10,C10)</f>
        <v/>
      </c>
      <c r="O10">
        <f>IF(AND(B10&lt;DATE(2025,7,1),COUNTIFS($C$2:$C$174,C10,$B$2:$B$174,"&gt;="&amp;DATE(2025,10,1))=0),M10,0)</f>
        <v/>
      </c>
      <c r="P10">
        <f>IF(N10&gt;=5000,A10,"")</f>
        <v/>
      </c>
    </row>
    <row r="11">
      <c r="A11" t="n">
        <v>10010</v>
      </c>
      <c r="B11" s="3">
        <f>INDEX(Lines!$B$2:$B$331,MATCH(A11,Lines!$A$2:$A$331,0))</f>
        <v/>
      </c>
      <c r="C11">
        <f>INDEX(Lines!$C$2:$C$331,MATCH(A11,Lines!$A$2:$A$331,0))</f>
        <v/>
      </c>
      <c r="D11">
        <f>SUMIFS(Lines!$I$2:$I$331,Lines!$A$2:$A$331,A11)</f>
        <v/>
      </c>
      <c r="E11">
        <f>COUNTIFS(Lines!$A$2:$A$331,A11)</f>
        <v/>
      </c>
      <c r="F11" s="3">
        <f>DATE(YEAR(B11),MONTH(B11),1)</f>
        <v/>
      </c>
      <c r="G11">
        <f>INT(D11/100)</f>
        <v/>
      </c>
      <c r="H11">
        <f>SUMIFS($D$2:D11,$C$2:C11,C11)-D11</f>
        <v/>
      </c>
      <c r="I11">
        <f>IF(H11&gt;=250000,1.5,IF(H11&gt;=100000,1.25,1))</f>
        <v/>
      </c>
      <c r="J11">
        <f>ROUNDDOWN(G11*I11,0)</f>
        <v/>
      </c>
      <c r="K11">
        <f>IF(COUNTIFS($C$2:$C$174,C11,$F$2:$F$174,EDATE(F11,-1))&gt;0,200,0)</f>
        <v/>
      </c>
      <c r="L11">
        <f>IF(E11&gt;=3,100,0)</f>
        <v/>
      </c>
      <c r="M11">
        <f>J11+K11+L11</f>
        <v/>
      </c>
      <c r="N11">
        <f>SUMIFS($M$2:M11,$C$2:C11,C11)</f>
        <v/>
      </c>
      <c r="O11">
        <f>IF(AND(B11&lt;DATE(2025,7,1),COUNTIFS($C$2:$C$174,C11,$B$2:$B$174,"&gt;="&amp;DATE(2025,10,1))=0),M11,0)</f>
        <v/>
      </c>
      <c r="P11">
        <f>IF(N11&gt;=5000,A11,"")</f>
        <v/>
      </c>
    </row>
    <row r="12">
      <c r="A12" t="n">
        <v>10011</v>
      </c>
      <c r="B12" s="3">
        <f>INDEX(Lines!$B$2:$B$331,MATCH(A12,Lines!$A$2:$A$331,0))</f>
        <v/>
      </c>
      <c r="C12">
        <f>INDEX(Lines!$C$2:$C$331,MATCH(A12,Lines!$A$2:$A$331,0))</f>
        <v/>
      </c>
      <c r="D12">
        <f>SUMIFS(Lines!$I$2:$I$331,Lines!$A$2:$A$331,A12)</f>
        <v/>
      </c>
      <c r="E12">
        <f>COUNTIFS(Lines!$A$2:$A$331,A12)</f>
        <v/>
      </c>
      <c r="F12" s="3">
        <f>DATE(YEAR(B12),MONTH(B12),1)</f>
        <v/>
      </c>
      <c r="G12">
        <f>INT(D12/100)</f>
        <v/>
      </c>
      <c r="H12">
        <f>SUMIFS($D$2:D12,$C$2:C12,C12)-D12</f>
        <v/>
      </c>
      <c r="I12">
        <f>IF(H12&gt;=250000,1.5,IF(H12&gt;=100000,1.25,1))</f>
        <v/>
      </c>
      <c r="J12">
        <f>ROUNDDOWN(G12*I12,0)</f>
        <v/>
      </c>
      <c r="K12">
        <f>IF(COUNTIFS($C$2:$C$174,C12,$F$2:$F$174,EDATE(F12,-1))&gt;0,200,0)</f>
        <v/>
      </c>
      <c r="L12">
        <f>IF(E12&gt;=3,100,0)</f>
        <v/>
      </c>
      <c r="M12">
        <f>J12+K12+L12</f>
        <v/>
      </c>
      <c r="N12">
        <f>SUMIFS($M$2:M12,$C$2:C12,C12)</f>
        <v/>
      </c>
      <c r="O12">
        <f>IF(AND(B12&lt;DATE(2025,7,1),COUNTIFS($C$2:$C$174,C12,$B$2:$B$174,"&gt;="&amp;DATE(2025,10,1))=0),M12,0)</f>
        <v/>
      </c>
      <c r="P12">
        <f>IF(N12&gt;=5000,A12,"")</f>
        <v/>
      </c>
    </row>
    <row r="13">
      <c r="A13" t="n">
        <v>10012</v>
      </c>
      <c r="B13" s="3">
        <f>INDEX(Lines!$B$2:$B$331,MATCH(A13,Lines!$A$2:$A$331,0))</f>
        <v/>
      </c>
      <c r="C13">
        <f>INDEX(Lines!$C$2:$C$331,MATCH(A13,Lines!$A$2:$A$331,0))</f>
        <v/>
      </c>
      <c r="D13">
        <f>SUMIFS(Lines!$I$2:$I$331,Lines!$A$2:$A$331,A13)</f>
        <v/>
      </c>
      <c r="E13">
        <f>COUNTIFS(Lines!$A$2:$A$331,A13)</f>
        <v/>
      </c>
      <c r="F13" s="3">
        <f>DATE(YEAR(B13),MONTH(B13),1)</f>
        <v/>
      </c>
      <c r="G13">
        <f>INT(D13/100)</f>
        <v/>
      </c>
      <c r="H13">
        <f>SUMIFS($D$2:D13,$C$2:C13,C13)-D13</f>
        <v/>
      </c>
      <c r="I13">
        <f>IF(H13&gt;=250000,1.5,IF(H13&gt;=100000,1.25,1))</f>
        <v/>
      </c>
      <c r="J13">
        <f>ROUNDDOWN(G13*I13,0)</f>
        <v/>
      </c>
      <c r="K13">
        <f>IF(COUNTIFS($C$2:$C$174,C13,$F$2:$F$174,EDATE(F13,-1))&gt;0,200,0)</f>
        <v/>
      </c>
      <c r="L13">
        <f>IF(E13&gt;=3,100,0)</f>
        <v/>
      </c>
      <c r="M13">
        <f>J13+K13+L13</f>
        <v/>
      </c>
      <c r="N13">
        <f>SUMIFS($M$2:M13,$C$2:C13,C13)</f>
        <v/>
      </c>
      <c r="O13">
        <f>IF(AND(B13&lt;DATE(2025,7,1),COUNTIFS($C$2:$C$174,C13,$B$2:$B$174,"&gt;="&amp;DATE(2025,10,1))=0),M13,0)</f>
        <v/>
      </c>
      <c r="P13">
        <f>IF(N13&gt;=5000,A13,"")</f>
        <v/>
      </c>
    </row>
    <row r="14">
      <c r="A14" t="n">
        <v>10013</v>
      </c>
      <c r="B14" s="3">
        <f>INDEX(Lines!$B$2:$B$331,MATCH(A14,Lines!$A$2:$A$331,0))</f>
        <v/>
      </c>
      <c r="C14">
        <f>INDEX(Lines!$C$2:$C$331,MATCH(A14,Lines!$A$2:$A$331,0))</f>
        <v/>
      </c>
      <c r="D14">
        <f>SUMIFS(Lines!$I$2:$I$331,Lines!$A$2:$A$331,A14)</f>
        <v/>
      </c>
      <c r="E14">
        <f>COUNTIFS(Lines!$A$2:$A$331,A14)</f>
        <v/>
      </c>
      <c r="F14" s="3">
        <f>DATE(YEAR(B14),MONTH(B14),1)</f>
        <v/>
      </c>
      <c r="G14">
        <f>INT(D14/100)</f>
        <v/>
      </c>
      <c r="H14">
        <f>SUMIFS($D$2:D14,$C$2:C14,C14)-D14</f>
        <v/>
      </c>
      <c r="I14">
        <f>IF(H14&gt;=250000,1.5,IF(H14&gt;=100000,1.25,1))</f>
        <v/>
      </c>
      <c r="J14">
        <f>ROUNDDOWN(G14*I14,0)</f>
        <v/>
      </c>
      <c r="K14">
        <f>IF(COUNTIFS($C$2:$C$174,C14,$F$2:$F$174,EDATE(F14,-1))&gt;0,200,0)</f>
        <v/>
      </c>
      <c r="L14">
        <f>IF(E14&gt;=3,100,0)</f>
        <v/>
      </c>
      <c r="M14">
        <f>J14+K14+L14</f>
        <v/>
      </c>
      <c r="N14">
        <f>SUMIFS($M$2:M14,$C$2:C14,C14)</f>
        <v/>
      </c>
      <c r="O14">
        <f>IF(AND(B14&lt;DATE(2025,7,1),COUNTIFS($C$2:$C$174,C14,$B$2:$B$174,"&gt;="&amp;DATE(2025,10,1))=0),M14,0)</f>
        <v/>
      </c>
      <c r="P14">
        <f>IF(N14&gt;=5000,A14,"")</f>
        <v/>
      </c>
    </row>
    <row r="15">
      <c r="A15" t="n">
        <v>10014</v>
      </c>
      <c r="B15" s="3">
        <f>INDEX(Lines!$B$2:$B$331,MATCH(A15,Lines!$A$2:$A$331,0))</f>
        <v/>
      </c>
      <c r="C15">
        <f>INDEX(Lines!$C$2:$C$331,MATCH(A15,Lines!$A$2:$A$331,0))</f>
        <v/>
      </c>
      <c r="D15">
        <f>SUMIFS(Lines!$I$2:$I$331,Lines!$A$2:$A$331,A15)</f>
        <v/>
      </c>
      <c r="E15">
        <f>COUNTIFS(Lines!$A$2:$A$331,A15)</f>
        <v/>
      </c>
      <c r="F15" s="3">
        <f>DATE(YEAR(B15),MONTH(B15),1)</f>
        <v/>
      </c>
      <c r="G15">
        <f>INT(D15/100)</f>
        <v/>
      </c>
      <c r="H15">
        <f>SUMIFS($D$2:D15,$C$2:C15,C15)-D15</f>
        <v/>
      </c>
      <c r="I15">
        <f>IF(H15&gt;=250000,1.5,IF(H15&gt;=100000,1.25,1))</f>
        <v/>
      </c>
      <c r="J15">
        <f>ROUNDDOWN(G15*I15,0)</f>
        <v/>
      </c>
      <c r="K15">
        <f>IF(COUNTIFS($C$2:$C$174,C15,$F$2:$F$174,EDATE(F15,-1))&gt;0,200,0)</f>
        <v/>
      </c>
      <c r="L15">
        <f>IF(E15&gt;=3,100,0)</f>
        <v/>
      </c>
      <c r="M15">
        <f>J15+K15+L15</f>
        <v/>
      </c>
      <c r="N15">
        <f>SUMIFS($M$2:M15,$C$2:C15,C15)</f>
        <v/>
      </c>
      <c r="O15">
        <f>IF(AND(B15&lt;DATE(2025,7,1),COUNTIFS($C$2:$C$174,C15,$B$2:$B$174,"&gt;="&amp;DATE(2025,10,1))=0),M15,0)</f>
        <v/>
      </c>
      <c r="P15">
        <f>IF(N15&gt;=5000,A15,"")</f>
        <v/>
      </c>
    </row>
    <row r="16">
      <c r="A16" t="n">
        <v>10015</v>
      </c>
      <c r="B16" s="3">
        <f>INDEX(Lines!$B$2:$B$331,MATCH(A16,Lines!$A$2:$A$331,0))</f>
        <v/>
      </c>
      <c r="C16">
        <f>INDEX(Lines!$C$2:$C$331,MATCH(A16,Lines!$A$2:$A$331,0))</f>
        <v/>
      </c>
      <c r="D16">
        <f>SUMIFS(Lines!$I$2:$I$331,Lines!$A$2:$A$331,A16)</f>
        <v/>
      </c>
      <c r="E16">
        <f>COUNTIFS(Lines!$A$2:$A$331,A16)</f>
        <v/>
      </c>
      <c r="F16" s="3">
        <f>DATE(YEAR(B16),MONTH(B16),1)</f>
        <v/>
      </c>
      <c r="G16">
        <f>INT(D16/100)</f>
        <v/>
      </c>
      <c r="H16">
        <f>SUMIFS($D$2:D16,$C$2:C16,C16)-D16</f>
        <v/>
      </c>
      <c r="I16">
        <f>IF(H16&gt;=250000,1.5,IF(H16&gt;=100000,1.25,1))</f>
        <v/>
      </c>
      <c r="J16">
        <f>ROUNDDOWN(G16*I16,0)</f>
        <v/>
      </c>
      <c r="K16">
        <f>IF(COUNTIFS($C$2:$C$174,C16,$F$2:$F$174,EDATE(F16,-1))&gt;0,200,0)</f>
        <v/>
      </c>
      <c r="L16">
        <f>IF(E16&gt;=3,100,0)</f>
        <v/>
      </c>
      <c r="M16">
        <f>J16+K16+L16</f>
        <v/>
      </c>
      <c r="N16">
        <f>SUMIFS($M$2:M16,$C$2:C16,C16)</f>
        <v/>
      </c>
      <c r="O16">
        <f>IF(AND(B16&lt;DATE(2025,7,1),COUNTIFS($C$2:$C$174,C16,$B$2:$B$174,"&gt;="&amp;DATE(2025,10,1))=0),M16,0)</f>
        <v/>
      </c>
      <c r="P16">
        <f>IF(N16&gt;=5000,A16,"")</f>
        <v/>
      </c>
    </row>
    <row r="17">
      <c r="A17" t="n">
        <v>10016</v>
      </c>
      <c r="B17" s="3">
        <f>INDEX(Lines!$B$2:$B$331,MATCH(A17,Lines!$A$2:$A$331,0))</f>
        <v/>
      </c>
      <c r="C17">
        <f>INDEX(Lines!$C$2:$C$331,MATCH(A17,Lines!$A$2:$A$331,0))</f>
        <v/>
      </c>
      <c r="D17">
        <f>SUMIFS(Lines!$I$2:$I$331,Lines!$A$2:$A$331,A17)</f>
        <v/>
      </c>
      <c r="E17">
        <f>COUNTIFS(Lines!$A$2:$A$331,A17)</f>
        <v/>
      </c>
      <c r="F17" s="3">
        <f>DATE(YEAR(B17),MONTH(B17),1)</f>
        <v/>
      </c>
      <c r="G17">
        <f>INT(D17/100)</f>
        <v/>
      </c>
      <c r="H17">
        <f>SUMIFS($D$2:D17,$C$2:C17,C17)-D17</f>
        <v/>
      </c>
      <c r="I17">
        <f>IF(H17&gt;=250000,1.5,IF(H17&gt;=100000,1.25,1))</f>
        <v/>
      </c>
      <c r="J17">
        <f>ROUNDDOWN(G17*I17,0)</f>
        <v/>
      </c>
      <c r="K17">
        <f>IF(COUNTIFS($C$2:$C$174,C17,$F$2:$F$174,EDATE(F17,-1))&gt;0,200,0)</f>
        <v/>
      </c>
      <c r="L17">
        <f>IF(E17&gt;=3,100,0)</f>
        <v/>
      </c>
      <c r="M17">
        <f>J17+K17+L17</f>
        <v/>
      </c>
      <c r="N17">
        <f>SUMIFS($M$2:M17,$C$2:C17,C17)</f>
        <v/>
      </c>
      <c r="O17">
        <f>IF(AND(B17&lt;DATE(2025,7,1),COUNTIFS($C$2:$C$174,C17,$B$2:$B$174,"&gt;="&amp;DATE(2025,10,1))=0),M17,0)</f>
        <v/>
      </c>
      <c r="P17">
        <f>IF(N17&gt;=5000,A17,"")</f>
        <v/>
      </c>
    </row>
    <row r="18">
      <c r="A18" t="n">
        <v>10017</v>
      </c>
      <c r="B18" s="3">
        <f>INDEX(Lines!$B$2:$B$331,MATCH(A18,Lines!$A$2:$A$331,0))</f>
        <v/>
      </c>
      <c r="C18">
        <f>INDEX(Lines!$C$2:$C$331,MATCH(A18,Lines!$A$2:$A$331,0))</f>
        <v/>
      </c>
      <c r="D18">
        <f>SUMIFS(Lines!$I$2:$I$331,Lines!$A$2:$A$331,A18)</f>
        <v/>
      </c>
      <c r="E18">
        <f>COUNTIFS(Lines!$A$2:$A$331,A18)</f>
        <v/>
      </c>
      <c r="F18" s="3">
        <f>DATE(YEAR(B18),MONTH(B18),1)</f>
        <v/>
      </c>
      <c r="G18">
        <f>INT(D18/100)</f>
        <v/>
      </c>
      <c r="H18">
        <f>SUMIFS($D$2:D18,$C$2:C18,C18)-D18</f>
        <v/>
      </c>
      <c r="I18">
        <f>IF(H18&gt;=250000,1.5,IF(H18&gt;=100000,1.25,1))</f>
        <v/>
      </c>
      <c r="J18">
        <f>ROUNDDOWN(G18*I18,0)</f>
        <v/>
      </c>
      <c r="K18">
        <f>IF(COUNTIFS($C$2:$C$174,C18,$F$2:$F$174,EDATE(F18,-1))&gt;0,200,0)</f>
        <v/>
      </c>
      <c r="L18">
        <f>IF(E18&gt;=3,100,0)</f>
        <v/>
      </c>
      <c r="M18">
        <f>J18+K18+L18</f>
        <v/>
      </c>
      <c r="N18">
        <f>SUMIFS($M$2:M18,$C$2:C18,C18)</f>
        <v/>
      </c>
      <c r="O18">
        <f>IF(AND(B18&lt;DATE(2025,7,1),COUNTIFS($C$2:$C$174,C18,$B$2:$B$174,"&gt;="&amp;DATE(2025,10,1))=0),M18,0)</f>
        <v/>
      </c>
      <c r="P18">
        <f>IF(N18&gt;=5000,A18,"")</f>
        <v/>
      </c>
    </row>
    <row r="19">
      <c r="A19" t="n">
        <v>10018</v>
      </c>
      <c r="B19" s="3">
        <f>INDEX(Lines!$B$2:$B$331,MATCH(A19,Lines!$A$2:$A$331,0))</f>
        <v/>
      </c>
      <c r="C19">
        <f>INDEX(Lines!$C$2:$C$331,MATCH(A19,Lines!$A$2:$A$331,0))</f>
        <v/>
      </c>
      <c r="D19">
        <f>SUMIFS(Lines!$I$2:$I$331,Lines!$A$2:$A$331,A19)</f>
        <v/>
      </c>
      <c r="E19">
        <f>COUNTIFS(Lines!$A$2:$A$331,A19)</f>
        <v/>
      </c>
      <c r="F19" s="3">
        <f>DATE(YEAR(B19),MONTH(B19),1)</f>
        <v/>
      </c>
      <c r="G19">
        <f>INT(D19/100)</f>
        <v/>
      </c>
      <c r="H19">
        <f>SUMIFS($D$2:D19,$C$2:C19,C19)-D19</f>
        <v/>
      </c>
      <c r="I19">
        <f>IF(H19&gt;=250000,1.5,IF(H19&gt;=100000,1.25,1))</f>
        <v/>
      </c>
      <c r="J19">
        <f>ROUNDDOWN(G19*I19,0)</f>
        <v/>
      </c>
      <c r="K19">
        <f>IF(COUNTIFS($C$2:$C$174,C19,$F$2:$F$174,EDATE(F19,-1))&gt;0,200,0)</f>
        <v/>
      </c>
      <c r="L19">
        <f>IF(E19&gt;=3,100,0)</f>
        <v/>
      </c>
      <c r="M19">
        <f>J19+K19+L19</f>
        <v/>
      </c>
      <c r="N19">
        <f>SUMIFS($M$2:M19,$C$2:C19,C19)</f>
        <v/>
      </c>
      <c r="O19">
        <f>IF(AND(B19&lt;DATE(2025,7,1),COUNTIFS($C$2:$C$174,C19,$B$2:$B$174,"&gt;="&amp;DATE(2025,10,1))=0),M19,0)</f>
        <v/>
      </c>
      <c r="P19">
        <f>IF(N19&gt;=5000,A19,"")</f>
        <v/>
      </c>
    </row>
    <row r="20">
      <c r="A20" t="n">
        <v>10019</v>
      </c>
      <c r="B20" s="3">
        <f>INDEX(Lines!$B$2:$B$331,MATCH(A20,Lines!$A$2:$A$331,0))</f>
        <v/>
      </c>
      <c r="C20">
        <f>INDEX(Lines!$C$2:$C$331,MATCH(A20,Lines!$A$2:$A$331,0))</f>
        <v/>
      </c>
      <c r="D20">
        <f>SUMIFS(Lines!$I$2:$I$331,Lines!$A$2:$A$331,A20)</f>
        <v/>
      </c>
      <c r="E20">
        <f>COUNTIFS(Lines!$A$2:$A$331,A20)</f>
        <v/>
      </c>
      <c r="F20" s="3">
        <f>DATE(YEAR(B20),MONTH(B20),1)</f>
        <v/>
      </c>
      <c r="G20">
        <f>INT(D20/100)</f>
        <v/>
      </c>
      <c r="H20">
        <f>SUMIFS($D$2:D20,$C$2:C20,C20)-D20</f>
        <v/>
      </c>
      <c r="I20">
        <f>IF(H20&gt;=250000,1.5,IF(H20&gt;=100000,1.25,1))</f>
        <v/>
      </c>
      <c r="J20">
        <f>ROUNDDOWN(G20*I20,0)</f>
        <v/>
      </c>
      <c r="K20">
        <f>IF(COUNTIFS($C$2:$C$174,C20,$F$2:$F$174,EDATE(F20,-1))&gt;0,200,0)</f>
        <v/>
      </c>
      <c r="L20">
        <f>IF(E20&gt;=3,100,0)</f>
        <v/>
      </c>
      <c r="M20">
        <f>J20+K20+L20</f>
        <v/>
      </c>
      <c r="N20">
        <f>SUMIFS($M$2:M20,$C$2:C20,C20)</f>
        <v/>
      </c>
      <c r="O20">
        <f>IF(AND(B20&lt;DATE(2025,7,1),COUNTIFS($C$2:$C$174,C20,$B$2:$B$174,"&gt;="&amp;DATE(2025,10,1))=0),M20,0)</f>
        <v/>
      </c>
      <c r="P20">
        <f>IF(N20&gt;=5000,A20,"")</f>
        <v/>
      </c>
    </row>
    <row r="21">
      <c r="A21" t="n">
        <v>10020</v>
      </c>
      <c r="B21" s="3">
        <f>INDEX(Lines!$B$2:$B$331,MATCH(A21,Lines!$A$2:$A$331,0))</f>
        <v/>
      </c>
      <c r="C21">
        <f>INDEX(Lines!$C$2:$C$331,MATCH(A21,Lines!$A$2:$A$331,0))</f>
        <v/>
      </c>
      <c r="D21">
        <f>SUMIFS(Lines!$I$2:$I$331,Lines!$A$2:$A$331,A21)</f>
        <v/>
      </c>
      <c r="E21">
        <f>COUNTIFS(Lines!$A$2:$A$331,A21)</f>
        <v/>
      </c>
      <c r="F21" s="3">
        <f>DATE(YEAR(B21),MONTH(B21),1)</f>
        <v/>
      </c>
      <c r="G21">
        <f>INT(D21/100)</f>
        <v/>
      </c>
      <c r="H21">
        <f>SUMIFS($D$2:D21,$C$2:C21,C21)-D21</f>
        <v/>
      </c>
      <c r="I21">
        <f>IF(H21&gt;=250000,1.5,IF(H21&gt;=100000,1.25,1))</f>
        <v/>
      </c>
      <c r="J21">
        <f>ROUNDDOWN(G21*I21,0)</f>
        <v/>
      </c>
      <c r="K21">
        <f>IF(COUNTIFS($C$2:$C$174,C21,$F$2:$F$174,EDATE(F21,-1))&gt;0,200,0)</f>
        <v/>
      </c>
      <c r="L21">
        <f>IF(E21&gt;=3,100,0)</f>
        <v/>
      </c>
      <c r="M21">
        <f>J21+K21+L21</f>
        <v/>
      </c>
      <c r="N21">
        <f>SUMIFS($M$2:M21,$C$2:C21,C21)</f>
        <v/>
      </c>
      <c r="O21">
        <f>IF(AND(B21&lt;DATE(2025,7,1),COUNTIFS($C$2:$C$174,C21,$B$2:$B$174,"&gt;="&amp;DATE(2025,10,1))=0),M21,0)</f>
        <v/>
      </c>
      <c r="P21">
        <f>IF(N21&gt;=5000,A21,"")</f>
        <v/>
      </c>
    </row>
    <row r="22">
      <c r="A22" t="n">
        <v>10021</v>
      </c>
      <c r="B22" s="3">
        <f>INDEX(Lines!$B$2:$B$331,MATCH(A22,Lines!$A$2:$A$331,0))</f>
        <v/>
      </c>
      <c r="C22">
        <f>INDEX(Lines!$C$2:$C$331,MATCH(A22,Lines!$A$2:$A$331,0))</f>
        <v/>
      </c>
      <c r="D22">
        <f>SUMIFS(Lines!$I$2:$I$331,Lines!$A$2:$A$331,A22)</f>
        <v/>
      </c>
      <c r="E22">
        <f>COUNTIFS(Lines!$A$2:$A$331,A22)</f>
        <v/>
      </c>
      <c r="F22" s="3">
        <f>DATE(YEAR(B22),MONTH(B22),1)</f>
        <v/>
      </c>
      <c r="G22">
        <f>INT(D22/100)</f>
        <v/>
      </c>
      <c r="H22">
        <f>SUMIFS($D$2:D22,$C$2:C22,C22)-D22</f>
        <v/>
      </c>
      <c r="I22">
        <f>IF(H22&gt;=250000,1.5,IF(H22&gt;=100000,1.25,1))</f>
        <v/>
      </c>
      <c r="J22">
        <f>ROUNDDOWN(G22*I22,0)</f>
        <v/>
      </c>
      <c r="K22">
        <f>IF(COUNTIFS($C$2:$C$174,C22,$F$2:$F$174,EDATE(F22,-1))&gt;0,200,0)</f>
        <v/>
      </c>
      <c r="L22">
        <f>IF(E22&gt;=3,100,0)</f>
        <v/>
      </c>
      <c r="M22">
        <f>J22+K22+L22</f>
        <v/>
      </c>
      <c r="N22">
        <f>SUMIFS($M$2:M22,$C$2:C22,C22)</f>
        <v/>
      </c>
      <c r="O22">
        <f>IF(AND(B22&lt;DATE(2025,7,1),COUNTIFS($C$2:$C$174,C22,$B$2:$B$174,"&gt;="&amp;DATE(2025,10,1))=0),M22,0)</f>
        <v/>
      </c>
      <c r="P22">
        <f>IF(N22&gt;=5000,A22,"")</f>
        <v/>
      </c>
    </row>
    <row r="23">
      <c r="A23" t="n">
        <v>10022</v>
      </c>
      <c r="B23" s="3">
        <f>INDEX(Lines!$B$2:$B$331,MATCH(A23,Lines!$A$2:$A$331,0))</f>
        <v/>
      </c>
      <c r="C23">
        <f>INDEX(Lines!$C$2:$C$331,MATCH(A23,Lines!$A$2:$A$331,0))</f>
        <v/>
      </c>
      <c r="D23">
        <f>SUMIFS(Lines!$I$2:$I$331,Lines!$A$2:$A$331,A23)</f>
        <v/>
      </c>
      <c r="E23">
        <f>COUNTIFS(Lines!$A$2:$A$331,A23)</f>
        <v/>
      </c>
      <c r="F23" s="3">
        <f>DATE(YEAR(B23),MONTH(B23),1)</f>
        <v/>
      </c>
      <c r="G23">
        <f>INT(D23/100)</f>
        <v/>
      </c>
      <c r="H23">
        <f>SUMIFS($D$2:D23,$C$2:C23,C23)-D23</f>
        <v/>
      </c>
      <c r="I23">
        <f>IF(H23&gt;=250000,1.5,IF(H23&gt;=100000,1.25,1))</f>
        <v/>
      </c>
      <c r="J23">
        <f>ROUNDDOWN(G23*I23,0)</f>
        <v/>
      </c>
      <c r="K23">
        <f>IF(COUNTIFS($C$2:$C$174,C23,$F$2:$F$174,EDATE(F23,-1))&gt;0,200,0)</f>
        <v/>
      </c>
      <c r="L23">
        <f>IF(E23&gt;=3,100,0)</f>
        <v/>
      </c>
      <c r="M23">
        <f>J23+K23+L23</f>
        <v/>
      </c>
      <c r="N23">
        <f>SUMIFS($M$2:M23,$C$2:C23,C23)</f>
        <v/>
      </c>
      <c r="O23">
        <f>IF(AND(B23&lt;DATE(2025,7,1),COUNTIFS($C$2:$C$174,C23,$B$2:$B$174,"&gt;="&amp;DATE(2025,10,1))=0),M23,0)</f>
        <v/>
      </c>
      <c r="P23">
        <f>IF(N23&gt;=5000,A23,"")</f>
        <v/>
      </c>
    </row>
    <row r="24">
      <c r="A24" t="n">
        <v>10023</v>
      </c>
      <c r="B24" s="3">
        <f>INDEX(Lines!$B$2:$B$331,MATCH(A24,Lines!$A$2:$A$331,0))</f>
        <v/>
      </c>
      <c r="C24">
        <f>INDEX(Lines!$C$2:$C$331,MATCH(A24,Lines!$A$2:$A$331,0))</f>
        <v/>
      </c>
      <c r="D24">
        <f>SUMIFS(Lines!$I$2:$I$331,Lines!$A$2:$A$331,A24)</f>
        <v/>
      </c>
      <c r="E24">
        <f>COUNTIFS(Lines!$A$2:$A$331,A24)</f>
        <v/>
      </c>
      <c r="F24" s="3">
        <f>DATE(YEAR(B24),MONTH(B24),1)</f>
        <v/>
      </c>
      <c r="G24">
        <f>INT(D24/100)</f>
        <v/>
      </c>
      <c r="H24">
        <f>SUMIFS($D$2:D24,$C$2:C24,C24)-D24</f>
        <v/>
      </c>
      <c r="I24">
        <f>IF(H24&gt;=250000,1.5,IF(H24&gt;=100000,1.25,1))</f>
        <v/>
      </c>
      <c r="J24">
        <f>ROUNDDOWN(G24*I24,0)</f>
        <v/>
      </c>
      <c r="K24">
        <f>IF(COUNTIFS($C$2:$C$174,C24,$F$2:$F$174,EDATE(F24,-1))&gt;0,200,0)</f>
        <v/>
      </c>
      <c r="L24">
        <f>IF(E24&gt;=3,100,0)</f>
        <v/>
      </c>
      <c r="M24">
        <f>J24+K24+L24</f>
        <v/>
      </c>
      <c r="N24">
        <f>SUMIFS($M$2:M24,$C$2:C24,C24)</f>
        <v/>
      </c>
      <c r="O24">
        <f>IF(AND(B24&lt;DATE(2025,7,1),COUNTIFS($C$2:$C$174,C24,$B$2:$B$174,"&gt;="&amp;DATE(2025,10,1))=0),M24,0)</f>
        <v/>
      </c>
      <c r="P24">
        <f>IF(N24&gt;=5000,A24,"")</f>
        <v/>
      </c>
    </row>
    <row r="25">
      <c r="A25" t="n">
        <v>10024</v>
      </c>
      <c r="B25" s="3">
        <f>INDEX(Lines!$B$2:$B$331,MATCH(A25,Lines!$A$2:$A$331,0))</f>
        <v/>
      </c>
      <c r="C25">
        <f>INDEX(Lines!$C$2:$C$331,MATCH(A25,Lines!$A$2:$A$331,0))</f>
        <v/>
      </c>
      <c r="D25">
        <f>SUMIFS(Lines!$I$2:$I$331,Lines!$A$2:$A$331,A25)</f>
        <v/>
      </c>
      <c r="E25">
        <f>COUNTIFS(Lines!$A$2:$A$331,A25)</f>
        <v/>
      </c>
      <c r="F25" s="3">
        <f>DATE(YEAR(B25),MONTH(B25),1)</f>
        <v/>
      </c>
      <c r="G25">
        <f>INT(D25/100)</f>
        <v/>
      </c>
      <c r="H25">
        <f>SUMIFS($D$2:D25,$C$2:C25,C25)-D25</f>
        <v/>
      </c>
      <c r="I25">
        <f>IF(H25&gt;=250000,1.5,IF(H25&gt;=100000,1.25,1))</f>
        <v/>
      </c>
      <c r="J25">
        <f>ROUNDDOWN(G25*I25,0)</f>
        <v/>
      </c>
      <c r="K25">
        <f>IF(COUNTIFS($C$2:$C$174,C25,$F$2:$F$174,EDATE(F25,-1))&gt;0,200,0)</f>
        <v/>
      </c>
      <c r="L25">
        <f>IF(E25&gt;=3,100,0)</f>
        <v/>
      </c>
      <c r="M25">
        <f>J25+K25+L25</f>
        <v/>
      </c>
      <c r="N25">
        <f>SUMIFS($M$2:M25,$C$2:C25,C25)</f>
        <v/>
      </c>
      <c r="O25">
        <f>IF(AND(B25&lt;DATE(2025,7,1),COUNTIFS($C$2:$C$174,C25,$B$2:$B$174,"&gt;="&amp;DATE(2025,10,1))=0),M25,0)</f>
        <v/>
      </c>
      <c r="P25">
        <f>IF(N25&gt;=5000,A25,"")</f>
        <v/>
      </c>
    </row>
    <row r="26">
      <c r="A26" t="n">
        <v>10025</v>
      </c>
      <c r="B26" s="3">
        <f>INDEX(Lines!$B$2:$B$331,MATCH(A26,Lines!$A$2:$A$331,0))</f>
        <v/>
      </c>
      <c r="C26">
        <f>INDEX(Lines!$C$2:$C$331,MATCH(A26,Lines!$A$2:$A$331,0))</f>
        <v/>
      </c>
      <c r="D26">
        <f>SUMIFS(Lines!$I$2:$I$331,Lines!$A$2:$A$331,A26)</f>
        <v/>
      </c>
      <c r="E26">
        <f>COUNTIFS(Lines!$A$2:$A$331,A26)</f>
        <v/>
      </c>
      <c r="F26" s="3">
        <f>DATE(YEAR(B26),MONTH(B26),1)</f>
        <v/>
      </c>
      <c r="G26">
        <f>INT(D26/100)</f>
        <v/>
      </c>
      <c r="H26">
        <f>SUMIFS($D$2:D26,$C$2:C26,C26)-D26</f>
        <v/>
      </c>
      <c r="I26">
        <f>IF(H26&gt;=250000,1.5,IF(H26&gt;=100000,1.25,1))</f>
        <v/>
      </c>
      <c r="J26">
        <f>ROUNDDOWN(G26*I26,0)</f>
        <v/>
      </c>
      <c r="K26">
        <f>IF(COUNTIFS($C$2:$C$174,C26,$F$2:$F$174,EDATE(F26,-1))&gt;0,200,0)</f>
        <v/>
      </c>
      <c r="L26">
        <f>IF(E26&gt;=3,100,0)</f>
        <v/>
      </c>
      <c r="M26">
        <f>J26+K26+L26</f>
        <v/>
      </c>
      <c r="N26">
        <f>SUMIFS($M$2:M26,$C$2:C26,C26)</f>
        <v/>
      </c>
      <c r="O26">
        <f>IF(AND(B26&lt;DATE(2025,7,1),COUNTIFS($C$2:$C$174,C26,$B$2:$B$174,"&gt;="&amp;DATE(2025,10,1))=0),M26,0)</f>
        <v/>
      </c>
      <c r="P26">
        <f>IF(N26&gt;=5000,A26,"")</f>
        <v/>
      </c>
    </row>
    <row r="27">
      <c r="A27" t="n">
        <v>10026</v>
      </c>
      <c r="B27" s="3">
        <f>INDEX(Lines!$B$2:$B$331,MATCH(A27,Lines!$A$2:$A$331,0))</f>
        <v/>
      </c>
      <c r="C27">
        <f>INDEX(Lines!$C$2:$C$331,MATCH(A27,Lines!$A$2:$A$331,0))</f>
        <v/>
      </c>
      <c r="D27">
        <f>SUMIFS(Lines!$I$2:$I$331,Lines!$A$2:$A$331,A27)</f>
        <v/>
      </c>
      <c r="E27">
        <f>COUNTIFS(Lines!$A$2:$A$331,A27)</f>
        <v/>
      </c>
      <c r="F27" s="3">
        <f>DATE(YEAR(B27),MONTH(B27),1)</f>
        <v/>
      </c>
      <c r="G27">
        <f>INT(D27/100)</f>
        <v/>
      </c>
      <c r="H27">
        <f>SUMIFS($D$2:D27,$C$2:C27,C27)-D27</f>
        <v/>
      </c>
      <c r="I27">
        <f>IF(H27&gt;=250000,1.5,IF(H27&gt;=100000,1.25,1))</f>
        <v/>
      </c>
      <c r="J27">
        <f>ROUNDDOWN(G27*I27,0)</f>
        <v/>
      </c>
      <c r="K27">
        <f>IF(COUNTIFS($C$2:$C$174,C27,$F$2:$F$174,EDATE(F27,-1))&gt;0,200,0)</f>
        <v/>
      </c>
      <c r="L27">
        <f>IF(E27&gt;=3,100,0)</f>
        <v/>
      </c>
      <c r="M27">
        <f>J27+K27+L27</f>
        <v/>
      </c>
      <c r="N27">
        <f>SUMIFS($M$2:M27,$C$2:C27,C27)</f>
        <v/>
      </c>
      <c r="O27">
        <f>IF(AND(B27&lt;DATE(2025,7,1),COUNTIFS($C$2:$C$174,C27,$B$2:$B$174,"&gt;="&amp;DATE(2025,10,1))=0),M27,0)</f>
        <v/>
      </c>
      <c r="P27">
        <f>IF(N27&gt;=5000,A27,"")</f>
        <v/>
      </c>
    </row>
    <row r="28">
      <c r="A28" t="n">
        <v>10027</v>
      </c>
      <c r="B28" s="3">
        <f>INDEX(Lines!$B$2:$B$331,MATCH(A28,Lines!$A$2:$A$331,0))</f>
        <v/>
      </c>
      <c r="C28">
        <f>INDEX(Lines!$C$2:$C$331,MATCH(A28,Lines!$A$2:$A$331,0))</f>
        <v/>
      </c>
      <c r="D28">
        <f>SUMIFS(Lines!$I$2:$I$331,Lines!$A$2:$A$331,A28)</f>
        <v/>
      </c>
      <c r="E28">
        <f>COUNTIFS(Lines!$A$2:$A$331,A28)</f>
        <v/>
      </c>
      <c r="F28" s="3">
        <f>DATE(YEAR(B28),MONTH(B28),1)</f>
        <v/>
      </c>
      <c r="G28">
        <f>INT(D28/100)</f>
        <v/>
      </c>
      <c r="H28">
        <f>SUMIFS($D$2:D28,$C$2:C28,C28)-D28</f>
        <v/>
      </c>
      <c r="I28">
        <f>IF(H28&gt;=250000,1.5,IF(H28&gt;=100000,1.25,1))</f>
        <v/>
      </c>
      <c r="J28">
        <f>ROUNDDOWN(G28*I28,0)</f>
        <v/>
      </c>
      <c r="K28">
        <f>IF(COUNTIFS($C$2:$C$174,C28,$F$2:$F$174,EDATE(F28,-1))&gt;0,200,0)</f>
        <v/>
      </c>
      <c r="L28">
        <f>IF(E28&gt;=3,100,0)</f>
        <v/>
      </c>
      <c r="M28">
        <f>J28+K28+L28</f>
        <v/>
      </c>
      <c r="N28">
        <f>SUMIFS($M$2:M28,$C$2:C28,C28)</f>
        <v/>
      </c>
      <c r="O28">
        <f>IF(AND(B28&lt;DATE(2025,7,1),COUNTIFS($C$2:$C$174,C28,$B$2:$B$174,"&gt;="&amp;DATE(2025,10,1))=0),M28,0)</f>
        <v/>
      </c>
      <c r="P28">
        <f>IF(N28&gt;=5000,A28,"")</f>
        <v/>
      </c>
    </row>
    <row r="29">
      <c r="A29" t="n">
        <v>10028</v>
      </c>
      <c r="B29" s="3">
        <f>INDEX(Lines!$B$2:$B$331,MATCH(A29,Lines!$A$2:$A$331,0))</f>
        <v/>
      </c>
      <c r="C29">
        <f>INDEX(Lines!$C$2:$C$331,MATCH(A29,Lines!$A$2:$A$331,0))</f>
        <v/>
      </c>
      <c r="D29">
        <f>SUMIFS(Lines!$I$2:$I$331,Lines!$A$2:$A$331,A29)</f>
        <v/>
      </c>
      <c r="E29">
        <f>COUNTIFS(Lines!$A$2:$A$331,A29)</f>
        <v/>
      </c>
      <c r="F29" s="3">
        <f>DATE(YEAR(B29),MONTH(B29),1)</f>
        <v/>
      </c>
      <c r="G29">
        <f>INT(D29/100)</f>
        <v/>
      </c>
      <c r="H29">
        <f>SUMIFS($D$2:D29,$C$2:C29,C29)-D29</f>
        <v/>
      </c>
      <c r="I29">
        <f>IF(H29&gt;=250000,1.5,IF(H29&gt;=100000,1.25,1))</f>
        <v/>
      </c>
      <c r="J29">
        <f>ROUNDDOWN(G29*I29,0)</f>
        <v/>
      </c>
      <c r="K29">
        <f>IF(COUNTIFS($C$2:$C$174,C29,$F$2:$F$174,EDATE(F29,-1))&gt;0,200,0)</f>
        <v/>
      </c>
      <c r="L29">
        <f>IF(E29&gt;=3,100,0)</f>
        <v/>
      </c>
      <c r="M29">
        <f>J29+K29+L29</f>
        <v/>
      </c>
      <c r="N29">
        <f>SUMIFS($M$2:M29,$C$2:C29,C29)</f>
        <v/>
      </c>
      <c r="O29">
        <f>IF(AND(B29&lt;DATE(2025,7,1),COUNTIFS($C$2:$C$174,C29,$B$2:$B$174,"&gt;="&amp;DATE(2025,10,1))=0),M29,0)</f>
        <v/>
      </c>
      <c r="P29">
        <f>IF(N29&gt;=5000,A29,"")</f>
        <v/>
      </c>
    </row>
    <row r="30">
      <c r="A30" t="n">
        <v>10029</v>
      </c>
      <c r="B30" s="3">
        <f>INDEX(Lines!$B$2:$B$331,MATCH(A30,Lines!$A$2:$A$331,0))</f>
        <v/>
      </c>
      <c r="C30">
        <f>INDEX(Lines!$C$2:$C$331,MATCH(A30,Lines!$A$2:$A$331,0))</f>
        <v/>
      </c>
      <c r="D30">
        <f>SUMIFS(Lines!$I$2:$I$331,Lines!$A$2:$A$331,A30)</f>
        <v/>
      </c>
      <c r="E30">
        <f>COUNTIFS(Lines!$A$2:$A$331,A30)</f>
        <v/>
      </c>
      <c r="F30" s="3">
        <f>DATE(YEAR(B30),MONTH(B30),1)</f>
        <v/>
      </c>
      <c r="G30">
        <f>INT(D30/100)</f>
        <v/>
      </c>
      <c r="H30">
        <f>SUMIFS($D$2:D30,$C$2:C30,C30)-D30</f>
        <v/>
      </c>
      <c r="I30">
        <f>IF(H30&gt;=250000,1.5,IF(H30&gt;=100000,1.25,1))</f>
        <v/>
      </c>
      <c r="J30">
        <f>ROUNDDOWN(G30*I30,0)</f>
        <v/>
      </c>
      <c r="K30">
        <f>IF(COUNTIFS($C$2:$C$174,C30,$F$2:$F$174,EDATE(F30,-1))&gt;0,200,0)</f>
        <v/>
      </c>
      <c r="L30">
        <f>IF(E30&gt;=3,100,0)</f>
        <v/>
      </c>
      <c r="M30">
        <f>J30+K30+L30</f>
        <v/>
      </c>
      <c r="N30">
        <f>SUMIFS($M$2:M30,$C$2:C30,C30)</f>
        <v/>
      </c>
      <c r="O30">
        <f>IF(AND(B30&lt;DATE(2025,7,1),COUNTIFS($C$2:$C$174,C30,$B$2:$B$174,"&gt;="&amp;DATE(2025,10,1))=0),M30,0)</f>
        <v/>
      </c>
      <c r="P30">
        <f>IF(N30&gt;=5000,A30,"")</f>
        <v/>
      </c>
    </row>
    <row r="31">
      <c r="A31" t="n">
        <v>10030</v>
      </c>
      <c r="B31" s="3">
        <f>INDEX(Lines!$B$2:$B$331,MATCH(A31,Lines!$A$2:$A$331,0))</f>
        <v/>
      </c>
      <c r="C31">
        <f>INDEX(Lines!$C$2:$C$331,MATCH(A31,Lines!$A$2:$A$331,0))</f>
        <v/>
      </c>
      <c r="D31">
        <f>SUMIFS(Lines!$I$2:$I$331,Lines!$A$2:$A$331,A31)</f>
        <v/>
      </c>
      <c r="E31">
        <f>COUNTIFS(Lines!$A$2:$A$331,A31)</f>
        <v/>
      </c>
      <c r="F31" s="3">
        <f>DATE(YEAR(B31),MONTH(B31),1)</f>
        <v/>
      </c>
      <c r="G31">
        <f>INT(D31/100)</f>
        <v/>
      </c>
      <c r="H31">
        <f>SUMIFS($D$2:D31,$C$2:C31,C31)-D31</f>
        <v/>
      </c>
      <c r="I31">
        <f>IF(H31&gt;=250000,1.5,IF(H31&gt;=100000,1.25,1))</f>
        <v/>
      </c>
      <c r="J31">
        <f>ROUNDDOWN(G31*I31,0)</f>
        <v/>
      </c>
      <c r="K31">
        <f>IF(COUNTIFS($C$2:$C$174,C31,$F$2:$F$174,EDATE(F31,-1))&gt;0,200,0)</f>
        <v/>
      </c>
      <c r="L31">
        <f>IF(E31&gt;=3,100,0)</f>
        <v/>
      </c>
      <c r="M31">
        <f>J31+K31+L31</f>
        <v/>
      </c>
      <c r="N31">
        <f>SUMIFS($M$2:M31,$C$2:C31,C31)</f>
        <v/>
      </c>
      <c r="O31">
        <f>IF(AND(B31&lt;DATE(2025,7,1),COUNTIFS($C$2:$C$174,C31,$B$2:$B$174,"&gt;="&amp;DATE(2025,10,1))=0),M31,0)</f>
        <v/>
      </c>
      <c r="P31">
        <f>IF(N31&gt;=5000,A31,"")</f>
        <v/>
      </c>
    </row>
    <row r="32">
      <c r="A32" t="n">
        <v>10031</v>
      </c>
      <c r="B32" s="3">
        <f>INDEX(Lines!$B$2:$B$331,MATCH(A32,Lines!$A$2:$A$331,0))</f>
        <v/>
      </c>
      <c r="C32">
        <f>INDEX(Lines!$C$2:$C$331,MATCH(A32,Lines!$A$2:$A$331,0))</f>
        <v/>
      </c>
      <c r="D32">
        <f>SUMIFS(Lines!$I$2:$I$331,Lines!$A$2:$A$331,A32)</f>
        <v/>
      </c>
      <c r="E32">
        <f>COUNTIFS(Lines!$A$2:$A$331,A32)</f>
        <v/>
      </c>
      <c r="F32" s="3">
        <f>DATE(YEAR(B32),MONTH(B32),1)</f>
        <v/>
      </c>
      <c r="G32">
        <f>INT(D32/100)</f>
        <v/>
      </c>
      <c r="H32">
        <f>SUMIFS($D$2:D32,$C$2:C32,C32)-D32</f>
        <v/>
      </c>
      <c r="I32">
        <f>IF(H32&gt;=250000,1.5,IF(H32&gt;=100000,1.25,1))</f>
        <v/>
      </c>
      <c r="J32">
        <f>ROUNDDOWN(G32*I32,0)</f>
        <v/>
      </c>
      <c r="K32">
        <f>IF(COUNTIFS($C$2:$C$174,C32,$F$2:$F$174,EDATE(F32,-1))&gt;0,200,0)</f>
        <v/>
      </c>
      <c r="L32">
        <f>IF(E32&gt;=3,100,0)</f>
        <v/>
      </c>
      <c r="M32">
        <f>J32+K32+L32</f>
        <v/>
      </c>
      <c r="N32">
        <f>SUMIFS($M$2:M32,$C$2:C32,C32)</f>
        <v/>
      </c>
      <c r="O32">
        <f>IF(AND(B32&lt;DATE(2025,7,1),COUNTIFS($C$2:$C$174,C32,$B$2:$B$174,"&gt;="&amp;DATE(2025,10,1))=0),M32,0)</f>
        <v/>
      </c>
      <c r="P32">
        <f>IF(N32&gt;=5000,A32,"")</f>
        <v/>
      </c>
    </row>
    <row r="33">
      <c r="A33" t="n">
        <v>10032</v>
      </c>
      <c r="B33" s="3">
        <f>INDEX(Lines!$B$2:$B$331,MATCH(A33,Lines!$A$2:$A$331,0))</f>
        <v/>
      </c>
      <c r="C33">
        <f>INDEX(Lines!$C$2:$C$331,MATCH(A33,Lines!$A$2:$A$331,0))</f>
        <v/>
      </c>
      <c r="D33">
        <f>SUMIFS(Lines!$I$2:$I$331,Lines!$A$2:$A$331,A33)</f>
        <v/>
      </c>
      <c r="E33">
        <f>COUNTIFS(Lines!$A$2:$A$331,A33)</f>
        <v/>
      </c>
      <c r="F33" s="3">
        <f>DATE(YEAR(B33),MONTH(B33),1)</f>
        <v/>
      </c>
      <c r="G33">
        <f>INT(D33/100)</f>
        <v/>
      </c>
      <c r="H33">
        <f>SUMIFS($D$2:D33,$C$2:C33,C33)-D33</f>
        <v/>
      </c>
      <c r="I33">
        <f>IF(H33&gt;=250000,1.5,IF(H33&gt;=100000,1.25,1))</f>
        <v/>
      </c>
      <c r="J33">
        <f>ROUNDDOWN(G33*I33,0)</f>
        <v/>
      </c>
      <c r="K33">
        <f>IF(COUNTIFS($C$2:$C$174,C33,$F$2:$F$174,EDATE(F33,-1))&gt;0,200,0)</f>
        <v/>
      </c>
      <c r="L33">
        <f>IF(E33&gt;=3,100,0)</f>
        <v/>
      </c>
      <c r="M33">
        <f>J33+K33+L33</f>
        <v/>
      </c>
      <c r="N33">
        <f>SUMIFS($M$2:M33,$C$2:C33,C33)</f>
        <v/>
      </c>
      <c r="O33">
        <f>IF(AND(B33&lt;DATE(2025,7,1),COUNTIFS($C$2:$C$174,C33,$B$2:$B$174,"&gt;="&amp;DATE(2025,10,1))=0),M33,0)</f>
        <v/>
      </c>
      <c r="P33">
        <f>IF(N33&gt;=5000,A33,"")</f>
        <v/>
      </c>
    </row>
    <row r="34">
      <c r="A34" t="n">
        <v>10033</v>
      </c>
      <c r="B34" s="3">
        <f>INDEX(Lines!$B$2:$B$331,MATCH(A34,Lines!$A$2:$A$331,0))</f>
        <v/>
      </c>
      <c r="C34">
        <f>INDEX(Lines!$C$2:$C$331,MATCH(A34,Lines!$A$2:$A$331,0))</f>
        <v/>
      </c>
      <c r="D34">
        <f>SUMIFS(Lines!$I$2:$I$331,Lines!$A$2:$A$331,A34)</f>
        <v/>
      </c>
      <c r="E34">
        <f>COUNTIFS(Lines!$A$2:$A$331,A34)</f>
        <v/>
      </c>
      <c r="F34" s="3">
        <f>DATE(YEAR(B34),MONTH(B34),1)</f>
        <v/>
      </c>
      <c r="G34">
        <f>INT(D34/100)</f>
        <v/>
      </c>
      <c r="H34">
        <f>SUMIFS($D$2:D34,$C$2:C34,C34)-D34</f>
        <v/>
      </c>
      <c r="I34">
        <f>IF(H34&gt;=250000,1.5,IF(H34&gt;=100000,1.25,1))</f>
        <v/>
      </c>
      <c r="J34">
        <f>ROUNDDOWN(G34*I34,0)</f>
        <v/>
      </c>
      <c r="K34">
        <f>IF(COUNTIFS($C$2:$C$174,C34,$F$2:$F$174,EDATE(F34,-1))&gt;0,200,0)</f>
        <v/>
      </c>
      <c r="L34">
        <f>IF(E34&gt;=3,100,0)</f>
        <v/>
      </c>
      <c r="M34">
        <f>J34+K34+L34</f>
        <v/>
      </c>
      <c r="N34">
        <f>SUMIFS($M$2:M34,$C$2:C34,C34)</f>
        <v/>
      </c>
      <c r="O34">
        <f>IF(AND(B34&lt;DATE(2025,7,1),COUNTIFS($C$2:$C$174,C34,$B$2:$B$174,"&gt;="&amp;DATE(2025,10,1))=0),M34,0)</f>
        <v/>
      </c>
      <c r="P34">
        <f>IF(N34&gt;=5000,A34,"")</f>
        <v/>
      </c>
    </row>
    <row r="35">
      <c r="A35" t="n">
        <v>10035</v>
      </c>
      <c r="B35" s="3">
        <f>INDEX(Lines!$B$2:$B$331,MATCH(A35,Lines!$A$2:$A$331,0))</f>
        <v/>
      </c>
      <c r="C35">
        <f>INDEX(Lines!$C$2:$C$331,MATCH(A35,Lines!$A$2:$A$331,0))</f>
        <v/>
      </c>
      <c r="D35">
        <f>SUMIFS(Lines!$I$2:$I$331,Lines!$A$2:$A$331,A35)</f>
        <v/>
      </c>
      <c r="E35">
        <f>COUNTIFS(Lines!$A$2:$A$331,A35)</f>
        <v/>
      </c>
      <c r="F35" s="3">
        <f>DATE(YEAR(B35),MONTH(B35),1)</f>
        <v/>
      </c>
      <c r="G35">
        <f>INT(D35/100)</f>
        <v/>
      </c>
      <c r="H35">
        <f>SUMIFS($D$2:D35,$C$2:C35,C35)-D35</f>
        <v/>
      </c>
      <c r="I35">
        <f>IF(H35&gt;=250000,1.5,IF(H35&gt;=100000,1.25,1))</f>
        <v/>
      </c>
      <c r="J35">
        <f>ROUNDDOWN(G35*I35,0)</f>
        <v/>
      </c>
      <c r="K35">
        <f>IF(COUNTIFS($C$2:$C$174,C35,$F$2:$F$174,EDATE(F35,-1))&gt;0,200,0)</f>
        <v/>
      </c>
      <c r="L35">
        <f>IF(E35&gt;=3,100,0)</f>
        <v/>
      </c>
      <c r="M35">
        <f>J35+K35+L35</f>
        <v/>
      </c>
      <c r="N35">
        <f>SUMIFS($M$2:M35,$C$2:C35,C35)</f>
        <v/>
      </c>
      <c r="O35">
        <f>IF(AND(B35&lt;DATE(2025,7,1),COUNTIFS($C$2:$C$174,C35,$B$2:$B$174,"&gt;="&amp;DATE(2025,10,1))=0),M35,0)</f>
        <v/>
      </c>
      <c r="P35">
        <f>IF(N35&gt;=5000,A35,"")</f>
        <v/>
      </c>
    </row>
    <row r="36">
      <c r="A36" t="n">
        <v>10036</v>
      </c>
      <c r="B36" s="3">
        <f>INDEX(Lines!$B$2:$B$331,MATCH(A36,Lines!$A$2:$A$331,0))</f>
        <v/>
      </c>
      <c r="C36">
        <f>INDEX(Lines!$C$2:$C$331,MATCH(A36,Lines!$A$2:$A$331,0))</f>
        <v/>
      </c>
      <c r="D36">
        <f>SUMIFS(Lines!$I$2:$I$331,Lines!$A$2:$A$331,A36)</f>
        <v/>
      </c>
      <c r="E36">
        <f>COUNTIFS(Lines!$A$2:$A$331,A36)</f>
        <v/>
      </c>
      <c r="F36" s="3">
        <f>DATE(YEAR(B36),MONTH(B36),1)</f>
        <v/>
      </c>
      <c r="G36">
        <f>INT(D36/100)</f>
        <v/>
      </c>
      <c r="H36">
        <f>SUMIFS($D$2:D36,$C$2:C36,C36)-D36</f>
        <v/>
      </c>
      <c r="I36">
        <f>IF(H36&gt;=250000,1.5,IF(H36&gt;=100000,1.25,1))</f>
        <v/>
      </c>
      <c r="J36">
        <f>ROUNDDOWN(G36*I36,0)</f>
        <v/>
      </c>
      <c r="K36">
        <f>IF(COUNTIFS($C$2:$C$174,C36,$F$2:$F$174,EDATE(F36,-1))&gt;0,200,0)</f>
        <v/>
      </c>
      <c r="L36">
        <f>IF(E36&gt;=3,100,0)</f>
        <v/>
      </c>
      <c r="M36">
        <f>J36+K36+L36</f>
        <v/>
      </c>
      <c r="N36">
        <f>SUMIFS($M$2:M36,$C$2:C36,C36)</f>
        <v/>
      </c>
      <c r="O36">
        <f>IF(AND(B36&lt;DATE(2025,7,1),COUNTIFS($C$2:$C$174,C36,$B$2:$B$174,"&gt;="&amp;DATE(2025,10,1))=0),M36,0)</f>
        <v/>
      </c>
      <c r="P36">
        <f>IF(N36&gt;=5000,A36,"")</f>
        <v/>
      </c>
    </row>
    <row r="37">
      <c r="A37" t="n">
        <v>10037</v>
      </c>
      <c r="B37" s="3">
        <f>INDEX(Lines!$B$2:$B$331,MATCH(A37,Lines!$A$2:$A$331,0))</f>
        <v/>
      </c>
      <c r="C37">
        <f>INDEX(Lines!$C$2:$C$331,MATCH(A37,Lines!$A$2:$A$331,0))</f>
        <v/>
      </c>
      <c r="D37">
        <f>SUMIFS(Lines!$I$2:$I$331,Lines!$A$2:$A$331,A37)</f>
        <v/>
      </c>
      <c r="E37">
        <f>COUNTIFS(Lines!$A$2:$A$331,A37)</f>
        <v/>
      </c>
      <c r="F37" s="3">
        <f>DATE(YEAR(B37),MONTH(B37),1)</f>
        <v/>
      </c>
      <c r="G37">
        <f>INT(D37/100)</f>
        <v/>
      </c>
      <c r="H37">
        <f>SUMIFS($D$2:D37,$C$2:C37,C37)-D37</f>
        <v/>
      </c>
      <c r="I37">
        <f>IF(H37&gt;=250000,1.5,IF(H37&gt;=100000,1.25,1))</f>
        <v/>
      </c>
      <c r="J37">
        <f>ROUNDDOWN(G37*I37,0)</f>
        <v/>
      </c>
      <c r="K37">
        <f>IF(COUNTIFS($C$2:$C$174,C37,$F$2:$F$174,EDATE(F37,-1))&gt;0,200,0)</f>
        <v/>
      </c>
      <c r="L37">
        <f>IF(E37&gt;=3,100,0)</f>
        <v/>
      </c>
      <c r="M37">
        <f>J37+K37+L37</f>
        <v/>
      </c>
      <c r="N37">
        <f>SUMIFS($M$2:M37,$C$2:C37,C37)</f>
        <v/>
      </c>
      <c r="O37">
        <f>IF(AND(B37&lt;DATE(2025,7,1),COUNTIFS($C$2:$C$174,C37,$B$2:$B$174,"&gt;="&amp;DATE(2025,10,1))=0),M37,0)</f>
        <v/>
      </c>
      <c r="P37">
        <f>IF(N37&gt;=5000,A37,"")</f>
        <v/>
      </c>
    </row>
    <row r="38">
      <c r="A38" t="n">
        <v>10038</v>
      </c>
      <c r="B38" s="3">
        <f>INDEX(Lines!$B$2:$B$331,MATCH(A38,Lines!$A$2:$A$331,0))</f>
        <v/>
      </c>
      <c r="C38">
        <f>INDEX(Lines!$C$2:$C$331,MATCH(A38,Lines!$A$2:$A$331,0))</f>
        <v/>
      </c>
      <c r="D38">
        <f>SUMIFS(Lines!$I$2:$I$331,Lines!$A$2:$A$331,A38)</f>
        <v/>
      </c>
      <c r="E38">
        <f>COUNTIFS(Lines!$A$2:$A$331,A38)</f>
        <v/>
      </c>
      <c r="F38" s="3">
        <f>DATE(YEAR(B38),MONTH(B38),1)</f>
        <v/>
      </c>
      <c r="G38">
        <f>INT(D38/100)</f>
        <v/>
      </c>
      <c r="H38">
        <f>SUMIFS($D$2:D38,$C$2:C38,C38)-D38</f>
        <v/>
      </c>
      <c r="I38">
        <f>IF(H38&gt;=250000,1.5,IF(H38&gt;=100000,1.25,1))</f>
        <v/>
      </c>
      <c r="J38">
        <f>ROUNDDOWN(G38*I38,0)</f>
        <v/>
      </c>
      <c r="K38">
        <f>IF(COUNTIFS($C$2:$C$174,C38,$F$2:$F$174,EDATE(F38,-1))&gt;0,200,0)</f>
        <v/>
      </c>
      <c r="L38">
        <f>IF(E38&gt;=3,100,0)</f>
        <v/>
      </c>
      <c r="M38">
        <f>J38+K38+L38</f>
        <v/>
      </c>
      <c r="N38">
        <f>SUMIFS($M$2:M38,$C$2:C38,C38)</f>
        <v/>
      </c>
      <c r="O38">
        <f>IF(AND(B38&lt;DATE(2025,7,1),COUNTIFS($C$2:$C$174,C38,$B$2:$B$174,"&gt;="&amp;DATE(2025,10,1))=0),M38,0)</f>
        <v/>
      </c>
      <c r="P38">
        <f>IF(N38&gt;=5000,A38,"")</f>
        <v/>
      </c>
    </row>
    <row r="39">
      <c r="A39" t="n">
        <v>10039</v>
      </c>
      <c r="B39" s="3">
        <f>INDEX(Lines!$B$2:$B$331,MATCH(A39,Lines!$A$2:$A$331,0))</f>
        <v/>
      </c>
      <c r="C39">
        <f>INDEX(Lines!$C$2:$C$331,MATCH(A39,Lines!$A$2:$A$331,0))</f>
        <v/>
      </c>
      <c r="D39">
        <f>SUMIFS(Lines!$I$2:$I$331,Lines!$A$2:$A$331,A39)</f>
        <v/>
      </c>
      <c r="E39">
        <f>COUNTIFS(Lines!$A$2:$A$331,A39)</f>
        <v/>
      </c>
      <c r="F39" s="3">
        <f>DATE(YEAR(B39),MONTH(B39),1)</f>
        <v/>
      </c>
      <c r="G39">
        <f>INT(D39/100)</f>
        <v/>
      </c>
      <c r="H39">
        <f>SUMIFS($D$2:D39,$C$2:C39,C39)-D39</f>
        <v/>
      </c>
      <c r="I39">
        <f>IF(H39&gt;=250000,1.5,IF(H39&gt;=100000,1.25,1))</f>
        <v/>
      </c>
      <c r="J39">
        <f>ROUNDDOWN(G39*I39,0)</f>
        <v/>
      </c>
      <c r="K39">
        <f>IF(COUNTIFS($C$2:$C$174,C39,$F$2:$F$174,EDATE(F39,-1))&gt;0,200,0)</f>
        <v/>
      </c>
      <c r="L39">
        <f>IF(E39&gt;=3,100,0)</f>
        <v/>
      </c>
      <c r="M39">
        <f>J39+K39+L39</f>
        <v/>
      </c>
      <c r="N39">
        <f>SUMIFS($M$2:M39,$C$2:C39,C39)</f>
        <v/>
      </c>
      <c r="O39">
        <f>IF(AND(B39&lt;DATE(2025,7,1),COUNTIFS($C$2:$C$174,C39,$B$2:$B$174,"&gt;="&amp;DATE(2025,10,1))=0),M39,0)</f>
        <v/>
      </c>
      <c r="P39">
        <f>IF(N39&gt;=5000,A39,"")</f>
        <v/>
      </c>
    </row>
    <row r="40">
      <c r="A40" t="n">
        <v>10040</v>
      </c>
      <c r="B40" s="3">
        <f>INDEX(Lines!$B$2:$B$331,MATCH(A40,Lines!$A$2:$A$331,0))</f>
        <v/>
      </c>
      <c r="C40">
        <f>INDEX(Lines!$C$2:$C$331,MATCH(A40,Lines!$A$2:$A$331,0))</f>
        <v/>
      </c>
      <c r="D40">
        <f>SUMIFS(Lines!$I$2:$I$331,Lines!$A$2:$A$331,A40)</f>
        <v/>
      </c>
      <c r="E40">
        <f>COUNTIFS(Lines!$A$2:$A$331,A40)</f>
        <v/>
      </c>
      <c r="F40" s="3">
        <f>DATE(YEAR(B40),MONTH(B40),1)</f>
        <v/>
      </c>
      <c r="G40">
        <f>INT(D40/100)</f>
        <v/>
      </c>
      <c r="H40">
        <f>SUMIFS($D$2:D40,$C$2:C40,C40)-D40</f>
        <v/>
      </c>
      <c r="I40">
        <f>IF(H40&gt;=250000,1.5,IF(H40&gt;=100000,1.25,1))</f>
        <v/>
      </c>
      <c r="J40">
        <f>ROUNDDOWN(G40*I40,0)</f>
        <v/>
      </c>
      <c r="K40">
        <f>IF(COUNTIFS($C$2:$C$174,C40,$F$2:$F$174,EDATE(F40,-1))&gt;0,200,0)</f>
        <v/>
      </c>
      <c r="L40">
        <f>IF(E40&gt;=3,100,0)</f>
        <v/>
      </c>
      <c r="M40">
        <f>J40+K40+L40</f>
        <v/>
      </c>
      <c r="N40">
        <f>SUMIFS($M$2:M40,$C$2:C40,C40)</f>
        <v/>
      </c>
      <c r="O40">
        <f>IF(AND(B40&lt;DATE(2025,7,1),COUNTIFS($C$2:$C$174,C40,$B$2:$B$174,"&gt;="&amp;DATE(2025,10,1))=0),M40,0)</f>
        <v/>
      </c>
      <c r="P40">
        <f>IF(N40&gt;=5000,A40,"")</f>
        <v/>
      </c>
    </row>
    <row r="41">
      <c r="A41" t="n">
        <v>10041</v>
      </c>
      <c r="B41" s="3">
        <f>INDEX(Lines!$B$2:$B$331,MATCH(A41,Lines!$A$2:$A$331,0))</f>
        <v/>
      </c>
      <c r="C41">
        <f>INDEX(Lines!$C$2:$C$331,MATCH(A41,Lines!$A$2:$A$331,0))</f>
        <v/>
      </c>
      <c r="D41">
        <f>SUMIFS(Lines!$I$2:$I$331,Lines!$A$2:$A$331,A41)</f>
        <v/>
      </c>
      <c r="E41">
        <f>COUNTIFS(Lines!$A$2:$A$331,A41)</f>
        <v/>
      </c>
      <c r="F41" s="3">
        <f>DATE(YEAR(B41),MONTH(B41),1)</f>
        <v/>
      </c>
      <c r="G41">
        <f>INT(D41/100)</f>
        <v/>
      </c>
      <c r="H41">
        <f>SUMIFS($D$2:D41,$C$2:C41,C41)-D41</f>
        <v/>
      </c>
      <c r="I41">
        <f>IF(H41&gt;=250000,1.5,IF(H41&gt;=100000,1.25,1))</f>
        <v/>
      </c>
      <c r="J41">
        <f>ROUNDDOWN(G41*I41,0)</f>
        <v/>
      </c>
      <c r="K41">
        <f>IF(COUNTIFS($C$2:$C$174,C41,$F$2:$F$174,EDATE(F41,-1))&gt;0,200,0)</f>
        <v/>
      </c>
      <c r="L41">
        <f>IF(E41&gt;=3,100,0)</f>
        <v/>
      </c>
      <c r="M41">
        <f>J41+K41+L41</f>
        <v/>
      </c>
      <c r="N41">
        <f>SUMIFS($M$2:M41,$C$2:C41,C41)</f>
        <v/>
      </c>
      <c r="O41">
        <f>IF(AND(B41&lt;DATE(2025,7,1),COUNTIFS($C$2:$C$174,C41,$B$2:$B$174,"&gt;="&amp;DATE(2025,10,1))=0),M41,0)</f>
        <v/>
      </c>
      <c r="P41">
        <f>IF(N41&gt;=5000,A41,"")</f>
        <v/>
      </c>
    </row>
    <row r="42">
      <c r="A42" t="n">
        <v>10042</v>
      </c>
      <c r="B42" s="3">
        <f>INDEX(Lines!$B$2:$B$331,MATCH(A42,Lines!$A$2:$A$331,0))</f>
        <v/>
      </c>
      <c r="C42">
        <f>INDEX(Lines!$C$2:$C$331,MATCH(A42,Lines!$A$2:$A$331,0))</f>
        <v/>
      </c>
      <c r="D42">
        <f>SUMIFS(Lines!$I$2:$I$331,Lines!$A$2:$A$331,A42)</f>
        <v/>
      </c>
      <c r="E42">
        <f>COUNTIFS(Lines!$A$2:$A$331,A42)</f>
        <v/>
      </c>
      <c r="F42" s="3">
        <f>DATE(YEAR(B42),MONTH(B42),1)</f>
        <v/>
      </c>
      <c r="G42">
        <f>INT(D42/100)</f>
        <v/>
      </c>
      <c r="H42">
        <f>SUMIFS($D$2:D42,$C$2:C42,C42)-D42</f>
        <v/>
      </c>
      <c r="I42">
        <f>IF(H42&gt;=250000,1.5,IF(H42&gt;=100000,1.25,1))</f>
        <v/>
      </c>
      <c r="J42">
        <f>ROUNDDOWN(G42*I42,0)</f>
        <v/>
      </c>
      <c r="K42">
        <f>IF(COUNTIFS($C$2:$C$174,C42,$F$2:$F$174,EDATE(F42,-1))&gt;0,200,0)</f>
        <v/>
      </c>
      <c r="L42">
        <f>IF(E42&gt;=3,100,0)</f>
        <v/>
      </c>
      <c r="M42">
        <f>J42+K42+L42</f>
        <v/>
      </c>
      <c r="N42">
        <f>SUMIFS($M$2:M42,$C$2:C42,C42)</f>
        <v/>
      </c>
      <c r="O42">
        <f>IF(AND(B42&lt;DATE(2025,7,1),COUNTIFS($C$2:$C$174,C42,$B$2:$B$174,"&gt;="&amp;DATE(2025,10,1))=0),M42,0)</f>
        <v/>
      </c>
      <c r="P42">
        <f>IF(N42&gt;=5000,A42,"")</f>
        <v/>
      </c>
    </row>
    <row r="43">
      <c r="A43" t="n">
        <v>10043</v>
      </c>
      <c r="B43" s="3">
        <f>INDEX(Lines!$B$2:$B$331,MATCH(A43,Lines!$A$2:$A$331,0))</f>
        <v/>
      </c>
      <c r="C43">
        <f>INDEX(Lines!$C$2:$C$331,MATCH(A43,Lines!$A$2:$A$331,0))</f>
        <v/>
      </c>
      <c r="D43">
        <f>SUMIFS(Lines!$I$2:$I$331,Lines!$A$2:$A$331,A43)</f>
        <v/>
      </c>
      <c r="E43">
        <f>COUNTIFS(Lines!$A$2:$A$331,A43)</f>
        <v/>
      </c>
      <c r="F43" s="3">
        <f>DATE(YEAR(B43),MONTH(B43),1)</f>
        <v/>
      </c>
      <c r="G43">
        <f>INT(D43/100)</f>
        <v/>
      </c>
      <c r="H43">
        <f>SUMIFS($D$2:D43,$C$2:C43,C43)-D43</f>
        <v/>
      </c>
      <c r="I43">
        <f>IF(H43&gt;=250000,1.5,IF(H43&gt;=100000,1.25,1))</f>
        <v/>
      </c>
      <c r="J43">
        <f>ROUNDDOWN(G43*I43,0)</f>
        <v/>
      </c>
      <c r="K43">
        <f>IF(COUNTIFS($C$2:$C$174,C43,$F$2:$F$174,EDATE(F43,-1))&gt;0,200,0)</f>
        <v/>
      </c>
      <c r="L43">
        <f>IF(E43&gt;=3,100,0)</f>
        <v/>
      </c>
      <c r="M43">
        <f>J43+K43+L43</f>
        <v/>
      </c>
      <c r="N43">
        <f>SUMIFS($M$2:M43,$C$2:C43,C43)</f>
        <v/>
      </c>
      <c r="O43">
        <f>IF(AND(B43&lt;DATE(2025,7,1),COUNTIFS($C$2:$C$174,C43,$B$2:$B$174,"&gt;="&amp;DATE(2025,10,1))=0),M43,0)</f>
        <v/>
      </c>
      <c r="P43">
        <f>IF(N43&gt;=5000,A43,"")</f>
        <v/>
      </c>
    </row>
    <row r="44">
      <c r="A44" t="n">
        <v>10044</v>
      </c>
      <c r="B44" s="3">
        <f>INDEX(Lines!$B$2:$B$331,MATCH(A44,Lines!$A$2:$A$331,0))</f>
        <v/>
      </c>
      <c r="C44">
        <f>INDEX(Lines!$C$2:$C$331,MATCH(A44,Lines!$A$2:$A$331,0))</f>
        <v/>
      </c>
      <c r="D44">
        <f>SUMIFS(Lines!$I$2:$I$331,Lines!$A$2:$A$331,A44)</f>
        <v/>
      </c>
      <c r="E44">
        <f>COUNTIFS(Lines!$A$2:$A$331,A44)</f>
        <v/>
      </c>
      <c r="F44" s="3">
        <f>DATE(YEAR(B44),MONTH(B44),1)</f>
        <v/>
      </c>
      <c r="G44">
        <f>INT(D44/100)</f>
        <v/>
      </c>
      <c r="H44">
        <f>SUMIFS($D$2:D44,$C$2:C44,C44)-D44</f>
        <v/>
      </c>
      <c r="I44">
        <f>IF(H44&gt;=250000,1.5,IF(H44&gt;=100000,1.25,1))</f>
        <v/>
      </c>
      <c r="J44">
        <f>ROUNDDOWN(G44*I44,0)</f>
        <v/>
      </c>
      <c r="K44">
        <f>IF(COUNTIFS($C$2:$C$174,C44,$F$2:$F$174,EDATE(F44,-1))&gt;0,200,0)</f>
        <v/>
      </c>
      <c r="L44">
        <f>IF(E44&gt;=3,100,0)</f>
        <v/>
      </c>
      <c r="M44">
        <f>J44+K44+L44</f>
        <v/>
      </c>
      <c r="N44">
        <f>SUMIFS($M$2:M44,$C$2:C44,C44)</f>
        <v/>
      </c>
      <c r="O44">
        <f>IF(AND(B44&lt;DATE(2025,7,1),COUNTIFS($C$2:$C$174,C44,$B$2:$B$174,"&gt;="&amp;DATE(2025,10,1))=0),M44,0)</f>
        <v/>
      </c>
      <c r="P44">
        <f>IF(N44&gt;=5000,A44,"")</f>
        <v/>
      </c>
    </row>
    <row r="45">
      <c r="A45" t="n">
        <v>10045</v>
      </c>
      <c r="B45" s="3">
        <f>INDEX(Lines!$B$2:$B$331,MATCH(A45,Lines!$A$2:$A$331,0))</f>
        <v/>
      </c>
      <c r="C45">
        <f>INDEX(Lines!$C$2:$C$331,MATCH(A45,Lines!$A$2:$A$331,0))</f>
        <v/>
      </c>
      <c r="D45">
        <f>SUMIFS(Lines!$I$2:$I$331,Lines!$A$2:$A$331,A45)</f>
        <v/>
      </c>
      <c r="E45">
        <f>COUNTIFS(Lines!$A$2:$A$331,A45)</f>
        <v/>
      </c>
      <c r="F45" s="3">
        <f>DATE(YEAR(B45),MONTH(B45),1)</f>
        <v/>
      </c>
      <c r="G45">
        <f>INT(D45/100)</f>
        <v/>
      </c>
      <c r="H45">
        <f>SUMIFS($D$2:D45,$C$2:C45,C45)-D45</f>
        <v/>
      </c>
      <c r="I45">
        <f>IF(H45&gt;=250000,1.5,IF(H45&gt;=100000,1.25,1))</f>
        <v/>
      </c>
      <c r="J45">
        <f>ROUNDDOWN(G45*I45,0)</f>
        <v/>
      </c>
      <c r="K45">
        <f>IF(COUNTIFS($C$2:$C$174,C45,$F$2:$F$174,EDATE(F45,-1))&gt;0,200,0)</f>
        <v/>
      </c>
      <c r="L45">
        <f>IF(E45&gt;=3,100,0)</f>
        <v/>
      </c>
      <c r="M45">
        <f>J45+K45+L45</f>
        <v/>
      </c>
      <c r="N45">
        <f>SUMIFS($M$2:M45,$C$2:C45,C45)</f>
        <v/>
      </c>
      <c r="O45">
        <f>IF(AND(B45&lt;DATE(2025,7,1),COUNTIFS($C$2:$C$174,C45,$B$2:$B$174,"&gt;="&amp;DATE(2025,10,1))=0),M45,0)</f>
        <v/>
      </c>
      <c r="P45">
        <f>IF(N45&gt;=5000,A45,"")</f>
        <v/>
      </c>
    </row>
    <row r="46">
      <c r="A46" t="n">
        <v>10046</v>
      </c>
      <c r="B46" s="3">
        <f>INDEX(Lines!$B$2:$B$331,MATCH(A46,Lines!$A$2:$A$331,0))</f>
        <v/>
      </c>
      <c r="C46">
        <f>INDEX(Lines!$C$2:$C$331,MATCH(A46,Lines!$A$2:$A$331,0))</f>
        <v/>
      </c>
      <c r="D46">
        <f>SUMIFS(Lines!$I$2:$I$331,Lines!$A$2:$A$331,A46)</f>
        <v/>
      </c>
      <c r="E46">
        <f>COUNTIFS(Lines!$A$2:$A$331,A46)</f>
        <v/>
      </c>
      <c r="F46" s="3">
        <f>DATE(YEAR(B46),MONTH(B46),1)</f>
        <v/>
      </c>
      <c r="G46">
        <f>INT(D46/100)</f>
        <v/>
      </c>
      <c r="H46">
        <f>SUMIFS($D$2:D46,$C$2:C46,C46)-D46</f>
        <v/>
      </c>
      <c r="I46">
        <f>IF(H46&gt;=250000,1.5,IF(H46&gt;=100000,1.25,1))</f>
        <v/>
      </c>
      <c r="J46">
        <f>ROUNDDOWN(G46*I46,0)</f>
        <v/>
      </c>
      <c r="K46">
        <f>IF(COUNTIFS($C$2:$C$174,C46,$F$2:$F$174,EDATE(F46,-1))&gt;0,200,0)</f>
        <v/>
      </c>
      <c r="L46">
        <f>IF(E46&gt;=3,100,0)</f>
        <v/>
      </c>
      <c r="M46">
        <f>J46+K46+L46</f>
        <v/>
      </c>
      <c r="N46">
        <f>SUMIFS($M$2:M46,$C$2:C46,C46)</f>
        <v/>
      </c>
      <c r="O46">
        <f>IF(AND(B46&lt;DATE(2025,7,1),COUNTIFS($C$2:$C$174,C46,$B$2:$B$174,"&gt;="&amp;DATE(2025,10,1))=0),M46,0)</f>
        <v/>
      </c>
      <c r="P46">
        <f>IF(N46&gt;=5000,A46,"")</f>
        <v/>
      </c>
    </row>
    <row r="47">
      <c r="A47" t="n">
        <v>10047</v>
      </c>
      <c r="B47" s="3">
        <f>INDEX(Lines!$B$2:$B$331,MATCH(A47,Lines!$A$2:$A$331,0))</f>
        <v/>
      </c>
      <c r="C47">
        <f>INDEX(Lines!$C$2:$C$331,MATCH(A47,Lines!$A$2:$A$331,0))</f>
        <v/>
      </c>
      <c r="D47">
        <f>SUMIFS(Lines!$I$2:$I$331,Lines!$A$2:$A$331,A47)</f>
        <v/>
      </c>
      <c r="E47">
        <f>COUNTIFS(Lines!$A$2:$A$331,A47)</f>
        <v/>
      </c>
      <c r="F47" s="3">
        <f>DATE(YEAR(B47),MONTH(B47),1)</f>
        <v/>
      </c>
      <c r="G47">
        <f>INT(D47/100)</f>
        <v/>
      </c>
      <c r="H47">
        <f>SUMIFS($D$2:D47,$C$2:C47,C47)-D47</f>
        <v/>
      </c>
      <c r="I47">
        <f>IF(H47&gt;=250000,1.5,IF(H47&gt;=100000,1.25,1))</f>
        <v/>
      </c>
      <c r="J47">
        <f>ROUNDDOWN(G47*I47,0)</f>
        <v/>
      </c>
      <c r="K47">
        <f>IF(COUNTIFS($C$2:$C$174,C47,$F$2:$F$174,EDATE(F47,-1))&gt;0,200,0)</f>
        <v/>
      </c>
      <c r="L47">
        <f>IF(E47&gt;=3,100,0)</f>
        <v/>
      </c>
      <c r="M47">
        <f>J47+K47+L47</f>
        <v/>
      </c>
      <c r="N47">
        <f>SUMIFS($M$2:M47,$C$2:C47,C47)</f>
        <v/>
      </c>
      <c r="O47">
        <f>IF(AND(B47&lt;DATE(2025,7,1),COUNTIFS($C$2:$C$174,C47,$B$2:$B$174,"&gt;="&amp;DATE(2025,10,1))=0),M47,0)</f>
        <v/>
      </c>
      <c r="P47">
        <f>IF(N47&gt;=5000,A47,"")</f>
        <v/>
      </c>
    </row>
    <row r="48">
      <c r="A48" t="n">
        <v>10048</v>
      </c>
      <c r="B48" s="3">
        <f>INDEX(Lines!$B$2:$B$331,MATCH(A48,Lines!$A$2:$A$331,0))</f>
        <v/>
      </c>
      <c r="C48">
        <f>INDEX(Lines!$C$2:$C$331,MATCH(A48,Lines!$A$2:$A$331,0))</f>
        <v/>
      </c>
      <c r="D48">
        <f>SUMIFS(Lines!$I$2:$I$331,Lines!$A$2:$A$331,A48)</f>
        <v/>
      </c>
      <c r="E48">
        <f>COUNTIFS(Lines!$A$2:$A$331,A48)</f>
        <v/>
      </c>
      <c r="F48" s="3">
        <f>DATE(YEAR(B48),MONTH(B48),1)</f>
        <v/>
      </c>
      <c r="G48">
        <f>INT(D48/100)</f>
        <v/>
      </c>
      <c r="H48">
        <f>SUMIFS($D$2:D48,$C$2:C48,C48)-D48</f>
        <v/>
      </c>
      <c r="I48">
        <f>IF(H48&gt;=250000,1.5,IF(H48&gt;=100000,1.25,1))</f>
        <v/>
      </c>
      <c r="J48">
        <f>ROUNDDOWN(G48*I48,0)</f>
        <v/>
      </c>
      <c r="K48">
        <f>IF(COUNTIFS($C$2:$C$174,C48,$F$2:$F$174,EDATE(F48,-1))&gt;0,200,0)</f>
        <v/>
      </c>
      <c r="L48">
        <f>IF(E48&gt;=3,100,0)</f>
        <v/>
      </c>
      <c r="M48">
        <f>J48+K48+L48</f>
        <v/>
      </c>
      <c r="N48">
        <f>SUMIFS($M$2:M48,$C$2:C48,C48)</f>
        <v/>
      </c>
      <c r="O48">
        <f>IF(AND(B48&lt;DATE(2025,7,1),COUNTIFS($C$2:$C$174,C48,$B$2:$B$174,"&gt;="&amp;DATE(2025,10,1))=0),M48,0)</f>
        <v/>
      </c>
      <c r="P48">
        <f>IF(N48&gt;=5000,A48,"")</f>
        <v/>
      </c>
    </row>
    <row r="49">
      <c r="A49" t="n">
        <v>10049</v>
      </c>
      <c r="B49" s="3">
        <f>INDEX(Lines!$B$2:$B$331,MATCH(A49,Lines!$A$2:$A$331,0))</f>
        <v/>
      </c>
      <c r="C49">
        <f>INDEX(Lines!$C$2:$C$331,MATCH(A49,Lines!$A$2:$A$331,0))</f>
        <v/>
      </c>
      <c r="D49">
        <f>SUMIFS(Lines!$I$2:$I$331,Lines!$A$2:$A$331,A49)</f>
        <v/>
      </c>
      <c r="E49">
        <f>COUNTIFS(Lines!$A$2:$A$331,A49)</f>
        <v/>
      </c>
      <c r="F49" s="3">
        <f>DATE(YEAR(B49),MONTH(B49),1)</f>
        <v/>
      </c>
      <c r="G49">
        <f>INT(D49/100)</f>
        <v/>
      </c>
      <c r="H49">
        <f>SUMIFS($D$2:D49,$C$2:C49,C49)-D49</f>
        <v/>
      </c>
      <c r="I49">
        <f>IF(H49&gt;=250000,1.5,IF(H49&gt;=100000,1.25,1))</f>
        <v/>
      </c>
      <c r="J49">
        <f>ROUNDDOWN(G49*I49,0)</f>
        <v/>
      </c>
      <c r="K49">
        <f>IF(COUNTIFS($C$2:$C$174,C49,$F$2:$F$174,EDATE(F49,-1))&gt;0,200,0)</f>
        <v/>
      </c>
      <c r="L49">
        <f>IF(E49&gt;=3,100,0)</f>
        <v/>
      </c>
      <c r="M49">
        <f>J49+K49+L49</f>
        <v/>
      </c>
      <c r="N49">
        <f>SUMIFS($M$2:M49,$C$2:C49,C49)</f>
        <v/>
      </c>
      <c r="O49">
        <f>IF(AND(B49&lt;DATE(2025,7,1),COUNTIFS($C$2:$C$174,C49,$B$2:$B$174,"&gt;="&amp;DATE(2025,10,1))=0),M49,0)</f>
        <v/>
      </c>
      <c r="P49">
        <f>IF(N49&gt;=5000,A49,"")</f>
        <v/>
      </c>
    </row>
    <row r="50">
      <c r="A50" t="n">
        <v>10050</v>
      </c>
      <c r="B50" s="3">
        <f>INDEX(Lines!$B$2:$B$331,MATCH(A50,Lines!$A$2:$A$331,0))</f>
        <v/>
      </c>
      <c r="C50">
        <f>INDEX(Lines!$C$2:$C$331,MATCH(A50,Lines!$A$2:$A$331,0))</f>
        <v/>
      </c>
      <c r="D50">
        <f>SUMIFS(Lines!$I$2:$I$331,Lines!$A$2:$A$331,A50)</f>
        <v/>
      </c>
      <c r="E50">
        <f>COUNTIFS(Lines!$A$2:$A$331,A50)</f>
        <v/>
      </c>
      <c r="F50" s="3">
        <f>DATE(YEAR(B50),MONTH(B50),1)</f>
        <v/>
      </c>
      <c r="G50">
        <f>INT(D50/100)</f>
        <v/>
      </c>
      <c r="H50">
        <f>SUMIFS($D$2:D50,$C$2:C50,C50)-D50</f>
        <v/>
      </c>
      <c r="I50">
        <f>IF(H50&gt;=250000,1.5,IF(H50&gt;=100000,1.25,1))</f>
        <v/>
      </c>
      <c r="J50">
        <f>ROUNDDOWN(G50*I50,0)</f>
        <v/>
      </c>
      <c r="K50">
        <f>IF(COUNTIFS($C$2:$C$174,C50,$F$2:$F$174,EDATE(F50,-1))&gt;0,200,0)</f>
        <v/>
      </c>
      <c r="L50">
        <f>IF(E50&gt;=3,100,0)</f>
        <v/>
      </c>
      <c r="M50">
        <f>J50+K50+L50</f>
        <v/>
      </c>
      <c r="N50">
        <f>SUMIFS($M$2:M50,$C$2:C50,C50)</f>
        <v/>
      </c>
      <c r="O50">
        <f>IF(AND(B50&lt;DATE(2025,7,1),COUNTIFS($C$2:$C$174,C50,$B$2:$B$174,"&gt;="&amp;DATE(2025,10,1))=0),M50,0)</f>
        <v/>
      </c>
      <c r="P50">
        <f>IF(N50&gt;=5000,A50,"")</f>
        <v/>
      </c>
    </row>
    <row r="51">
      <c r="A51" t="n">
        <v>10051</v>
      </c>
      <c r="B51" s="3">
        <f>INDEX(Lines!$B$2:$B$331,MATCH(A51,Lines!$A$2:$A$331,0))</f>
        <v/>
      </c>
      <c r="C51">
        <f>INDEX(Lines!$C$2:$C$331,MATCH(A51,Lines!$A$2:$A$331,0))</f>
        <v/>
      </c>
      <c r="D51">
        <f>SUMIFS(Lines!$I$2:$I$331,Lines!$A$2:$A$331,A51)</f>
        <v/>
      </c>
      <c r="E51">
        <f>COUNTIFS(Lines!$A$2:$A$331,A51)</f>
        <v/>
      </c>
      <c r="F51" s="3">
        <f>DATE(YEAR(B51),MONTH(B51),1)</f>
        <v/>
      </c>
      <c r="G51">
        <f>INT(D51/100)</f>
        <v/>
      </c>
      <c r="H51">
        <f>SUMIFS($D$2:D51,$C$2:C51,C51)-D51</f>
        <v/>
      </c>
      <c r="I51">
        <f>IF(H51&gt;=250000,1.5,IF(H51&gt;=100000,1.25,1))</f>
        <v/>
      </c>
      <c r="J51">
        <f>ROUNDDOWN(G51*I51,0)</f>
        <v/>
      </c>
      <c r="K51">
        <f>IF(COUNTIFS($C$2:$C$174,C51,$F$2:$F$174,EDATE(F51,-1))&gt;0,200,0)</f>
        <v/>
      </c>
      <c r="L51">
        <f>IF(E51&gt;=3,100,0)</f>
        <v/>
      </c>
      <c r="M51">
        <f>J51+K51+L51</f>
        <v/>
      </c>
      <c r="N51">
        <f>SUMIFS($M$2:M51,$C$2:C51,C51)</f>
        <v/>
      </c>
      <c r="O51">
        <f>IF(AND(B51&lt;DATE(2025,7,1),COUNTIFS($C$2:$C$174,C51,$B$2:$B$174,"&gt;="&amp;DATE(2025,10,1))=0),M51,0)</f>
        <v/>
      </c>
      <c r="P51">
        <f>IF(N51&gt;=5000,A51,"")</f>
        <v/>
      </c>
    </row>
    <row r="52">
      <c r="A52" t="n">
        <v>10052</v>
      </c>
      <c r="B52" s="3">
        <f>INDEX(Lines!$B$2:$B$331,MATCH(A52,Lines!$A$2:$A$331,0))</f>
        <v/>
      </c>
      <c r="C52">
        <f>INDEX(Lines!$C$2:$C$331,MATCH(A52,Lines!$A$2:$A$331,0))</f>
        <v/>
      </c>
      <c r="D52">
        <f>SUMIFS(Lines!$I$2:$I$331,Lines!$A$2:$A$331,A52)</f>
        <v/>
      </c>
      <c r="E52">
        <f>COUNTIFS(Lines!$A$2:$A$331,A52)</f>
        <v/>
      </c>
      <c r="F52" s="3">
        <f>DATE(YEAR(B52),MONTH(B52),1)</f>
        <v/>
      </c>
      <c r="G52">
        <f>INT(D52/100)</f>
        <v/>
      </c>
      <c r="H52">
        <f>SUMIFS($D$2:D52,$C$2:C52,C52)-D52</f>
        <v/>
      </c>
      <c r="I52">
        <f>IF(H52&gt;=250000,1.5,IF(H52&gt;=100000,1.25,1))</f>
        <v/>
      </c>
      <c r="J52">
        <f>ROUNDDOWN(G52*I52,0)</f>
        <v/>
      </c>
      <c r="K52">
        <f>IF(COUNTIFS($C$2:$C$174,C52,$F$2:$F$174,EDATE(F52,-1))&gt;0,200,0)</f>
        <v/>
      </c>
      <c r="L52">
        <f>IF(E52&gt;=3,100,0)</f>
        <v/>
      </c>
      <c r="M52">
        <f>J52+K52+L52</f>
        <v/>
      </c>
      <c r="N52">
        <f>SUMIFS($M$2:M52,$C$2:C52,C52)</f>
        <v/>
      </c>
      <c r="O52">
        <f>IF(AND(B52&lt;DATE(2025,7,1),COUNTIFS($C$2:$C$174,C52,$B$2:$B$174,"&gt;="&amp;DATE(2025,10,1))=0),M52,0)</f>
        <v/>
      </c>
      <c r="P52">
        <f>IF(N52&gt;=5000,A52,"")</f>
        <v/>
      </c>
    </row>
    <row r="53">
      <c r="A53" t="n">
        <v>10053</v>
      </c>
      <c r="B53" s="3">
        <f>INDEX(Lines!$B$2:$B$331,MATCH(A53,Lines!$A$2:$A$331,0))</f>
        <v/>
      </c>
      <c r="C53">
        <f>INDEX(Lines!$C$2:$C$331,MATCH(A53,Lines!$A$2:$A$331,0))</f>
        <v/>
      </c>
      <c r="D53">
        <f>SUMIFS(Lines!$I$2:$I$331,Lines!$A$2:$A$331,A53)</f>
        <v/>
      </c>
      <c r="E53">
        <f>COUNTIFS(Lines!$A$2:$A$331,A53)</f>
        <v/>
      </c>
      <c r="F53" s="3">
        <f>DATE(YEAR(B53),MONTH(B53),1)</f>
        <v/>
      </c>
      <c r="G53">
        <f>INT(D53/100)</f>
        <v/>
      </c>
      <c r="H53">
        <f>SUMIFS($D$2:D53,$C$2:C53,C53)-D53</f>
        <v/>
      </c>
      <c r="I53">
        <f>IF(H53&gt;=250000,1.5,IF(H53&gt;=100000,1.25,1))</f>
        <v/>
      </c>
      <c r="J53">
        <f>ROUNDDOWN(G53*I53,0)</f>
        <v/>
      </c>
      <c r="K53">
        <f>IF(COUNTIFS($C$2:$C$174,C53,$F$2:$F$174,EDATE(F53,-1))&gt;0,200,0)</f>
        <v/>
      </c>
      <c r="L53">
        <f>IF(E53&gt;=3,100,0)</f>
        <v/>
      </c>
      <c r="M53">
        <f>J53+K53+L53</f>
        <v/>
      </c>
      <c r="N53">
        <f>SUMIFS($M$2:M53,$C$2:C53,C53)</f>
        <v/>
      </c>
      <c r="O53">
        <f>IF(AND(B53&lt;DATE(2025,7,1),COUNTIFS($C$2:$C$174,C53,$B$2:$B$174,"&gt;="&amp;DATE(2025,10,1))=0),M53,0)</f>
        <v/>
      </c>
      <c r="P53">
        <f>IF(N53&gt;=5000,A53,"")</f>
        <v/>
      </c>
    </row>
    <row r="54">
      <c r="A54" t="n">
        <v>10054</v>
      </c>
      <c r="B54" s="3">
        <f>INDEX(Lines!$B$2:$B$331,MATCH(A54,Lines!$A$2:$A$331,0))</f>
        <v/>
      </c>
      <c r="C54">
        <f>INDEX(Lines!$C$2:$C$331,MATCH(A54,Lines!$A$2:$A$331,0))</f>
        <v/>
      </c>
      <c r="D54">
        <f>SUMIFS(Lines!$I$2:$I$331,Lines!$A$2:$A$331,A54)</f>
        <v/>
      </c>
      <c r="E54">
        <f>COUNTIFS(Lines!$A$2:$A$331,A54)</f>
        <v/>
      </c>
      <c r="F54" s="3">
        <f>DATE(YEAR(B54),MONTH(B54),1)</f>
        <v/>
      </c>
      <c r="G54">
        <f>INT(D54/100)</f>
        <v/>
      </c>
      <c r="H54">
        <f>SUMIFS($D$2:D54,$C$2:C54,C54)-D54</f>
        <v/>
      </c>
      <c r="I54">
        <f>IF(H54&gt;=250000,1.5,IF(H54&gt;=100000,1.25,1))</f>
        <v/>
      </c>
      <c r="J54">
        <f>ROUNDDOWN(G54*I54,0)</f>
        <v/>
      </c>
      <c r="K54">
        <f>IF(COUNTIFS($C$2:$C$174,C54,$F$2:$F$174,EDATE(F54,-1))&gt;0,200,0)</f>
        <v/>
      </c>
      <c r="L54">
        <f>IF(E54&gt;=3,100,0)</f>
        <v/>
      </c>
      <c r="M54">
        <f>J54+K54+L54</f>
        <v/>
      </c>
      <c r="N54">
        <f>SUMIFS($M$2:M54,$C$2:C54,C54)</f>
        <v/>
      </c>
      <c r="O54">
        <f>IF(AND(B54&lt;DATE(2025,7,1),COUNTIFS($C$2:$C$174,C54,$B$2:$B$174,"&gt;="&amp;DATE(2025,10,1))=0),M54,0)</f>
        <v/>
      </c>
      <c r="P54">
        <f>IF(N54&gt;=5000,A54,"")</f>
        <v/>
      </c>
    </row>
    <row r="55">
      <c r="A55" t="n">
        <v>10055</v>
      </c>
      <c r="B55" s="3">
        <f>INDEX(Lines!$B$2:$B$331,MATCH(A55,Lines!$A$2:$A$331,0))</f>
        <v/>
      </c>
      <c r="C55">
        <f>INDEX(Lines!$C$2:$C$331,MATCH(A55,Lines!$A$2:$A$331,0))</f>
        <v/>
      </c>
      <c r="D55">
        <f>SUMIFS(Lines!$I$2:$I$331,Lines!$A$2:$A$331,A55)</f>
        <v/>
      </c>
      <c r="E55">
        <f>COUNTIFS(Lines!$A$2:$A$331,A55)</f>
        <v/>
      </c>
      <c r="F55" s="3">
        <f>DATE(YEAR(B55),MONTH(B55),1)</f>
        <v/>
      </c>
      <c r="G55">
        <f>INT(D55/100)</f>
        <v/>
      </c>
      <c r="H55">
        <f>SUMIFS($D$2:D55,$C$2:C55,C55)-D55</f>
        <v/>
      </c>
      <c r="I55">
        <f>IF(H55&gt;=250000,1.5,IF(H55&gt;=100000,1.25,1))</f>
        <v/>
      </c>
      <c r="J55">
        <f>ROUNDDOWN(G55*I55,0)</f>
        <v/>
      </c>
      <c r="K55">
        <f>IF(COUNTIFS($C$2:$C$174,C55,$F$2:$F$174,EDATE(F55,-1))&gt;0,200,0)</f>
        <v/>
      </c>
      <c r="L55">
        <f>IF(E55&gt;=3,100,0)</f>
        <v/>
      </c>
      <c r="M55">
        <f>J55+K55+L55</f>
        <v/>
      </c>
      <c r="N55">
        <f>SUMIFS($M$2:M55,$C$2:C55,C55)</f>
        <v/>
      </c>
      <c r="O55">
        <f>IF(AND(B55&lt;DATE(2025,7,1),COUNTIFS($C$2:$C$174,C55,$B$2:$B$174,"&gt;="&amp;DATE(2025,10,1))=0),M55,0)</f>
        <v/>
      </c>
      <c r="P55">
        <f>IF(N55&gt;=5000,A55,"")</f>
        <v/>
      </c>
    </row>
    <row r="56">
      <c r="A56" t="n">
        <v>10056</v>
      </c>
      <c r="B56" s="3">
        <f>INDEX(Lines!$B$2:$B$331,MATCH(A56,Lines!$A$2:$A$331,0))</f>
        <v/>
      </c>
      <c r="C56">
        <f>INDEX(Lines!$C$2:$C$331,MATCH(A56,Lines!$A$2:$A$331,0))</f>
        <v/>
      </c>
      <c r="D56">
        <f>SUMIFS(Lines!$I$2:$I$331,Lines!$A$2:$A$331,A56)</f>
        <v/>
      </c>
      <c r="E56">
        <f>COUNTIFS(Lines!$A$2:$A$331,A56)</f>
        <v/>
      </c>
      <c r="F56" s="3">
        <f>DATE(YEAR(B56),MONTH(B56),1)</f>
        <v/>
      </c>
      <c r="G56">
        <f>INT(D56/100)</f>
        <v/>
      </c>
      <c r="H56">
        <f>SUMIFS($D$2:D56,$C$2:C56,C56)-D56</f>
        <v/>
      </c>
      <c r="I56">
        <f>IF(H56&gt;=250000,1.5,IF(H56&gt;=100000,1.25,1))</f>
        <v/>
      </c>
      <c r="J56">
        <f>ROUNDDOWN(G56*I56,0)</f>
        <v/>
      </c>
      <c r="K56">
        <f>IF(COUNTIFS($C$2:$C$174,C56,$F$2:$F$174,EDATE(F56,-1))&gt;0,200,0)</f>
        <v/>
      </c>
      <c r="L56">
        <f>IF(E56&gt;=3,100,0)</f>
        <v/>
      </c>
      <c r="M56">
        <f>J56+K56+L56</f>
        <v/>
      </c>
      <c r="N56">
        <f>SUMIFS($M$2:M56,$C$2:C56,C56)</f>
        <v/>
      </c>
      <c r="O56">
        <f>IF(AND(B56&lt;DATE(2025,7,1),COUNTIFS($C$2:$C$174,C56,$B$2:$B$174,"&gt;="&amp;DATE(2025,10,1))=0),M56,0)</f>
        <v/>
      </c>
      <c r="P56">
        <f>IF(N56&gt;=5000,A56,"")</f>
        <v/>
      </c>
    </row>
    <row r="57">
      <c r="A57" t="n">
        <v>10057</v>
      </c>
      <c r="B57" s="3">
        <f>INDEX(Lines!$B$2:$B$331,MATCH(A57,Lines!$A$2:$A$331,0))</f>
        <v/>
      </c>
      <c r="C57">
        <f>INDEX(Lines!$C$2:$C$331,MATCH(A57,Lines!$A$2:$A$331,0))</f>
        <v/>
      </c>
      <c r="D57">
        <f>SUMIFS(Lines!$I$2:$I$331,Lines!$A$2:$A$331,A57)</f>
        <v/>
      </c>
      <c r="E57">
        <f>COUNTIFS(Lines!$A$2:$A$331,A57)</f>
        <v/>
      </c>
      <c r="F57" s="3">
        <f>DATE(YEAR(B57),MONTH(B57),1)</f>
        <v/>
      </c>
      <c r="G57">
        <f>INT(D57/100)</f>
        <v/>
      </c>
      <c r="H57">
        <f>SUMIFS($D$2:D57,$C$2:C57,C57)-D57</f>
        <v/>
      </c>
      <c r="I57">
        <f>IF(H57&gt;=250000,1.5,IF(H57&gt;=100000,1.25,1))</f>
        <v/>
      </c>
      <c r="J57">
        <f>ROUNDDOWN(G57*I57,0)</f>
        <v/>
      </c>
      <c r="K57">
        <f>IF(COUNTIFS($C$2:$C$174,C57,$F$2:$F$174,EDATE(F57,-1))&gt;0,200,0)</f>
        <v/>
      </c>
      <c r="L57">
        <f>IF(E57&gt;=3,100,0)</f>
        <v/>
      </c>
      <c r="M57">
        <f>J57+K57+L57</f>
        <v/>
      </c>
      <c r="N57">
        <f>SUMIFS($M$2:M57,$C$2:C57,C57)</f>
        <v/>
      </c>
      <c r="O57">
        <f>IF(AND(B57&lt;DATE(2025,7,1),COUNTIFS($C$2:$C$174,C57,$B$2:$B$174,"&gt;="&amp;DATE(2025,10,1))=0),M57,0)</f>
        <v/>
      </c>
      <c r="P57">
        <f>IF(N57&gt;=5000,A57,"")</f>
        <v/>
      </c>
    </row>
    <row r="58">
      <c r="A58" t="n">
        <v>10058</v>
      </c>
      <c r="B58" s="3">
        <f>INDEX(Lines!$B$2:$B$331,MATCH(A58,Lines!$A$2:$A$331,0))</f>
        <v/>
      </c>
      <c r="C58">
        <f>INDEX(Lines!$C$2:$C$331,MATCH(A58,Lines!$A$2:$A$331,0))</f>
        <v/>
      </c>
      <c r="D58">
        <f>SUMIFS(Lines!$I$2:$I$331,Lines!$A$2:$A$331,A58)</f>
        <v/>
      </c>
      <c r="E58">
        <f>COUNTIFS(Lines!$A$2:$A$331,A58)</f>
        <v/>
      </c>
      <c r="F58" s="3">
        <f>DATE(YEAR(B58),MONTH(B58),1)</f>
        <v/>
      </c>
      <c r="G58">
        <f>INT(D58/100)</f>
        <v/>
      </c>
      <c r="H58">
        <f>SUMIFS($D$2:D58,$C$2:C58,C58)-D58</f>
        <v/>
      </c>
      <c r="I58">
        <f>IF(H58&gt;=250000,1.5,IF(H58&gt;=100000,1.25,1))</f>
        <v/>
      </c>
      <c r="J58">
        <f>ROUNDDOWN(G58*I58,0)</f>
        <v/>
      </c>
      <c r="K58">
        <f>IF(COUNTIFS($C$2:$C$174,C58,$F$2:$F$174,EDATE(F58,-1))&gt;0,200,0)</f>
        <v/>
      </c>
      <c r="L58">
        <f>IF(E58&gt;=3,100,0)</f>
        <v/>
      </c>
      <c r="M58">
        <f>J58+K58+L58</f>
        <v/>
      </c>
      <c r="N58">
        <f>SUMIFS($M$2:M58,$C$2:C58,C58)</f>
        <v/>
      </c>
      <c r="O58">
        <f>IF(AND(B58&lt;DATE(2025,7,1),COUNTIFS($C$2:$C$174,C58,$B$2:$B$174,"&gt;="&amp;DATE(2025,10,1))=0),M58,0)</f>
        <v/>
      </c>
      <c r="P58">
        <f>IF(N58&gt;=5000,A58,"")</f>
        <v/>
      </c>
    </row>
    <row r="59">
      <c r="A59" t="n">
        <v>10059</v>
      </c>
      <c r="B59" s="3">
        <f>INDEX(Lines!$B$2:$B$331,MATCH(A59,Lines!$A$2:$A$331,0))</f>
        <v/>
      </c>
      <c r="C59">
        <f>INDEX(Lines!$C$2:$C$331,MATCH(A59,Lines!$A$2:$A$331,0))</f>
        <v/>
      </c>
      <c r="D59">
        <f>SUMIFS(Lines!$I$2:$I$331,Lines!$A$2:$A$331,A59)</f>
        <v/>
      </c>
      <c r="E59">
        <f>COUNTIFS(Lines!$A$2:$A$331,A59)</f>
        <v/>
      </c>
      <c r="F59" s="3">
        <f>DATE(YEAR(B59),MONTH(B59),1)</f>
        <v/>
      </c>
      <c r="G59">
        <f>INT(D59/100)</f>
        <v/>
      </c>
      <c r="H59">
        <f>SUMIFS($D$2:D59,$C$2:C59,C59)-D59</f>
        <v/>
      </c>
      <c r="I59">
        <f>IF(H59&gt;=250000,1.5,IF(H59&gt;=100000,1.25,1))</f>
        <v/>
      </c>
      <c r="J59">
        <f>ROUNDDOWN(G59*I59,0)</f>
        <v/>
      </c>
      <c r="K59">
        <f>IF(COUNTIFS($C$2:$C$174,C59,$F$2:$F$174,EDATE(F59,-1))&gt;0,200,0)</f>
        <v/>
      </c>
      <c r="L59">
        <f>IF(E59&gt;=3,100,0)</f>
        <v/>
      </c>
      <c r="M59">
        <f>J59+K59+L59</f>
        <v/>
      </c>
      <c r="N59">
        <f>SUMIFS($M$2:M59,$C$2:C59,C59)</f>
        <v/>
      </c>
      <c r="O59">
        <f>IF(AND(B59&lt;DATE(2025,7,1),COUNTIFS($C$2:$C$174,C59,$B$2:$B$174,"&gt;="&amp;DATE(2025,10,1))=0),M59,0)</f>
        <v/>
      </c>
      <c r="P59">
        <f>IF(N59&gt;=5000,A59,"")</f>
        <v/>
      </c>
    </row>
    <row r="60">
      <c r="A60" t="n">
        <v>10060</v>
      </c>
      <c r="B60" s="3">
        <f>INDEX(Lines!$B$2:$B$331,MATCH(A60,Lines!$A$2:$A$331,0))</f>
        <v/>
      </c>
      <c r="C60">
        <f>INDEX(Lines!$C$2:$C$331,MATCH(A60,Lines!$A$2:$A$331,0))</f>
        <v/>
      </c>
      <c r="D60">
        <f>SUMIFS(Lines!$I$2:$I$331,Lines!$A$2:$A$331,A60)</f>
        <v/>
      </c>
      <c r="E60">
        <f>COUNTIFS(Lines!$A$2:$A$331,A60)</f>
        <v/>
      </c>
      <c r="F60" s="3">
        <f>DATE(YEAR(B60),MONTH(B60),1)</f>
        <v/>
      </c>
      <c r="G60">
        <f>INT(D60/100)</f>
        <v/>
      </c>
      <c r="H60">
        <f>SUMIFS($D$2:D60,$C$2:C60,C60)-D60</f>
        <v/>
      </c>
      <c r="I60">
        <f>IF(H60&gt;=250000,1.5,IF(H60&gt;=100000,1.25,1))</f>
        <v/>
      </c>
      <c r="J60">
        <f>ROUNDDOWN(G60*I60,0)</f>
        <v/>
      </c>
      <c r="K60">
        <f>IF(COUNTIFS($C$2:$C$174,C60,$F$2:$F$174,EDATE(F60,-1))&gt;0,200,0)</f>
        <v/>
      </c>
      <c r="L60">
        <f>IF(E60&gt;=3,100,0)</f>
        <v/>
      </c>
      <c r="M60">
        <f>J60+K60+L60</f>
        <v/>
      </c>
      <c r="N60">
        <f>SUMIFS($M$2:M60,$C$2:C60,C60)</f>
        <v/>
      </c>
      <c r="O60">
        <f>IF(AND(B60&lt;DATE(2025,7,1),COUNTIFS($C$2:$C$174,C60,$B$2:$B$174,"&gt;="&amp;DATE(2025,10,1))=0),M60,0)</f>
        <v/>
      </c>
      <c r="P60">
        <f>IF(N60&gt;=5000,A60,"")</f>
        <v/>
      </c>
    </row>
    <row r="61">
      <c r="A61" t="n">
        <v>10061</v>
      </c>
      <c r="B61" s="3">
        <f>INDEX(Lines!$B$2:$B$331,MATCH(A61,Lines!$A$2:$A$331,0))</f>
        <v/>
      </c>
      <c r="C61">
        <f>INDEX(Lines!$C$2:$C$331,MATCH(A61,Lines!$A$2:$A$331,0))</f>
        <v/>
      </c>
      <c r="D61">
        <f>SUMIFS(Lines!$I$2:$I$331,Lines!$A$2:$A$331,A61)</f>
        <v/>
      </c>
      <c r="E61">
        <f>COUNTIFS(Lines!$A$2:$A$331,A61)</f>
        <v/>
      </c>
      <c r="F61" s="3">
        <f>DATE(YEAR(B61),MONTH(B61),1)</f>
        <v/>
      </c>
      <c r="G61">
        <f>INT(D61/100)</f>
        <v/>
      </c>
      <c r="H61">
        <f>SUMIFS($D$2:D61,$C$2:C61,C61)-D61</f>
        <v/>
      </c>
      <c r="I61">
        <f>IF(H61&gt;=250000,1.5,IF(H61&gt;=100000,1.25,1))</f>
        <v/>
      </c>
      <c r="J61">
        <f>ROUNDDOWN(G61*I61,0)</f>
        <v/>
      </c>
      <c r="K61">
        <f>IF(COUNTIFS($C$2:$C$174,C61,$F$2:$F$174,EDATE(F61,-1))&gt;0,200,0)</f>
        <v/>
      </c>
      <c r="L61">
        <f>IF(E61&gt;=3,100,0)</f>
        <v/>
      </c>
      <c r="M61">
        <f>J61+K61+L61</f>
        <v/>
      </c>
      <c r="N61">
        <f>SUMIFS($M$2:M61,$C$2:C61,C61)</f>
        <v/>
      </c>
      <c r="O61">
        <f>IF(AND(B61&lt;DATE(2025,7,1),COUNTIFS($C$2:$C$174,C61,$B$2:$B$174,"&gt;="&amp;DATE(2025,10,1))=0),M61,0)</f>
        <v/>
      </c>
      <c r="P61">
        <f>IF(N61&gt;=5000,A61,"")</f>
        <v/>
      </c>
    </row>
    <row r="62">
      <c r="A62" t="n">
        <v>10062</v>
      </c>
      <c r="B62" s="3">
        <f>INDEX(Lines!$B$2:$B$331,MATCH(A62,Lines!$A$2:$A$331,0))</f>
        <v/>
      </c>
      <c r="C62">
        <f>INDEX(Lines!$C$2:$C$331,MATCH(A62,Lines!$A$2:$A$331,0))</f>
        <v/>
      </c>
      <c r="D62">
        <f>SUMIFS(Lines!$I$2:$I$331,Lines!$A$2:$A$331,A62)</f>
        <v/>
      </c>
      <c r="E62">
        <f>COUNTIFS(Lines!$A$2:$A$331,A62)</f>
        <v/>
      </c>
      <c r="F62" s="3">
        <f>DATE(YEAR(B62),MONTH(B62),1)</f>
        <v/>
      </c>
      <c r="G62">
        <f>INT(D62/100)</f>
        <v/>
      </c>
      <c r="H62">
        <f>SUMIFS($D$2:D62,$C$2:C62,C62)-D62</f>
        <v/>
      </c>
      <c r="I62">
        <f>IF(H62&gt;=250000,1.5,IF(H62&gt;=100000,1.25,1))</f>
        <v/>
      </c>
      <c r="J62">
        <f>ROUNDDOWN(G62*I62,0)</f>
        <v/>
      </c>
      <c r="K62">
        <f>IF(COUNTIFS($C$2:$C$174,C62,$F$2:$F$174,EDATE(F62,-1))&gt;0,200,0)</f>
        <v/>
      </c>
      <c r="L62">
        <f>IF(E62&gt;=3,100,0)</f>
        <v/>
      </c>
      <c r="M62">
        <f>J62+K62+L62</f>
        <v/>
      </c>
      <c r="N62">
        <f>SUMIFS($M$2:M62,$C$2:C62,C62)</f>
        <v/>
      </c>
      <c r="O62">
        <f>IF(AND(B62&lt;DATE(2025,7,1),COUNTIFS($C$2:$C$174,C62,$B$2:$B$174,"&gt;="&amp;DATE(2025,10,1))=0),M62,0)</f>
        <v/>
      </c>
      <c r="P62">
        <f>IF(N62&gt;=5000,A62,"")</f>
        <v/>
      </c>
    </row>
    <row r="63">
      <c r="A63" t="n">
        <v>10063</v>
      </c>
      <c r="B63" s="3">
        <f>INDEX(Lines!$B$2:$B$331,MATCH(A63,Lines!$A$2:$A$331,0))</f>
        <v/>
      </c>
      <c r="C63">
        <f>INDEX(Lines!$C$2:$C$331,MATCH(A63,Lines!$A$2:$A$331,0))</f>
        <v/>
      </c>
      <c r="D63">
        <f>SUMIFS(Lines!$I$2:$I$331,Lines!$A$2:$A$331,A63)</f>
        <v/>
      </c>
      <c r="E63">
        <f>COUNTIFS(Lines!$A$2:$A$331,A63)</f>
        <v/>
      </c>
      <c r="F63" s="3">
        <f>DATE(YEAR(B63),MONTH(B63),1)</f>
        <v/>
      </c>
      <c r="G63">
        <f>INT(D63/100)</f>
        <v/>
      </c>
      <c r="H63">
        <f>SUMIFS($D$2:D63,$C$2:C63,C63)-D63</f>
        <v/>
      </c>
      <c r="I63">
        <f>IF(H63&gt;=250000,1.5,IF(H63&gt;=100000,1.25,1))</f>
        <v/>
      </c>
      <c r="J63">
        <f>ROUNDDOWN(G63*I63,0)</f>
        <v/>
      </c>
      <c r="K63">
        <f>IF(COUNTIFS($C$2:$C$174,C63,$F$2:$F$174,EDATE(F63,-1))&gt;0,200,0)</f>
        <v/>
      </c>
      <c r="L63">
        <f>IF(E63&gt;=3,100,0)</f>
        <v/>
      </c>
      <c r="M63">
        <f>J63+K63+L63</f>
        <v/>
      </c>
      <c r="N63">
        <f>SUMIFS($M$2:M63,$C$2:C63,C63)</f>
        <v/>
      </c>
      <c r="O63">
        <f>IF(AND(B63&lt;DATE(2025,7,1),COUNTIFS($C$2:$C$174,C63,$B$2:$B$174,"&gt;="&amp;DATE(2025,10,1))=0),M63,0)</f>
        <v/>
      </c>
      <c r="P63">
        <f>IF(N63&gt;=5000,A63,"")</f>
        <v/>
      </c>
    </row>
    <row r="64">
      <c r="A64" t="n">
        <v>10064</v>
      </c>
      <c r="B64" s="3">
        <f>INDEX(Lines!$B$2:$B$331,MATCH(A64,Lines!$A$2:$A$331,0))</f>
        <v/>
      </c>
      <c r="C64">
        <f>INDEX(Lines!$C$2:$C$331,MATCH(A64,Lines!$A$2:$A$331,0))</f>
        <v/>
      </c>
      <c r="D64">
        <f>SUMIFS(Lines!$I$2:$I$331,Lines!$A$2:$A$331,A64)</f>
        <v/>
      </c>
      <c r="E64">
        <f>COUNTIFS(Lines!$A$2:$A$331,A64)</f>
        <v/>
      </c>
      <c r="F64" s="3">
        <f>DATE(YEAR(B64),MONTH(B64),1)</f>
        <v/>
      </c>
      <c r="G64">
        <f>INT(D64/100)</f>
        <v/>
      </c>
      <c r="H64">
        <f>SUMIFS($D$2:D64,$C$2:C64,C64)-D64</f>
        <v/>
      </c>
      <c r="I64">
        <f>IF(H64&gt;=250000,1.5,IF(H64&gt;=100000,1.25,1))</f>
        <v/>
      </c>
      <c r="J64">
        <f>ROUNDDOWN(G64*I64,0)</f>
        <v/>
      </c>
      <c r="K64">
        <f>IF(COUNTIFS($C$2:$C$174,C64,$F$2:$F$174,EDATE(F64,-1))&gt;0,200,0)</f>
        <v/>
      </c>
      <c r="L64">
        <f>IF(E64&gt;=3,100,0)</f>
        <v/>
      </c>
      <c r="M64">
        <f>J64+K64+L64</f>
        <v/>
      </c>
      <c r="N64">
        <f>SUMIFS($M$2:M64,$C$2:C64,C64)</f>
        <v/>
      </c>
      <c r="O64">
        <f>IF(AND(B64&lt;DATE(2025,7,1),COUNTIFS($C$2:$C$174,C64,$B$2:$B$174,"&gt;="&amp;DATE(2025,10,1))=0),M64,0)</f>
        <v/>
      </c>
      <c r="P64">
        <f>IF(N64&gt;=5000,A64,"")</f>
        <v/>
      </c>
    </row>
    <row r="65">
      <c r="A65" t="n">
        <v>10065</v>
      </c>
      <c r="B65" s="3">
        <f>INDEX(Lines!$B$2:$B$331,MATCH(A65,Lines!$A$2:$A$331,0))</f>
        <v/>
      </c>
      <c r="C65">
        <f>INDEX(Lines!$C$2:$C$331,MATCH(A65,Lines!$A$2:$A$331,0))</f>
        <v/>
      </c>
      <c r="D65">
        <f>SUMIFS(Lines!$I$2:$I$331,Lines!$A$2:$A$331,A65)</f>
        <v/>
      </c>
      <c r="E65">
        <f>COUNTIFS(Lines!$A$2:$A$331,A65)</f>
        <v/>
      </c>
      <c r="F65" s="3">
        <f>DATE(YEAR(B65),MONTH(B65),1)</f>
        <v/>
      </c>
      <c r="G65">
        <f>INT(D65/100)</f>
        <v/>
      </c>
      <c r="H65">
        <f>SUMIFS($D$2:D65,$C$2:C65,C65)-D65</f>
        <v/>
      </c>
      <c r="I65">
        <f>IF(H65&gt;=250000,1.5,IF(H65&gt;=100000,1.25,1))</f>
        <v/>
      </c>
      <c r="J65">
        <f>ROUNDDOWN(G65*I65,0)</f>
        <v/>
      </c>
      <c r="K65">
        <f>IF(COUNTIFS($C$2:$C$174,C65,$F$2:$F$174,EDATE(F65,-1))&gt;0,200,0)</f>
        <v/>
      </c>
      <c r="L65">
        <f>IF(E65&gt;=3,100,0)</f>
        <v/>
      </c>
      <c r="M65">
        <f>J65+K65+L65</f>
        <v/>
      </c>
      <c r="N65">
        <f>SUMIFS($M$2:M65,$C$2:C65,C65)</f>
        <v/>
      </c>
      <c r="O65">
        <f>IF(AND(B65&lt;DATE(2025,7,1),COUNTIFS($C$2:$C$174,C65,$B$2:$B$174,"&gt;="&amp;DATE(2025,10,1))=0),M65,0)</f>
        <v/>
      </c>
      <c r="P65">
        <f>IF(N65&gt;=5000,A65,"")</f>
        <v/>
      </c>
    </row>
    <row r="66">
      <c r="A66" t="n">
        <v>10066</v>
      </c>
      <c r="B66" s="3">
        <f>INDEX(Lines!$B$2:$B$331,MATCH(A66,Lines!$A$2:$A$331,0))</f>
        <v/>
      </c>
      <c r="C66">
        <f>INDEX(Lines!$C$2:$C$331,MATCH(A66,Lines!$A$2:$A$331,0))</f>
        <v/>
      </c>
      <c r="D66">
        <f>SUMIFS(Lines!$I$2:$I$331,Lines!$A$2:$A$331,A66)</f>
        <v/>
      </c>
      <c r="E66">
        <f>COUNTIFS(Lines!$A$2:$A$331,A66)</f>
        <v/>
      </c>
      <c r="F66" s="3">
        <f>DATE(YEAR(B66),MONTH(B66),1)</f>
        <v/>
      </c>
      <c r="G66">
        <f>INT(D66/100)</f>
        <v/>
      </c>
      <c r="H66">
        <f>SUMIFS($D$2:D66,$C$2:C66,C66)-D66</f>
        <v/>
      </c>
      <c r="I66">
        <f>IF(H66&gt;=250000,1.5,IF(H66&gt;=100000,1.25,1))</f>
        <v/>
      </c>
      <c r="J66">
        <f>ROUNDDOWN(G66*I66,0)</f>
        <v/>
      </c>
      <c r="K66">
        <f>IF(COUNTIFS($C$2:$C$174,C66,$F$2:$F$174,EDATE(F66,-1))&gt;0,200,0)</f>
        <v/>
      </c>
      <c r="L66">
        <f>IF(E66&gt;=3,100,0)</f>
        <v/>
      </c>
      <c r="M66">
        <f>J66+K66+L66</f>
        <v/>
      </c>
      <c r="N66">
        <f>SUMIFS($M$2:M66,$C$2:C66,C66)</f>
        <v/>
      </c>
      <c r="O66">
        <f>IF(AND(B66&lt;DATE(2025,7,1),COUNTIFS($C$2:$C$174,C66,$B$2:$B$174,"&gt;="&amp;DATE(2025,10,1))=0),M66,0)</f>
        <v/>
      </c>
      <c r="P66">
        <f>IF(N66&gt;=5000,A66,"")</f>
        <v/>
      </c>
    </row>
    <row r="67">
      <c r="A67" t="n">
        <v>10067</v>
      </c>
      <c r="B67" s="3">
        <f>INDEX(Lines!$B$2:$B$331,MATCH(A67,Lines!$A$2:$A$331,0))</f>
        <v/>
      </c>
      <c r="C67">
        <f>INDEX(Lines!$C$2:$C$331,MATCH(A67,Lines!$A$2:$A$331,0))</f>
        <v/>
      </c>
      <c r="D67">
        <f>SUMIFS(Lines!$I$2:$I$331,Lines!$A$2:$A$331,A67)</f>
        <v/>
      </c>
      <c r="E67">
        <f>COUNTIFS(Lines!$A$2:$A$331,A67)</f>
        <v/>
      </c>
      <c r="F67" s="3">
        <f>DATE(YEAR(B67),MONTH(B67),1)</f>
        <v/>
      </c>
      <c r="G67">
        <f>INT(D67/100)</f>
        <v/>
      </c>
      <c r="H67">
        <f>SUMIFS($D$2:D67,$C$2:C67,C67)-D67</f>
        <v/>
      </c>
      <c r="I67">
        <f>IF(H67&gt;=250000,1.5,IF(H67&gt;=100000,1.25,1))</f>
        <v/>
      </c>
      <c r="J67">
        <f>ROUNDDOWN(G67*I67,0)</f>
        <v/>
      </c>
      <c r="K67">
        <f>IF(COUNTIFS($C$2:$C$174,C67,$F$2:$F$174,EDATE(F67,-1))&gt;0,200,0)</f>
        <v/>
      </c>
      <c r="L67">
        <f>IF(E67&gt;=3,100,0)</f>
        <v/>
      </c>
      <c r="M67">
        <f>J67+K67+L67</f>
        <v/>
      </c>
      <c r="N67">
        <f>SUMIFS($M$2:M67,$C$2:C67,C67)</f>
        <v/>
      </c>
      <c r="O67">
        <f>IF(AND(B67&lt;DATE(2025,7,1),COUNTIFS($C$2:$C$174,C67,$B$2:$B$174,"&gt;="&amp;DATE(2025,10,1))=0),M67,0)</f>
        <v/>
      </c>
      <c r="P67">
        <f>IF(N67&gt;=5000,A67,"")</f>
        <v/>
      </c>
    </row>
    <row r="68">
      <c r="A68" t="n">
        <v>10068</v>
      </c>
      <c r="B68" s="3">
        <f>INDEX(Lines!$B$2:$B$331,MATCH(A68,Lines!$A$2:$A$331,0))</f>
        <v/>
      </c>
      <c r="C68">
        <f>INDEX(Lines!$C$2:$C$331,MATCH(A68,Lines!$A$2:$A$331,0))</f>
        <v/>
      </c>
      <c r="D68">
        <f>SUMIFS(Lines!$I$2:$I$331,Lines!$A$2:$A$331,A68)</f>
        <v/>
      </c>
      <c r="E68">
        <f>COUNTIFS(Lines!$A$2:$A$331,A68)</f>
        <v/>
      </c>
      <c r="F68" s="3">
        <f>DATE(YEAR(B68),MONTH(B68),1)</f>
        <v/>
      </c>
      <c r="G68">
        <f>INT(D68/100)</f>
        <v/>
      </c>
      <c r="H68">
        <f>SUMIFS($D$2:D68,$C$2:C68,C68)-D68</f>
        <v/>
      </c>
      <c r="I68">
        <f>IF(H68&gt;=250000,1.5,IF(H68&gt;=100000,1.25,1))</f>
        <v/>
      </c>
      <c r="J68">
        <f>ROUNDDOWN(G68*I68,0)</f>
        <v/>
      </c>
      <c r="K68">
        <f>IF(COUNTIFS($C$2:$C$174,C68,$F$2:$F$174,EDATE(F68,-1))&gt;0,200,0)</f>
        <v/>
      </c>
      <c r="L68">
        <f>IF(E68&gt;=3,100,0)</f>
        <v/>
      </c>
      <c r="M68">
        <f>J68+K68+L68</f>
        <v/>
      </c>
      <c r="N68">
        <f>SUMIFS($M$2:M68,$C$2:C68,C68)</f>
        <v/>
      </c>
      <c r="O68">
        <f>IF(AND(B68&lt;DATE(2025,7,1),COUNTIFS($C$2:$C$174,C68,$B$2:$B$174,"&gt;="&amp;DATE(2025,10,1))=0),M68,0)</f>
        <v/>
      </c>
      <c r="P68">
        <f>IF(N68&gt;=5000,A68,"")</f>
        <v/>
      </c>
    </row>
    <row r="69">
      <c r="A69" t="n">
        <v>10069</v>
      </c>
      <c r="B69" s="3">
        <f>INDEX(Lines!$B$2:$B$331,MATCH(A69,Lines!$A$2:$A$331,0))</f>
        <v/>
      </c>
      <c r="C69">
        <f>INDEX(Lines!$C$2:$C$331,MATCH(A69,Lines!$A$2:$A$331,0))</f>
        <v/>
      </c>
      <c r="D69">
        <f>SUMIFS(Lines!$I$2:$I$331,Lines!$A$2:$A$331,A69)</f>
        <v/>
      </c>
      <c r="E69">
        <f>COUNTIFS(Lines!$A$2:$A$331,A69)</f>
        <v/>
      </c>
      <c r="F69" s="3">
        <f>DATE(YEAR(B69),MONTH(B69),1)</f>
        <v/>
      </c>
      <c r="G69">
        <f>INT(D69/100)</f>
        <v/>
      </c>
      <c r="H69">
        <f>SUMIFS($D$2:D69,$C$2:C69,C69)-D69</f>
        <v/>
      </c>
      <c r="I69">
        <f>IF(H69&gt;=250000,1.5,IF(H69&gt;=100000,1.25,1))</f>
        <v/>
      </c>
      <c r="J69">
        <f>ROUNDDOWN(G69*I69,0)</f>
        <v/>
      </c>
      <c r="K69">
        <f>IF(COUNTIFS($C$2:$C$174,C69,$F$2:$F$174,EDATE(F69,-1))&gt;0,200,0)</f>
        <v/>
      </c>
      <c r="L69">
        <f>IF(E69&gt;=3,100,0)</f>
        <v/>
      </c>
      <c r="M69">
        <f>J69+K69+L69</f>
        <v/>
      </c>
      <c r="N69">
        <f>SUMIFS($M$2:M69,$C$2:C69,C69)</f>
        <v/>
      </c>
      <c r="O69">
        <f>IF(AND(B69&lt;DATE(2025,7,1),COUNTIFS($C$2:$C$174,C69,$B$2:$B$174,"&gt;="&amp;DATE(2025,10,1))=0),M69,0)</f>
        <v/>
      </c>
      <c r="P69">
        <f>IF(N69&gt;=5000,A69,"")</f>
        <v/>
      </c>
    </row>
    <row r="70">
      <c r="A70" t="n">
        <v>10070</v>
      </c>
      <c r="B70" s="3">
        <f>INDEX(Lines!$B$2:$B$331,MATCH(A70,Lines!$A$2:$A$331,0))</f>
        <v/>
      </c>
      <c r="C70">
        <f>INDEX(Lines!$C$2:$C$331,MATCH(A70,Lines!$A$2:$A$331,0))</f>
        <v/>
      </c>
      <c r="D70">
        <f>SUMIFS(Lines!$I$2:$I$331,Lines!$A$2:$A$331,A70)</f>
        <v/>
      </c>
      <c r="E70">
        <f>COUNTIFS(Lines!$A$2:$A$331,A70)</f>
        <v/>
      </c>
      <c r="F70" s="3">
        <f>DATE(YEAR(B70),MONTH(B70),1)</f>
        <v/>
      </c>
      <c r="G70">
        <f>INT(D70/100)</f>
        <v/>
      </c>
      <c r="H70">
        <f>SUMIFS($D$2:D70,$C$2:C70,C70)-D70</f>
        <v/>
      </c>
      <c r="I70">
        <f>IF(H70&gt;=250000,1.5,IF(H70&gt;=100000,1.25,1))</f>
        <v/>
      </c>
      <c r="J70">
        <f>ROUNDDOWN(G70*I70,0)</f>
        <v/>
      </c>
      <c r="K70">
        <f>IF(COUNTIFS($C$2:$C$174,C70,$F$2:$F$174,EDATE(F70,-1))&gt;0,200,0)</f>
        <v/>
      </c>
      <c r="L70">
        <f>IF(E70&gt;=3,100,0)</f>
        <v/>
      </c>
      <c r="M70">
        <f>J70+K70+L70</f>
        <v/>
      </c>
      <c r="N70">
        <f>SUMIFS($M$2:M70,$C$2:C70,C70)</f>
        <v/>
      </c>
      <c r="O70">
        <f>IF(AND(B70&lt;DATE(2025,7,1),COUNTIFS($C$2:$C$174,C70,$B$2:$B$174,"&gt;="&amp;DATE(2025,10,1))=0),M70,0)</f>
        <v/>
      </c>
      <c r="P70">
        <f>IF(N70&gt;=5000,A70,"")</f>
        <v/>
      </c>
    </row>
    <row r="71">
      <c r="A71" t="n">
        <v>10071</v>
      </c>
      <c r="B71" s="3">
        <f>INDEX(Lines!$B$2:$B$331,MATCH(A71,Lines!$A$2:$A$331,0))</f>
        <v/>
      </c>
      <c r="C71">
        <f>INDEX(Lines!$C$2:$C$331,MATCH(A71,Lines!$A$2:$A$331,0))</f>
        <v/>
      </c>
      <c r="D71">
        <f>SUMIFS(Lines!$I$2:$I$331,Lines!$A$2:$A$331,A71)</f>
        <v/>
      </c>
      <c r="E71">
        <f>COUNTIFS(Lines!$A$2:$A$331,A71)</f>
        <v/>
      </c>
      <c r="F71" s="3">
        <f>DATE(YEAR(B71),MONTH(B71),1)</f>
        <v/>
      </c>
      <c r="G71">
        <f>INT(D71/100)</f>
        <v/>
      </c>
      <c r="H71">
        <f>SUMIFS($D$2:D71,$C$2:C71,C71)-D71</f>
        <v/>
      </c>
      <c r="I71">
        <f>IF(H71&gt;=250000,1.5,IF(H71&gt;=100000,1.25,1))</f>
        <v/>
      </c>
      <c r="J71">
        <f>ROUNDDOWN(G71*I71,0)</f>
        <v/>
      </c>
      <c r="K71">
        <f>IF(COUNTIFS($C$2:$C$174,C71,$F$2:$F$174,EDATE(F71,-1))&gt;0,200,0)</f>
        <v/>
      </c>
      <c r="L71">
        <f>IF(E71&gt;=3,100,0)</f>
        <v/>
      </c>
      <c r="M71">
        <f>J71+K71+L71</f>
        <v/>
      </c>
      <c r="N71">
        <f>SUMIFS($M$2:M71,$C$2:C71,C71)</f>
        <v/>
      </c>
      <c r="O71">
        <f>IF(AND(B71&lt;DATE(2025,7,1),COUNTIFS($C$2:$C$174,C71,$B$2:$B$174,"&gt;="&amp;DATE(2025,10,1))=0),M71,0)</f>
        <v/>
      </c>
      <c r="P71">
        <f>IF(N71&gt;=5000,A71,"")</f>
        <v/>
      </c>
    </row>
    <row r="72">
      <c r="A72" t="n">
        <v>10072</v>
      </c>
      <c r="B72" s="3">
        <f>INDEX(Lines!$B$2:$B$331,MATCH(A72,Lines!$A$2:$A$331,0))</f>
        <v/>
      </c>
      <c r="C72">
        <f>INDEX(Lines!$C$2:$C$331,MATCH(A72,Lines!$A$2:$A$331,0))</f>
        <v/>
      </c>
      <c r="D72">
        <f>SUMIFS(Lines!$I$2:$I$331,Lines!$A$2:$A$331,A72)</f>
        <v/>
      </c>
      <c r="E72">
        <f>COUNTIFS(Lines!$A$2:$A$331,A72)</f>
        <v/>
      </c>
      <c r="F72" s="3">
        <f>DATE(YEAR(B72),MONTH(B72),1)</f>
        <v/>
      </c>
      <c r="G72">
        <f>INT(D72/100)</f>
        <v/>
      </c>
      <c r="H72">
        <f>SUMIFS($D$2:D72,$C$2:C72,C72)-D72</f>
        <v/>
      </c>
      <c r="I72">
        <f>IF(H72&gt;=250000,1.5,IF(H72&gt;=100000,1.25,1))</f>
        <v/>
      </c>
      <c r="J72">
        <f>ROUNDDOWN(G72*I72,0)</f>
        <v/>
      </c>
      <c r="K72">
        <f>IF(COUNTIFS($C$2:$C$174,C72,$F$2:$F$174,EDATE(F72,-1))&gt;0,200,0)</f>
        <v/>
      </c>
      <c r="L72">
        <f>IF(E72&gt;=3,100,0)</f>
        <v/>
      </c>
      <c r="M72">
        <f>J72+K72+L72</f>
        <v/>
      </c>
      <c r="N72">
        <f>SUMIFS($M$2:M72,$C$2:C72,C72)</f>
        <v/>
      </c>
      <c r="O72">
        <f>IF(AND(B72&lt;DATE(2025,7,1),COUNTIFS($C$2:$C$174,C72,$B$2:$B$174,"&gt;="&amp;DATE(2025,10,1))=0),M72,0)</f>
        <v/>
      </c>
      <c r="P72">
        <f>IF(N72&gt;=5000,A72,"")</f>
        <v/>
      </c>
    </row>
    <row r="73">
      <c r="A73" t="n">
        <v>10073</v>
      </c>
      <c r="B73" s="3">
        <f>INDEX(Lines!$B$2:$B$331,MATCH(A73,Lines!$A$2:$A$331,0))</f>
        <v/>
      </c>
      <c r="C73">
        <f>INDEX(Lines!$C$2:$C$331,MATCH(A73,Lines!$A$2:$A$331,0))</f>
        <v/>
      </c>
      <c r="D73">
        <f>SUMIFS(Lines!$I$2:$I$331,Lines!$A$2:$A$331,A73)</f>
        <v/>
      </c>
      <c r="E73">
        <f>COUNTIFS(Lines!$A$2:$A$331,A73)</f>
        <v/>
      </c>
      <c r="F73" s="3">
        <f>DATE(YEAR(B73),MONTH(B73),1)</f>
        <v/>
      </c>
      <c r="G73">
        <f>INT(D73/100)</f>
        <v/>
      </c>
      <c r="H73">
        <f>SUMIFS($D$2:D73,$C$2:C73,C73)-D73</f>
        <v/>
      </c>
      <c r="I73">
        <f>IF(H73&gt;=250000,1.5,IF(H73&gt;=100000,1.25,1))</f>
        <v/>
      </c>
      <c r="J73">
        <f>ROUNDDOWN(G73*I73,0)</f>
        <v/>
      </c>
      <c r="K73">
        <f>IF(COUNTIFS($C$2:$C$174,C73,$F$2:$F$174,EDATE(F73,-1))&gt;0,200,0)</f>
        <v/>
      </c>
      <c r="L73">
        <f>IF(E73&gt;=3,100,0)</f>
        <v/>
      </c>
      <c r="M73">
        <f>J73+K73+L73</f>
        <v/>
      </c>
      <c r="N73">
        <f>SUMIFS($M$2:M73,$C$2:C73,C73)</f>
        <v/>
      </c>
      <c r="O73">
        <f>IF(AND(B73&lt;DATE(2025,7,1),COUNTIFS($C$2:$C$174,C73,$B$2:$B$174,"&gt;="&amp;DATE(2025,10,1))=0),M73,0)</f>
        <v/>
      </c>
      <c r="P73">
        <f>IF(N73&gt;=5000,A73,"")</f>
        <v/>
      </c>
    </row>
    <row r="74">
      <c r="A74" t="n">
        <v>10074</v>
      </c>
      <c r="B74" s="3">
        <f>INDEX(Lines!$B$2:$B$331,MATCH(A74,Lines!$A$2:$A$331,0))</f>
        <v/>
      </c>
      <c r="C74">
        <f>INDEX(Lines!$C$2:$C$331,MATCH(A74,Lines!$A$2:$A$331,0))</f>
        <v/>
      </c>
      <c r="D74">
        <f>SUMIFS(Lines!$I$2:$I$331,Lines!$A$2:$A$331,A74)</f>
        <v/>
      </c>
      <c r="E74">
        <f>COUNTIFS(Lines!$A$2:$A$331,A74)</f>
        <v/>
      </c>
      <c r="F74" s="3">
        <f>DATE(YEAR(B74),MONTH(B74),1)</f>
        <v/>
      </c>
      <c r="G74">
        <f>INT(D74/100)</f>
        <v/>
      </c>
      <c r="H74">
        <f>SUMIFS($D$2:D74,$C$2:C74,C74)-D74</f>
        <v/>
      </c>
      <c r="I74">
        <f>IF(H74&gt;=250000,1.5,IF(H74&gt;=100000,1.25,1))</f>
        <v/>
      </c>
      <c r="J74">
        <f>ROUNDDOWN(G74*I74,0)</f>
        <v/>
      </c>
      <c r="K74">
        <f>IF(COUNTIFS($C$2:$C$174,C74,$F$2:$F$174,EDATE(F74,-1))&gt;0,200,0)</f>
        <v/>
      </c>
      <c r="L74">
        <f>IF(E74&gt;=3,100,0)</f>
        <v/>
      </c>
      <c r="M74">
        <f>J74+K74+L74</f>
        <v/>
      </c>
      <c r="N74">
        <f>SUMIFS($M$2:M74,$C$2:C74,C74)</f>
        <v/>
      </c>
      <c r="O74">
        <f>IF(AND(B74&lt;DATE(2025,7,1),COUNTIFS($C$2:$C$174,C74,$B$2:$B$174,"&gt;="&amp;DATE(2025,10,1))=0),M74,0)</f>
        <v/>
      </c>
      <c r="P74">
        <f>IF(N74&gt;=5000,A74,"")</f>
        <v/>
      </c>
    </row>
    <row r="75">
      <c r="A75" t="n">
        <v>10075</v>
      </c>
      <c r="B75" s="3">
        <f>INDEX(Lines!$B$2:$B$331,MATCH(A75,Lines!$A$2:$A$331,0))</f>
        <v/>
      </c>
      <c r="C75">
        <f>INDEX(Lines!$C$2:$C$331,MATCH(A75,Lines!$A$2:$A$331,0))</f>
        <v/>
      </c>
      <c r="D75">
        <f>SUMIFS(Lines!$I$2:$I$331,Lines!$A$2:$A$331,A75)</f>
        <v/>
      </c>
      <c r="E75">
        <f>COUNTIFS(Lines!$A$2:$A$331,A75)</f>
        <v/>
      </c>
      <c r="F75" s="3">
        <f>DATE(YEAR(B75),MONTH(B75),1)</f>
        <v/>
      </c>
      <c r="G75">
        <f>INT(D75/100)</f>
        <v/>
      </c>
      <c r="H75">
        <f>SUMIFS($D$2:D75,$C$2:C75,C75)-D75</f>
        <v/>
      </c>
      <c r="I75">
        <f>IF(H75&gt;=250000,1.5,IF(H75&gt;=100000,1.25,1))</f>
        <v/>
      </c>
      <c r="J75">
        <f>ROUNDDOWN(G75*I75,0)</f>
        <v/>
      </c>
      <c r="K75">
        <f>IF(COUNTIFS($C$2:$C$174,C75,$F$2:$F$174,EDATE(F75,-1))&gt;0,200,0)</f>
        <v/>
      </c>
      <c r="L75">
        <f>IF(E75&gt;=3,100,0)</f>
        <v/>
      </c>
      <c r="M75">
        <f>J75+K75+L75</f>
        <v/>
      </c>
      <c r="N75">
        <f>SUMIFS($M$2:M75,$C$2:C75,C75)</f>
        <v/>
      </c>
      <c r="O75">
        <f>IF(AND(B75&lt;DATE(2025,7,1),COUNTIFS($C$2:$C$174,C75,$B$2:$B$174,"&gt;="&amp;DATE(2025,10,1))=0),M75,0)</f>
        <v/>
      </c>
      <c r="P75">
        <f>IF(N75&gt;=5000,A75,"")</f>
        <v/>
      </c>
    </row>
    <row r="76">
      <c r="A76" t="n">
        <v>10076</v>
      </c>
      <c r="B76" s="3">
        <f>INDEX(Lines!$B$2:$B$331,MATCH(A76,Lines!$A$2:$A$331,0))</f>
        <v/>
      </c>
      <c r="C76">
        <f>INDEX(Lines!$C$2:$C$331,MATCH(A76,Lines!$A$2:$A$331,0))</f>
        <v/>
      </c>
      <c r="D76">
        <f>SUMIFS(Lines!$I$2:$I$331,Lines!$A$2:$A$331,A76)</f>
        <v/>
      </c>
      <c r="E76">
        <f>COUNTIFS(Lines!$A$2:$A$331,A76)</f>
        <v/>
      </c>
      <c r="F76" s="3">
        <f>DATE(YEAR(B76),MONTH(B76),1)</f>
        <v/>
      </c>
      <c r="G76">
        <f>INT(D76/100)</f>
        <v/>
      </c>
      <c r="H76">
        <f>SUMIFS($D$2:D76,$C$2:C76,C76)-D76</f>
        <v/>
      </c>
      <c r="I76">
        <f>IF(H76&gt;=250000,1.5,IF(H76&gt;=100000,1.25,1))</f>
        <v/>
      </c>
      <c r="J76">
        <f>ROUNDDOWN(G76*I76,0)</f>
        <v/>
      </c>
      <c r="K76">
        <f>IF(COUNTIFS($C$2:$C$174,C76,$F$2:$F$174,EDATE(F76,-1))&gt;0,200,0)</f>
        <v/>
      </c>
      <c r="L76">
        <f>IF(E76&gt;=3,100,0)</f>
        <v/>
      </c>
      <c r="M76">
        <f>J76+K76+L76</f>
        <v/>
      </c>
      <c r="N76">
        <f>SUMIFS($M$2:M76,$C$2:C76,C76)</f>
        <v/>
      </c>
      <c r="O76">
        <f>IF(AND(B76&lt;DATE(2025,7,1),COUNTIFS($C$2:$C$174,C76,$B$2:$B$174,"&gt;="&amp;DATE(2025,10,1))=0),M76,0)</f>
        <v/>
      </c>
      <c r="P76">
        <f>IF(N76&gt;=5000,A76,"")</f>
        <v/>
      </c>
    </row>
    <row r="77">
      <c r="A77" t="n">
        <v>10077</v>
      </c>
      <c r="B77" s="3">
        <f>INDEX(Lines!$B$2:$B$331,MATCH(A77,Lines!$A$2:$A$331,0))</f>
        <v/>
      </c>
      <c r="C77">
        <f>INDEX(Lines!$C$2:$C$331,MATCH(A77,Lines!$A$2:$A$331,0))</f>
        <v/>
      </c>
      <c r="D77">
        <f>SUMIFS(Lines!$I$2:$I$331,Lines!$A$2:$A$331,A77)</f>
        <v/>
      </c>
      <c r="E77">
        <f>COUNTIFS(Lines!$A$2:$A$331,A77)</f>
        <v/>
      </c>
      <c r="F77" s="3">
        <f>DATE(YEAR(B77),MONTH(B77),1)</f>
        <v/>
      </c>
      <c r="G77">
        <f>INT(D77/100)</f>
        <v/>
      </c>
      <c r="H77">
        <f>SUMIFS($D$2:D77,$C$2:C77,C77)-D77</f>
        <v/>
      </c>
      <c r="I77">
        <f>IF(H77&gt;=250000,1.5,IF(H77&gt;=100000,1.25,1))</f>
        <v/>
      </c>
      <c r="J77">
        <f>ROUNDDOWN(G77*I77,0)</f>
        <v/>
      </c>
      <c r="K77">
        <f>IF(COUNTIFS($C$2:$C$174,C77,$F$2:$F$174,EDATE(F77,-1))&gt;0,200,0)</f>
        <v/>
      </c>
      <c r="L77">
        <f>IF(E77&gt;=3,100,0)</f>
        <v/>
      </c>
      <c r="M77">
        <f>J77+K77+L77</f>
        <v/>
      </c>
      <c r="N77">
        <f>SUMIFS($M$2:M77,$C$2:C77,C77)</f>
        <v/>
      </c>
      <c r="O77">
        <f>IF(AND(B77&lt;DATE(2025,7,1),COUNTIFS($C$2:$C$174,C77,$B$2:$B$174,"&gt;="&amp;DATE(2025,10,1))=0),M77,0)</f>
        <v/>
      </c>
      <c r="P77">
        <f>IF(N77&gt;=5000,A77,"")</f>
        <v/>
      </c>
    </row>
    <row r="78">
      <c r="A78" t="n">
        <v>10078</v>
      </c>
      <c r="B78" s="3">
        <f>INDEX(Lines!$B$2:$B$331,MATCH(A78,Lines!$A$2:$A$331,0))</f>
        <v/>
      </c>
      <c r="C78">
        <f>INDEX(Lines!$C$2:$C$331,MATCH(A78,Lines!$A$2:$A$331,0))</f>
        <v/>
      </c>
      <c r="D78">
        <f>SUMIFS(Lines!$I$2:$I$331,Lines!$A$2:$A$331,A78)</f>
        <v/>
      </c>
      <c r="E78">
        <f>COUNTIFS(Lines!$A$2:$A$331,A78)</f>
        <v/>
      </c>
      <c r="F78" s="3">
        <f>DATE(YEAR(B78),MONTH(B78),1)</f>
        <v/>
      </c>
      <c r="G78">
        <f>INT(D78/100)</f>
        <v/>
      </c>
      <c r="H78">
        <f>SUMIFS($D$2:D78,$C$2:C78,C78)-D78</f>
        <v/>
      </c>
      <c r="I78">
        <f>IF(H78&gt;=250000,1.5,IF(H78&gt;=100000,1.25,1))</f>
        <v/>
      </c>
      <c r="J78">
        <f>ROUNDDOWN(G78*I78,0)</f>
        <v/>
      </c>
      <c r="K78">
        <f>IF(COUNTIFS($C$2:$C$174,C78,$F$2:$F$174,EDATE(F78,-1))&gt;0,200,0)</f>
        <v/>
      </c>
      <c r="L78">
        <f>IF(E78&gt;=3,100,0)</f>
        <v/>
      </c>
      <c r="M78">
        <f>J78+K78+L78</f>
        <v/>
      </c>
      <c r="N78">
        <f>SUMIFS($M$2:M78,$C$2:C78,C78)</f>
        <v/>
      </c>
      <c r="O78">
        <f>IF(AND(B78&lt;DATE(2025,7,1),COUNTIFS($C$2:$C$174,C78,$B$2:$B$174,"&gt;="&amp;DATE(2025,10,1))=0),M78,0)</f>
        <v/>
      </c>
      <c r="P78">
        <f>IF(N78&gt;=5000,A78,"")</f>
        <v/>
      </c>
    </row>
    <row r="79">
      <c r="A79" t="n">
        <v>10079</v>
      </c>
      <c r="B79" s="3">
        <f>INDEX(Lines!$B$2:$B$331,MATCH(A79,Lines!$A$2:$A$331,0))</f>
        <v/>
      </c>
      <c r="C79">
        <f>INDEX(Lines!$C$2:$C$331,MATCH(A79,Lines!$A$2:$A$331,0))</f>
        <v/>
      </c>
      <c r="D79">
        <f>SUMIFS(Lines!$I$2:$I$331,Lines!$A$2:$A$331,A79)</f>
        <v/>
      </c>
      <c r="E79">
        <f>COUNTIFS(Lines!$A$2:$A$331,A79)</f>
        <v/>
      </c>
      <c r="F79" s="3">
        <f>DATE(YEAR(B79),MONTH(B79),1)</f>
        <v/>
      </c>
      <c r="G79">
        <f>INT(D79/100)</f>
        <v/>
      </c>
      <c r="H79">
        <f>SUMIFS($D$2:D79,$C$2:C79,C79)-D79</f>
        <v/>
      </c>
      <c r="I79">
        <f>IF(H79&gt;=250000,1.5,IF(H79&gt;=100000,1.25,1))</f>
        <v/>
      </c>
      <c r="J79">
        <f>ROUNDDOWN(G79*I79,0)</f>
        <v/>
      </c>
      <c r="K79">
        <f>IF(COUNTIFS($C$2:$C$174,C79,$F$2:$F$174,EDATE(F79,-1))&gt;0,200,0)</f>
        <v/>
      </c>
      <c r="L79">
        <f>IF(E79&gt;=3,100,0)</f>
        <v/>
      </c>
      <c r="M79">
        <f>J79+K79+L79</f>
        <v/>
      </c>
      <c r="N79">
        <f>SUMIFS($M$2:M79,$C$2:C79,C79)</f>
        <v/>
      </c>
      <c r="O79">
        <f>IF(AND(B79&lt;DATE(2025,7,1),COUNTIFS($C$2:$C$174,C79,$B$2:$B$174,"&gt;="&amp;DATE(2025,10,1))=0),M79,0)</f>
        <v/>
      </c>
      <c r="P79">
        <f>IF(N79&gt;=5000,A79,"")</f>
        <v/>
      </c>
    </row>
    <row r="80">
      <c r="A80" t="n">
        <v>10080</v>
      </c>
      <c r="B80" s="3">
        <f>INDEX(Lines!$B$2:$B$331,MATCH(A80,Lines!$A$2:$A$331,0))</f>
        <v/>
      </c>
      <c r="C80">
        <f>INDEX(Lines!$C$2:$C$331,MATCH(A80,Lines!$A$2:$A$331,0))</f>
        <v/>
      </c>
      <c r="D80">
        <f>SUMIFS(Lines!$I$2:$I$331,Lines!$A$2:$A$331,A80)</f>
        <v/>
      </c>
      <c r="E80">
        <f>COUNTIFS(Lines!$A$2:$A$331,A80)</f>
        <v/>
      </c>
      <c r="F80" s="3">
        <f>DATE(YEAR(B80),MONTH(B80),1)</f>
        <v/>
      </c>
      <c r="G80">
        <f>INT(D80/100)</f>
        <v/>
      </c>
      <c r="H80">
        <f>SUMIFS($D$2:D80,$C$2:C80,C80)-D80</f>
        <v/>
      </c>
      <c r="I80">
        <f>IF(H80&gt;=250000,1.5,IF(H80&gt;=100000,1.25,1))</f>
        <v/>
      </c>
      <c r="J80">
        <f>ROUNDDOWN(G80*I80,0)</f>
        <v/>
      </c>
      <c r="K80">
        <f>IF(COUNTIFS($C$2:$C$174,C80,$F$2:$F$174,EDATE(F80,-1))&gt;0,200,0)</f>
        <v/>
      </c>
      <c r="L80">
        <f>IF(E80&gt;=3,100,0)</f>
        <v/>
      </c>
      <c r="M80">
        <f>J80+K80+L80</f>
        <v/>
      </c>
      <c r="N80">
        <f>SUMIFS($M$2:M80,$C$2:C80,C80)</f>
        <v/>
      </c>
      <c r="O80">
        <f>IF(AND(B80&lt;DATE(2025,7,1),COUNTIFS($C$2:$C$174,C80,$B$2:$B$174,"&gt;="&amp;DATE(2025,10,1))=0),M80,0)</f>
        <v/>
      </c>
      <c r="P80">
        <f>IF(N80&gt;=5000,A80,"")</f>
        <v/>
      </c>
    </row>
    <row r="81">
      <c r="A81" t="n">
        <v>10081</v>
      </c>
      <c r="B81" s="3">
        <f>INDEX(Lines!$B$2:$B$331,MATCH(A81,Lines!$A$2:$A$331,0))</f>
        <v/>
      </c>
      <c r="C81">
        <f>INDEX(Lines!$C$2:$C$331,MATCH(A81,Lines!$A$2:$A$331,0))</f>
        <v/>
      </c>
      <c r="D81">
        <f>SUMIFS(Lines!$I$2:$I$331,Lines!$A$2:$A$331,A81)</f>
        <v/>
      </c>
      <c r="E81">
        <f>COUNTIFS(Lines!$A$2:$A$331,A81)</f>
        <v/>
      </c>
      <c r="F81" s="3">
        <f>DATE(YEAR(B81),MONTH(B81),1)</f>
        <v/>
      </c>
      <c r="G81">
        <f>INT(D81/100)</f>
        <v/>
      </c>
      <c r="H81">
        <f>SUMIFS($D$2:D81,$C$2:C81,C81)-D81</f>
        <v/>
      </c>
      <c r="I81">
        <f>IF(H81&gt;=250000,1.5,IF(H81&gt;=100000,1.25,1))</f>
        <v/>
      </c>
      <c r="J81">
        <f>ROUNDDOWN(G81*I81,0)</f>
        <v/>
      </c>
      <c r="K81">
        <f>IF(COUNTIFS($C$2:$C$174,C81,$F$2:$F$174,EDATE(F81,-1))&gt;0,200,0)</f>
        <v/>
      </c>
      <c r="L81">
        <f>IF(E81&gt;=3,100,0)</f>
        <v/>
      </c>
      <c r="M81">
        <f>J81+K81+L81</f>
        <v/>
      </c>
      <c r="N81">
        <f>SUMIFS($M$2:M81,$C$2:C81,C81)</f>
        <v/>
      </c>
      <c r="O81">
        <f>IF(AND(B81&lt;DATE(2025,7,1),COUNTIFS($C$2:$C$174,C81,$B$2:$B$174,"&gt;="&amp;DATE(2025,10,1))=0),M81,0)</f>
        <v/>
      </c>
      <c r="P81">
        <f>IF(N81&gt;=5000,A81,"")</f>
        <v/>
      </c>
    </row>
    <row r="82">
      <c r="A82" t="n">
        <v>10082</v>
      </c>
      <c r="B82" s="3">
        <f>INDEX(Lines!$B$2:$B$331,MATCH(A82,Lines!$A$2:$A$331,0))</f>
        <v/>
      </c>
      <c r="C82">
        <f>INDEX(Lines!$C$2:$C$331,MATCH(A82,Lines!$A$2:$A$331,0))</f>
        <v/>
      </c>
      <c r="D82">
        <f>SUMIFS(Lines!$I$2:$I$331,Lines!$A$2:$A$331,A82)</f>
        <v/>
      </c>
      <c r="E82">
        <f>COUNTIFS(Lines!$A$2:$A$331,A82)</f>
        <v/>
      </c>
      <c r="F82" s="3">
        <f>DATE(YEAR(B82),MONTH(B82),1)</f>
        <v/>
      </c>
      <c r="G82">
        <f>INT(D82/100)</f>
        <v/>
      </c>
      <c r="H82">
        <f>SUMIFS($D$2:D82,$C$2:C82,C82)-D82</f>
        <v/>
      </c>
      <c r="I82">
        <f>IF(H82&gt;=250000,1.5,IF(H82&gt;=100000,1.25,1))</f>
        <v/>
      </c>
      <c r="J82">
        <f>ROUNDDOWN(G82*I82,0)</f>
        <v/>
      </c>
      <c r="K82">
        <f>IF(COUNTIFS($C$2:$C$174,C82,$F$2:$F$174,EDATE(F82,-1))&gt;0,200,0)</f>
        <v/>
      </c>
      <c r="L82">
        <f>IF(E82&gt;=3,100,0)</f>
        <v/>
      </c>
      <c r="M82">
        <f>J82+K82+L82</f>
        <v/>
      </c>
      <c r="N82">
        <f>SUMIFS($M$2:M82,$C$2:C82,C82)</f>
        <v/>
      </c>
      <c r="O82">
        <f>IF(AND(B82&lt;DATE(2025,7,1),COUNTIFS($C$2:$C$174,C82,$B$2:$B$174,"&gt;="&amp;DATE(2025,10,1))=0),M82,0)</f>
        <v/>
      </c>
      <c r="P82">
        <f>IF(N82&gt;=5000,A82,"")</f>
        <v/>
      </c>
    </row>
    <row r="83">
      <c r="A83" t="n">
        <v>10083</v>
      </c>
      <c r="B83" s="3">
        <f>INDEX(Lines!$B$2:$B$331,MATCH(A83,Lines!$A$2:$A$331,0))</f>
        <v/>
      </c>
      <c r="C83">
        <f>INDEX(Lines!$C$2:$C$331,MATCH(A83,Lines!$A$2:$A$331,0))</f>
        <v/>
      </c>
      <c r="D83">
        <f>SUMIFS(Lines!$I$2:$I$331,Lines!$A$2:$A$331,A83)</f>
        <v/>
      </c>
      <c r="E83">
        <f>COUNTIFS(Lines!$A$2:$A$331,A83)</f>
        <v/>
      </c>
      <c r="F83" s="3">
        <f>DATE(YEAR(B83),MONTH(B83),1)</f>
        <v/>
      </c>
      <c r="G83">
        <f>INT(D83/100)</f>
        <v/>
      </c>
      <c r="H83">
        <f>SUMIFS($D$2:D83,$C$2:C83,C83)-D83</f>
        <v/>
      </c>
      <c r="I83">
        <f>IF(H83&gt;=250000,1.5,IF(H83&gt;=100000,1.25,1))</f>
        <v/>
      </c>
      <c r="J83">
        <f>ROUNDDOWN(G83*I83,0)</f>
        <v/>
      </c>
      <c r="K83">
        <f>IF(COUNTIFS($C$2:$C$174,C83,$F$2:$F$174,EDATE(F83,-1))&gt;0,200,0)</f>
        <v/>
      </c>
      <c r="L83">
        <f>IF(E83&gt;=3,100,0)</f>
        <v/>
      </c>
      <c r="M83">
        <f>J83+K83+L83</f>
        <v/>
      </c>
      <c r="N83">
        <f>SUMIFS($M$2:M83,$C$2:C83,C83)</f>
        <v/>
      </c>
      <c r="O83">
        <f>IF(AND(B83&lt;DATE(2025,7,1),COUNTIFS($C$2:$C$174,C83,$B$2:$B$174,"&gt;="&amp;DATE(2025,10,1))=0),M83,0)</f>
        <v/>
      </c>
      <c r="P83">
        <f>IF(N83&gt;=5000,A83,"")</f>
        <v/>
      </c>
    </row>
    <row r="84">
      <c r="A84" t="n">
        <v>10084</v>
      </c>
      <c r="B84" s="3">
        <f>INDEX(Lines!$B$2:$B$331,MATCH(A84,Lines!$A$2:$A$331,0))</f>
        <v/>
      </c>
      <c r="C84">
        <f>INDEX(Lines!$C$2:$C$331,MATCH(A84,Lines!$A$2:$A$331,0))</f>
        <v/>
      </c>
      <c r="D84">
        <f>SUMIFS(Lines!$I$2:$I$331,Lines!$A$2:$A$331,A84)</f>
        <v/>
      </c>
      <c r="E84">
        <f>COUNTIFS(Lines!$A$2:$A$331,A84)</f>
        <v/>
      </c>
      <c r="F84" s="3">
        <f>DATE(YEAR(B84),MONTH(B84),1)</f>
        <v/>
      </c>
      <c r="G84">
        <f>INT(D84/100)</f>
        <v/>
      </c>
      <c r="H84">
        <f>SUMIFS($D$2:D84,$C$2:C84,C84)-D84</f>
        <v/>
      </c>
      <c r="I84">
        <f>IF(H84&gt;=250000,1.5,IF(H84&gt;=100000,1.25,1))</f>
        <v/>
      </c>
      <c r="J84">
        <f>ROUNDDOWN(G84*I84,0)</f>
        <v/>
      </c>
      <c r="K84">
        <f>IF(COUNTIFS($C$2:$C$174,C84,$F$2:$F$174,EDATE(F84,-1))&gt;0,200,0)</f>
        <v/>
      </c>
      <c r="L84">
        <f>IF(E84&gt;=3,100,0)</f>
        <v/>
      </c>
      <c r="M84">
        <f>J84+K84+L84</f>
        <v/>
      </c>
      <c r="N84">
        <f>SUMIFS($M$2:M84,$C$2:C84,C84)</f>
        <v/>
      </c>
      <c r="O84">
        <f>IF(AND(B84&lt;DATE(2025,7,1),COUNTIFS($C$2:$C$174,C84,$B$2:$B$174,"&gt;="&amp;DATE(2025,10,1))=0),M84,0)</f>
        <v/>
      </c>
      <c r="P84">
        <f>IF(N84&gt;=5000,A84,"")</f>
        <v/>
      </c>
    </row>
    <row r="85">
      <c r="A85" t="n">
        <v>10085</v>
      </c>
      <c r="B85" s="3">
        <f>INDEX(Lines!$B$2:$B$331,MATCH(A85,Lines!$A$2:$A$331,0))</f>
        <v/>
      </c>
      <c r="C85">
        <f>INDEX(Lines!$C$2:$C$331,MATCH(A85,Lines!$A$2:$A$331,0))</f>
        <v/>
      </c>
      <c r="D85">
        <f>SUMIFS(Lines!$I$2:$I$331,Lines!$A$2:$A$331,A85)</f>
        <v/>
      </c>
      <c r="E85">
        <f>COUNTIFS(Lines!$A$2:$A$331,A85)</f>
        <v/>
      </c>
      <c r="F85" s="3">
        <f>DATE(YEAR(B85),MONTH(B85),1)</f>
        <v/>
      </c>
      <c r="G85">
        <f>INT(D85/100)</f>
        <v/>
      </c>
      <c r="H85">
        <f>SUMIFS($D$2:D85,$C$2:C85,C85)-D85</f>
        <v/>
      </c>
      <c r="I85">
        <f>IF(H85&gt;=250000,1.5,IF(H85&gt;=100000,1.25,1))</f>
        <v/>
      </c>
      <c r="J85">
        <f>ROUNDDOWN(G85*I85,0)</f>
        <v/>
      </c>
      <c r="K85">
        <f>IF(COUNTIFS($C$2:$C$174,C85,$F$2:$F$174,EDATE(F85,-1))&gt;0,200,0)</f>
        <v/>
      </c>
      <c r="L85">
        <f>IF(E85&gt;=3,100,0)</f>
        <v/>
      </c>
      <c r="M85">
        <f>J85+K85+L85</f>
        <v/>
      </c>
      <c r="N85">
        <f>SUMIFS($M$2:M85,$C$2:C85,C85)</f>
        <v/>
      </c>
      <c r="O85">
        <f>IF(AND(B85&lt;DATE(2025,7,1),COUNTIFS($C$2:$C$174,C85,$B$2:$B$174,"&gt;="&amp;DATE(2025,10,1))=0),M85,0)</f>
        <v/>
      </c>
      <c r="P85">
        <f>IF(N85&gt;=5000,A85,"")</f>
        <v/>
      </c>
    </row>
    <row r="86">
      <c r="A86" t="n">
        <v>10086</v>
      </c>
      <c r="B86" s="3">
        <f>INDEX(Lines!$B$2:$B$331,MATCH(A86,Lines!$A$2:$A$331,0))</f>
        <v/>
      </c>
      <c r="C86">
        <f>INDEX(Lines!$C$2:$C$331,MATCH(A86,Lines!$A$2:$A$331,0))</f>
        <v/>
      </c>
      <c r="D86">
        <f>SUMIFS(Lines!$I$2:$I$331,Lines!$A$2:$A$331,A86)</f>
        <v/>
      </c>
      <c r="E86">
        <f>COUNTIFS(Lines!$A$2:$A$331,A86)</f>
        <v/>
      </c>
      <c r="F86" s="3">
        <f>DATE(YEAR(B86),MONTH(B86),1)</f>
        <v/>
      </c>
      <c r="G86">
        <f>INT(D86/100)</f>
        <v/>
      </c>
      <c r="H86">
        <f>SUMIFS($D$2:D86,$C$2:C86,C86)-D86</f>
        <v/>
      </c>
      <c r="I86">
        <f>IF(H86&gt;=250000,1.5,IF(H86&gt;=100000,1.25,1))</f>
        <v/>
      </c>
      <c r="J86">
        <f>ROUNDDOWN(G86*I86,0)</f>
        <v/>
      </c>
      <c r="K86">
        <f>IF(COUNTIFS($C$2:$C$174,C86,$F$2:$F$174,EDATE(F86,-1))&gt;0,200,0)</f>
        <v/>
      </c>
      <c r="L86">
        <f>IF(E86&gt;=3,100,0)</f>
        <v/>
      </c>
      <c r="M86">
        <f>J86+K86+L86</f>
        <v/>
      </c>
      <c r="N86">
        <f>SUMIFS($M$2:M86,$C$2:C86,C86)</f>
        <v/>
      </c>
      <c r="O86">
        <f>IF(AND(B86&lt;DATE(2025,7,1),COUNTIFS($C$2:$C$174,C86,$B$2:$B$174,"&gt;="&amp;DATE(2025,10,1))=0),M86,0)</f>
        <v/>
      </c>
      <c r="P86">
        <f>IF(N86&gt;=5000,A86,"")</f>
        <v/>
      </c>
    </row>
    <row r="87">
      <c r="A87" t="n">
        <v>10087</v>
      </c>
      <c r="B87" s="3">
        <f>INDEX(Lines!$B$2:$B$331,MATCH(A87,Lines!$A$2:$A$331,0))</f>
        <v/>
      </c>
      <c r="C87">
        <f>INDEX(Lines!$C$2:$C$331,MATCH(A87,Lines!$A$2:$A$331,0))</f>
        <v/>
      </c>
      <c r="D87">
        <f>SUMIFS(Lines!$I$2:$I$331,Lines!$A$2:$A$331,A87)</f>
        <v/>
      </c>
      <c r="E87">
        <f>COUNTIFS(Lines!$A$2:$A$331,A87)</f>
        <v/>
      </c>
      <c r="F87" s="3">
        <f>DATE(YEAR(B87),MONTH(B87),1)</f>
        <v/>
      </c>
      <c r="G87">
        <f>INT(D87/100)</f>
        <v/>
      </c>
      <c r="H87">
        <f>SUMIFS($D$2:D87,$C$2:C87,C87)-D87</f>
        <v/>
      </c>
      <c r="I87">
        <f>IF(H87&gt;=250000,1.5,IF(H87&gt;=100000,1.25,1))</f>
        <v/>
      </c>
      <c r="J87">
        <f>ROUNDDOWN(G87*I87,0)</f>
        <v/>
      </c>
      <c r="K87">
        <f>IF(COUNTIFS($C$2:$C$174,C87,$F$2:$F$174,EDATE(F87,-1))&gt;0,200,0)</f>
        <v/>
      </c>
      <c r="L87">
        <f>IF(E87&gt;=3,100,0)</f>
        <v/>
      </c>
      <c r="M87">
        <f>J87+K87+L87</f>
        <v/>
      </c>
      <c r="N87">
        <f>SUMIFS($M$2:M87,$C$2:C87,C87)</f>
        <v/>
      </c>
      <c r="O87">
        <f>IF(AND(B87&lt;DATE(2025,7,1),COUNTIFS($C$2:$C$174,C87,$B$2:$B$174,"&gt;="&amp;DATE(2025,10,1))=0),M87,0)</f>
        <v/>
      </c>
      <c r="P87">
        <f>IF(N87&gt;=5000,A87,"")</f>
        <v/>
      </c>
    </row>
    <row r="88">
      <c r="A88" t="n">
        <v>10088</v>
      </c>
      <c r="B88" s="3">
        <f>INDEX(Lines!$B$2:$B$331,MATCH(A88,Lines!$A$2:$A$331,0))</f>
        <v/>
      </c>
      <c r="C88">
        <f>INDEX(Lines!$C$2:$C$331,MATCH(A88,Lines!$A$2:$A$331,0))</f>
        <v/>
      </c>
      <c r="D88">
        <f>SUMIFS(Lines!$I$2:$I$331,Lines!$A$2:$A$331,A88)</f>
        <v/>
      </c>
      <c r="E88">
        <f>COUNTIFS(Lines!$A$2:$A$331,A88)</f>
        <v/>
      </c>
      <c r="F88" s="3">
        <f>DATE(YEAR(B88),MONTH(B88),1)</f>
        <v/>
      </c>
      <c r="G88">
        <f>INT(D88/100)</f>
        <v/>
      </c>
      <c r="H88">
        <f>SUMIFS($D$2:D88,$C$2:C88,C88)-D88</f>
        <v/>
      </c>
      <c r="I88">
        <f>IF(H88&gt;=250000,1.5,IF(H88&gt;=100000,1.25,1))</f>
        <v/>
      </c>
      <c r="J88">
        <f>ROUNDDOWN(G88*I88,0)</f>
        <v/>
      </c>
      <c r="K88">
        <f>IF(COUNTIFS($C$2:$C$174,C88,$F$2:$F$174,EDATE(F88,-1))&gt;0,200,0)</f>
        <v/>
      </c>
      <c r="L88">
        <f>IF(E88&gt;=3,100,0)</f>
        <v/>
      </c>
      <c r="M88">
        <f>J88+K88+L88</f>
        <v/>
      </c>
      <c r="N88">
        <f>SUMIFS($M$2:M88,$C$2:C88,C88)</f>
        <v/>
      </c>
      <c r="O88">
        <f>IF(AND(B88&lt;DATE(2025,7,1),COUNTIFS($C$2:$C$174,C88,$B$2:$B$174,"&gt;="&amp;DATE(2025,10,1))=0),M88,0)</f>
        <v/>
      </c>
      <c r="P88">
        <f>IF(N88&gt;=5000,A88,"")</f>
        <v/>
      </c>
    </row>
    <row r="89">
      <c r="A89" t="n">
        <v>10089</v>
      </c>
      <c r="B89" s="3">
        <f>INDEX(Lines!$B$2:$B$331,MATCH(A89,Lines!$A$2:$A$331,0))</f>
        <v/>
      </c>
      <c r="C89">
        <f>INDEX(Lines!$C$2:$C$331,MATCH(A89,Lines!$A$2:$A$331,0))</f>
        <v/>
      </c>
      <c r="D89">
        <f>SUMIFS(Lines!$I$2:$I$331,Lines!$A$2:$A$331,A89)</f>
        <v/>
      </c>
      <c r="E89">
        <f>COUNTIFS(Lines!$A$2:$A$331,A89)</f>
        <v/>
      </c>
      <c r="F89" s="3">
        <f>DATE(YEAR(B89),MONTH(B89),1)</f>
        <v/>
      </c>
      <c r="G89">
        <f>INT(D89/100)</f>
        <v/>
      </c>
      <c r="H89">
        <f>SUMIFS($D$2:D89,$C$2:C89,C89)-D89</f>
        <v/>
      </c>
      <c r="I89">
        <f>IF(H89&gt;=250000,1.5,IF(H89&gt;=100000,1.25,1))</f>
        <v/>
      </c>
      <c r="J89">
        <f>ROUNDDOWN(G89*I89,0)</f>
        <v/>
      </c>
      <c r="K89">
        <f>IF(COUNTIFS($C$2:$C$174,C89,$F$2:$F$174,EDATE(F89,-1))&gt;0,200,0)</f>
        <v/>
      </c>
      <c r="L89">
        <f>IF(E89&gt;=3,100,0)</f>
        <v/>
      </c>
      <c r="M89">
        <f>J89+K89+L89</f>
        <v/>
      </c>
      <c r="N89">
        <f>SUMIFS($M$2:M89,$C$2:C89,C89)</f>
        <v/>
      </c>
      <c r="O89">
        <f>IF(AND(B89&lt;DATE(2025,7,1),COUNTIFS($C$2:$C$174,C89,$B$2:$B$174,"&gt;="&amp;DATE(2025,10,1))=0),M89,0)</f>
        <v/>
      </c>
      <c r="P89">
        <f>IF(N89&gt;=5000,A89,"")</f>
        <v/>
      </c>
    </row>
    <row r="90">
      <c r="A90" t="n">
        <v>10090</v>
      </c>
      <c r="B90" s="3">
        <f>INDEX(Lines!$B$2:$B$331,MATCH(A90,Lines!$A$2:$A$331,0))</f>
        <v/>
      </c>
      <c r="C90">
        <f>INDEX(Lines!$C$2:$C$331,MATCH(A90,Lines!$A$2:$A$331,0))</f>
        <v/>
      </c>
      <c r="D90">
        <f>SUMIFS(Lines!$I$2:$I$331,Lines!$A$2:$A$331,A90)</f>
        <v/>
      </c>
      <c r="E90">
        <f>COUNTIFS(Lines!$A$2:$A$331,A90)</f>
        <v/>
      </c>
      <c r="F90" s="3">
        <f>DATE(YEAR(B90),MONTH(B90),1)</f>
        <v/>
      </c>
      <c r="G90">
        <f>INT(D90/100)</f>
        <v/>
      </c>
      <c r="H90">
        <f>SUMIFS($D$2:D90,$C$2:C90,C90)-D90</f>
        <v/>
      </c>
      <c r="I90">
        <f>IF(H90&gt;=250000,1.5,IF(H90&gt;=100000,1.25,1))</f>
        <v/>
      </c>
      <c r="J90">
        <f>ROUNDDOWN(G90*I90,0)</f>
        <v/>
      </c>
      <c r="K90">
        <f>IF(COUNTIFS($C$2:$C$174,C90,$F$2:$F$174,EDATE(F90,-1))&gt;0,200,0)</f>
        <v/>
      </c>
      <c r="L90">
        <f>IF(E90&gt;=3,100,0)</f>
        <v/>
      </c>
      <c r="M90">
        <f>J90+K90+L90</f>
        <v/>
      </c>
      <c r="N90">
        <f>SUMIFS($M$2:M90,$C$2:C90,C90)</f>
        <v/>
      </c>
      <c r="O90">
        <f>IF(AND(B90&lt;DATE(2025,7,1),COUNTIFS($C$2:$C$174,C90,$B$2:$B$174,"&gt;="&amp;DATE(2025,10,1))=0),M90,0)</f>
        <v/>
      </c>
      <c r="P90">
        <f>IF(N90&gt;=5000,A90,"")</f>
        <v/>
      </c>
    </row>
    <row r="91">
      <c r="A91" t="n">
        <v>10091</v>
      </c>
      <c r="B91" s="3">
        <f>INDEX(Lines!$B$2:$B$331,MATCH(A91,Lines!$A$2:$A$331,0))</f>
        <v/>
      </c>
      <c r="C91">
        <f>INDEX(Lines!$C$2:$C$331,MATCH(A91,Lines!$A$2:$A$331,0))</f>
        <v/>
      </c>
      <c r="D91">
        <f>SUMIFS(Lines!$I$2:$I$331,Lines!$A$2:$A$331,A91)</f>
        <v/>
      </c>
      <c r="E91">
        <f>COUNTIFS(Lines!$A$2:$A$331,A91)</f>
        <v/>
      </c>
      <c r="F91" s="3">
        <f>DATE(YEAR(B91),MONTH(B91),1)</f>
        <v/>
      </c>
      <c r="G91">
        <f>INT(D91/100)</f>
        <v/>
      </c>
      <c r="H91">
        <f>SUMIFS($D$2:D91,$C$2:C91,C91)-D91</f>
        <v/>
      </c>
      <c r="I91">
        <f>IF(H91&gt;=250000,1.5,IF(H91&gt;=100000,1.25,1))</f>
        <v/>
      </c>
      <c r="J91">
        <f>ROUNDDOWN(G91*I91,0)</f>
        <v/>
      </c>
      <c r="K91">
        <f>IF(COUNTIFS($C$2:$C$174,C91,$F$2:$F$174,EDATE(F91,-1))&gt;0,200,0)</f>
        <v/>
      </c>
      <c r="L91">
        <f>IF(E91&gt;=3,100,0)</f>
        <v/>
      </c>
      <c r="M91">
        <f>J91+K91+L91</f>
        <v/>
      </c>
      <c r="N91">
        <f>SUMIFS($M$2:M91,$C$2:C91,C91)</f>
        <v/>
      </c>
      <c r="O91">
        <f>IF(AND(B91&lt;DATE(2025,7,1),COUNTIFS($C$2:$C$174,C91,$B$2:$B$174,"&gt;="&amp;DATE(2025,10,1))=0),M91,0)</f>
        <v/>
      </c>
      <c r="P91">
        <f>IF(N91&gt;=5000,A91,"")</f>
        <v/>
      </c>
    </row>
    <row r="92">
      <c r="A92" t="n">
        <v>10092</v>
      </c>
      <c r="B92" s="3">
        <f>INDEX(Lines!$B$2:$B$331,MATCH(A92,Lines!$A$2:$A$331,0))</f>
        <v/>
      </c>
      <c r="C92">
        <f>INDEX(Lines!$C$2:$C$331,MATCH(A92,Lines!$A$2:$A$331,0))</f>
        <v/>
      </c>
      <c r="D92">
        <f>SUMIFS(Lines!$I$2:$I$331,Lines!$A$2:$A$331,A92)</f>
        <v/>
      </c>
      <c r="E92">
        <f>COUNTIFS(Lines!$A$2:$A$331,A92)</f>
        <v/>
      </c>
      <c r="F92" s="3">
        <f>DATE(YEAR(B92),MONTH(B92),1)</f>
        <v/>
      </c>
      <c r="G92">
        <f>INT(D92/100)</f>
        <v/>
      </c>
      <c r="H92">
        <f>SUMIFS($D$2:D92,$C$2:C92,C92)-D92</f>
        <v/>
      </c>
      <c r="I92">
        <f>IF(H92&gt;=250000,1.5,IF(H92&gt;=100000,1.25,1))</f>
        <v/>
      </c>
      <c r="J92">
        <f>ROUNDDOWN(G92*I92,0)</f>
        <v/>
      </c>
      <c r="K92">
        <f>IF(COUNTIFS($C$2:$C$174,C92,$F$2:$F$174,EDATE(F92,-1))&gt;0,200,0)</f>
        <v/>
      </c>
      <c r="L92">
        <f>IF(E92&gt;=3,100,0)</f>
        <v/>
      </c>
      <c r="M92">
        <f>J92+K92+L92</f>
        <v/>
      </c>
      <c r="N92">
        <f>SUMIFS($M$2:M92,$C$2:C92,C92)</f>
        <v/>
      </c>
      <c r="O92">
        <f>IF(AND(B92&lt;DATE(2025,7,1),COUNTIFS($C$2:$C$174,C92,$B$2:$B$174,"&gt;="&amp;DATE(2025,10,1))=0),M92,0)</f>
        <v/>
      </c>
      <c r="P92">
        <f>IF(N92&gt;=5000,A92,"")</f>
        <v/>
      </c>
    </row>
    <row r="93">
      <c r="A93" t="n">
        <v>10093</v>
      </c>
      <c r="B93" s="3">
        <f>INDEX(Lines!$B$2:$B$331,MATCH(A93,Lines!$A$2:$A$331,0))</f>
        <v/>
      </c>
      <c r="C93">
        <f>INDEX(Lines!$C$2:$C$331,MATCH(A93,Lines!$A$2:$A$331,0))</f>
        <v/>
      </c>
      <c r="D93">
        <f>SUMIFS(Lines!$I$2:$I$331,Lines!$A$2:$A$331,A93)</f>
        <v/>
      </c>
      <c r="E93">
        <f>COUNTIFS(Lines!$A$2:$A$331,A93)</f>
        <v/>
      </c>
      <c r="F93" s="3">
        <f>DATE(YEAR(B93),MONTH(B93),1)</f>
        <v/>
      </c>
      <c r="G93">
        <f>INT(D93/100)</f>
        <v/>
      </c>
      <c r="H93">
        <f>SUMIFS($D$2:D93,$C$2:C93,C93)-D93</f>
        <v/>
      </c>
      <c r="I93">
        <f>IF(H93&gt;=250000,1.5,IF(H93&gt;=100000,1.25,1))</f>
        <v/>
      </c>
      <c r="J93">
        <f>ROUNDDOWN(G93*I93,0)</f>
        <v/>
      </c>
      <c r="K93">
        <f>IF(COUNTIFS($C$2:$C$174,C93,$F$2:$F$174,EDATE(F93,-1))&gt;0,200,0)</f>
        <v/>
      </c>
      <c r="L93">
        <f>IF(E93&gt;=3,100,0)</f>
        <v/>
      </c>
      <c r="M93">
        <f>J93+K93+L93</f>
        <v/>
      </c>
      <c r="N93">
        <f>SUMIFS($M$2:M93,$C$2:C93,C93)</f>
        <v/>
      </c>
      <c r="O93">
        <f>IF(AND(B93&lt;DATE(2025,7,1),COUNTIFS($C$2:$C$174,C93,$B$2:$B$174,"&gt;="&amp;DATE(2025,10,1))=0),M93,0)</f>
        <v/>
      </c>
      <c r="P93">
        <f>IF(N93&gt;=5000,A93,"")</f>
        <v/>
      </c>
    </row>
    <row r="94">
      <c r="A94" t="n">
        <v>10094</v>
      </c>
      <c r="B94" s="3">
        <f>INDEX(Lines!$B$2:$B$331,MATCH(A94,Lines!$A$2:$A$331,0))</f>
        <v/>
      </c>
      <c r="C94">
        <f>INDEX(Lines!$C$2:$C$331,MATCH(A94,Lines!$A$2:$A$331,0))</f>
        <v/>
      </c>
      <c r="D94">
        <f>SUMIFS(Lines!$I$2:$I$331,Lines!$A$2:$A$331,A94)</f>
        <v/>
      </c>
      <c r="E94">
        <f>COUNTIFS(Lines!$A$2:$A$331,A94)</f>
        <v/>
      </c>
      <c r="F94" s="3">
        <f>DATE(YEAR(B94),MONTH(B94),1)</f>
        <v/>
      </c>
      <c r="G94">
        <f>INT(D94/100)</f>
        <v/>
      </c>
      <c r="H94">
        <f>SUMIFS($D$2:D94,$C$2:C94,C94)-D94</f>
        <v/>
      </c>
      <c r="I94">
        <f>IF(H94&gt;=250000,1.5,IF(H94&gt;=100000,1.25,1))</f>
        <v/>
      </c>
      <c r="J94">
        <f>ROUNDDOWN(G94*I94,0)</f>
        <v/>
      </c>
      <c r="K94">
        <f>IF(COUNTIFS($C$2:$C$174,C94,$F$2:$F$174,EDATE(F94,-1))&gt;0,200,0)</f>
        <v/>
      </c>
      <c r="L94">
        <f>IF(E94&gt;=3,100,0)</f>
        <v/>
      </c>
      <c r="M94">
        <f>J94+K94+L94</f>
        <v/>
      </c>
      <c r="N94">
        <f>SUMIFS($M$2:M94,$C$2:C94,C94)</f>
        <v/>
      </c>
      <c r="O94">
        <f>IF(AND(B94&lt;DATE(2025,7,1),COUNTIFS($C$2:$C$174,C94,$B$2:$B$174,"&gt;="&amp;DATE(2025,10,1))=0),M94,0)</f>
        <v/>
      </c>
      <c r="P94">
        <f>IF(N94&gt;=5000,A94,"")</f>
        <v/>
      </c>
    </row>
    <row r="95">
      <c r="A95" t="n">
        <v>10095</v>
      </c>
      <c r="B95" s="3">
        <f>INDEX(Lines!$B$2:$B$331,MATCH(A95,Lines!$A$2:$A$331,0))</f>
        <v/>
      </c>
      <c r="C95">
        <f>INDEX(Lines!$C$2:$C$331,MATCH(A95,Lines!$A$2:$A$331,0))</f>
        <v/>
      </c>
      <c r="D95">
        <f>SUMIFS(Lines!$I$2:$I$331,Lines!$A$2:$A$331,A95)</f>
        <v/>
      </c>
      <c r="E95">
        <f>COUNTIFS(Lines!$A$2:$A$331,A95)</f>
        <v/>
      </c>
      <c r="F95" s="3">
        <f>DATE(YEAR(B95),MONTH(B95),1)</f>
        <v/>
      </c>
      <c r="G95">
        <f>INT(D95/100)</f>
        <v/>
      </c>
      <c r="H95">
        <f>SUMIFS($D$2:D95,$C$2:C95,C95)-D95</f>
        <v/>
      </c>
      <c r="I95">
        <f>IF(H95&gt;=250000,1.5,IF(H95&gt;=100000,1.25,1))</f>
        <v/>
      </c>
      <c r="J95">
        <f>ROUNDDOWN(G95*I95,0)</f>
        <v/>
      </c>
      <c r="K95">
        <f>IF(COUNTIFS($C$2:$C$174,C95,$F$2:$F$174,EDATE(F95,-1))&gt;0,200,0)</f>
        <v/>
      </c>
      <c r="L95">
        <f>IF(E95&gt;=3,100,0)</f>
        <v/>
      </c>
      <c r="M95">
        <f>J95+K95+L95</f>
        <v/>
      </c>
      <c r="N95">
        <f>SUMIFS($M$2:M95,$C$2:C95,C95)</f>
        <v/>
      </c>
      <c r="O95">
        <f>IF(AND(B95&lt;DATE(2025,7,1),COUNTIFS($C$2:$C$174,C95,$B$2:$B$174,"&gt;="&amp;DATE(2025,10,1))=0),M95,0)</f>
        <v/>
      </c>
      <c r="P95">
        <f>IF(N95&gt;=5000,A95,"")</f>
        <v/>
      </c>
    </row>
    <row r="96">
      <c r="A96" t="n">
        <v>10096</v>
      </c>
      <c r="B96" s="3">
        <f>INDEX(Lines!$B$2:$B$331,MATCH(A96,Lines!$A$2:$A$331,0))</f>
        <v/>
      </c>
      <c r="C96">
        <f>INDEX(Lines!$C$2:$C$331,MATCH(A96,Lines!$A$2:$A$331,0))</f>
        <v/>
      </c>
      <c r="D96">
        <f>SUMIFS(Lines!$I$2:$I$331,Lines!$A$2:$A$331,A96)</f>
        <v/>
      </c>
      <c r="E96">
        <f>COUNTIFS(Lines!$A$2:$A$331,A96)</f>
        <v/>
      </c>
      <c r="F96" s="3">
        <f>DATE(YEAR(B96),MONTH(B96),1)</f>
        <v/>
      </c>
      <c r="G96">
        <f>INT(D96/100)</f>
        <v/>
      </c>
      <c r="H96">
        <f>SUMIFS($D$2:D96,$C$2:C96,C96)-D96</f>
        <v/>
      </c>
      <c r="I96">
        <f>IF(H96&gt;=250000,1.5,IF(H96&gt;=100000,1.25,1))</f>
        <v/>
      </c>
      <c r="J96">
        <f>ROUNDDOWN(G96*I96,0)</f>
        <v/>
      </c>
      <c r="K96">
        <f>IF(COUNTIFS($C$2:$C$174,C96,$F$2:$F$174,EDATE(F96,-1))&gt;0,200,0)</f>
        <v/>
      </c>
      <c r="L96">
        <f>IF(E96&gt;=3,100,0)</f>
        <v/>
      </c>
      <c r="M96">
        <f>J96+K96+L96</f>
        <v/>
      </c>
      <c r="N96">
        <f>SUMIFS($M$2:M96,$C$2:C96,C96)</f>
        <v/>
      </c>
      <c r="O96">
        <f>IF(AND(B96&lt;DATE(2025,7,1),COUNTIFS($C$2:$C$174,C96,$B$2:$B$174,"&gt;="&amp;DATE(2025,10,1))=0),M96,0)</f>
        <v/>
      </c>
      <c r="P96">
        <f>IF(N96&gt;=5000,A96,"")</f>
        <v/>
      </c>
    </row>
    <row r="97">
      <c r="A97" t="n">
        <v>10097</v>
      </c>
      <c r="B97" s="3">
        <f>INDEX(Lines!$B$2:$B$331,MATCH(A97,Lines!$A$2:$A$331,0))</f>
        <v/>
      </c>
      <c r="C97">
        <f>INDEX(Lines!$C$2:$C$331,MATCH(A97,Lines!$A$2:$A$331,0))</f>
        <v/>
      </c>
      <c r="D97">
        <f>SUMIFS(Lines!$I$2:$I$331,Lines!$A$2:$A$331,A97)</f>
        <v/>
      </c>
      <c r="E97">
        <f>COUNTIFS(Lines!$A$2:$A$331,A97)</f>
        <v/>
      </c>
      <c r="F97" s="3">
        <f>DATE(YEAR(B97),MONTH(B97),1)</f>
        <v/>
      </c>
      <c r="G97">
        <f>INT(D97/100)</f>
        <v/>
      </c>
      <c r="H97">
        <f>SUMIFS($D$2:D97,$C$2:C97,C97)-D97</f>
        <v/>
      </c>
      <c r="I97">
        <f>IF(H97&gt;=250000,1.5,IF(H97&gt;=100000,1.25,1))</f>
        <v/>
      </c>
      <c r="J97">
        <f>ROUNDDOWN(G97*I97,0)</f>
        <v/>
      </c>
      <c r="K97">
        <f>IF(COUNTIFS($C$2:$C$174,C97,$F$2:$F$174,EDATE(F97,-1))&gt;0,200,0)</f>
        <v/>
      </c>
      <c r="L97">
        <f>IF(E97&gt;=3,100,0)</f>
        <v/>
      </c>
      <c r="M97">
        <f>J97+K97+L97</f>
        <v/>
      </c>
      <c r="N97">
        <f>SUMIFS($M$2:M97,$C$2:C97,C97)</f>
        <v/>
      </c>
      <c r="O97">
        <f>IF(AND(B97&lt;DATE(2025,7,1),COUNTIFS($C$2:$C$174,C97,$B$2:$B$174,"&gt;="&amp;DATE(2025,10,1))=0),M97,0)</f>
        <v/>
      </c>
      <c r="P97">
        <f>IF(N97&gt;=5000,A97,"")</f>
        <v/>
      </c>
    </row>
    <row r="98">
      <c r="A98" t="n">
        <v>10098</v>
      </c>
      <c r="B98" s="3">
        <f>INDEX(Lines!$B$2:$B$331,MATCH(A98,Lines!$A$2:$A$331,0))</f>
        <v/>
      </c>
      <c r="C98">
        <f>INDEX(Lines!$C$2:$C$331,MATCH(A98,Lines!$A$2:$A$331,0))</f>
        <v/>
      </c>
      <c r="D98">
        <f>SUMIFS(Lines!$I$2:$I$331,Lines!$A$2:$A$331,A98)</f>
        <v/>
      </c>
      <c r="E98">
        <f>COUNTIFS(Lines!$A$2:$A$331,A98)</f>
        <v/>
      </c>
      <c r="F98" s="3">
        <f>DATE(YEAR(B98),MONTH(B98),1)</f>
        <v/>
      </c>
      <c r="G98">
        <f>INT(D98/100)</f>
        <v/>
      </c>
      <c r="H98">
        <f>SUMIFS($D$2:D98,$C$2:C98,C98)-D98</f>
        <v/>
      </c>
      <c r="I98">
        <f>IF(H98&gt;=250000,1.5,IF(H98&gt;=100000,1.25,1))</f>
        <v/>
      </c>
      <c r="J98">
        <f>ROUNDDOWN(G98*I98,0)</f>
        <v/>
      </c>
      <c r="K98">
        <f>IF(COUNTIFS($C$2:$C$174,C98,$F$2:$F$174,EDATE(F98,-1))&gt;0,200,0)</f>
        <v/>
      </c>
      <c r="L98">
        <f>IF(E98&gt;=3,100,0)</f>
        <v/>
      </c>
      <c r="M98">
        <f>J98+K98+L98</f>
        <v/>
      </c>
      <c r="N98">
        <f>SUMIFS($M$2:M98,$C$2:C98,C98)</f>
        <v/>
      </c>
      <c r="O98">
        <f>IF(AND(B98&lt;DATE(2025,7,1),COUNTIFS($C$2:$C$174,C98,$B$2:$B$174,"&gt;="&amp;DATE(2025,10,1))=0),M98,0)</f>
        <v/>
      </c>
      <c r="P98">
        <f>IF(N98&gt;=5000,A98,"")</f>
        <v/>
      </c>
    </row>
    <row r="99">
      <c r="A99" t="n">
        <v>10099</v>
      </c>
      <c r="B99" s="3">
        <f>INDEX(Lines!$B$2:$B$331,MATCH(A99,Lines!$A$2:$A$331,0))</f>
        <v/>
      </c>
      <c r="C99">
        <f>INDEX(Lines!$C$2:$C$331,MATCH(A99,Lines!$A$2:$A$331,0))</f>
        <v/>
      </c>
      <c r="D99">
        <f>SUMIFS(Lines!$I$2:$I$331,Lines!$A$2:$A$331,A99)</f>
        <v/>
      </c>
      <c r="E99">
        <f>COUNTIFS(Lines!$A$2:$A$331,A99)</f>
        <v/>
      </c>
      <c r="F99" s="3">
        <f>DATE(YEAR(B99),MONTH(B99),1)</f>
        <v/>
      </c>
      <c r="G99">
        <f>INT(D99/100)</f>
        <v/>
      </c>
      <c r="H99">
        <f>SUMIFS($D$2:D99,$C$2:C99,C99)-D99</f>
        <v/>
      </c>
      <c r="I99">
        <f>IF(H99&gt;=250000,1.5,IF(H99&gt;=100000,1.25,1))</f>
        <v/>
      </c>
      <c r="J99">
        <f>ROUNDDOWN(G99*I99,0)</f>
        <v/>
      </c>
      <c r="K99">
        <f>IF(COUNTIFS($C$2:$C$174,C99,$F$2:$F$174,EDATE(F99,-1))&gt;0,200,0)</f>
        <v/>
      </c>
      <c r="L99">
        <f>IF(E99&gt;=3,100,0)</f>
        <v/>
      </c>
      <c r="M99">
        <f>J99+K99+L99</f>
        <v/>
      </c>
      <c r="N99">
        <f>SUMIFS($M$2:M99,$C$2:C99,C99)</f>
        <v/>
      </c>
      <c r="O99">
        <f>IF(AND(B99&lt;DATE(2025,7,1),COUNTIFS($C$2:$C$174,C99,$B$2:$B$174,"&gt;="&amp;DATE(2025,10,1))=0),M99,0)</f>
        <v/>
      </c>
      <c r="P99">
        <f>IF(N99&gt;=5000,A99,"")</f>
        <v/>
      </c>
    </row>
    <row r="100">
      <c r="A100" t="n">
        <v>10100</v>
      </c>
      <c r="B100" s="3">
        <f>INDEX(Lines!$B$2:$B$331,MATCH(A100,Lines!$A$2:$A$331,0))</f>
        <v/>
      </c>
      <c r="C100">
        <f>INDEX(Lines!$C$2:$C$331,MATCH(A100,Lines!$A$2:$A$331,0))</f>
        <v/>
      </c>
      <c r="D100">
        <f>SUMIFS(Lines!$I$2:$I$331,Lines!$A$2:$A$331,A100)</f>
        <v/>
      </c>
      <c r="E100">
        <f>COUNTIFS(Lines!$A$2:$A$331,A100)</f>
        <v/>
      </c>
      <c r="F100" s="3">
        <f>DATE(YEAR(B100),MONTH(B100),1)</f>
        <v/>
      </c>
      <c r="G100">
        <f>INT(D100/100)</f>
        <v/>
      </c>
      <c r="H100">
        <f>SUMIFS($D$2:D100,$C$2:C100,C100)-D100</f>
        <v/>
      </c>
      <c r="I100">
        <f>IF(H100&gt;=250000,1.5,IF(H100&gt;=100000,1.25,1))</f>
        <v/>
      </c>
      <c r="J100">
        <f>ROUNDDOWN(G100*I100,0)</f>
        <v/>
      </c>
      <c r="K100">
        <f>IF(COUNTIFS($C$2:$C$174,C100,$F$2:$F$174,EDATE(F100,-1))&gt;0,200,0)</f>
        <v/>
      </c>
      <c r="L100">
        <f>IF(E100&gt;=3,100,0)</f>
        <v/>
      </c>
      <c r="M100">
        <f>J100+K100+L100</f>
        <v/>
      </c>
      <c r="N100">
        <f>SUMIFS($M$2:M100,$C$2:C100,C100)</f>
        <v/>
      </c>
      <c r="O100">
        <f>IF(AND(B100&lt;DATE(2025,7,1),COUNTIFS($C$2:$C$174,C100,$B$2:$B$174,"&gt;="&amp;DATE(2025,10,1))=0),M100,0)</f>
        <v/>
      </c>
      <c r="P100">
        <f>IF(N100&gt;=5000,A100,"")</f>
        <v/>
      </c>
    </row>
    <row r="101">
      <c r="A101" t="n">
        <v>10101</v>
      </c>
      <c r="B101" s="3">
        <f>INDEX(Lines!$B$2:$B$331,MATCH(A101,Lines!$A$2:$A$331,0))</f>
        <v/>
      </c>
      <c r="C101">
        <f>INDEX(Lines!$C$2:$C$331,MATCH(A101,Lines!$A$2:$A$331,0))</f>
        <v/>
      </c>
      <c r="D101">
        <f>SUMIFS(Lines!$I$2:$I$331,Lines!$A$2:$A$331,A101)</f>
        <v/>
      </c>
      <c r="E101">
        <f>COUNTIFS(Lines!$A$2:$A$331,A101)</f>
        <v/>
      </c>
      <c r="F101" s="3">
        <f>DATE(YEAR(B101),MONTH(B101),1)</f>
        <v/>
      </c>
      <c r="G101">
        <f>INT(D101/100)</f>
        <v/>
      </c>
      <c r="H101">
        <f>SUMIFS($D$2:D101,$C$2:C101,C101)-D101</f>
        <v/>
      </c>
      <c r="I101">
        <f>IF(H101&gt;=250000,1.5,IF(H101&gt;=100000,1.25,1))</f>
        <v/>
      </c>
      <c r="J101">
        <f>ROUNDDOWN(G101*I101,0)</f>
        <v/>
      </c>
      <c r="K101">
        <f>IF(COUNTIFS($C$2:$C$174,C101,$F$2:$F$174,EDATE(F101,-1))&gt;0,200,0)</f>
        <v/>
      </c>
      <c r="L101">
        <f>IF(E101&gt;=3,100,0)</f>
        <v/>
      </c>
      <c r="M101">
        <f>J101+K101+L101</f>
        <v/>
      </c>
      <c r="N101">
        <f>SUMIFS($M$2:M101,$C$2:C101,C101)</f>
        <v/>
      </c>
      <c r="O101">
        <f>IF(AND(B101&lt;DATE(2025,7,1),COUNTIFS($C$2:$C$174,C101,$B$2:$B$174,"&gt;="&amp;DATE(2025,10,1))=0),M101,0)</f>
        <v/>
      </c>
      <c r="P101">
        <f>IF(N101&gt;=5000,A101,"")</f>
        <v/>
      </c>
    </row>
    <row r="102">
      <c r="A102" t="n">
        <v>10102</v>
      </c>
      <c r="B102" s="3">
        <f>INDEX(Lines!$B$2:$B$331,MATCH(A102,Lines!$A$2:$A$331,0))</f>
        <v/>
      </c>
      <c r="C102">
        <f>INDEX(Lines!$C$2:$C$331,MATCH(A102,Lines!$A$2:$A$331,0))</f>
        <v/>
      </c>
      <c r="D102">
        <f>SUMIFS(Lines!$I$2:$I$331,Lines!$A$2:$A$331,A102)</f>
        <v/>
      </c>
      <c r="E102">
        <f>COUNTIFS(Lines!$A$2:$A$331,A102)</f>
        <v/>
      </c>
      <c r="F102" s="3">
        <f>DATE(YEAR(B102),MONTH(B102),1)</f>
        <v/>
      </c>
      <c r="G102">
        <f>INT(D102/100)</f>
        <v/>
      </c>
      <c r="H102">
        <f>SUMIFS($D$2:D102,$C$2:C102,C102)-D102</f>
        <v/>
      </c>
      <c r="I102">
        <f>IF(H102&gt;=250000,1.5,IF(H102&gt;=100000,1.25,1))</f>
        <v/>
      </c>
      <c r="J102">
        <f>ROUNDDOWN(G102*I102,0)</f>
        <v/>
      </c>
      <c r="K102">
        <f>IF(COUNTIFS($C$2:$C$174,C102,$F$2:$F$174,EDATE(F102,-1))&gt;0,200,0)</f>
        <v/>
      </c>
      <c r="L102">
        <f>IF(E102&gt;=3,100,0)</f>
        <v/>
      </c>
      <c r="M102">
        <f>J102+K102+L102</f>
        <v/>
      </c>
      <c r="N102">
        <f>SUMIFS($M$2:M102,$C$2:C102,C102)</f>
        <v/>
      </c>
      <c r="O102">
        <f>IF(AND(B102&lt;DATE(2025,7,1),COUNTIFS($C$2:$C$174,C102,$B$2:$B$174,"&gt;="&amp;DATE(2025,10,1))=0),M102,0)</f>
        <v/>
      </c>
      <c r="P102">
        <f>IF(N102&gt;=5000,A102,"")</f>
        <v/>
      </c>
    </row>
    <row r="103">
      <c r="A103" t="n">
        <v>10103</v>
      </c>
      <c r="B103" s="3">
        <f>INDEX(Lines!$B$2:$B$331,MATCH(A103,Lines!$A$2:$A$331,0))</f>
        <v/>
      </c>
      <c r="C103">
        <f>INDEX(Lines!$C$2:$C$331,MATCH(A103,Lines!$A$2:$A$331,0))</f>
        <v/>
      </c>
      <c r="D103">
        <f>SUMIFS(Lines!$I$2:$I$331,Lines!$A$2:$A$331,A103)</f>
        <v/>
      </c>
      <c r="E103">
        <f>COUNTIFS(Lines!$A$2:$A$331,A103)</f>
        <v/>
      </c>
      <c r="F103" s="3">
        <f>DATE(YEAR(B103),MONTH(B103),1)</f>
        <v/>
      </c>
      <c r="G103">
        <f>INT(D103/100)</f>
        <v/>
      </c>
      <c r="H103">
        <f>SUMIFS($D$2:D103,$C$2:C103,C103)-D103</f>
        <v/>
      </c>
      <c r="I103">
        <f>IF(H103&gt;=250000,1.5,IF(H103&gt;=100000,1.25,1))</f>
        <v/>
      </c>
      <c r="J103">
        <f>ROUNDDOWN(G103*I103,0)</f>
        <v/>
      </c>
      <c r="K103">
        <f>IF(COUNTIFS($C$2:$C$174,C103,$F$2:$F$174,EDATE(F103,-1))&gt;0,200,0)</f>
        <v/>
      </c>
      <c r="L103">
        <f>IF(E103&gt;=3,100,0)</f>
        <v/>
      </c>
      <c r="M103">
        <f>J103+K103+L103</f>
        <v/>
      </c>
      <c r="N103">
        <f>SUMIFS($M$2:M103,$C$2:C103,C103)</f>
        <v/>
      </c>
      <c r="O103">
        <f>IF(AND(B103&lt;DATE(2025,7,1),COUNTIFS($C$2:$C$174,C103,$B$2:$B$174,"&gt;="&amp;DATE(2025,10,1))=0),M103,0)</f>
        <v/>
      </c>
      <c r="P103">
        <f>IF(N103&gt;=5000,A103,"")</f>
        <v/>
      </c>
    </row>
    <row r="104">
      <c r="A104" t="n">
        <v>10104</v>
      </c>
      <c r="B104" s="3">
        <f>INDEX(Lines!$B$2:$B$331,MATCH(A104,Lines!$A$2:$A$331,0))</f>
        <v/>
      </c>
      <c r="C104">
        <f>INDEX(Lines!$C$2:$C$331,MATCH(A104,Lines!$A$2:$A$331,0))</f>
        <v/>
      </c>
      <c r="D104">
        <f>SUMIFS(Lines!$I$2:$I$331,Lines!$A$2:$A$331,A104)</f>
        <v/>
      </c>
      <c r="E104">
        <f>COUNTIFS(Lines!$A$2:$A$331,A104)</f>
        <v/>
      </c>
      <c r="F104" s="3">
        <f>DATE(YEAR(B104),MONTH(B104),1)</f>
        <v/>
      </c>
      <c r="G104">
        <f>INT(D104/100)</f>
        <v/>
      </c>
      <c r="H104">
        <f>SUMIFS($D$2:D104,$C$2:C104,C104)-D104</f>
        <v/>
      </c>
      <c r="I104">
        <f>IF(H104&gt;=250000,1.5,IF(H104&gt;=100000,1.25,1))</f>
        <v/>
      </c>
      <c r="J104">
        <f>ROUNDDOWN(G104*I104,0)</f>
        <v/>
      </c>
      <c r="K104">
        <f>IF(COUNTIFS($C$2:$C$174,C104,$F$2:$F$174,EDATE(F104,-1))&gt;0,200,0)</f>
        <v/>
      </c>
      <c r="L104">
        <f>IF(E104&gt;=3,100,0)</f>
        <v/>
      </c>
      <c r="M104">
        <f>J104+K104+L104</f>
        <v/>
      </c>
      <c r="N104">
        <f>SUMIFS($M$2:M104,$C$2:C104,C104)</f>
        <v/>
      </c>
      <c r="O104">
        <f>IF(AND(B104&lt;DATE(2025,7,1),COUNTIFS($C$2:$C$174,C104,$B$2:$B$174,"&gt;="&amp;DATE(2025,10,1))=0),M104,0)</f>
        <v/>
      </c>
      <c r="P104">
        <f>IF(N104&gt;=5000,A104,"")</f>
        <v/>
      </c>
    </row>
    <row r="105">
      <c r="A105" t="n">
        <v>10105</v>
      </c>
      <c r="B105" s="3">
        <f>INDEX(Lines!$B$2:$B$331,MATCH(A105,Lines!$A$2:$A$331,0))</f>
        <v/>
      </c>
      <c r="C105">
        <f>INDEX(Lines!$C$2:$C$331,MATCH(A105,Lines!$A$2:$A$331,0))</f>
        <v/>
      </c>
      <c r="D105">
        <f>SUMIFS(Lines!$I$2:$I$331,Lines!$A$2:$A$331,A105)</f>
        <v/>
      </c>
      <c r="E105">
        <f>COUNTIFS(Lines!$A$2:$A$331,A105)</f>
        <v/>
      </c>
      <c r="F105" s="3">
        <f>DATE(YEAR(B105),MONTH(B105),1)</f>
        <v/>
      </c>
      <c r="G105">
        <f>INT(D105/100)</f>
        <v/>
      </c>
      <c r="H105">
        <f>SUMIFS($D$2:D105,$C$2:C105,C105)-D105</f>
        <v/>
      </c>
      <c r="I105">
        <f>IF(H105&gt;=250000,1.5,IF(H105&gt;=100000,1.25,1))</f>
        <v/>
      </c>
      <c r="J105">
        <f>ROUNDDOWN(G105*I105,0)</f>
        <v/>
      </c>
      <c r="K105">
        <f>IF(COUNTIFS($C$2:$C$174,C105,$F$2:$F$174,EDATE(F105,-1))&gt;0,200,0)</f>
        <v/>
      </c>
      <c r="L105">
        <f>IF(E105&gt;=3,100,0)</f>
        <v/>
      </c>
      <c r="M105">
        <f>J105+K105+L105</f>
        <v/>
      </c>
      <c r="N105">
        <f>SUMIFS($M$2:M105,$C$2:C105,C105)</f>
        <v/>
      </c>
      <c r="O105">
        <f>IF(AND(B105&lt;DATE(2025,7,1),COUNTIFS($C$2:$C$174,C105,$B$2:$B$174,"&gt;="&amp;DATE(2025,10,1))=0),M105,0)</f>
        <v/>
      </c>
      <c r="P105">
        <f>IF(N105&gt;=5000,A105,"")</f>
        <v/>
      </c>
    </row>
    <row r="106">
      <c r="A106" t="n">
        <v>10106</v>
      </c>
      <c r="B106" s="3">
        <f>INDEX(Lines!$B$2:$B$331,MATCH(A106,Lines!$A$2:$A$331,0))</f>
        <v/>
      </c>
      <c r="C106">
        <f>INDEX(Lines!$C$2:$C$331,MATCH(A106,Lines!$A$2:$A$331,0))</f>
        <v/>
      </c>
      <c r="D106">
        <f>SUMIFS(Lines!$I$2:$I$331,Lines!$A$2:$A$331,A106)</f>
        <v/>
      </c>
      <c r="E106">
        <f>COUNTIFS(Lines!$A$2:$A$331,A106)</f>
        <v/>
      </c>
      <c r="F106" s="3">
        <f>DATE(YEAR(B106),MONTH(B106),1)</f>
        <v/>
      </c>
      <c r="G106">
        <f>INT(D106/100)</f>
        <v/>
      </c>
      <c r="H106">
        <f>SUMIFS($D$2:D106,$C$2:C106,C106)-D106</f>
        <v/>
      </c>
      <c r="I106">
        <f>IF(H106&gt;=250000,1.5,IF(H106&gt;=100000,1.25,1))</f>
        <v/>
      </c>
      <c r="J106">
        <f>ROUNDDOWN(G106*I106,0)</f>
        <v/>
      </c>
      <c r="K106">
        <f>IF(COUNTIFS($C$2:$C$174,C106,$F$2:$F$174,EDATE(F106,-1))&gt;0,200,0)</f>
        <v/>
      </c>
      <c r="L106">
        <f>IF(E106&gt;=3,100,0)</f>
        <v/>
      </c>
      <c r="M106">
        <f>J106+K106+L106</f>
        <v/>
      </c>
      <c r="N106">
        <f>SUMIFS($M$2:M106,$C$2:C106,C106)</f>
        <v/>
      </c>
      <c r="O106">
        <f>IF(AND(B106&lt;DATE(2025,7,1),COUNTIFS($C$2:$C$174,C106,$B$2:$B$174,"&gt;="&amp;DATE(2025,10,1))=0),M106,0)</f>
        <v/>
      </c>
      <c r="P106">
        <f>IF(N106&gt;=5000,A106,"")</f>
        <v/>
      </c>
    </row>
    <row r="107">
      <c r="A107" t="n">
        <v>10107</v>
      </c>
      <c r="B107" s="3">
        <f>INDEX(Lines!$B$2:$B$331,MATCH(A107,Lines!$A$2:$A$331,0))</f>
        <v/>
      </c>
      <c r="C107">
        <f>INDEX(Lines!$C$2:$C$331,MATCH(A107,Lines!$A$2:$A$331,0))</f>
        <v/>
      </c>
      <c r="D107">
        <f>SUMIFS(Lines!$I$2:$I$331,Lines!$A$2:$A$331,A107)</f>
        <v/>
      </c>
      <c r="E107">
        <f>COUNTIFS(Lines!$A$2:$A$331,A107)</f>
        <v/>
      </c>
      <c r="F107" s="3">
        <f>DATE(YEAR(B107),MONTH(B107),1)</f>
        <v/>
      </c>
      <c r="G107">
        <f>INT(D107/100)</f>
        <v/>
      </c>
      <c r="H107">
        <f>SUMIFS($D$2:D107,$C$2:C107,C107)-D107</f>
        <v/>
      </c>
      <c r="I107">
        <f>IF(H107&gt;=250000,1.5,IF(H107&gt;=100000,1.25,1))</f>
        <v/>
      </c>
      <c r="J107">
        <f>ROUNDDOWN(G107*I107,0)</f>
        <v/>
      </c>
      <c r="K107">
        <f>IF(COUNTIFS($C$2:$C$174,C107,$F$2:$F$174,EDATE(F107,-1))&gt;0,200,0)</f>
        <v/>
      </c>
      <c r="L107">
        <f>IF(E107&gt;=3,100,0)</f>
        <v/>
      </c>
      <c r="M107">
        <f>J107+K107+L107</f>
        <v/>
      </c>
      <c r="N107">
        <f>SUMIFS($M$2:M107,$C$2:C107,C107)</f>
        <v/>
      </c>
      <c r="O107">
        <f>IF(AND(B107&lt;DATE(2025,7,1),COUNTIFS($C$2:$C$174,C107,$B$2:$B$174,"&gt;="&amp;DATE(2025,10,1))=0),M107,0)</f>
        <v/>
      </c>
      <c r="P107">
        <f>IF(N107&gt;=5000,A107,"")</f>
        <v/>
      </c>
    </row>
    <row r="108">
      <c r="A108" t="n">
        <v>10108</v>
      </c>
      <c r="B108" s="3">
        <f>INDEX(Lines!$B$2:$B$331,MATCH(A108,Lines!$A$2:$A$331,0))</f>
        <v/>
      </c>
      <c r="C108">
        <f>INDEX(Lines!$C$2:$C$331,MATCH(A108,Lines!$A$2:$A$331,0))</f>
        <v/>
      </c>
      <c r="D108">
        <f>SUMIFS(Lines!$I$2:$I$331,Lines!$A$2:$A$331,A108)</f>
        <v/>
      </c>
      <c r="E108">
        <f>COUNTIFS(Lines!$A$2:$A$331,A108)</f>
        <v/>
      </c>
      <c r="F108" s="3">
        <f>DATE(YEAR(B108),MONTH(B108),1)</f>
        <v/>
      </c>
      <c r="G108">
        <f>INT(D108/100)</f>
        <v/>
      </c>
      <c r="H108">
        <f>SUMIFS($D$2:D108,$C$2:C108,C108)-D108</f>
        <v/>
      </c>
      <c r="I108">
        <f>IF(H108&gt;=250000,1.5,IF(H108&gt;=100000,1.25,1))</f>
        <v/>
      </c>
      <c r="J108">
        <f>ROUNDDOWN(G108*I108,0)</f>
        <v/>
      </c>
      <c r="K108">
        <f>IF(COUNTIFS($C$2:$C$174,C108,$F$2:$F$174,EDATE(F108,-1))&gt;0,200,0)</f>
        <v/>
      </c>
      <c r="L108">
        <f>IF(E108&gt;=3,100,0)</f>
        <v/>
      </c>
      <c r="M108">
        <f>J108+K108+L108</f>
        <v/>
      </c>
      <c r="N108">
        <f>SUMIFS($M$2:M108,$C$2:C108,C108)</f>
        <v/>
      </c>
      <c r="O108">
        <f>IF(AND(B108&lt;DATE(2025,7,1),COUNTIFS($C$2:$C$174,C108,$B$2:$B$174,"&gt;="&amp;DATE(2025,10,1))=0),M108,0)</f>
        <v/>
      </c>
      <c r="P108">
        <f>IF(N108&gt;=5000,A108,"")</f>
        <v/>
      </c>
    </row>
    <row r="109">
      <c r="A109" t="n">
        <v>10109</v>
      </c>
      <c r="B109" s="3">
        <f>INDEX(Lines!$B$2:$B$331,MATCH(A109,Lines!$A$2:$A$331,0))</f>
        <v/>
      </c>
      <c r="C109">
        <f>INDEX(Lines!$C$2:$C$331,MATCH(A109,Lines!$A$2:$A$331,0))</f>
        <v/>
      </c>
      <c r="D109">
        <f>SUMIFS(Lines!$I$2:$I$331,Lines!$A$2:$A$331,A109)</f>
        <v/>
      </c>
      <c r="E109">
        <f>COUNTIFS(Lines!$A$2:$A$331,A109)</f>
        <v/>
      </c>
      <c r="F109" s="3">
        <f>DATE(YEAR(B109),MONTH(B109),1)</f>
        <v/>
      </c>
      <c r="G109">
        <f>INT(D109/100)</f>
        <v/>
      </c>
      <c r="H109">
        <f>SUMIFS($D$2:D109,$C$2:C109,C109)-D109</f>
        <v/>
      </c>
      <c r="I109">
        <f>IF(H109&gt;=250000,1.5,IF(H109&gt;=100000,1.25,1))</f>
        <v/>
      </c>
      <c r="J109">
        <f>ROUNDDOWN(G109*I109,0)</f>
        <v/>
      </c>
      <c r="K109">
        <f>IF(COUNTIFS($C$2:$C$174,C109,$F$2:$F$174,EDATE(F109,-1))&gt;0,200,0)</f>
        <v/>
      </c>
      <c r="L109">
        <f>IF(E109&gt;=3,100,0)</f>
        <v/>
      </c>
      <c r="M109">
        <f>J109+K109+L109</f>
        <v/>
      </c>
      <c r="N109">
        <f>SUMIFS($M$2:M109,$C$2:C109,C109)</f>
        <v/>
      </c>
      <c r="O109">
        <f>IF(AND(B109&lt;DATE(2025,7,1),COUNTIFS($C$2:$C$174,C109,$B$2:$B$174,"&gt;="&amp;DATE(2025,10,1))=0),M109,0)</f>
        <v/>
      </c>
      <c r="P109">
        <f>IF(N109&gt;=5000,A109,"")</f>
        <v/>
      </c>
    </row>
    <row r="110">
      <c r="A110" t="n">
        <v>10110</v>
      </c>
      <c r="B110" s="3">
        <f>INDEX(Lines!$B$2:$B$331,MATCH(A110,Lines!$A$2:$A$331,0))</f>
        <v/>
      </c>
      <c r="C110">
        <f>INDEX(Lines!$C$2:$C$331,MATCH(A110,Lines!$A$2:$A$331,0))</f>
        <v/>
      </c>
      <c r="D110">
        <f>SUMIFS(Lines!$I$2:$I$331,Lines!$A$2:$A$331,A110)</f>
        <v/>
      </c>
      <c r="E110">
        <f>COUNTIFS(Lines!$A$2:$A$331,A110)</f>
        <v/>
      </c>
      <c r="F110" s="3">
        <f>DATE(YEAR(B110),MONTH(B110),1)</f>
        <v/>
      </c>
      <c r="G110">
        <f>INT(D110/100)</f>
        <v/>
      </c>
      <c r="H110">
        <f>SUMIFS($D$2:D110,$C$2:C110,C110)-D110</f>
        <v/>
      </c>
      <c r="I110">
        <f>IF(H110&gt;=250000,1.5,IF(H110&gt;=100000,1.25,1))</f>
        <v/>
      </c>
      <c r="J110">
        <f>ROUNDDOWN(G110*I110,0)</f>
        <v/>
      </c>
      <c r="K110">
        <f>IF(COUNTIFS($C$2:$C$174,C110,$F$2:$F$174,EDATE(F110,-1))&gt;0,200,0)</f>
        <v/>
      </c>
      <c r="L110">
        <f>IF(E110&gt;=3,100,0)</f>
        <v/>
      </c>
      <c r="M110">
        <f>J110+K110+L110</f>
        <v/>
      </c>
      <c r="N110">
        <f>SUMIFS($M$2:M110,$C$2:C110,C110)</f>
        <v/>
      </c>
      <c r="O110">
        <f>IF(AND(B110&lt;DATE(2025,7,1),COUNTIFS($C$2:$C$174,C110,$B$2:$B$174,"&gt;="&amp;DATE(2025,10,1))=0),M110,0)</f>
        <v/>
      </c>
      <c r="P110">
        <f>IF(N110&gt;=5000,A110,"")</f>
        <v/>
      </c>
    </row>
    <row r="111">
      <c r="A111" t="n">
        <v>10111</v>
      </c>
      <c r="B111" s="3">
        <f>INDEX(Lines!$B$2:$B$331,MATCH(A111,Lines!$A$2:$A$331,0))</f>
        <v/>
      </c>
      <c r="C111">
        <f>INDEX(Lines!$C$2:$C$331,MATCH(A111,Lines!$A$2:$A$331,0))</f>
        <v/>
      </c>
      <c r="D111">
        <f>SUMIFS(Lines!$I$2:$I$331,Lines!$A$2:$A$331,A111)</f>
        <v/>
      </c>
      <c r="E111">
        <f>COUNTIFS(Lines!$A$2:$A$331,A111)</f>
        <v/>
      </c>
      <c r="F111" s="3">
        <f>DATE(YEAR(B111),MONTH(B111),1)</f>
        <v/>
      </c>
      <c r="G111">
        <f>INT(D111/100)</f>
        <v/>
      </c>
      <c r="H111">
        <f>SUMIFS($D$2:D111,$C$2:C111,C111)-D111</f>
        <v/>
      </c>
      <c r="I111">
        <f>IF(H111&gt;=250000,1.5,IF(H111&gt;=100000,1.25,1))</f>
        <v/>
      </c>
      <c r="J111">
        <f>ROUNDDOWN(G111*I111,0)</f>
        <v/>
      </c>
      <c r="K111">
        <f>IF(COUNTIFS($C$2:$C$174,C111,$F$2:$F$174,EDATE(F111,-1))&gt;0,200,0)</f>
        <v/>
      </c>
      <c r="L111">
        <f>IF(E111&gt;=3,100,0)</f>
        <v/>
      </c>
      <c r="M111">
        <f>J111+K111+L111</f>
        <v/>
      </c>
      <c r="N111">
        <f>SUMIFS($M$2:M111,$C$2:C111,C111)</f>
        <v/>
      </c>
      <c r="O111">
        <f>IF(AND(B111&lt;DATE(2025,7,1),COUNTIFS($C$2:$C$174,C111,$B$2:$B$174,"&gt;="&amp;DATE(2025,10,1))=0),M111,0)</f>
        <v/>
      </c>
      <c r="P111">
        <f>IF(N111&gt;=5000,A111,"")</f>
        <v/>
      </c>
    </row>
    <row r="112">
      <c r="A112" t="n">
        <v>10112</v>
      </c>
      <c r="B112" s="3">
        <f>INDEX(Lines!$B$2:$B$331,MATCH(A112,Lines!$A$2:$A$331,0))</f>
        <v/>
      </c>
      <c r="C112">
        <f>INDEX(Lines!$C$2:$C$331,MATCH(A112,Lines!$A$2:$A$331,0))</f>
        <v/>
      </c>
      <c r="D112">
        <f>SUMIFS(Lines!$I$2:$I$331,Lines!$A$2:$A$331,A112)</f>
        <v/>
      </c>
      <c r="E112">
        <f>COUNTIFS(Lines!$A$2:$A$331,A112)</f>
        <v/>
      </c>
      <c r="F112" s="3">
        <f>DATE(YEAR(B112),MONTH(B112),1)</f>
        <v/>
      </c>
      <c r="G112">
        <f>INT(D112/100)</f>
        <v/>
      </c>
      <c r="H112">
        <f>SUMIFS($D$2:D112,$C$2:C112,C112)-D112</f>
        <v/>
      </c>
      <c r="I112">
        <f>IF(H112&gt;=250000,1.5,IF(H112&gt;=100000,1.25,1))</f>
        <v/>
      </c>
      <c r="J112">
        <f>ROUNDDOWN(G112*I112,0)</f>
        <v/>
      </c>
      <c r="K112">
        <f>IF(COUNTIFS($C$2:$C$174,C112,$F$2:$F$174,EDATE(F112,-1))&gt;0,200,0)</f>
        <v/>
      </c>
      <c r="L112">
        <f>IF(E112&gt;=3,100,0)</f>
        <v/>
      </c>
      <c r="M112">
        <f>J112+K112+L112</f>
        <v/>
      </c>
      <c r="N112">
        <f>SUMIFS($M$2:M112,$C$2:C112,C112)</f>
        <v/>
      </c>
      <c r="O112">
        <f>IF(AND(B112&lt;DATE(2025,7,1),COUNTIFS($C$2:$C$174,C112,$B$2:$B$174,"&gt;="&amp;DATE(2025,10,1))=0),M112,0)</f>
        <v/>
      </c>
      <c r="P112">
        <f>IF(N112&gt;=5000,A112,"")</f>
        <v/>
      </c>
    </row>
    <row r="113">
      <c r="A113" t="n">
        <v>10113</v>
      </c>
      <c r="B113" s="3">
        <f>INDEX(Lines!$B$2:$B$331,MATCH(A113,Lines!$A$2:$A$331,0))</f>
        <v/>
      </c>
      <c r="C113">
        <f>INDEX(Lines!$C$2:$C$331,MATCH(A113,Lines!$A$2:$A$331,0))</f>
        <v/>
      </c>
      <c r="D113">
        <f>SUMIFS(Lines!$I$2:$I$331,Lines!$A$2:$A$331,A113)</f>
        <v/>
      </c>
      <c r="E113">
        <f>COUNTIFS(Lines!$A$2:$A$331,A113)</f>
        <v/>
      </c>
      <c r="F113" s="3">
        <f>DATE(YEAR(B113),MONTH(B113),1)</f>
        <v/>
      </c>
      <c r="G113">
        <f>INT(D113/100)</f>
        <v/>
      </c>
      <c r="H113">
        <f>SUMIFS($D$2:D113,$C$2:C113,C113)-D113</f>
        <v/>
      </c>
      <c r="I113">
        <f>IF(H113&gt;=250000,1.5,IF(H113&gt;=100000,1.25,1))</f>
        <v/>
      </c>
      <c r="J113">
        <f>ROUNDDOWN(G113*I113,0)</f>
        <v/>
      </c>
      <c r="K113">
        <f>IF(COUNTIFS($C$2:$C$174,C113,$F$2:$F$174,EDATE(F113,-1))&gt;0,200,0)</f>
        <v/>
      </c>
      <c r="L113">
        <f>IF(E113&gt;=3,100,0)</f>
        <v/>
      </c>
      <c r="M113">
        <f>J113+K113+L113</f>
        <v/>
      </c>
      <c r="N113">
        <f>SUMIFS($M$2:M113,$C$2:C113,C113)</f>
        <v/>
      </c>
      <c r="O113">
        <f>IF(AND(B113&lt;DATE(2025,7,1),COUNTIFS($C$2:$C$174,C113,$B$2:$B$174,"&gt;="&amp;DATE(2025,10,1))=0),M113,0)</f>
        <v/>
      </c>
      <c r="P113">
        <f>IF(N113&gt;=5000,A113,"")</f>
        <v/>
      </c>
    </row>
    <row r="114">
      <c r="A114" t="n">
        <v>10114</v>
      </c>
      <c r="B114" s="3">
        <f>INDEX(Lines!$B$2:$B$331,MATCH(A114,Lines!$A$2:$A$331,0))</f>
        <v/>
      </c>
      <c r="C114">
        <f>INDEX(Lines!$C$2:$C$331,MATCH(A114,Lines!$A$2:$A$331,0))</f>
        <v/>
      </c>
      <c r="D114">
        <f>SUMIFS(Lines!$I$2:$I$331,Lines!$A$2:$A$331,A114)</f>
        <v/>
      </c>
      <c r="E114">
        <f>COUNTIFS(Lines!$A$2:$A$331,A114)</f>
        <v/>
      </c>
      <c r="F114" s="3">
        <f>DATE(YEAR(B114),MONTH(B114),1)</f>
        <v/>
      </c>
      <c r="G114">
        <f>INT(D114/100)</f>
        <v/>
      </c>
      <c r="H114">
        <f>SUMIFS($D$2:D114,$C$2:C114,C114)-D114</f>
        <v/>
      </c>
      <c r="I114">
        <f>IF(H114&gt;=250000,1.5,IF(H114&gt;=100000,1.25,1))</f>
        <v/>
      </c>
      <c r="J114">
        <f>ROUNDDOWN(G114*I114,0)</f>
        <v/>
      </c>
      <c r="K114">
        <f>IF(COUNTIFS($C$2:$C$174,C114,$F$2:$F$174,EDATE(F114,-1))&gt;0,200,0)</f>
        <v/>
      </c>
      <c r="L114">
        <f>IF(E114&gt;=3,100,0)</f>
        <v/>
      </c>
      <c r="M114">
        <f>J114+K114+L114</f>
        <v/>
      </c>
      <c r="N114">
        <f>SUMIFS($M$2:M114,$C$2:C114,C114)</f>
        <v/>
      </c>
      <c r="O114">
        <f>IF(AND(B114&lt;DATE(2025,7,1),COUNTIFS($C$2:$C$174,C114,$B$2:$B$174,"&gt;="&amp;DATE(2025,10,1))=0),M114,0)</f>
        <v/>
      </c>
      <c r="P114">
        <f>IF(N114&gt;=5000,A114,"")</f>
        <v/>
      </c>
    </row>
    <row r="115">
      <c r="A115" t="n">
        <v>10115</v>
      </c>
      <c r="B115" s="3">
        <f>INDEX(Lines!$B$2:$B$331,MATCH(A115,Lines!$A$2:$A$331,0))</f>
        <v/>
      </c>
      <c r="C115">
        <f>INDEX(Lines!$C$2:$C$331,MATCH(A115,Lines!$A$2:$A$331,0))</f>
        <v/>
      </c>
      <c r="D115">
        <f>SUMIFS(Lines!$I$2:$I$331,Lines!$A$2:$A$331,A115)</f>
        <v/>
      </c>
      <c r="E115">
        <f>COUNTIFS(Lines!$A$2:$A$331,A115)</f>
        <v/>
      </c>
      <c r="F115" s="3">
        <f>DATE(YEAR(B115),MONTH(B115),1)</f>
        <v/>
      </c>
      <c r="G115">
        <f>INT(D115/100)</f>
        <v/>
      </c>
      <c r="H115">
        <f>SUMIFS($D$2:D115,$C$2:C115,C115)-D115</f>
        <v/>
      </c>
      <c r="I115">
        <f>IF(H115&gt;=250000,1.5,IF(H115&gt;=100000,1.25,1))</f>
        <v/>
      </c>
      <c r="J115">
        <f>ROUNDDOWN(G115*I115,0)</f>
        <v/>
      </c>
      <c r="K115">
        <f>IF(COUNTIFS($C$2:$C$174,C115,$F$2:$F$174,EDATE(F115,-1))&gt;0,200,0)</f>
        <v/>
      </c>
      <c r="L115">
        <f>IF(E115&gt;=3,100,0)</f>
        <v/>
      </c>
      <c r="M115">
        <f>J115+K115+L115</f>
        <v/>
      </c>
      <c r="N115">
        <f>SUMIFS($M$2:M115,$C$2:C115,C115)</f>
        <v/>
      </c>
      <c r="O115">
        <f>IF(AND(B115&lt;DATE(2025,7,1),COUNTIFS($C$2:$C$174,C115,$B$2:$B$174,"&gt;="&amp;DATE(2025,10,1))=0),M115,0)</f>
        <v/>
      </c>
      <c r="P115">
        <f>IF(N115&gt;=5000,A115,"")</f>
        <v/>
      </c>
    </row>
    <row r="116">
      <c r="A116" t="n">
        <v>10116</v>
      </c>
      <c r="B116" s="3">
        <f>INDEX(Lines!$B$2:$B$331,MATCH(A116,Lines!$A$2:$A$331,0))</f>
        <v/>
      </c>
      <c r="C116">
        <f>INDEX(Lines!$C$2:$C$331,MATCH(A116,Lines!$A$2:$A$331,0))</f>
        <v/>
      </c>
      <c r="D116">
        <f>SUMIFS(Lines!$I$2:$I$331,Lines!$A$2:$A$331,A116)</f>
        <v/>
      </c>
      <c r="E116">
        <f>COUNTIFS(Lines!$A$2:$A$331,A116)</f>
        <v/>
      </c>
      <c r="F116" s="3">
        <f>DATE(YEAR(B116),MONTH(B116),1)</f>
        <v/>
      </c>
      <c r="G116">
        <f>INT(D116/100)</f>
        <v/>
      </c>
      <c r="H116">
        <f>SUMIFS($D$2:D116,$C$2:C116,C116)-D116</f>
        <v/>
      </c>
      <c r="I116">
        <f>IF(H116&gt;=250000,1.5,IF(H116&gt;=100000,1.25,1))</f>
        <v/>
      </c>
      <c r="J116">
        <f>ROUNDDOWN(G116*I116,0)</f>
        <v/>
      </c>
      <c r="K116">
        <f>IF(COUNTIFS($C$2:$C$174,C116,$F$2:$F$174,EDATE(F116,-1))&gt;0,200,0)</f>
        <v/>
      </c>
      <c r="L116">
        <f>IF(E116&gt;=3,100,0)</f>
        <v/>
      </c>
      <c r="M116">
        <f>J116+K116+L116</f>
        <v/>
      </c>
      <c r="N116">
        <f>SUMIFS($M$2:M116,$C$2:C116,C116)</f>
        <v/>
      </c>
      <c r="O116">
        <f>IF(AND(B116&lt;DATE(2025,7,1),COUNTIFS($C$2:$C$174,C116,$B$2:$B$174,"&gt;="&amp;DATE(2025,10,1))=0),M116,0)</f>
        <v/>
      </c>
      <c r="P116">
        <f>IF(N116&gt;=5000,A116,"")</f>
        <v/>
      </c>
    </row>
    <row r="117">
      <c r="A117" t="n">
        <v>10117</v>
      </c>
      <c r="B117" s="3">
        <f>INDEX(Lines!$B$2:$B$331,MATCH(A117,Lines!$A$2:$A$331,0))</f>
        <v/>
      </c>
      <c r="C117">
        <f>INDEX(Lines!$C$2:$C$331,MATCH(A117,Lines!$A$2:$A$331,0))</f>
        <v/>
      </c>
      <c r="D117">
        <f>SUMIFS(Lines!$I$2:$I$331,Lines!$A$2:$A$331,A117)</f>
        <v/>
      </c>
      <c r="E117">
        <f>COUNTIFS(Lines!$A$2:$A$331,A117)</f>
        <v/>
      </c>
      <c r="F117" s="3">
        <f>DATE(YEAR(B117),MONTH(B117),1)</f>
        <v/>
      </c>
      <c r="G117">
        <f>INT(D117/100)</f>
        <v/>
      </c>
      <c r="H117">
        <f>SUMIFS($D$2:D117,$C$2:C117,C117)-D117</f>
        <v/>
      </c>
      <c r="I117">
        <f>IF(H117&gt;=250000,1.5,IF(H117&gt;=100000,1.25,1))</f>
        <v/>
      </c>
      <c r="J117">
        <f>ROUNDDOWN(G117*I117,0)</f>
        <v/>
      </c>
      <c r="K117">
        <f>IF(COUNTIFS($C$2:$C$174,C117,$F$2:$F$174,EDATE(F117,-1))&gt;0,200,0)</f>
        <v/>
      </c>
      <c r="L117">
        <f>IF(E117&gt;=3,100,0)</f>
        <v/>
      </c>
      <c r="M117">
        <f>J117+K117+L117</f>
        <v/>
      </c>
      <c r="N117">
        <f>SUMIFS($M$2:M117,$C$2:C117,C117)</f>
        <v/>
      </c>
      <c r="O117">
        <f>IF(AND(B117&lt;DATE(2025,7,1),COUNTIFS($C$2:$C$174,C117,$B$2:$B$174,"&gt;="&amp;DATE(2025,10,1))=0),M117,0)</f>
        <v/>
      </c>
      <c r="P117">
        <f>IF(N117&gt;=5000,A117,"")</f>
        <v/>
      </c>
    </row>
    <row r="118">
      <c r="A118" t="n">
        <v>10118</v>
      </c>
      <c r="B118" s="3">
        <f>INDEX(Lines!$B$2:$B$331,MATCH(A118,Lines!$A$2:$A$331,0))</f>
        <v/>
      </c>
      <c r="C118">
        <f>INDEX(Lines!$C$2:$C$331,MATCH(A118,Lines!$A$2:$A$331,0))</f>
        <v/>
      </c>
      <c r="D118">
        <f>SUMIFS(Lines!$I$2:$I$331,Lines!$A$2:$A$331,A118)</f>
        <v/>
      </c>
      <c r="E118">
        <f>COUNTIFS(Lines!$A$2:$A$331,A118)</f>
        <v/>
      </c>
      <c r="F118" s="3">
        <f>DATE(YEAR(B118),MONTH(B118),1)</f>
        <v/>
      </c>
      <c r="G118">
        <f>INT(D118/100)</f>
        <v/>
      </c>
      <c r="H118">
        <f>SUMIFS($D$2:D118,$C$2:C118,C118)-D118</f>
        <v/>
      </c>
      <c r="I118">
        <f>IF(H118&gt;=250000,1.5,IF(H118&gt;=100000,1.25,1))</f>
        <v/>
      </c>
      <c r="J118">
        <f>ROUNDDOWN(G118*I118,0)</f>
        <v/>
      </c>
      <c r="K118">
        <f>IF(COUNTIFS($C$2:$C$174,C118,$F$2:$F$174,EDATE(F118,-1))&gt;0,200,0)</f>
        <v/>
      </c>
      <c r="L118">
        <f>IF(E118&gt;=3,100,0)</f>
        <v/>
      </c>
      <c r="M118">
        <f>J118+K118+L118</f>
        <v/>
      </c>
      <c r="N118">
        <f>SUMIFS($M$2:M118,$C$2:C118,C118)</f>
        <v/>
      </c>
      <c r="O118">
        <f>IF(AND(B118&lt;DATE(2025,7,1),COUNTIFS($C$2:$C$174,C118,$B$2:$B$174,"&gt;="&amp;DATE(2025,10,1))=0),M118,0)</f>
        <v/>
      </c>
      <c r="P118">
        <f>IF(N118&gt;=5000,A118,"")</f>
        <v/>
      </c>
    </row>
    <row r="119">
      <c r="A119" t="n">
        <v>10119</v>
      </c>
      <c r="B119" s="3">
        <f>INDEX(Lines!$B$2:$B$331,MATCH(A119,Lines!$A$2:$A$331,0))</f>
        <v/>
      </c>
      <c r="C119">
        <f>INDEX(Lines!$C$2:$C$331,MATCH(A119,Lines!$A$2:$A$331,0))</f>
        <v/>
      </c>
      <c r="D119">
        <f>SUMIFS(Lines!$I$2:$I$331,Lines!$A$2:$A$331,A119)</f>
        <v/>
      </c>
      <c r="E119">
        <f>COUNTIFS(Lines!$A$2:$A$331,A119)</f>
        <v/>
      </c>
      <c r="F119" s="3">
        <f>DATE(YEAR(B119),MONTH(B119),1)</f>
        <v/>
      </c>
      <c r="G119">
        <f>INT(D119/100)</f>
        <v/>
      </c>
      <c r="H119">
        <f>SUMIFS($D$2:D119,$C$2:C119,C119)-D119</f>
        <v/>
      </c>
      <c r="I119">
        <f>IF(H119&gt;=250000,1.5,IF(H119&gt;=100000,1.25,1))</f>
        <v/>
      </c>
      <c r="J119">
        <f>ROUNDDOWN(G119*I119,0)</f>
        <v/>
      </c>
      <c r="K119">
        <f>IF(COUNTIFS($C$2:$C$174,C119,$F$2:$F$174,EDATE(F119,-1))&gt;0,200,0)</f>
        <v/>
      </c>
      <c r="L119">
        <f>IF(E119&gt;=3,100,0)</f>
        <v/>
      </c>
      <c r="M119">
        <f>J119+K119+L119</f>
        <v/>
      </c>
      <c r="N119">
        <f>SUMIFS($M$2:M119,$C$2:C119,C119)</f>
        <v/>
      </c>
      <c r="O119">
        <f>IF(AND(B119&lt;DATE(2025,7,1),COUNTIFS($C$2:$C$174,C119,$B$2:$B$174,"&gt;="&amp;DATE(2025,10,1))=0),M119,0)</f>
        <v/>
      </c>
      <c r="P119">
        <f>IF(N119&gt;=5000,A119,"")</f>
        <v/>
      </c>
    </row>
    <row r="120">
      <c r="A120" t="n">
        <v>10120</v>
      </c>
      <c r="B120" s="3">
        <f>INDEX(Lines!$B$2:$B$331,MATCH(A120,Lines!$A$2:$A$331,0))</f>
        <v/>
      </c>
      <c r="C120">
        <f>INDEX(Lines!$C$2:$C$331,MATCH(A120,Lines!$A$2:$A$331,0))</f>
        <v/>
      </c>
      <c r="D120">
        <f>SUMIFS(Lines!$I$2:$I$331,Lines!$A$2:$A$331,A120)</f>
        <v/>
      </c>
      <c r="E120">
        <f>COUNTIFS(Lines!$A$2:$A$331,A120)</f>
        <v/>
      </c>
      <c r="F120" s="3">
        <f>DATE(YEAR(B120),MONTH(B120),1)</f>
        <v/>
      </c>
      <c r="G120">
        <f>INT(D120/100)</f>
        <v/>
      </c>
      <c r="H120">
        <f>SUMIFS($D$2:D120,$C$2:C120,C120)-D120</f>
        <v/>
      </c>
      <c r="I120">
        <f>IF(H120&gt;=250000,1.5,IF(H120&gt;=100000,1.25,1))</f>
        <v/>
      </c>
      <c r="J120">
        <f>ROUNDDOWN(G120*I120,0)</f>
        <v/>
      </c>
      <c r="K120">
        <f>IF(COUNTIFS($C$2:$C$174,C120,$F$2:$F$174,EDATE(F120,-1))&gt;0,200,0)</f>
        <v/>
      </c>
      <c r="L120">
        <f>IF(E120&gt;=3,100,0)</f>
        <v/>
      </c>
      <c r="M120">
        <f>J120+K120+L120</f>
        <v/>
      </c>
      <c r="N120">
        <f>SUMIFS($M$2:M120,$C$2:C120,C120)</f>
        <v/>
      </c>
      <c r="O120">
        <f>IF(AND(B120&lt;DATE(2025,7,1),COUNTIFS($C$2:$C$174,C120,$B$2:$B$174,"&gt;="&amp;DATE(2025,10,1))=0),M120,0)</f>
        <v/>
      </c>
      <c r="P120">
        <f>IF(N120&gt;=5000,A120,"")</f>
        <v/>
      </c>
    </row>
    <row r="121">
      <c r="A121" t="n">
        <v>10121</v>
      </c>
      <c r="B121" s="3">
        <f>INDEX(Lines!$B$2:$B$331,MATCH(A121,Lines!$A$2:$A$331,0))</f>
        <v/>
      </c>
      <c r="C121">
        <f>INDEX(Lines!$C$2:$C$331,MATCH(A121,Lines!$A$2:$A$331,0))</f>
        <v/>
      </c>
      <c r="D121">
        <f>SUMIFS(Lines!$I$2:$I$331,Lines!$A$2:$A$331,A121)</f>
        <v/>
      </c>
      <c r="E121">
        <f>COUNTIFS(Lines!$A$2:$A$331,A121)</f>
        <v/>
      </c>
      <c r="F121" s="3">
        <f>DATE(YEAR(B121),MONTH(B121),1)</f>
        <v/>
      </c>
      <c r="G121">
        <f>INT(D121/100)</f>
        <v/>
      </c>
      <c r="H121">
        <f>SUMIFS($D$2:D121,$C$2:C121,C121)-D121</f>
        <v/>
      </c>
      <c r="I121">
        <f>IF(H121&gt;=250000,1.5,IF(H121&gt;=100000,1.25,1))</f>
        <v/>
      </c>
      <c r="J121">
        <f>ROUNDDOWN(G121*I121,0)</f>
        <v/>
      </c>
      <c r="K121">
        <f>IF(COUNTIFS($C$2:$C$174,C121,$F$2:$F$174,EDATE(F121,-1))&gt;0,200,0)</f>
        <v/>
      </c>
      <c r="L121">
        <f>IF(E121&gt;=3,100,0)</f>
        <v/>
      </c>
      <c r="M121">
        <f>J121+K121+L121</f>
        <v/>
      </c>
      <c r="N121">
        <f>SUMIFS($M$2:M121,$C$2:C121,C121)</f>
        <v/>
      </c>
      <c r="O121">
        <f>IF(AND(B121&lt;DATE(2025,7,1),COUNTIFS($C$2:$C$174,C121,$B$2:$B$174,"&gt;="&amp;DATE(2025,10,1))=0),M121,0)</f>
        <v/>
      </c>
      <c r="P121">
        <f>IF(N121&gt;=5000,A121,"")</f>
        <v/>
      </c>
    </row>
    <row r="122">
      <c r="A122" t="n">
        <v>10122</v>
      </c>
      <c r="B122" s="3">
        <f>INDEX(Lines!$B$2:$B$331,MATCH(A122,Lines!$A$2:$A$331,0))</f>
        <v/>
      </c>
      <c r="C122">
        <f>INDEX(Lines!$C$2:$C$331,MATCH(A122,Lines!$A$2:$A$331,0))</f>
        <v/>
      </c>
      <c r="D122">
        <f>SUMIFS(Lines!$I$2:$I$331,Lines!$A$2:$A$331,A122)</f>
        <v/>
      </c>
      <c r="E122">
        <f>COUNTIFS(Lines!$A$2:$A$331,A122)</f>
        <v/>
      </c>
      <c r="F122" s="3">
        <f>DATE(YEAR(B122),MONTH(B122),1)</f>
        <v/>
      </c>
      <c r="G122">
        <f>INT(D122/100)</f>
        <v/>
      </c>
      <c r="H122">
        <f>SUMIFS($D$2:D122,$C$2:C122,C122)-D122</f>
        <v/>
      </c>
      <c r="I122">
        <f>IF(H122&gt;=250000,1.5,IF(H122&gt;=100000,1.25,1))</f>
        <v/>
      </c>
      <c r="J122">
        <f>ROUNDDOWN(G122*I122,0)</f>
        <v/>
      </c>
      <c r="K122">
        <f>IF(COUNTIFS($C$2:$C$174,C122,$F$2:$F$174,EDATE(F122,-1))&gt;0,200,0)</f>
        <v/>
      </c>
      <c r="L122">
        <f>IF(E122&gt;=3,100,0)</f>
        <v/>
      </c>
      <c r="M122">
        <f>J122+K122+L122</f>
        <v/>
      </c>
      <c r="N122">
        <f>SUMIFS($M$2:M122,$C$2:C122,C122)</f>
        <v/>
      </c>
      <c r="O122">
        <f>IF(AND(B122&lt;DATE(2025,7,1),COUNTIFS($C$2:$C$174,C122,$B$2:$B$174,"&gt;="&amp;DATE(2025,10,1))=0),M122,0)</f>
        <v/>
      </c>
      <c r="P122">
        <f>IF(N122&gt;=5000,A122,"")</f>
        <v/>
      </c>
    </row>
    <row r="123">
      <c r="A123" t="n">
        <v>10123</v>
      </c>
      <c r="B123" s="3">
        <f>INDEX(Lines!$B$2:$B$331,MATCH(A123,Lines!$A$2:$A$331,0))</f>
        <v/>
      </c>
      <c r="C123">
        <f>INDEX(Lines!$C$2:$C$331,MATCH(A123,Lines!$A$2:$A$331,0))</f>
        <v/>
      </c>
      <c r="D123">
        <f>SUMIFS(Lines!$I$2:$I$331,Lines!$A$2:$A$331,A123)</f>
        <v/>
      </c>
      <c r="E123">
        <f>COUNTIFS(Lines!$A$2:$A$331,A123)</f>
        <v/>
      </c>
      <c r="F123" s="3">
        <f>DATE(YEAR(B123),MONTH(B123),1)</f>
        <v/>
      </c>
      <c r="G123">
        <f>INT(D123/100)</f>
        <v/>
      </c>
      <c r="H123">
        <f>SUMIFS($D$2:D123,$C$2:C123,C123)-D123</f>
        <v/>
      </c>
      <c r="I123">
        <f>IF(H123&gt;=250000,1.5,IF(H123&gt;=100000,1.25,1))</f>
        <v/>
      </c>
      <c r="J123">
        <f>ROUNDDOWN(G123*I123,0)</f>
        <v/>
      </c>
      <c r="K123">
        <f>IF(COUNTIFS($C$2:$C$174,C123,$F$2:$F$174,EDATE(F123,-1))&gt;0,200,0)</f>
        <v/>
      </c>
      <c r="L123">
        <f>IF(E123&gt;=3,100,0)</f>
        <v/>
      </c>
      <c r="M123">
        <f>J123+K123+L123</f>
        <v/>
      </c>
      <c r="N123">
        <f>SUMIFS($M$2:M123,$C$2:C123,C123)</f>
        <v/>
      </c>
      <c r="O123">
        <f>IF(AND(B123&lt;DATE(2025,7,1),COUNTIFS($C$2:$C$174,C123,$B$2:$B$174,"&gt;="&amp;DATE(2025,10,1))=0),M123,0)</f>
        <v/>
      </c>
      <c r="P123">
        <f>IF(N123&gt;=5000,A123,"")</f>
        <v/>
      </c>
    </row>
    <row r="124">
      <c r="A124" t="n">
        <v>10124</v>
      </c>
      <c r="B124" s="3">
        <f>INDEX(Lines!$B$2:$B$331,MATCH(A124,Lines!$A$2:$A$331,0))</f>
        <v/>
      </c>
      <c r="C124">
        <f>INDEX(Lines!$C$2:$C$331,MATCH(A124,Lines!$A$2:$A$331,0))</f>
        <v/>
      </c>
      <c r="D124">
        <f>SUMIFS(Lines!$I$2:$I$331,Lines!$A$2:$A$331,A124)</f>
        <v/>
      </c>
      <c r="E124">
        <f>COUNTIFS(Lines!$A$2:$A$331,A124)</f>
        <v/>
      </c>
      <c r="F124" s="3">
        <f>DATE(YEAR(B124),MONTH(B124),1)</f>
        <v/>
      </c>
      <c r="G124">
        <f>INT(D124/100)</f>
        <v/>
      </c>
      <c r="H124">
        <f>SUMIFS($D$2:D124,$C$2:C124,C124)-D124</f>
        <v/>
      </c>
      <c r="I124">
        <f>IF(H124&gt;=250000,1.5,IF(H124&gt;=100000,1.25,1))</f>
        <v/>
      </c>
      <c r="J124">
        <f>ROUNDDOWN(G124*I124,0)</f>
        <v/>
      </c>
      <c r="K124">
        <f>IF(COUNTIFS($C$2:$C$174,C124,$F$2:$F$174,EDATE(F124,-1))&gt;0,200,0)</f>
        <v/>
      </c>
      <c r="L124">
        <f>IF(E124&gt;=3,100,0)</f>
        <v/>
      </c>
      <c r="M124">
        <f>J124+K124+L124</f>
        <v/>
      </c>
      <c r="N124">
        <f>SUMIFS($M$2:M124,$C$2:C124,C124)</f>
        <v/>
      </c>
      <c r="O124">
        <f>IF(AND(B124&lt;DATE(2025,7,1),COUNTIFS($C$2:$C$174,C124,$B$2:$B$174,"&gt;="&amp;DATE(2025,10,1))=0),M124,0)</f>
        <v/>
      </c>
      <c r="P124">
        <f>IF(N124&gt;=5000,A124,"")</f>
        <v/>
      </c>
    </row>
    <row r="125">
      <c r="A125" t="n">
        <v>10125</v>
      </c>
      <c r="B125" s="3">
        <f>INDEX(Lines!$B$2:$B$331,MATCH(A125,Lines!$A$2:$A$331,0))</f>
        <v/>
      </c>
      <c r="C125">
        <f>INDEX(Lines!$C$2:$C$331,MATCH(A125,Lines!$A$2:$A$331,0))</f>
        <v/>
      </c>
      <c r="D125">
        <f>SUMIFS(Lines!$I$2:$I$331,Lines!$A$2:$A$331,A125)</f>
        <v/>
      </c>
      <c r="E125">
        <f>COUNTIFS(Lines!$A$2:$A$331,A125)</f>
        <v/>
      </c>
      <c r="F125" s="3">
        <f>DATE(YEAR(B125),MONTH(B125),1)</f>
        <v/>
      </c>
      <c r="G125">
        <f>INT(D125/100)</f>
        <v/>
      </c>
      <c r="H125">
        <f>SUMIFS($D$2:D125,$C$2:C125,C125)-D125</f>
        <v/>
      </c>
      <c r="I125">
        <f>IF(H125&gt;=250000,1.5,IF(H125&gt;=100000,1.25,1))</f>
        <v/>
      </c>
      <c r="J125">
        <f>ROUNDDOWN(G125*I125,0)</f>
        <v/>
      </c>
      <c r="K125">
        <f>IF(COUNTIFS($C$2:$C$174,C125,$F$2:$F$174,EDATE(F125,-1))&gt;0,200,0)</f>
        <v/>
      </c>
      <c r="L125">
        <f>IF(E125&gt;=3,100,0)</f>
        <v/>
      </c>
      <c r="M125">
        <f>J125+K125+L125</f>
        <v/>
      </c>
      <c r="N125">
        <f>SUMIFS($M$2:M125,$C$2:C125,C125)</f>
        <v/>
      </c>
      <c r="O125">
        <f>IF(AND(B125&lt;DATE(2025,7,1),COUNTIFS($C$2:$C$174,C125,$B$2:$B$174,"&gt;="&amp;DATE(2025,10,1))=0),M125,0)</f>
        <v/>
      </c>
      <c r="P125">
        <f>IF(N125&gt;=5000,A125,"")</f>
        <v/>
      </c>
    </row>
    <row r="126">
      <c r="A126" t="n">
        <v>10126</v>
      </c>
      <c r="B126" s="3">
        <f>INDEX(Lines!$B$2:$B$331,MATCH(A126,Lines!$A$2:$A$331,0))</f>
        <v/>
      </c>
      <c r="C126">
        <f>INDEX(Lines!$C$2:$C$331,MATCH(A126,Lines!$A$2:$A$331,0))</f>
        <v/>
      </c>
      <c r="D126">
        <f>SUMIFS(Lines!$I$2:$I$331,Lines!$A$2:$A$331,A126)</f>
        <v/>
      </c>
      <c r="E126">
        <f>COUNTIFS(Lines!$A$2:$A$331,A126)</f>
        <v/>
      </c>
      <c r="F126" s="3">
        <f>DATE(YEAR(B126),MONTH(B126),1)</f>
        <v/>
      </c>
      <c r="G126">
        <f>INT(D126/100)</f>
        <v/>
      </c>
      <c r="H126">
        <f>SUMIFS($D$2:D126,$C$2:C126,C126)-D126</f>
        <v/>
      </c>
      <c r="I126">
        <f>IF(H126&gt;=250000,1.5,IF(H126&gt;=100000,1.25,1))</f>
        <v/>
      </c>
      <c r="J126">
        <f>ROUNDDOWN(G126*I126,0)</f>
        <v/>
      </c>
      <c r="K126">
        <f>IF(COUNTIFS($C$2:$C$174,C126,$F$2:$F$174,EDATE(F126,-1))&gt;0,200,0)</f>
        <v/>
      </c>
      <c r="L126">
        <f>IF(E126&gt;=3,100,0)</f>
        <v/>
      </c>
      <c r="M126">
        <f>J126+K126+L126</f>
        <v/>
      </c>
      <c r="N126">
        <f>SUMIFS($M$2:M126,$C$2:C126,C126)</f>
        <v/>
      </c>
      <c r="O126">
        <f>IF(AND(B126&lt;DATE(2025,7,1),COUNTIFS($C$2:$C$174,C126,$B$2:$B$174,"&gt;="&amp;DATE(2025,10,1))=0),M126,0)</f>
        <v/>
      </c>
      <c r="P126">
        <f>IF(N126&gt;=5000,A126,"")</f>
        <v/>
      </c>
    </row>
    <row r="127">
      <c r="A127" t="n">
        <v>10127</v>
      </c>
      <c r="B127" s="3">
        <f>INDEX(Lines!$B$2:$B$331,MATCH(A127,Lines!$A$2:$A$331,0))</f>
        <v/>
      </c>
      <c r="C127">
        <f>INDEX(Lines!$C$2:$C$331,MATCH(A127,Lines!$A$2:$A$331,0))</f>
        <v/>
      </c>
      <c r="D127">
        <f>SUMIFS(Lines!$I$2:$I$331,Lines!$A$2:$A$331,A127)</f>
        <v/>
      </c>
      <c r="E127">
        <f>COUNTIFS(Lines!$A$2:$A$331,A127)</f>
        <v/>
      </c>
      <c r="F127" s="3">
        <f>DATE(YEAR(B127),MONTH(B127),1)</f>
        <v/>
      </c>
      <c r="G127">
        <f>INT(D127/100)</f>
        <v/>
      </c>
      <c r="H127">
        <f>SUMIFS($D$2:D127,$C$2:C127,C127)-D127</f>
        <v/>
      </c>
      <c r="I127">
        <f>IF(H127&gt;=250000,1.5,IF(H127&gt;=100000,1.25,1))</f>
        <v/>
      </c>
      <c r="J127">
        <f>ROUNDDOWN(G127*I127,0)</f>
        <v/>
      </c>
      <c r="K127">
        <f>IF(COUNTIFS($C$2:$C$174,C127,$F$2:$F$174,EDATE(F127,-1))&gt;0,200,0)</f>
        <v/>
      </c>
      <c r="L127">
        <f>IF(E127&gt;=3,100,0)</f>
        <v/>
      </c>
      <c r="M127">
        <f>J127+K127+L127</f>
        <v/>
      </c>
      <c r="N127">
        <f>SUMIFS($M$2:M127,$C$2:C127,C127)</f>
        <v/>
      </c>
      <c r="O127">
        <f>IF(AND(B127&lt;DATE(2025,7,1),COUNTIFS($C$2:$C$174,C127,$B$2:$B$174,"&gt;="&amp;DATE(2025,10,1))=0),M127,0)</f>
        <v/>
      </c>
      <c r="P127">
        <f>IF(N127&gt;=5000,A127,"")</f>
        <v/>
      </c>
    </row>
    <row r="128">
      <c r="A128" t="n">
        <v>10128</v>
      </c>
      <c r="B128" s="3">
        <f>INDEX(Lines!$B$2:$B$331,MATCH(A128,Lines!$A$2:$A$331,0))</f>
        <v/>
      </c>
      <c r="C128">
        <f>INDEX(Lines!$C$2:$C$331,MATCH(A128,Lines!$A$2:$A$331,0))</f>
        <v/>
      </c>
      <c r="D128">
        <f>SUMIFS(Lines!$I$2:$I$331,Lines!$A$2:$A$331,A128)</f>
        <v/>
      </c>
      <c r="E128">
        <f>COUNTIFS(Lines!$A$2:$A$331,A128)</f>
        <v/>
      </c>
      <c r="F128" s="3">
        <f>DATE(YEAR(B128),MONTH(B128),1)</f>
        <v/>
      </c>
      <c r="G128">
        <f>INT(D128/100)</f>
        <v/>
      </c>
      <c r="H128">
        <f>SUMIFS($D$2:D128,$C$2:C128,C128)-D128</f>
        <v/>
      </c>
      <c r="I128">
        <f>IF(H128&gt;=250000,1.5,IF(H128&gt;=100000,1.25,1))</f>
        <v/>
      </c>
      <c r="J128">
        <f>ROUNDDOWN(G128*I128,0)</f>
        <v/>
      </c>
      <c r="K128">
        <f>IF(COUNTIFS($C$2:$C$174,C128,$F$2:$F$174,EDATE(F128,-1))&gt;0,200,0)</f>
        <v/>
      </c>
      <c r="L128">
        <f>IF(E128&gt;=3,100,0)</f>
        <v/>
      </c>
      <c r="M128">
        <f>J128+K128+L128</f>
        <v/>
      </c>
      <c r="N128">
        <f>SUMIFS($M$2:M128,$C$2:C128,C128)</f>
        <v/>
      </c>
      <c r="O128">
        <f>IF(AND(B128&lt;DATE(2025,7,1),COUNTIFS($C$2:$C$174,C128,$B$2:$B$174,"&gt;="&amp;DATE(2025,10,1))=0),M128,0)</f>
        <v/>
      </c>
      <c r="P128">
        <f>IF(N128&gt;=5000,A128,"")</f>
        <v/>
      </c>
    </row>
    <row r="129">
      <c r="A129" t="n">
        <v>10129</v>
      </c>
      <c r="B129" s="3">
        <f>INDEX(Lines!$B$2:$B$331,MATCH(A129,Lines!$A$2:$A$331,0))</f>
        <v/>
      </c>
      <c r="C129">
        <f>INDEX(Lines!$C$2:$C$331,MATCH(A129,Lines!$A$2:$A$331,0))</f>
        <v/>
      </c>
      <c r="D129">
        <f>SUMIFS(Lines!$I$2:$I$331,Lines!$A$2:$A$331,A129)</f>
        <v/>
      </c>
      <c r="E129">
        <f>COUNTIFS(Lines!$A$2:$A$331,A129)</f>
        <v/>
      </c>
      <c r="F129" s="3">
        <f>DATE(YEAR(B129),MONTH(B129),1)</f>
        <v/>
      </c>
      <c r="G129">
        <f>INT(D129/100)</f>
        <v/>
      </c>
      <c r="H129">
        <f>SUMIFS($D$2:D129,$C$2:C129,C129)-D129</f>
        <v/>
      </c>
      <c r="I129">
        <f>IF(H129&gt;=250000,1.5,IF(H129&gt;=100000,1.25,1))</f>
        <v/>
      </c>
      <c r="J129">
        <f>ROUNDDOWN(G129*I129,0)</f>
        <v/>
      </c>
      <c r="K129">
        <f>IF(COUNTIFS($C$2:$C$174,C129,$F$2:$F$174,EDATE(F129,-1))&gt;0,200,0)</f>
        <v/>
      </c>
      <c r="L129">
        <f>IF(E129&gt;=3,100,0)</f>
        <v/>
      </c>
      <c r="M129">
        <f>J129+K129+L129</f>
        <v/>
      </c>
      <c r="N129">
        <f>SUMIFS($M$2:M129,$C$2:C129,C129)</f>
        <v/>
      </c>
      <c r="O129">
        <f>IF(AND(B129&lt;DATE(2025,7,1),COUNTIFS($C$2:$C$174,C129,$B$2:$B$174,"&gt;="&amp;DATE(2025,10,1))=0),M129,0)</f>
        <v/>
      </c>
      <c r="P129">
        <f>IF(N129&gt;=5000,A129,"")</f>
        <v/>
      </c>
    </row>
    <row r="130">
      <c r="A130" t="n">
        <v>10130</v>
      </c>
      <c r="B130" s="3">
        <f>INDEX(Lines!$B$2:$B$331,MATCH(A130,Lines!$A$2:$A$331,0))</f>
        <v/>
      </c>
      <c r="C130">
        <f>INDEX(Lines!$C$2:$C$331,MATCH(A130,Lines!$A$2:$A$331,0))</f>
        <v/>
      </c>
      <c r="D130">
        <f>SUMIFS(Lines!$I$2:$I$331,Lines!$A$2:$A$331,A130)</f>
        <v/>
      </c>
      <c r="E130">
        <f>COUNTIFS(Lines!$A$2:$A$331,A130)</f>
        <v/>
      </c>
      <c r="F130" s="3">
        <f>DATE(YEAR(B130),MONTH(B130),1)</f>
        <v/>
      </c>
      <c r="G130">
        <f>INT(D130/100)</f>
        <v/>
      </c>
      <c r="H130">
        <f>SUMIFS($D$2:D130,$C$2:C130,C130)-D130</f>
        <v/>
      </c>
      <c r="I130">
        <f>IF(H130&gt;=250000,1.5,IF(H130&gt;=100000,1.25,1))</f>
        <v/>
      </c>
      <c r="J130">
        <f>ROUNDDOWN(G130*I130,0)</f>
        <v/>
      </c>
      <c r="K130">
        <f>IF(COUNTIFS($C$2:$C$174,C130,$F$2:$F$174,EDATE(F130,-1))&gt;0,200,0)</f>
        <v/>
      </c>
      <c r="L130">
        <f>IF(E130&gt;=3,100,0)</f>
        <v/>
      </c>
      <c r="M130">
        <f>J130+K130+L130</f>
        <v/>
      </c>
      <c r="N130">
        <f>SUMIFS($M$2:M130,$C$2:C130,C130)</f>
        <v/>
      </c>
      <c r="O130">
        <f>IF(AND(B130&lt;DATE(2025,7,1),COUNTIFS($C$2:$C$174,C130,$B$2:$B$174,"&gt;="&amp;DATE(2025,10,1))=0),M130,0)</f>
        <v/>
      </c>
      <c r="P130">
        <f>IF(N130&gt;=5000,A130,"")</f>
        <v/>
      </c>
    </row>
    <row r="131">
      <c r="A131" t="n">
        <v>10132</v>
      </c>
      <c r="B131" s="3">
        <f>INDEX(Lines!$B$2:$B$331,MATCH(A131,Lines!$A$2:$A$331,0))</f>
        <v/>
      </c>
      <c r="C131">
        <f>INDEX(Lines!$C$2:$C$331,MATCH(A131,Lines!$A$2:$A$331,0))</f>
        <v/>
      </c>
      <c r="D131">
        <f>SUMIFS(Lines!$I$2:$I$331,Lines!$A$2:$A$331,A131)</f>
        <v/>
      </c>
      <c r="E131">
        <f>COUNTIFS(Lines!$A$2:$A$331,A131)</f>
        <v/>
      </c>
      <c r="F131" s="3">
        <f>DATE(YEAR(B131),MONTH(B131),1)</f>
        <v/>
      </c>
      <c r="G131">
        <f>INT(D131/100)</f>
        <v/>
      </c>
      <c r="H131">
        <f>SUMIFS($D$2:D131,$C$2:C131,C131)-D131</f>
        <v/>
      </c>
      <c r="I131">
        <f>IF(H131&gt;=250000,1.5,IF(H131&gt;=100000,1.25,1))</f>
        <v/>
      </c>
      <c r="J131">
        <f>ROUNDDOWN(G131*I131,0)</f>
        <v/>
      </c>
      <c r="K131">
        <f>IF(COUNTIFS($C$2:$C$174,C131,$F$2:$F$174,EDATE(F131,-1))&gt;0,200,0)</f>
        <v/>
      </c>
      <c r="L131">
        <f>IF(E131&gt;=3,100,0)</f>
        <v/>
      </c>
      <c r="M131">
        <f>J131+K131+L131</f>
        <v/>
      </c>
      <c r="N131">
        <f>SUMIFS($M$2:M131,$C$2:C131,C131)</f>
        <v/>
      </c>
      <c r="O131">
        <f>IF(AND(B131&lt;DATE(2025,7,1),COUNTIFS($C$2:$C$174,C131,$B$2:$B$174,"&gt;="&amp;DATE(2025,10,1))=0),M131,0)</f>
        <v/>
      </c>
      <c r="P131">
        <f>IF(N131&gt;=5000,A131,"")</f>
        <v/>
      </c>
    </row>
    <row r="132">
      <c r="A132" t="n">
        <v>10133</v>
      </c>
      <c r="B132" s="3">
        <f>INDEX(Lines!$B$2:$B$331,MATCH(A132,Lines!$A$2:$A$331,0))</f>
        <v/>
      </c>
      <c r="C132">
        <f>INDEX(Lines!$C$2:$C$331,MATCH(A132,Lines!$A$2:$A$331,0))</f>
        <v/>
      </c>
      <c r="D132">
        <f>SUMIFS(Lines!$I$2:$I$331,Lines!$A$2:$A$331,A132)</f>
        <v/>
      </c>
      <c r="E132">
        <f>COUNTIFS(Lines!$A$2:$A$331,A132)</f>
        <v/>
      </c>
      <c r="F132" s="3">
        <f>DATE(YEAR(B132),MONTH(B132),1)</f>
        <v/>
      </c>
      <c r="G132">
        <f>INT(D132/100)</f>
        <v/>
      </c>
      <c r="H132">
        <f>SUMIFS($D$2:D132,$C$2:C132,C132)-D132</f>
        <v/>
      </c>
      <c r="I132">
        <f>IF(H132&gt;=250000,1.5,IF(H132&gt;=100000,1.25,1))</f>
        <v/>
      </c>
      <c r="J132">
        <f>ROUNDDOWN(G132*I132,0)</f>
        <v/>
      </c>
      <c r="K132">
        <f>IF(COUNTIFS($C$2:$C$174,C132,$F$2:$F$174,EDATE(F132,-1))&gt;0,200,0)</f>
        <v/>
      </c>
      <c r="L132">
        <f>IF(E132&gt;=3,100,0)</f>
        <v/>
      </c>
      <c r="M132">
        <f>J132+K132+L132</f>
        <v/>
      </c>
      <c r="N132">
        <f>SUMIFS($M$2:M132,$C$2:C132,C132)</f>
        <v/>
      </c>
      <c r="O132">
        <f>IF(AND(B132&lt;DATE(2025,7,1),COUNTIFS($C$2:$C$174,C132,$B$2:$B$174,"&gt;="&amp;DATE(2025,10,1))=0),M132,0)</f>
        <v/>
      </c>
      <c r="P132">
        <f>IF(N132&gt;=5000,A132,"")</f>
        <v/>
      </c>
    </row>
    <row r="133">
      <c r="A133" t="n">
        <v>10134</v>
      </c>
      <c r="B133" s="3">
        <f>INDEX(Lines!$B$2:$B$331,MATCH(A133,Lines!$A$2:$A$331,0))</f>
        <v/>
      </c>
      <c r="C133">
        <f>INDEX(Lines!$C$2:$C$331,MATCH(A133,Lines!$A$2:$A$331,0))</f>
        <v/>
      </c>
      <c r="D133">
        <f>SUMIFS(Lines!$I$2:$I$331,Lines!$A$2:$A$331,A133)</f>
        <v/>
      </c>
      <c r="E133">
        <f>COUNTIFS(Lines!$A$2:$A$331,A133)</f>
        <v/>
      </c>
      <c r="F133" s="3">
        <f>DATE(YEAR(B133),MONTH(B133),1)</f>
        <v/>
      </c>
      <c r="G133">
        <f>INT(D133/100)</f>
        <v/>
      </c>
      <c r="H133">
        <f>SUMIFS($D$2:D133,$C$2:C133,C133)-D133</f>
        <v/>
      </c>
      <c r="I133">
        <f>IF(H133&gt;=250000,1.5,IF(H133&gt;=100000,1.25,1))</f>
        <v/>
      </c>
      <c r="J133">
        <f>ROUNDDOWN(G133*I133,0)</f>
        <v/>
      </c>
      <c r="K133">
        <f>IF(COUNTIFS($C$2:$C$174,C133,$F$2:$F$174,EDATE(F133,-1))&gt;0,200,0)</f>
        <v/>
      </c>
      <c r="L133">
        <f>IF(E133&gt;=3,100,0)</f>
        <v/>
      </c>
      <c r="M133">
        <f>J133+K133+L133</f>
        <v/>
      </c>
      <c r="N133">
        <f>SUMIFS($M$2:M133,$C$2:C133,C133)</f>
        <v/>
      </c>
      <c r="O133">
        <f>IF(AND(B133&lt;DATE(2025,7,1),COUNTIFS($C$2:$C$174,C133,$B$2:$B$174,"&gt;="&amp;DATE(2025,10,1))=0),M133,0)</f>
        <v/>
      </c>
      <c r="P133">
        <f>IF(N133&gt;=5000,A133,"")</f>
        <v/>
      </c>
    </row>
    <row r="134">
      <c r="A134" t="n">
        <v>10135</v>
      </c>
      <c r="B134" s="3">
        <f>INDEX(Lines!$B$2:$B$331,MATCH(A134,Lines!$A$2:$A$331,0))</f>
        <v/>
      </c>
      <c r="C134">
        <f>INDEX(Lines!$C$2:$C$331,MATCH(A134,Lines!$A$2:$A$331,0))</f>
        <v/>
      </c>
      <c r="D134">
        <f>SUMIFS(Lines!$I$2:$I$331,Lines!$A$2:$A$331,A134)</f>
        <v/>
      </c>
      <c r="E134">
        <f>COUNTIFS(Lines!$A$2:$A$331,A134)</f>
        <v/>
      </c>
      <c r="F134" s="3">
        <f>DATE(YEAR(B134),MONTH(B134),1)</f>
        <v/>
      </c>
      <c r="G134">
        <f>INT(D134/100)</f>
        <v/>
      </c>
      <c r="H134">
        <f>SUMIFS($D$2:D134,$C$2:C134,C134)-D134</f>
        <v/>
      </c>
      <c r="I134">
        <f>IF(H134&gt;=250000,1.5,IF(H134&gt;=100000,1.25,1))</f>
        <v/>
      </c>
      <c r="J134">
        <f>ROUNDDOWN(G134*I134,0)</f>
        <v/>
      </c>
      <c r="K134">
        <f>IF(COUNTIFS($C$2:$C$174,C134,$F$2:$F$174,EDATE(F134,-1))&gt;0,200,0)</f>
        <v/>
      </c>
      <c r="L134">
        <f>IF(E134&gt;=3,100,0)</f>
        <v/>
      </c>
      <c r="M134">
        <f>J134+K134+L134</f>
        <v/>
      </c>
      <c r="N134">
        <f>SUMIFS($M$2:M134,$C$2:C134,C134)</f>
        <v/>
      </c>
      <c r="O134">
        <f>IF(AND(B134&lt;DATE(2025,7,1),COUNTIFS($C$2:$C$174,C134,$B$2:$B$174,"&gt;="&amp;DATE(2025,10,1))=0),M134,0)</f>
        <v/>
      </c>
      <c r="P134">
        <f>IF(N134&gt;=5000,A134,"")</f>
        <v/>
      </c>
    </row>
    <row r="135">
      <c r="A135" t="n">
        <v>10136</v>
      </c>
      <c r="B135" s="3">
        <f>INDEX(Lines!$B$2:$B$331,MATCH(A135,Lines!$A$2:$A$331,0))</f>
        <v/>
      </c>
      <c r="C135">
        <f>INDEX(Lines!$C$2:$C$331,MATCH(A135,Lines!$A$2:$A$331,0))</f>
        <v/>
      </c>
      <c r="D135">
        <f>SUMIFS(Lines!$I$2:$I$331,Lines!$A$2:$A$331,A135)</f>
        <v/>
      </c>
      <c r="E135">
        <f>COUNTIFS(Lines!$A$2:$A$331,A135)</f>
        <v/>
      </c>
      <c r="F135" s="3">
        <f>DATE(YEAR(B135),MONTH(B135),1)</f>
        <v/>
      </c>
      <c r="G135">
        <f>INT(D135/100)</f>
        <v/>
      </c>
      <c r="H135">
        <f>SUMIFS($D$2:D135,$C$2:C135,C135)-D135</f>
        <v/>
      </c>
      <c r="I135">
        <f>IF(H135&gt;=250000,1.5,IF(H135&gt;=100000,1.25,1))</f>
        <v/>
      </c>
      <c r="J135">
        <f>ROUNDDOWN(G135*I135,0)</f>
        <v/>
      </c>
      <c r="K135">
        <f>IF(COUNTIFS($C$2:$C$174,C135,$F$2:$F$174,EDATE(F135,-1))&gt;0,200,0)</f>
        <v/>
      </c>
      <c r="L135">
        <f>IF(E135&gt;=3,100,0)</f>
        <v/>
      </c>
      <c r="M135">
        <f>J135+K135+L135</f>
        <v/>
      </c>
      <c r="N135">
        <f>SUMIFS($M$2:M135,$C$2:C135,C135)</f>
        <v/>
      </c>
      <c r="O135">
        <f>IF(AND(B135&lt;DATE(2025,7,1),COUNTIFS($C$2:$C$174,C135,$B$2:$B$174,"&gt;="&amp;DATE(2025,10,1))=0),M135,0)</f>
        <v/>
      </c>
      <c r="P135">
        <f>IF(N135&gt;=5000,A135,"")</f>
        <v/>
      </c>
    </row>
    <row r="136">
      <c r="A136" t="n">
        <v>10137</v>
      </c>
      <c r="B136" s="3">
        <f>INDEX(Lines!$B$2:$B$331,MATCH(A136,Lines!$A$2:$A$331,0))</f>
        <v/>
      </c>
      <c r="C136">
        <f>INDEX(Lines!$C$2:$C$331,MATCH(A136,Lines!$A$2:$A$331,0))</f>
        <v/>
      </c>
      <c r="D136">
        <f>SUMIFS(Lines!$I$2:$I$331,Lines!$A$2:$A$331,A136)</f>
        <v/>
      </c>
      <c r="E136">
        <f>COUNTIFS(Lines!$A$2:$A$331,A136)</f>
        <v/>
      </c>
      <c r="F136" s="3">
        <f>DATE(YEAR(B136),MONTH(B136),1)</f>
        <v/>
      </c>
      <c r="G136">
        <f>INT(D136/100)</f>
        <v/>
      </c>
      <c r="H136">
        <f>SUMIFS($D$2:D136,$C$2:C136,C136)-D136</f>
        <v/>
      </c>
      <c r="I136">
        <f>IF(H136&gt;=250000,1.5,IF(H136&gt;=100000,1.25,1))</f>
        <v/>
      </c>
      <c r="J136">
        <f>ROUNDDOWN(G136*I136,0)</f>
        <v/>
      </c>
      <c r="K136">
        <f>IF(COUNTIFS($C$2:$C$174,C136,$F$2:$F$174,EDATE(F136,-1))&gt;0,200,0)</f>
        <v/>
      </c>
      <c r="L136">
        <f>IF(E136&gt;=3,100,0)</f>
        <v/>
      </c>
      <c r="M136">
        <f>J136+K136+L136</f>
        <v/>
      </c>
      <c r="N136">
        <f>SUMIFS($M$2:M136,$C$2:C136,C136)</f>
        <v/>
      </c>
      <c r="O136">
        <f>IF(AND(B136&lt;DATE(2025,7,1),COUNTIFS($C$2:$C$174,C136,$B$2:$B$174,"&gt;="&amp;DATE(2025,10,1))=0),M136,0)</f>
        <v/>
      </c>
      <c r="P136">
        <f>IF(N136&gt;=5000,A136,"")</f>
        <v/>
      </c>
    </row>
    <row r="137">
      <c r="A137" t="n">
        <v>10138</v>
      </c>
      <c r="B137" s="3">
        <f>INDEX(Lines!$B$2:$B$331,MATCH(A137,Lines!$A$2:$A$331,0))</f>
        <v/>
      </c>
      <c r="C137">
        <f>INDEX(Lines!$C$2:$C$331,MATCH(A137,Lines!$A$2:$A$331,0))</f>
        <v/>
      </c>
      <c r="D137">
        <f>SUMIFS(Lines!$I$2:$I$331,Lines!$A$2:$A$331,A137)</f>
        <v/>
      </c>
      <c r="E137">
        <f>COUNTIFS(Lines!$A$2:$A$331,A137)</f>
        <v/>
      </c>
      <c r="F137" s="3">
        <f>DATE(YEAR(B137),MONTH(B137),1)</f>
        <v/>
      </c>
      <c r="G137">
        <f>INT(D137/100)</f>
        <v/>
      </c>
      <c r="H137">
        <f>SUMIFS($D$2:D137,$C$2:C137,C137)-D137</f>
        <v/>
      </c>
      <c r="I137">
        <f>IF(H137&gt;=250000,1.5,IF(H137&gt;=100000,1.25,1))</f>
        <v/>
      </c>
      <c r="J137">
        <f>ROUNDDOWN(G137*I137,0)</f>
        <v/>
      </c>
      <c r="K137">
        <f>IF(COUNTIFS($C$2:$C$174,C137,$F$2:$F$174,EDATE(F137,-1))&gt;0,200,0)</f>
        <v/>
      </c>
      <c r="L137">
        <f>IF(E137&gt;=3,100,0)</f>
        <v/>
      </c>
      <c r="M137">
        <f>J137+K137+L137</f>
        <v/>
      </c>
      <c r="N137">
        <f>SUMIFS($M$2:M137,$C$2:C137,C137)</f>
        <v/>
      </c>
      <c r="O137">
        <f>IF(AND(B137&lt;DATE(2025,7,1),COUNTIFS($C$2:$C$174,C137,$B$2:$B$174,"&gt;="&amp;DATE(2025,10,1))=0),M137,0)</f>
        <v/>
      </c>
      <c r="P137">
        <f>IF(N137&gt;=5000,A137,"")</f>
        <v/>
      </c>
    </row>
    <row r="138">
      <c r="A138" t="n">
        <v>10139</v>
      </c>
      <c r="B138" s="3">
        <f>INDEX(Lines!$B$2:$B$331,MATCH(A138,Lines!$A$2:$A$331,0))</f>
        <v/>
      </c>
      <c r="C138">
        <f>INDEX(Lines!$C$2:$C$331,MATCH(A138,Lines!$A$2:$A$331,0))</f>
        <v/>
      </c>
      <c r="D138">
        <f>SUMIFS(Lines!$I$2:$I$331,Lines!$A$2:$A$331,A138)</f>
        <v/>
      </c>
      <c r="E138">
        <f>COUNTIFS(Lines!$A$2:$A$331,A138)</f>
        <v/>
      </c>
      <c r="F138" s="3">
        <f>DATE(YEAR(B138),MONTH(B138),1)</f>
        <v/>
      </c>
      <c r="G138">
        <f>INT(D138/100)</f>
        <v/>
      </c>
      <c r="H138">
        <f>SUMIFS($D$2:D138,$C$2:C138,C138)-D138</f>
        <v/>
      </c>
      <c r="I138">
        <f>IF(H138&gt;=250000,1.5,IF(H138&gt;=100000,1.25,1))</f>
        <v/>
      </c>
      <c r="J138">
        <f>ROUNDDOWN(G138*I138,0)</f>
        <v/>
      </c>
      <c r="K138">
        <f>IF(COUNTIFS($C$2:$C$174,C138,$F$2:$F$174,EDATE(F138,-1))&gt;0,200,0)</f>
        <v/>
      </c>
      <c r="L138">
        <f>IF(E138&gt;=3,100,0)</f>
        <v/>
      </c>
      <c r="M138">
        <f>J138+K138+L138</f>
        <v/>
      </c>
      <c r="N138">
        <f>SUMIFS($M$2:M138,$C$2:C138,C138)</f>
        <v/>
      </c>
      <c r="O138">
        <f>IF(AND(B138&lt;DATE(2025,7,1),COUNTIFS($C$2:$C$174,C138,$B$2:$B$174,"&gt;="&amp;DATE(2025,10,1))=0),M138,0)</f>
        <v/>
      </c>
      <c r="P138">
        <f>IF(N138&gt;=5000,A138,"")</f>
        <v/>
      </c>
    </row>
    <row r="139">
      <c r="A139" t="n">
        <v>10140</v>
      </c>
      <c r="B139" s="3">
        <f>INDEX(Lines!$B$2:$B$331,MATCH(A139,Lines!$A$2:$A$331,0))</f>
        <v/>
      </c>
      <c r="C139">
        <f>INDEX(Lines!$C$2:$C$331,MATCH(A139,Lines!$A$2:$A$331,0))</f>
        <v/>
      </c>
      <c r="D139">
        <f>SUMIFS(Lines!$I$2:$I$331,Lines!$A$2:$A$331,A139)</f>
        <v/>
      </c>
      <c r="E139">
        <f>COUNTIFS(Lines!$A$2:$A$331,A139)</f>
        <v/>
      </c>
      <c r="F139" s="3">
        <f>DATE(YEAR(B139),MONTH(B139),1)</f>
        <v/>
      </c>
      <c r="G139">
        <f>INT(D139/100)</f>
        <v/>
      </c>
      <c r="H139">
        <f>SUMIFS($D$2:D139,$C$2:C139,C139)-D139</f>
        <v/>
      </c>
      <c r="I139">
        <f>IF(H139&gt;=250000,1.5,IF(H139&gt;=100000,1.25,1))</f>
        <v/>
      </c>
      <c r="J139">
        <f>ROUNDDOWN(G139*I139,0)</f>
        <v/>
      </c>
      <c r="K139">
        <f>IF(COUNTIFS($C$2:$C$174,C139,$F$2:$F$174,EDATE(F139,-1))&gt;0,200,0)</f>
        <v/>
      </c>
      <c r="L139">
        <f>IF(E139&gt;=3,100,0)</f>
        <v/>
      </c>
      <c r="M139">
        <f>J139+K139+L139</f>
        <v/>
      </c>
      <c r="N139">
        <f>SUMIFS($M$2:M139,$C$2:C139,C139)</f>
        <v/>
      </c>
      <c r="O139">
        <f>IF(AND(B139&lt;DATE(2025,7,1),COUNTIFS($C$2:$C$174,C139,$B$2:$B$174,"&gt;="&amp;DATE(2025,10,1))=0),M139,0)</f>
        <v/>
      </c>
      <c r="P139">
        <f>IF(N139&gt;=5000,A139,"")</f>
        <v/>
      </c>
    </row>
    <row r="140">
      <c r="A140" t="n">
        <v>10141</v>
      </c>
      <c r="B140" s="3">
        <f>INDEX(Lines!$B$2:$B$331,MATCH(A140,Lines!$A$2:$A$331,0))</f>
        <v/>
      </c>
      <c r="C140">
        <f>INDEX(Lines!$C$2:$C$331,MATCH(A140,Lines!$A$2:$A$331,0))</f>
        <v/>
      </c>
      <c r="D140">
        <f>SUMIFS(Lines!$I$2:$I$331,Lines!$A$2:$A$331,A140)</f>
        <v/>
      </c>
      <c r="E140">
        <f>COUNTIFS(Lines!$A$2:$A$331,A140)</f>
        <v/>
      </c>
      <c r="F140" s="3">
        <f>DATE(YEAR(B140),MONTH(B140),1)</f>
        <v/>
      </c>
      <c r="G140">
        <f>INT(D140/100)</f>
        <v/>
      </c>
      <c r="H140">
        <f>SUMIFS($D$2:D140,$C$2:C140,C140)-D140</f>
        <v/>
      </c>
      <c r="I140">
        <f>IF(H140&gt;=250000,1.5,IF(H140&gt;=100000,1.25,1))</f>
        <v/>
      </c>
      <c r="J140">
        <f>ROUNDDOWN(G140*I140,0)</f>
        <v/>
      </c>
      <c r="K140">
        <f>IF(COUNTIFS($C$2:$C$174,C140,$F$2:$F$174,EDATE(F140,-1))&gt;0,200,0)</f>
        <v/>
      </c>
      <c r="L140">
        <f>IF(E140&gt;=3,100,0)</f>
        <v/>
      </c>
      <c r="M140">
        <f>J140+K140+L140</f>
        <v/>
      </c>
      <c r="N140">
        <f>SUMIFS($M$2:M140,$C$2:C140,C140)</f>
        <v/>
      </c>
      <c r="O140">
        <f>IF(AND(B140&lt;DATE(2025,7,1),COUNTIFS($C$2:$C$174,C140,$B$2:$B$174,"&gt;="&amp;DATE(2025,10,1))=0),M140,0)</f>
        <v/>
      </c>
      <c r="P140">
        <f>IF(N140&gt;=5000,A140,"")</f>
        <v/>
      </c>
    </row>
    <row r="141">
      <c r="A141" t="n">
        <v>10142</v>
      </c>
      <c r="B141" s="3">
        <f>INDEX(Lines!$B$2:$B$331,MATCH(A141,Lines!$A$2:$A$331,0))</f>
        <v/>
      </c>
      <c r="C141">
        <f>INDEX(Lines!$C$2:$C$331,MATCH(A141,Lines!$A$2:$A$331,0))</f>
        <v/>
      </c>
      <c r="D141">
        <f>SUMIFS(Lines!$I$2:$I$331,Lines!$A$2:$A$331,A141)</f>
        <v/>
      </c>
      <c r="E141">
        <f>COUNTIFS(Lines!$A$2:$A$331,A141)</f>
        <v/>
      </c>
      <c r="F141" s="3">
        <f>DATE(YEAR(B141),MONTH(B141),1)</f>
        <v/>
      </c>
      <c r="G141">
        <f>INT(D141/100)</f>
        <v/>
      </c>
      <c r="H141">
        <f>SUMIFS($D$2:D141,$C$2:C141,C141)-D141</f>
        <v/>
      </c>
      <c r="I141">
        <f>IF(H141&gt;=250000,1.5,IF(H141&gt;=100000,1.25,1))</f>
        <v/>
      </c>
      <c r="J141">
        <f>ROUNDDOWN(G141*I141,0)</f>
        <v/>
      </c>
      <c r="K141">
        <f>IF(COUNTIFS($C$2:$C$174,C141,$F$2:$F$174,EDATE(F141,-1))&gt;0,200,0)</f>
        <v/>
      </c>
      <c r="L141">
        <f>IF(E141&gt;=3,100,0)</f>
        <v/>
      </c>
      <c r="M141">
        <f>J141+K141+L141</f>
        <v/>
      </c>
      <c r="N141">
        <f>SUMIFS($M$2:M141,$C$2:C141,C141)</f>
        <v/>
      </c>
      <c r="O141">
        <f>IF(AND(B141&lt;DATE(2025,7,1),COUNTIFS($C$2:$C$174,C141,$B$2:$B$174,"&gt;="&amp;DATE(2025,10,1))=0),M141,0)</f>
        <v/>
      </c>
      <c r="P141">
        <f>IF(N141&gt;=5000,A141,"")</f>
        <v/>
      </c>
    </row>
    <row r="142">
      <c r="A142" t="n">
        <v>10143</v>
      </c>
      <c r="B142" s="3">
        <f>INDEX(Lines!$B$2:$B$331,MATCH(A142,Lines!$A$2:$A$331,0))</f>
        <v/>
      </c>
      <c r="C142">
        <f>INDEX(Lines!$C$2:$C$331,MATCH(A142,Lines!$A$2:$A$331,0))</f>
        <v/>
      </c>
      <c r="D142">
        <f>SUMIFS(Lines!$I$2:$I$331,Lines!$A$2:$A$331,A142)</f>
        <v/>
      </c>
      <c r="E142">
        <f>COUNTIFS(Lines!$A$2:$A$331,A142)</f>
        <v/>
      </c>
      <c r="F142" s="3">
        <f>DATE(YEAR(B142),MONTH(B142),1)</f>
        <v/>
      </c>
      <c r="G142">
        <f>INT(D142/100)</f>
        <v/>
      </c>
      <c r="H142">
        <f>SUMIFS($D$2:D142,$C$2:C142,C142)-D142</f>
        <v/>
      </c>
      <c r="I142">
        <f>IF(H142&gt;=250000,1.5,IF(H142&gt;=100000,1.25,1))</f>
        <v/>
      </c>
      <c r="J142">
        <f>ROUNDDOWN(G142*I142,0)</f>
        <v/>
      </c>
      <c r="K142">
        <f>IF(COUNTIFS($C$2:$C$174,C142,$F$2:$F$174,EDATE(F142,-1))&gt;0,200,0)</f>
        <v/>
      </c>
      <c r="L142">
        <f>IF(E142&gt;=3,100,0)</f>
        <v/>
      </c>
      <c r="M142">
        <f>J142+K142+L142</f>
        <v/>
      </c>
      <c r="N142">
        <f>SUMIFS($M$2:M142,$C$2:C142,C142)</f>
        <v/>
      </c>
      <c r="O142">
        <f>IF(AND(B142&lt;DATE(2025,7,1),COUNTIFS($C$2:$C$174,C142,$B$2:$B$174,"&gt;="&amp;DATE(2025,10,1))=0),M142,0)</f>
        <v/>
      </c>
      <c r="P142">
        <f>IF(N142&gt;=5000,A142,"")</f>
        <v/>
      </c>
    </row>
    <row r="143">
      <c r="A143" t="n">
        <v>10144</v>
      </c>
      <c r="B143" s="3">
        <f>INDEX(Lines!$B$2:$B$331,MATCH(A143,Lines!$A$2:$A$331,0))</f>
        <v/>
      </c>
      <c r="C143">
        <f>INDEX(Lines!$C$2:$C$331,MATCH(A143,Lines!$A$2:$A$331,0))</f>
        <v/>
      </c>
      <c r="D143">
        <f>SUMIFS(Lines!$I$2:$I$331,Lines!$A$2:$A$331,A143)</f>
        <v/>
      </c>
      <c r="E143">
        <f>COUNTIFS(Lines!$A$2:$A$331,A143)</f>
        <v/>
      </c>
      <c r="F143" s="3">
        <f>DATE(YEAR(B143),MONTH(B143),1)</f>
        <v/>
      </c>
      <c r="G143">
        <f>INT(D143/100)</f>
        <v/>
      </c>
      <c r="H143">
        <f>SUMIFS($D$2:D143,$C$2:C143,C143)-D143</f>
        <v/>
      </c>
      <c r="I143">
        <f>IF(H143&gt;=250000,1.5,IF(H143&gt;=100000,1.25,1))</f>
        <v/>
      </c>
      <c r="J143">
        <f>ROUNDDOWN(G143*I143,0)</f>
        <v/>
      </c>
      <c r="K143">
        <f>IF(COUNTIFS($C$2:$C$174,C143,$F$2:$F$174,EDATE(F143,-1))&gt;0,200,0)</f>
        <v/>
      </c>
      <c r="L143">
        <f>IF(E143&gt;=3,100,0)</f>
        <v/>
      </c>
      <c r="M143">
        <f>J143+K143+L143</f>
        <v/>
      </c>
      <c r="N143">
        <f>SUMIFS($M$2:M143,$C$2:C143,C143)</f>
        <v/>
      </c>
      <c r="O143">
        <f>IF(AND(B143&lt;DATE(2025,7,1),COUNTIFS($C$2:$C$174,C143,$B$2:$B$174,"&gt;="&amp;DATE(2025,10,1))=0),M143,0)</f>
        <v/>
      </c>
      <c r="P143">
        <f>IF(N143&gt;=5000,A143,"")</f>
        <v/>
      </c>
    </row>
    <row r="144">
      <c r="A144" t="n">
        <v>10145</v>
      </c>
      <c r="B144" s="3">
        <f>INDEX(Lines!$B$2:$B$331,MATCH(A144,Lines!$A$2:$A$331,0))</f>
        <v/>
      </c>
      <c r="C144">
        <f>INDEX(Lines!$C$2:$C$331,MATCH(A144,Lines!$A$2:$A$331,0))</f>
        <v/>
      </c>
      <c r="D144">
        <f>SUMIFS(Lines!$I$2:$I$331,Lines!$A$2:$A$331,A144)</f>
        <v/>
      </c>
      <c r="E144">
        <f>COUNTIFS(Lines!$A$2:$A$331,A144)</f>
        <v/>
      </c>
      <c r="F144" s="3">
        <f>DATE(YEAR(B144),MONTH(B144),1)</f>
        <v/>
      </c>
      <c r="G144">
        <f>INT(D144/100)</f>
        <v/>
      </c>
      <c r="H144">
        <f>SUMIFS($D$2:D144,$C$2:C144,C144)-D144</f>
        <v/>
      </c>
      <c r="I144">
        <f>IF(H144&gt;=250000,1.5,IF(H144&gt;=100000,1.25,1))</f>
        <v/>
      </c>
      <c r="J144">
        <f>ROUNDDOWN(G144*I144,0)</f>
        <v/>
      </c>
      <c r="K144">
        <f>IF(COUNTIFS($C$2:$C$174,C144,$F$2:$F$174,EDATE(F144,-1))&gt;0,200,0)</f>
        <v/>
      </c>
      <c r="L144">
        <f>IF(E144&gt;=3,100,0)</f>
        <v/>
      </c>
      <c r="M144">
        <f>J144+K144+L144</f>
        <v/>
      </c>
      <c r="N144">
        <f>SUMIFS($M$2:M144,$C$2:C144,C144)</f>
        <v/>
      </c>
      <c r="O144">
        <f>IF(AND(B144&lt;DATE(2025,7,1),COUNTIFS($C$2:$C$174,C144,$B$2:$B$174,"&gt;="&amp;DATE(2025,10,1))=0),M144,0)</f>
        <v/>
      </c>
      <c r="P144">
        <f>IF(N144&gt;=5000,A144,"")</f>
        <v/>
      </c>
    </row>
    <row r="145">
      <c r="A145" t="n">
        <v>10146</v>
      </c>
      <c r="B145" s="3">
        <f>INDEX(Lines!$B$2:$B$331,MATCH(A145,Lines!$A$2:$A$331,0))</f>
        <v/>
      </c>
      <c r="C145">
        <f>INDEX(Lines!$C$2:$C$331,MATCH(A145,Lines!$A$2:$A$331,0))</f>
        <v/>
      </c>
      <c r="D145">
        <f>SUMIFS(Lines!$I$2:$I$331,Lines!$A$2:$A$331,A145)</f>
        <v/>
      </c>
      <c r="E145">
        <f>COUNTIFS(Lines!$A$2:$A$331,A145)</f>
        <v/>
      </c>
      <c r="F145" s="3">
        <f>DATE(YEAR(B145),MONTH(B145),1)</f>
        <v/>
      </c>
      <c r="G145">
        <f>INT(D145/100)</f>
        <v/>
      </c>
      <c r="H145">
        <f>SUMIFS($D$2:D145,$C$2:C145,C145)-D145</f>
        <v/>
      </c>
      <c r="I145">
        <f>IF(H145&gt;=250000,1.5,IF(H145&gt;=100000,1.25,1))</f>
        <v/>
      </c>
      <c r="J145">
        <f>ROUNDDOWN(G145*I145,0)</f>
        <v/>
      </c>
      <c r="K145">
        <f>IF(COUNTIFS($C$2:$C$174,C145,$F$2:$F$174,EDATE(F145,-1))&gt;0,200,0)</f>
        <v/>
      </c>
      <c r="L145">
        <f>IF(E145&gt;=3,100,0)</f>
        <v/>
      </c>
      <c r="M145">
        <f>J145+K145+L145</f>
        <v/>
      </c>
      <c r="N145">
        <f>SUMIFS($M$2:M145,$C$2:C145,C145)</f>
        <v/>
      </c>
      <c r="O145">
        <f>IF(AND(B145&lt;DATE(2025,7,1),COUNTIFS($C$2:$C$174,C145,$B$2:$B$174,"&gt;="&amp;DATE(2025,10,1))=0),M145,0)</f>
        <v/>
      </c>
      <c r="P145">
        <f>IF(N145&gt;=5000,A145,"")</f>
        <v/>
      </c>
    </row>
    <row r="146">
      <c r="A146" t="n">
        <v>10147</v>
      </c>
      <c r="B146" s="3">
        <f>INDEX(Lines!$B$2:$B$331,MATCH(A146,Lines!$A$2:$A$331,0))</f>
        <v/>
      </c>
      <c r="C146">
        <f>INDEX(Lines!$C$2:$C$331,MATCH(A146,Lines!$A$2:$A$331,0))</f>
        <v/>
      </c>
      <c r="D146">
        <f>SUMIFS(Lines!$I$2:$I$331,Lines!$A$2:$A$331,A146)</f>
        <v/>
      </c>
      <c r="E146">
        <f>COUNTIFS(Lines!$A$2:$A$331,A146)</f>
        <v/>
      </c>
      <c r="F146" s="3">
        <f>DATE(YEAR(B146),MONTH(B146),1)</f>
        <v/>
      </c>
      <c r="G146">
        <f>INT(D146/100)</f>
        <v/>
      </c>
      <c r="H146">
        <f>SUMIFS($D$2:D146,$C$2:C146,C146)-D146</f>
        <v/>
      </c>
      <c r="I146">
        <f>IF(H146&gt;=250000,1.5,IF(H146&gt;=100000,1.25,1))</f>
        <v/>
      </c>
      <c r="J146">
        <f>ROUNDDOWN(G146*I146,0)</f>
        <v/>
      </c>
      <c r="K146">
        <f>IF(COUNTIFS($C$2:$C$174,C146,$F$2:$F$174,EDATE(F146,-1))&gt;0,200,0)</f>
        <v/>
      </c>
      <c r="L146">
        <f>IF(E146&gt;=3,100,0)</f>
        <v/>
      </c>
      <c r="M146">
        <f>J146+K146+L146</f>
        <v/>
      </c>
      <c r="N146">
        <f>SUMIFS($M$2:M146,$C$2:C146,C146)</f>
        <v/>
      </c>
      <c r="O146">
        <f>IF(AND(B146&lt;DATE(2025,7,1),COUNTIFS($C$2:$C$174,C146,$B$2:$B$174,"&gt;="&amp;DATE(2025,10,1))=0),M146,0)</f>
        <v/>
      </c>
      <c r="P146">
        <f>IF(N146&gt;=5000,A146,"")</f>
        <v/>
      </c>
    </row>
    <row r="147">
      <c r="A147" t="n">
        <v>10148</v>
      </c>
      <c r="B147" s="3">
        <f>INDEX(Lines!$B$2:$B$331,MATCH(A147,Lines!$A$2:$A$331,0))</f>
        <v/>
      </c>
      <c r="C147">
        <f>INDEX(Lines!$C$2:$C$331,MATCH(A147,Lines!$A$2:$A$331,0))</f>
        <v/>
      </c>
      <c r="D147">
        <f>SUMIFS(Lines!$I$2:$I$331,Lines!$A$2:$A$331,A147)</f>
        <v/>
      </c>
      <c r="E147">
        <f>COUNTIFS(Lines!$A$2:$A$331,A147)</f>
        <v/>
      </c>
      <c r="F147" s="3">
        <f>DATE(YEAR(B147),MONTH(B147),1)</f>
        <v/>
      </c>
      <c r="G147">
        <f>INT(D147/100)</f>
        <v/>
      </c>
      <c r="H147">
        <f>SUMIFS($D$2:D147,$C$2:C147,C147)-D147</f>
        <v/>
      </c>
      <c r="I147">
        <f>IF(H147&gt;=250000,1.5,IF(H147&gt;=100000,1.25,1))</f>
        <v/>
      </c>
      <c r="J147">
        <f>ROUNDDOWN(G147*I147,0)</f>
        <v/>
      </c>
      <c r="K147">
        <f>IF(COUNTIFS($C$2:$C$174,C147,$F$2:$F$174,EDATE(F147,-1))&gt;0,200,0)</f>
        <v/>
      </c>
      <c r="L147">
        <f>IF(E147&gt;=3,100,0)</f>
        <v/>
      </c>
      <c r="M147">
        <f>J147+K147+L147</f>
        <v/>
      </c>
      <c r="N147">
        <f>SUMIFS($M$2:M147,$C$2:C147,C147)</f>
        <v/>
      </c>
      <c r="O147">
        <f>IF(AND(B147&lt;DATE(2025,7,1),COUNTIFS($C$2:$C$174,C147,$B$2:$B$174,"&gt;="&amp;DATE(2025,10,1))=0),M147,0)</f>
        <v/>
      </c>
      <c r="P147">
        <f>IF(N147&gt;=5000,A147,"")</f>
        <v/>
      </c>
    </row>
    <row r="148">
      <c r="A148" t="n">
        <v>10149</v>
      </c>
      <c r="B148" s="3">
        <f>INDEX(Lines!$B$2:$B$331,MATCH(A148,Lines!$A$2:$A$331,0))</f>
        <v/>
      </c>
      <c r="C148">
        <f>INDEX(Lines!$C$2:$C$331,MATCH(A148,Lines!$A$2:$A$331,0))</f>
        <v/>
      </c>
      <c r="D148">
        <f>SUMIFS(Lines!$I$2:$I$331,Lines!$A$2:$A$331,A148)</f>
        <v/>
      </c>
      <c r="E148">
        <f>COUNTIFS(Lines!$A$2:$A$331,A148)</f>
        <v/>
      </c>
      <c r="F148" s="3">
        <f>DATE(YEAR(B148),MONTH(B148),1)</f>
        <v/>
      </c>
      <c r="G148">
        <f>INT(D148/100)</f>
        <v/>
      </c>
      <c r="H148">
        <f>SUMIFS($D$2:D148,$C$2:C148,C148)-D148</f>
        <v/>
      </c>
      <c r="I148">
        <f>IF(H148&gt;=250000,1.5,IF(H148&gt;=100000,1.25,1))</f>
        <v/>
      </c>
      <c r="J148">
        <f>ROUNDDOWN(G148*I148,0)</f>
        <v/>
      </c>
      <c r="K148">
        <f>IF(COUNTIFS($C$2:$C$174,C148,$F$2:$F$174,EDATE(F148,-1))&gt;0,200,0)</f>
        <v/>
      </c>
      <c r="L148">
        <f>IF(E148&gt;=3,100,0)</f>
        <v/>
      </c>
      <c r="M148">
        <f>J148+K148+L148</f>
        <v/>
      </c>
      <c r="N148">
        <f>SUMIFS($M$2:M148,$C$2:C148,C148)</f>
        <v/>
      </c>
      <c r="O148">
        <f>IF(AND(B148&lt;DATE(2025,7,1),COUNTIFS($C$2:$C$174,C148,$B$2:$B$174,"&gt;="&amp;DATE(2025,10,1))=0),M148,0)</f>
        <v/>
      </c>
      <c r="P148">
        <f>IF(N148&gt;=5000,A148,"")</f>
        <v/>
      </c>
    </row>
    <row r="149">
      <c r="A149" t="n">
        <v>10150</v>
      </c>
      <c r="B149" s="3">
        <f>INDEX(Lines!$B$2:$B$331,MATCH(A149,Lines!$A$2:$A$331,0))</f>
        <v/>
      </c>
      <c r="C149">
        <f>INDEX(Lines!$C$2:$C$331,MATCH(A149,Lines!$A$2:$A$331,0))</f>
        <v/>
      </c>
      <c r="D149">
        <f>SUMIFS(Lines!$I$2:$I$331,Lines!$A$2:$A$331,A149)</f>
        <v/>
      </c>
      <c r="E149">
        <f>COUNTIFS(Lines!$A$2:$A$331,A149)</f>
        <v/>
      </c>
      <c r="F149" s="3">
        <f>DATE(YEAR(B149),MONTH(B149),1)</f>
        <v/>
      </c>
      <c r="G149">
        <f>INT(D149/100)</f>
        <v/>
      </c>
      <c r="H149">
        <f>SUMIFS($D$2:D149,$C$2:C149,C149)-D149</f>
        <v/>
      </c>
      <c r="I149">
        <f>IF(H149&gt;=250000,1.5,IF(H149&gt;=100000,1.25,1))</f>
        <v/>
      </c>
      <c r="J149">
        <f>ROUNDDOWN(G149*I149,0)</f>
        <v/>
      </c>
      <c r="K149">
        <f>IF(COUNTIFS($C$2:$C$174,C149,$F$2:$F$174,EDATE(F149,-1))&gt;0,200,0)</f>
        <v/>
      </c>
      <c r="L149">
        <f>IF(E149&gt;=3,100,0)</f>
        <v/>
      </c>
      <c r="M149">
        <f>J149+K149+L149</f>
        <v/>
      </c>
      <c r="N149">
        <f>SUMIFS($M$2:M149,$C$2:C149,C149)</f>
        <v/>
      </c>
      <c r="O149">
        <f>IF(AND(B149&lt;DATE(2025,7,1),COUNTIFS($C$2:$C$174,C149,$B$2:$B$174,"&gt;="&amp;DATE(2025,10,1))=0),M149,0)</f>
        <v/>
      </c>
      <c r="P149">
        <f>IF(N149&gt;=5000,A149,"")</f>
        <v/>
      </c>
    </row>
    <row r="150">
      <c r="A150" t="n">
        <v>10151</v>
      </c>
      <c r="B150" s="3">
        <f>INDEX(Lines!$B$2:$B$331,MATCH(A150,Lines!$A$2:$A$331,0))</f>
        <v/>
      </c>
      <c r="C150">
        <f>INDEX(Lines!$C$2:$C$331,MATCH(A150,Lines!$A$2:$A$331,0))</f>
        <v/>
      </c>
      <c r="D150">
        <f>SUMIFS(Lines!$I$2:$I$331,Lines!$A$2:$A$331,A150)</f>
        <v/>
      </c>
      <c r="E150">
        <f>COUNTIFS(Lines!$A$2:$A$331,A150)</f>
        <v/>
      </c>
      <c r="F150" s="3">
        <f>DATE(YEAR(B150),MONTH(B150),1)</f>
        <v/>
      </c>
      <c r="G150">
        <f>INT(D150/100)</f>
        <v/>
      </c>
      <c r="H150">
        <f>SUMIFS($D$2:D150,$C$2:C150,C150)-D150</f>
        <v/>
      </c>
      <c r="I150">
        <f>IF(H150&gt;=250000,1.5,IF(H150&gt;=100000,1.25,1))</f>
        <v/>
      </c>
      <c r="J150">
        <f>ROUNDDOWN(G150*I150,0)</f>
        <v/>
      </c>
      <c r="K150">
        <f>IF(COUNTIFS($C$2:$C$174,C150,$F$2:$F$174,EDATE(F150,-1))&gt;0,200,0)</f>
        <v/>
      </c>
      <c r="L150">
        <f>IF(E150&gt;=3,100,0)</f>
        <v/>
      </c>
      <c r="M150">
        <f>J150+K150+L150</f>
        <v/>
      </c>
      <c r="N150">
        <f>SUMIFS($M$2:M150,$C$2:C150,C150)</f>
        <v/>
      </c>
      <c r="O150">
        <f>IF(AND(B150&lt;DATE(2025,7,1),COUNTIFS($C$2:$C$174,C150,$B$2:$B$174,"&gt;="&amp;DATE(2025,10,1))=0),M150,0)</f>
        <v/>
      </c>
      <c r="P150">
        <f>IF(N150&gt;=5000,A150,"")</f>
        <v/>
      </c>
    </row>
    <row r="151">
      <c r="A151" t="n">
        <v>10152</v>
      </c>
      <c r="B151" s="3">
        <f>INDEX(Lines!$B$2:$B$331,MATCH(A151,Lines!$A$2:$A$331,0))</f>
        <v/>
      </c>
      <c r="C151">
        <f>INDEX(Lines!$C$2:$C$331,MATCH(A151,Lines!$A$2:$A$331,0))</f>
        <v/>
      </c>
      <c r="D151">
        <f>SUMIFS(Lines!$I$2:$I$331,Lines!$A$2:$A$331,A151)</f>
        <v/>
      </c>
      <c r="E151">
        <f>COUNTIFS(Lines!$A$2:$A$331,A151)</f>
        <v/>
      </c>
      <c r="F151" s="3">
        <f>DATE(YEAR(B151),MONTH(B151),1)</f>
        <v/>
      </c>
      <c r="G151">
        <f>INT(D151/100)</f>
        <v/>
      </c>
      <c r="H151">
        <f>SUMIFS($D$2:D151,$C$2:C151,C151)-D151</f>
        <v/>
      </c>
      <c r="I151">
        <f>IF(H151&gt;=250000,1.5,IF(H151&gt;=100000,1.25,1))</f>
        <v/>
      </c>
      <c r="J151">
        <f>ROUNDDOWN(G151*I151,0)</f>
        <v/>
      </c>
      <c r="K151">
        <f>IF(COUNTIFS($C$2:$C$174,C151,$F$2:$F$174,EDATE(F151,-1))&gt;0,200,0)</f>
        <v/>
      </c>
      <c r="L151">
        <f>IF(E151&gt;=3,100,0)</f>
        <v/>
      </c>
      <c r="M151">
        <f>J151+K151+L151</f>
        <v/>
      </c>
      <c r="N151">
        <f>SUMIFS($M$2:M151,$C$2:C151,C151)</f>
        <v/>
      </c>
      <c r="O151">
        <f>IF(AND(B151&lt;DATE(2025,7,1),COUNTIFS($C$2:$C$174,C151,$B$2:$B$174,"&gt;="&amp;DATE(2025,10,1))=0),M151,0)</f>
        <v/>
      </c>
      <c r="P151">
        <f>IF(N151&gt;=5000,A151,"")</f>
        <v/>
      </c>
    </row>
    <row r="152">
      <c r="A152" t="n">
        <v>10153</v>
      </c>
      <c r="B152" s="3">
        <f>INDEX(Lines!$B$2:$B$331,MATCH(A152,Lines!$A$2:$A$331,0))</f>
        <v/>
      </c>
      <c r="C152">
        <f>INDEX(Lines!$C$2:$C$331,MATCH(A152,Lines!$A$2:$A$331,0))</f>
        <v/>
      </c>
      <c r="D152">
        <f>SUMIFS(Lines!$I$2:$I$331,Lines!$A$2:$A$331,A152)</f>
        <v/>
      </c>
      <c r="E152">
        <f>COUNTIFS(Lines!$A$2:$A$331,A152)</f>
        <v/>
      </c>
      <c r="F152" s="3">
        <f>DATE(YEAR(B152),MONTH(B152),1)</f>
        <v/>
      </c>
      <c r="G152">
        <f>INT(D152/100)</f>
        <v/>
      </c>
      <c r="H152">
        <f>SUMIFS($D$2:D152,$C$2:C152,C152)-D152</f>
        <v/>
      </c>
      <c r="I152">
        <f>IF(H152&gt;=250000,1.5,IF(H152&gt;=100000,1.25,1))</f>
        <v/>
      </c>
      <c r="J152">
        <f>ROUNDDOWN(G152*I152,0)</f>
        <v/>
      </c>
      <c r="K152">
        <f>IF(COUNTIFS($C$2:$C$174,C152,$F$2:$F$174,EDATE(F152,-1))&gt;0,200,0)</f>
        <v/>
      </c>
      <c r="L152">
        <f>IF(E152&gt;=3,100,0)</f>
        <v/>
      </c>
      <c r="M152">
        <f>J152+K152+L152</f>
        <v/>
      </c>
      <c r="N152">
        <f>SUMIFS($M$2:M152,$C$2:C152,C152)</f>
        <v/>
      </c>
      <c r="O152">
        <f>IF(AND(B152&lt;DATE(2025,7,1),COUNTIFS($C$2:$C$174,C152,$B$2:$B$174,"&gt;="&amp;DATE(2025,10,1))=0),M152,0)</f>
        <v/>
      </c>
      <c r="P152">
        <f>IF(N152&gt;=5000,A152,"")</f>
        <v/>
      </c>
    </row>
    <row r="153">
      <c r="A153" t="n">
        <v>10154</v>
      </c>
      <c r="B153" s="3">
        <f>INDEX(Lines!$B$2:$B$331,MATCH(A153,Lines!$A$2:$A$331,0))</f>
        <v/>
      </c>
      <c r="C153">
        <f>INDEX(Lines!$C$2:$C$331,MATCH(A153,Lines!$A$2:$A$331,0))</f>
        <v/>
      </c>
      <c r="D153">
        <f>SUMIFS(Lines!$I$2:$I$331,Lines!$A$2:$A$331,A153)</f>
        <v/>
      </c>
      <c r="E153">
        <f>COUNTIFS(Lines!$A$2:$A$331,A153)</f>
        <v/>
      </c>
      <c r="F153" s="3">
        <f>DATE(YEAR(B153),MONTH(B153),1)</f>
        <v/>
      </c>
      <c r="G153">
        <f>INT(D153/100)</f>
        <v/>
      </c>
      <c r="H153">
        <f>SUMIFS($D$2:D153,$C$2:C153,C153)-D153</f>
        <v/>
      </c>
      <c r="I153">
        <f>IF(H153&gt;=250000,1.5,IF(H153&gt;=100000,1.25,1))</f>
        <v/>
      </c>
      <c r="J153">
        <f>ROUNDDOWN(G153*I153,0)</f>
        <v/>
      </c>
      <c r="K153">
        <f>IF(COUNTIFS($C$2:$C$174,C153,$F$2:$F$174,EDATE(F153,-1))&gt;0,200,0)</f>
        <v/>
      </c>
      <c r="L153">
        <f>IF(E153&gt;=3,100,0)</f>
        <v/>
      </c>
      <c r="M153">
        <f>J153+K153+L153</f>
        <v/>
      </c>
      <c r="N153">
        <f>SUMIFS($M$2:M153,$C$2:C153,C153)</f>
        <v/>
      </c>
      <c r="O153">
        <f>IF(AND(B153&lt;DATE(2025,7,1),COUNTIFS($C$2:$C$174,C153,$B$2:$B$174,"&gt;="&amp;DATE(2025,10,1))=0),M153,0)</f>
        <v/>
      </c>
      <c r="P153">
        <f>IF(N153&gt;=5000,A153,"")</f>
        <v/>
      </c>
    </row>
    <row r="154">
      <c r="A154" t="n">
        <v>10155</v>
      </c>
      <c r="B154" s="3">
        <f>INDEX(Lines!$B$2:$B$331,MATCH(A154,Lines!$A$2:$A$331,0))</f>
        <v/>
      </c>
      <c r="C154">
        <f>INDEX(Lines!$C$2:$C$331,MATCH(A154,Lines!$A$2:$A$331,0))</f>
        <v/>
      </c>
      <c r="D154">
        <f>SUMIFS(Lines!$I$2:$I$331,Lines!$A$2:$A$331,A154)</f>
        <v/>
      </c>
      <c r="E154">
        <f>COUNTIFS(Lines!$A$2:$A$331,A154)</f>
        <v/>
      </c>
      <c r="F154" s="3">
        <f>DATE(YEAR(B154),MONTH(B154),1)</f>
        <v/>
      </c>
      <c r="G154">
        <f>INT(D154/100)</f>
        <v/>
      </c>
      <c r="H154">
        <f>SUMIFS($D$2:D154,$C$2:C154,C154)-D154</f>
        <v/>
      </c>
      <c r="I154">
        <f>IF(H154&gt;=250000,1.5,IF(H154&gt;=100000,1.25,1))</f>
        <v/>
      </c>
      <c r="J154">
        <f>ROUNDDOWN(G154*I154,0)</f>
        <v/>
      </c>
      <c r="K154">
        <f>IF(COUNTIFS($C$2:$C$174,C154,$F$2:$F$174,EDATE(F154,-1))&gt;0,200,0)</f>
        <v/>
      </c>
      <c r="L154">
        <f>IF(E154&gt;=3,100,0)</f>
        <v/>
      </c>
      <c r="M154">
        <f>J154+K154+L154</f>
        <v/>
      </c>
      <c r="N154">
        <f>SUMIFS($M$2:M154,$C$2:C154,C154)</f>
        <v/>
      </c>
      <c r="O154">
        <f>IF(AND(B154&lt;DATE(2025,7,1),COUNTIFS($C$2:$C$174,C154,$B$2:$B$174,"&gt;="&amp;DATE(2025,10,1))=0),M154,0)</f>
        <v/>
      </c>
      <c r="P154">
        <f>IF(N154&gt;=5000,A154,"")</f>
        <v/>
      </c>
    </row>
    <row r="155">
      <c r="A155" t="n">
        <v>10156</v>
      </c>
      <c r="B155" s="3">
        <f>INDEX(Lines!$B$2:$B$331,MATCH(A155,Lines!$A$2:$A$331,0))</f>
        <v/>
      </c>
      <c r="C155">
        <f>INDEX(Lines!$C$2:$C$331,MATCH(A155,Lines!$A$2:$A$331,0))</f>
        <v/>
      </c>
      <c r="D155">
        <f>SUMIFS(Lines!$I$2:$I$331,Lines!$A$2:$A$331,A155)</f>
        <v/>
      </c>
      <c r="E155">
        <f>COUNTIFS(Lines!$A$2:$A$331,A155)</f>
        <v/>
      </c>
      <c r="F155" s="3">
        <f>DATE(YEAR(B155),MONTH(B155),1)</f>
        <v/>
      </c>
      <c r="G155">
        <f>INT(D155/100)</f>
        <v/>
      </c>
      <c r="H155">
        <f>SUMIFS($D$2:D155,$C$2:C155,C155)-D155</f>
        <v/>
      </c>
      <c r="I155">
        <f>IF(H155&gt;=250000,1.5,IF(H155&gt;=100000,1.25,1))</f>
        <v/>
      </c>
      <c r="J155">
        <f>ROUNDDOWN(G155*I155,0)</f>
        <v/>
      </c>
      <c r="K155">
        <f>IF(COUNTIFS($C$2:$C$174,C155,$F$2:$F$174,EDATE(F155,-1))&gt;0,200,0)</f>
        <v/>
      </c>
      <c r="L155">
        <f>IF(E155&gt;=3,100,0)</f>
        <v/>
      </c>
      <c r="M155">
        <f>J155+K155+L155</f>
        <v/>
      </c>
      <c r="N155">
        <f>SUMIFS($M$2:M155,$C$2:C155,C155)</f>
        <v/>
      </c>
      <c r="O155">
        <f>IF(AND(B155&lt;DATE(2025,7,1),COUNTIFS($C$2:$C$174,C155,$B$2:$B$174,"&gt;="&amp;DATE(2025,10,1))=0),M155,0)</f>
        <v/>
      </c>
      <c r="P155">
        <f>IF(N155&gt;=5000,A155,"")</f>
        <v/>
      </c>
    </row>
    <row r="156">
      <c r="A156" t="n">
        <v>10157</v>
      </c>
      <c r="B156" s="3">
        <f>INDEX(Lines!$B$2:$B$331,MATCH(A156,Lines!$A$2:$A$331,0))</f>
        <v/>
      </c>
      <c r="C156">
        <f>INDEX(Lines!$C$2:$C$331,MATCH(A156,Lines!$A$2:$A$331,0))</f>
        <v/>
      </c>
      <c r="D156">
        <f>SUMIFS(Lines!$I$2:$I$331,Lines!$A$2:$A$331,A156)</f>
        <v/>
      </c>
      <c r="E156">
        <f>COUNTIFS(Lines!$A$2:$A$331,A156)</f>
        <v/>
      </c>
      <c r="F156" s="3">
        <f>DATE(YEAR(B156),MONTH(B156),1)</f>
        <v/>
      </c>
      <c r="G156">
        <f>INT(D156/100)</f>
        <v/>
      </c>
      <c r="H156">
        <f>SUMIFS($D$2:D156,$C$2:C156,C156)-D156</f>
        <v/>
      </c>
      <c r="I156">
        <f>IF(H156&gt;=250000,1.5,IF(H156&gt;=100000,1.25,1))</f>
        <v/>
      </c>
      <c r="J156">
        <f>ROUNDDOWN(G156*I156,0)</f>
        <v/>
      </c>
      <c r="K156">
        <f>IF(COUNTIFS($C$2:$C$174,C156,$F$2:$F$174,EDATE(F156,-1))&gt;0,200,0)</f>
        <v/>
      </c>
      <c r="L156">
        <f>IF(E156&gt;=3,100,0)</f>
        <v/>
      </c>
      <c r="M156">
        <f>J156+K156+L156</f>
        <v/>
      </c>
      <c r="N156">
        <f>SUMIFS($M$2:M156,$C$2:C156,C156)</f>
        <v/>
      </c>
      <c r="O156">
        <f>IF(AND(B156&lt;DATE(2025,7,1),COUNTIFS($C$2:$C$174,C156,$B$2:$B$174,"&gt;="&amp;DATE(2025,10,1))=0),M156,0)</f>
        <v/>
      </c>
      <c r="P156">
        <f>IF(N156&gt;=5000,A156,"")</f>
        <v/>
      </c>
    </row>
    <row r="157">
      <c r="A157" t="n">
        <v>10158</v>
      </c>
      <c r="B157" s="3">
        <f>INDEX(Lines!$B$2:$B$331,MATCH(A157,Lines!$A$2:$A$331,0))</f>
        <v/>
      </c>
      <c r="C157">
        <f>INDEX(Lines!$C$2:$C$331,MATCH(A157,Lines!$A$2:$A$331,0))</f>
        <v/>
      </c>
      <c r="D157">
        <f>SUMIFS(Lines!$I$2:$I$331,Lines!$A$2:$A$331,A157)</f>
        <v/>
      </c>
      <c r="E157">
        <f>COUNTIFS(Lines!$A$2:$A$331,A157)</f>
        <v/>
      </c>
      <c r="F157" s="3">
        <f>DATE(YEAR(B157),MONTH(B157),1)</f>
        <v/>
      </c>
      <c r="G157">
        <f>INT(D157/100)</f>
        <v/>
      </c>
      <c r="H157">
        <f>SUMIFS($D$2:D157,$C$2:C157,C157)-D157</f>
        <v/>
      </c>
      <c r="I157">
        <f>IF(H157&gt;=250000,1.5,IF(H157&gt;=100000,1.25,1))</f>
        <v/>
      </c>
      <c r="J157">
        <f>ROUNDDOWN(G157*I157,0)</f>
        <v/>
      </c>
      <c r="K157">
        <f>IF(COUNTIFS($C$2:$C$174,C157,$F$2:$F$174,EDATE(F157,-1))&gt;0,200,0)</f>
        <v/>
      </c>
      <c r="L157">
        <f>IF(E157&gt;=3,100,0)</f>
        <v/>
      </c>
      <c r="M157">
        <f>J157+K157+L157</f>
        <v/>
      </c>
      <c r="N157">
        <f>SUMIFS($M$2:M157,$C$2:C157,C157)</f>
        <v/>
      </c>
      <c r="O157">
        <f>IF(AND(B157&lt;DATE(2025,7,1),COUNTIFS($C$2:$C$174,C157,$B$2:$B$174,"&gt;="&amp;DATE(2025,10,1))=0),M157,0)</f>
        <v/>
      </c>
      <c r="P157">
        <f>IF(N157&gt;=5000,A157,"")</f>
        <v/>
      </c>
    </row>
    <row r="158">
      <c r="A158" t="n">
        <v>10159</v>
      </c>
      <c r="B158" s="3">
        <f>INDEX(Lines!$B$2:$B$331,MATCH(A158,Lines!$A$2:$A$331,0))</f>
        <v/>
      </c>
      <c r="C158">
        <f>INDEX(Lines!$C$2:$C$331,MATCH(A158,Lines!$A$2:$A$331,0))</f>
        <v/>
      </c>
      <c r="D158">
        <f>SUMIFS(Lines!$I$2:$I$331,Lines!$A$2:$A$331,A158)</f>
        <v/>
      </c>
      <c r="E158">
        <f>COUNTIFS(Lines!$A$2:$A$331,A158)</f>
        <v/>
      </c>
      <c r="F158" s="3">
        <f>DATE(YEAR(B158),MONTH(B158),1)</f>
        <v/>
      </c>
      <c r="G158">
        <f>INT(D158/100)</f>
        <v/>
      </c>
      <c r="H158">
        <f>SUMIFS($D$2:D158,$C$2:C158,C158)-D158</f>
        <v/>
      </c>
      <c r="I158">
        <f>IF(H158&gt;=250000,1.5,IF(H158&gt;=100000,1.25,1))</f>
        <v/>
      </c>
      <c r="J158">
        <f>ROUNDDOWN(G158*I158,0)</f>
        <v/>
      </c>
      <c r="K158">
        <f>IF(COUNTIFS($C$2:$C$174,C158,$F$2:$F$174,EDATE(F158,-1))&gt;0,200,0)</f>
        <v/>
      </c>
      <c r="L158">
        <f>IF(E158&gt;=3,100,0)</f>
        <v/>
      </c>
      <c r="M158">
        <f>J158+K158+L158</f>
        <v/>
      </c>
      <c r="N158">
        <f>SUMIFS($M$2:M158,$C$2:C158,C158)</f>
        <v/>
      </c>
      <c r="O158">
        <f>IF(AND(B158&lt;DATE(2025,7,1),COUNTIFS($C$2:$C$174,C158,$B$2:$B$174,"&gt;="&amp;DATE(2025,10,1))=0),M158,0)</f>
        <v/>
      </c>
      <c r="P158">
        <f>IF(N158&gt;=5000,A158,"")</f>
        <v/>
      </c>
    </row>
    <row r="159">
      <c r="A159" t="n">
        <v>10160</v>
      </c>
      <c r="B159" s="3">
        <f>INDEX(Lines!$B$2:$B$331,MATCH(A159,Lines!$A$2:$A$331,0))</f>
        <v/>
      </c>
      <c r="C159">
        <f>INDEX(Lines!$C$2:$C$331,MATCH(A159,Lines!$A$2:$A$331,0))</f>
        <v/>
      </c>
      <c r="D159">
        <f>SUMIFS(Lines!$I$2:$I$331,Lines!$A$2:$A$331,A159)</f>
        <v/>
      </c>
      <c r="E159">
        <f>COUNTIFS(Lines!$A$2:$A$331,A159)</f>
        <v/>
      </c>
      <c r="F159" s="3">
        <f>DATE(YEAR(B159),MONTH(B159),1)</f>
        <v/>
      </c>
      <c r="G159">
        <f>INT(D159/100)</f>
        <v/>
      </c>
      <c r="H159">
        <f>SUMIFS($D$2:D159,$C$2:C159,C159)-D159</f>
        <v/>
      </c>
      <c r="I159">
        <f>IF(H159&gt;=250000,1.5,IF(H159&gt;=100000,1.25,1))</f>
        <v/>
      </c>
      <c r="J159">
        <f>ROUNDDOWN(G159*I159,0)</f>
        <v/>
      </c>
      <c r="K159">
        <f>IF(COUNTIFS($C$2:$C$174,C159,$F$2:$F$174,EDATE(F159,-1))&gt;0,200,0)</f>
        <v/>
      </c>
      <c r="L159">
        <f>IF(E159&gt;=3,100,0)</f>
        <v/>
      </c>
      <c r="M159">
        <f>J159+K159+L159</f>
        <v/>
      </c>
      <c r="N159">
        <f>SUMIFS($M$2:M159,$C$2:C159,C159)</f>
        <v/>
      </c>
      <c r="O159">
        <f>IF(AND(B159&lt;DATE(2025,7,1),COUNTIFS($C$2:$C$174,C159,$B$2:$B$174,"&gt;="&amp;DATE(2025,10,1))=0),M159,0)</f>
        <v/>
      </c>
      <c r="P159">
        <f>IF(N159&gt;=5000,A159,"")</f>
        <v/>
      </c>
    </row>
    <row r="160">
      <c r="A160" t="n">
        <v>10161</v>
      </c>
      <c r="B160" s="3">
        <f>INDEX(Lines!$B$2:$B$331,MATCH(A160,Lines!$A$2:$A$331,0))</f>
        <v/>
      </c>
      <c r="C160">
        <f>INDEX(Lines!$C$2:$C$331,MATCH(A160,Lines!$A$2:$A$331,0))</f>
        <v/>
      </c>
      <c r="D160">
        <f>SUMIFS(Lines!$I$2:$I$331,Lines!$A$2:$A$331,A160)</f>
        <v/>
      </c>
      <c r="E160">
        <f>COUNTIFS(Lines!$A$2:$A$331,A160)</f>
        <v/>
      </c>
      <c r="F160" s="3">
        <f>DATE(YEAR(B160),MONTH(B160),1)</f>
        <v/>
      </c>
      <c r="G160">
        <f>INT(D160/100)</f>
        <v/>
      </c>
      <c r="H160">
        <f>SUMIFS($D$2:D160,$C$2:C160,C160)-D160</f>
        <v/>
      </c>
      <c r="I160">
        <f>IF(H160&gt;=250000,1.5,IF(H160&gt;=100000,1.25,1))</f>
        <v/>
      </c>
      <c r="J160">
        <f>ROUNDDOWN(G160*I160,0)</f>
        <v/>
      </c>
      <c r="K160">
        <f>IF(COUNTIFS($C$2:$C$174,C160,$F$2:$F$174,EDATE(F160,-1))&gt;0,200,0)</f>
        <v/>
      </c>
      <c r="L160">
        <f>IF(E160&gt;=3,100,0)</f>
        <v/>
      </c>
      <c r="M160">
        <f>J160+K160+L160</f>
        <v/>
      </c>
      <c r="N160">
        <f>SUMIFS($M$2:M160,$C$2:C160,C160)</f>
        <v/>
      </c>
      <c r="O160">
        <f>IF(AND(B160&lt;DATE(2025,7,1),COUNTIFS($C$2:$C$174,C160,$B$2:$B$174,"&gt;="&amp;DATE(2025,10,1))=0),M160,0)</f>
        <v/>
      </c>
      <c r="P160">
        <f>IF(N160&gt;=5000,A160,"")</f>
        <v/>
      </c>
    </row>
    <row r="161">
      <c r="A161" t="n">
        <v>10162</v>
      </c>
      <c r="B161" s="3">
        <f>INDEX(Lines!$B$2:$B$331,MATCH(A161,Lines!$A$2:$A$331,0))</f>
        <v/>
      </c>
      <c r="C161">
        <f>INDEX(Lines!$C$2:$C$331,MATCH(A161,Lines!$A$2:$A$331,0))</f>
        <v/>
      </c>
      <c r="D161">
        <f>SUMIFS(Lines!$I$2:$I$331,Lines!$A$2:$A$331,A161)</f>
        <v/>
      </c>
      <c r="E161">
        <f>COUNTIFS(Lines!$A$2:$A$331,A161)</f>
        <v/>
      </c>
      <c r="F161" s="3">
        <f>DATE(YEAR(B161),MONTH(B161),1)</f>
        <v/>
      </c>
      <c r="G161">
        <f>INT(D161/100)</f>
        <v/>
      </c>
      <c r="H161">
        <f>SUMIFS($D$2:D161,$C$2:C161,C161)-D161</f>
        <v/>
      </c>
      <c r="I161">
        <f>IF(H161&gt;=250000,1.5,IF(H161&gt;=100000,1.25,1))</f>
        <v/>
      </c>
      <c r="J161">
        <f>ROUNDDOWN(G161*I161,0)</f>
        <v/>
      </c>
      <c r="K161">
        <f>IF(COUNTIFS($C$2:$C$174,C161,$F$2:$F$174,EDATE(F161,-1))&gt;0,200,0)</f>
        <v/>
      </c>
      <c r="L161">
        <f>IF(E161&gt;=3,100,0)</f>
        <v/>
      </c>
      <c r="M161">
        <f>J161+K161+L161</f>
        <v/>
      </c>
      <c r="N161">
        <f>SUMIFS($M$2:M161,$C$2:C161,C161)</f>
        <v/>
      </c>
      <c r="O161">
        <f>IF(AND(B161&lt;DATE(2025,7,1),COUNTIFS($C$2:$C$174,C161,$B$2:$B$174,"&gt;="&amp;DATE(2025,10,1))=0),M161,0)</f>
        <v/>
      </c>
      <c r="P161">
        <f>IF(N161&gt;=5000,A161,"")</f>
        <v/>
      </c>
    </row>
    <row r="162">
      <c r="A162" t="n">
        <v>10163</v>
      </c>
      <c r="B162" s="3">
        <f>INDEX(Lines!$B$2:$B$331,MATCH(A162,Lines!$A$2:$A$331,0))</f>
        <v/>
      </c>
      <c r="C162">
        <f>INDEX(Lines!$C$2:$C$331,MATCH(A162,Lines!$A$2:$A$331,0))</f>
        <v/>
      </c>
      <c r="D162">
        <f>SUMIFS(Lines!$I$2:$I$331,Lines!$A$2:$A$331,A162)</f>
        <v/>
      </c>
      <c r="E162">
        <f>COUNTIFS(Lines!$A$2:$A$331,A162)</f>
        <v/>
      </c>
      <c r="F162" s="3">
        <f>DATE(YEAR(B162),MONTH(B162),1)</f>
        <v/>
      </c>
      <c r="G162">
        <f>INT(D162/100)</f>
        <v/>
      </c>
      <c r="H162">
        <f>SUMIFS($D$2:D162,$C$2:C162,C162)-D162</f>
        <v/>
      </c>
      <c r="I162">
        <f>IF(H162&gt;=250000,1.5,IF(H162&gt;=100000,1.25,1))</f>
        <v/>
      </c>
      <c r="J162">
        <f>ROUNDDOWN(G162*I162,0)</f>
        <v/>
      </c>
      <c r="K162">
        <f>IF(COUNTIFS($C$2:$C$174,C162,$F$2:$F$174,EDATE(F162,-1))&gt;0,200,0)</f>
        <v/>
      </c>
      <c r="L162">
        <f>IF(E162&gt;=3,100,0)</f>
        <v/>
      </c>
      <c r="M162">
        <f>J162+K162+L162</f>
        <v/>
      </c>
      <c r="N162">
        <f>SUMIFS($M$2:M162,$C$2:C162,C162)</f>
        <v/>
      </c>
      <c r="O162">
        <f>IF(AND(B162&lt;DATE(2025,7,1),COUNTIFS($C$2:$C$174,C162,$B$2:$B$174,"&gt;="&amp;DATE(2025,10,1))=0),M162,0)</f>
        <v/>
      </c>
      <c r="P162">
        <f>IF(N162&gt;=5000,A162,"")</f>
        <v/>
      </c>
    </row>
    <row r="163">
      <c r="A163" t="n">
        <v>10164</v>
      </c>
      <c r="B163" s="3">
        <f>INDEX(Lines!$B$2:$B$331,MATCH(A163,Lines!$A$2:$A$331,0))</f>
        <v/>
      </c>
      <c r="C163">
        <f>INDEX(Lines!$C$2:$C$331,MATCH(A163,Lines!$A$2:$A$331,0))</f>
        <v/>
      </c>
      <c r="D163">
        <f>SUMIFS(Lines!$I$2:$I$331,Lines!$A$2:$A$331,A163)</f>
        <v/>
      </c>
      <c r="E163">
        <f>COUNTIFS(Lines!$A$2:$A$331,A163)</f>
        <v/>
      </c>
      <c r="F163" s="3">
        <f>DATE(YEAR(B163),MONTH(B163),1)</f>
        <v/>
      </c>
      <c r="G163">
        <f>INT(D163/100)</f>
        <v/>
      </c>
      <c r="H163">
        <f>SUMIFS($D$2:D163,$C$2:C163,C163)-D163</f>
        <v/>
      </c>
      <c r="I163">
        <f>IF(H163&gt;=250000,1.5,IF(H163&gt;=100000,1.25,1))</f>
        <v/>
      </c>
      <c r="J163">
        <f>ROUNDDOWN(G163*I163,0)</f>
        <v/>
      </c>
      <c r="K163">
        <f>IF(COUNTIFS($C$2:$C$174,C163,$F$2:$F$174,EDATE(F163,-1))&gt;0,200,0)</f>
        <v/>
      </c>
      <c r="L163">
        <f>IF(E163&gt;=3,100,0)</f>
        <v/>
      </c>
      <c r="M163">
        <f>J163+K163+L163</f>
        <v/>
      </c>
      <c r="N163">
        <f>SUMIFS($M$2:M163,$C$2:C163,C163)</f>
        <v/>
      </c>
      <c r="O163">
        <f>IF(AND(B163&lt;DATE(2025,7,1),COUNTIFS($C$2:$C$174,C163,$B$2:$B$174,"&gt;="&amp;DATE(2025,10,1))=0),M163,0)</f>
        <v/>
      </c>
      <c r="P163">
        <f>IF(N163&gt;=5000,A163,"")</f>
        <v/>
      </c>
    </row>
    <row r="164">
      <c r="A164" t="n">
        <v>10165</v>
      </c>
      <c r="B164" s="3">
        <f>INDEX(Lines!$B$2:$B$331,MATCH(A164,Lines!$A$2:$A$331,0))</f>
        <v/>
      </c>
      <c r="C164">
        <f>INDEX(Lines!$C$2:$C$331,MATCH(A164,Lines!$A$2:$A$331,0))</f>
        <v/>
      </c>
      <c r="D164">
        <f>SUMIFS(Lines!$I$2:$I$331,Lines!$A$2:$A$331,A164)</f>
        <v/>
      </c>
      <c r="E164">
        <f>COUNTIFS(Lines!$A$2:$A$331,A164)</f>
        <v/>
      </c>
      <c r="F164" s="3">
        <f>DATE(YEAR(B164),MONTH(B164),1)</f>
        <v/>
      </c>
      <c r="G164">
        <f>INT(D164/100)</f>
        <v/>
      </c>
      <c r="H164">
        <f>SUMIFS($D$2:D164,$C$2:C164,C164)-D164</f>
        <v/>
      </c>
      <c r="I164">
        <f>IF(H164&gt;=250000,1.5,IF(H164&gt;=100000,1.25,1))</f>
        <v/>
      </c>
      <c r="J164">
        <f>ROUNDDOWN(G164*I164,0)</f>
        <v/>
      </c>
      <c r="K164">
        <f>IF(COUNTIFS($C$2:$C$174,C164,$F$2:$F$174,EDATE(F164,-1))&gt;0,200,0)</f>
        <v/>
      </c>
      <c r="L164">
        <f>IF(E164&gt;=3,100,0)</f>
        <v/>
      </c>
      <c r="M164">
        <f>J164+K164+L164</f>
        <v/>
      </c>
      <c r="N164">
        <f>SUMIFS($M$2:M164,$C$2:C164,C164)</f>
        <v/>
      </c>
      <c r="O164">
        <f>IF(AND(B164&lt;DATE(2025,7,1),COUNTIFS($C$2:$C$174,C164,$B$2:$B$174,"&gt;="&amp;DATE(2025,10,1))=0),M164,0)</f>
        <v/>
      </c>
      <c r="P164">
        <f>IF(N164&gt;=5000,A164,"")</f>
        <v/>
      </c>
    </row>
    <row r="165">
      <c r="A165" t="n">
        <v>10166</v>
      </c>
      <c r="B165" s="3">
        <f>INDEX(Lines!$B$2:$B$331,MATCH(A165,Lines!$A$2:$A$331,0))</f>
        <v/>
      </c>
      <c r="C165">
        <f>INDEX(Lines!$C$2:$C$331,MATCH(A165,Lines!$A$2:$A$331,0))</f>
        <v/>
      </c>
      <c r="D165">
        <f>SUMIFS(Lines!$I$2:$I$331,Lines!$A$2:$A$331,A165)</f>
        <v/>
      </c>
      <c r="E165">
        <f>COUNTIFS(Lines!$A$2:$A$331,A165)</f>
        <v/>
      </c>
      <c r="F165" s="3">
        <f>DATE(YEAR(B165),MONTH(B165),1)</f>
        <v/>
      </c>
      <c r="G165">
        <f>INT(D165/100)</f>
        <v/>
      </c>
      <c r="H165">
        <f>SUMIFS($D$2:D165,$C$2:C165,C165)-D165</f>
        <v/>
      </c>
      <c r="I165">
        <f>IF(H165&gt;=250000,1.5,IF(H165&gt;=100000,1.25,1))</f>
        <v/>
      </c>
      <c r="J165">
        <f>ROUNDDOWN(G165*I165,0)</f>
        <v/>
      </c>
      <c r="K165">
        <f>IF(COUNTIFS($C$2:$C$174,C165,$F$2:$F$174,EDATE(F165,-1))&gt;0,200,0)</f>
        <v/>
      </c>
      <c r="L165">
        <f>IF(E165&gt;=3,100,0)</f>
        <v/>
      </c>
      <c r="M165">
        <f>J165+K165+L165</f>
        <v/>
      </c>
      <c r="N165">
        <f>SUMIFS($M$2:M165,$C$2:C165,C165)</f>
        <v/>
      </c>
      <c r="O165">
        <f>IF(AND(B165&lt;DATE(2025,7,1),COUNTIFS($C$2:$C$174,C165,$B$2:$B$174,"&gt;="&amp;DATE(2025,10,1))=0),M165,0)</f>
        <v/>
      </c>
      <c r="P165">
        <f>IF(N165&gt;=5000,A165,"")</f>
        <v/>
      </c>
    </row>
    <row r="166">
      <c r="A166" t="n">
        <v>10167</v>
      </c>
      <c r="B166" s="3">
        <f>INDEX(Lines!$B$2:$B$331,MATCH(A166,Lines!$A$2:$A$331,0))</f>
        <v/>
      </c>
      <c r="C166">
        <f>INDEX(Lines!$C$2:$C$331,MATCH(A166,Lines!$A$2:$A$331,0))</f>
        <v/>
      </c>
      <c r="D166">
        <f>SUMIFS(Lines!$I$2:$I$331,Lines!$A$2:$A$331,A166)</f>
        <v/>
      </c>
      <c r="E166">
        <f>COUNTIFS(Lines!$A$2:$A$331,A166)</f>
        <v/>
      </c>
      <c r="F166" s="3">
        <f>DATE(YEAR(B166),MONTH(B166),1)</f>
        <v/>
      </c>
      <c r="G166">
        <f>INT(D166/100)</f>
        <v/>
      </c>
      <c r="H166">
        <f>SUMIFS($D$2:D166,$C$2:C166,C166)-D166</f>
        <v/>
      </c>
      <c r="I166">
        <f>IF(H166&gt;=250000,1.5,IF(H166&gt;=100000,1.25,1))</f>
        <v/>
      </c>
      <c r="J166">
        <f>ROUNDDOWN(G166*I166,0)</f>
        <v/>
      </c>
      <c r="K166">
        <f>IF(COUNTIFS($C$2:$C$174,C166,$F$2:$F$174,EDATE(F166,-1))&gt;0,200,0)</f>
        <v/>
      </c>
      <c r="L166">
        <f>IF(E166&gt;=3,100,0)</f>
        <v/>
      </c>
      <c r="M166">
        <f>J166+K166+L166</f>
        <v/>
      </c>
      <c r="N166">
        <f>SUMIFS($M$2:M166,$C$2:C166,C166)</f>
        <v/>
      </c>
      <c r="O166">
        <f>IF(AND(B166&lt;DATE(2025,7,1),COUNTIFS($C$2:$C$174,C166,$B$2:$B$174,"&gt;="&amp;DATE(2025,10,1))=0),M166,0)</f>
        <v/>
      </c>
      <c r="P166">
        <f>IF(N166&gt;=5000,A166,"")</f>
        <v/>
      </c>
    </row>
    <row r="167">
      <c r="A167" t="n">
        <v>10168</v>
      </c>
      <c r="B167" s="3">
        <f>INDEX(Lines!$B$2:$B$331,MATCH(A167,Lines!$A$2:$A$331,0))</f>
        <v/>
      </c>
      <c r="C167">
        <f>INDEX(Lines!$C$2:$C$331,MATCH(A167,Lines!$A$2:$A$331,0))</f>
        <v/>
      </c>
      <c r="D167">
        <f>SUMIFS(Lines!$I$2:$I$331,Lines!$A$2:$A$331,A167)</f>
        <v/>
      </c>
      <c r="E167">
        <f>COUNTIFS(Lines!$A$2:$A$331,A167)</f>
        <v/>
      </c>
      <c r="F167" s="3">
        <f>DATE(YEAR(B167),MONTH(B167),1)</f>
        <v/>
      </c>
      <c r="G167">
        <f>INT(D167/100)</f>
        <v/>
      </c>
      <c r="H167">
        <f>SUMIFS($D$2:D167,$C$2:C167,C167)-D167</f>
        <v/>
      </c>
      <c r="I167">
        <f>IF(H167&gt;=250000,1.5,IF(H167&gt;=100000,1.25,1))</f>
        <v/>
      </c>
      <c r="J167">
        <f>ROUNDDOWN(G167*I167,0)</f>
        <v/>
      </c>
      <c r="K167">
        <f>IF(COUNTIFS($C$2:$C$174,C167,$F$2:$F$174,EDATE(F167,-1))&gt;0,200,0)</f>
        <v/>
      </c>
      <c r="L167">
        <f>IF(E167&gt;=3,100,0)</f>
        <v/>
      </c>
      <c r="M167">
        <f>J167+K167+L167</f>
        <v/>
      </c>
      <c r="N167">
        <f>SUMIFS($M$2:M167,$C$2:C167,C167)</f>
        <v/>
      </c>
      <c r="O167">
        <f>IF(AND(B167&lt;DATE(2025,7,1),COUNTIFS($C$2:$C$174,C167,$B$2:$B$174,"&gt;="&amp;DATE(2025,10,1))=0),M167,0)</f>
        <v/>
      </c>
      <c r="P167">
        <f>IF(N167&gt;=5000,A167,"")</f>
        <v/>
      </c>
    </row>
    <row r="168">
      <c r="A168" t="n">
        <v>10169</v>
      </c>
      <c r="B168" s="3">
        <f>INDEX(Lines!$B$2:$B$331,MATCH(A168,Lines!$A$2:$A$331,0))</f>
        <v/>
      </c>
      <c r="C168">
        <f>INDEX(Lines!$C$2:$C$331,MATCH(A168,Lines!$A$2:$A$331,0))</f>
        <v/>
      </c>
      <c r="D168">
        <f>SUMIFS(Lines!$I$2:$I$331,Lines!$A$2:$A$331,A168)</f>
        <v/>
      </c>
      <c r="E168">
        <f>COUNTIFS(Lines!$A$2:$A$331,A168)</f>
        <v/>
      </c>
      <c r="F168" s="3">
        <f>DATE(YEAR(B168),MONTH(B168),1)</f>
        <v/>
      </c>
      <c r="G168">
        <f>INT(D168/100)</f>
        <v/>
      </c>
      <c r="H168">
        <f>SUMIFS($D$2:D168,$C$2:C168,C168)-D168</f>
        <v/>
      </c>
      <c r="I168">
        <f>IF(H168&gt;=250000,1.5,IF(H168&gt;=100000,1.25,1))</f>
        <v/>
      </c>
      <c r="J168">
        <f>ROUNDDOWN(G168*I168,0)</f>
        <v/>
      </c>
      <c r="K168">
        <f>IF(COUNTIFS($C$2:$C$174,C168,$F$2:$F$174,EDATE(F168,-1))&gt;0,200,0)</f>
        <v/>
      </c>
      <c r="L168">
        <f>IF(E168&gt;=3,100,0)</f>
        <v/>
      </c>
      <c r="M168">
        <f>J168+K168+L168</f>
        <v/>
      </c>
      <c r="N168">
        <f>SUMIFS($M$2:M168,$C$2:C168,C168)</f>
        <v/>
      </c>
      <c r="O168">
        <f>IF(AND(B168&lt;DATE(2025,7,1),COUNTIFS($C$2:$C$174,C168,$B$2:$B$174,"&gt;="&amp;DATE(2025,10,1))=0),M168,0)</f>
        <v/>
      </c>
      <c r="P168">
        <f>IF(N168&gt;=5000,A168,"")</f>
        <v/>
      </c>
    </row>
    <row r="169">
      <c r="A169" t="n">
        <v>10170</v>
      </c>
      <c r="B169" s="3">
        <f>INDEX(Lines!$B$2:$B$331,MATCH(A169,Lines!$A$2:$A$331,0))</f>
        <v/>
      </c>
      <c r="C169">
        <f>INDEX(Lines!$C$2:$C$331,MATCH(A169,Lines!$A$2:$A$331,0))</f>
        <v/>
      </c>
      <c r="D169">
        <f>SUMIFS(Lines!$I$2:$I$331,Lines!$A$2:$A$331,A169)</f>
        <v/>
      </c>
      <c r="E169">
        <f>COUNTIFS(Lines!$A$2:$A$331,A169)</f>
        <v/>
      </c>
      <c r="F169" s="3">
        <f>DATE(YEAR(B169),MONTH(B169),1)</f>
        <v/>
      </c>
      <c r="G169">
        <f>INT(D169/100)</f>
        <v/>
      </c>
      <c r="H169">
        <f>SUMIFS($D$2:D169,$C$2:C169,C169)-D169</f>
        <v/>
      </c>
      <c r="I169">
        <f>IF(H169&gt;=250000,1.5,IF(H169&gt;=100000,1.25,1))</f>
        <v/>
      </c>
      <c r="J169">
        <f>ROUNDDOWN(G169*I169,0)</f>
        <v/>
      </c>
      <c r="K169">
        <f>IF(COUNTIFS($C$2:$C$174,C169,$F$2:$F$174,EDATE(F169,-1))&gt;0,200,0)</f>
        <v/>
      </c>
      <c r="L169">
        <f>IF(E169&gt;=3,100,0)</f>
        <v/>
      </c>
      <c r="M169">
        <f>J169+K169+L169</f>
        <v/>
      </c>
      <c r="N169">
        <f>SUMIFS($M$2:M169,$C$2:C169,C169)</f>
        <v/>
      </c>
      <c r="O169">
        <f>IF(AND(B169&lt;DATE(2025,7,1),COUNTIFS($C$2:$C$174,C169,$B$2:$B$174,"&gt;="&amp;DATE(2025,10,1))=0),M169,0)</f>
        <v/>
      </c>
      <c r="P169">
        <f>IF(N169&gt;=5000,A169,"")</f>
        <v/>
      </c>
    </row>
    <row r="170">
      <c r="A170" t="n">
        <v>10171</v>
      </c>
      <c r="B170" s="3">
        <f>INDEX(Lines!$B$2:$B$331,MATCH(A170,Lines!$A$2:$A$331,0))</f>
        <v/>
      </c>
      <c r="C170">
        <f>INDEX(Lines!$C$2:$C$331,MATCH(A170,Lines!$A$2:$A$331,0))</f>
        <v/>
      </c>
      <c r="D170">
        <f>SUMIFS(Lines!$I$2:$I$331,Lines!$A$2:$A$331,A170)</f>
        <v/>
      </c>
      <c r="E170">
        <f>COUNTIFS(Lines!$A$2:$A$331,A170)</f>
        <v/>
      </c>
      <c r="F170" s="3">
        <f>DATE(YEAR(B170),MONTH(B170),1)</f>
        <v/>
      </c>
      <c r="G170">
        <f>INT(D170/100)</f>
        <v/>
      </c>
      <c r="H170">
        <f>SUMIFS($D$2:D170,$C$2:C170,C170)-D170</f>
        <v/>
      </c>
      <c r="I170">
        <f>IF(H170&gt;=250000,1.5,IF(H170&gt;=100000,1.25,1))</f>
        <v/>
      </c>
      <c r="J170">
        <f>ROUNDDOWN(G170*I170,0)</f>
        <v/>
      </c>
      <c r="K170">
        <f>IF(COUNTIFS($C$2:$C$174,C170,$F$2:$F$174,EDATE(F170,-1))&gt;0,200,0)</f>
        <v/>
      </c>
      <c r="L170">
        <f>IF(E170&gt;=3,100,0)</f>
        <v/>
      </c>
      <c r="M170">
        <f>J170+K170+L170</f>
        <v/>
      </c>
      <c r="N170">
        <f>SUMIFS($M$2:M170,$C$2:C170,C170)</f>
        <v/>
      </c>
      <c r="O170">
        <f>IF(AND(B170&lt;DATE(2025,7,1),COUNTIFS($C$2:$C$174,C170,$B$2:$B$174,"&gt;="&amp;DATE(2025,10,1))=0),M170,0)</f>
        <v/>
      </c>
      <c r="P170">
        <f>IF(N170&gt;=5000,A170,"")</f>
        <v/>
      </c>
    </row>
    <row r="171">
      <c r="A171" t="n">
        <v>10172</v>
      </c>
      <c r="B171" s="3">
        <f>INDEX(Lines!$B$2:$B$331,MATCH(A171,Lines!$A$2:$A$331,0))</f>
        <v/>
      </c>
      <c r="C171">
        <f>INDEX(Lines!$C$2:$C$331,MATCH(A171,Lines!$A$2:$A$331,0))</f>
        <v/>
      </c>
      <c r="D171">
        <f>SUMIFS(Lines!$I$2:$I$331,Lines!$A$2:$A$331,A171)</f>
        <v/>
      </c>
      <c r="E171">
        <f>COUNTIFS(Lines!$A$2:$A$331,A171)</f>
        <v/>
      </c>
      <c r="F171" s="3">
        <f>DATE(YEAR(B171),MONTH(B171),1)</f>
        <v/>
      </c>
      <c r="G171">
        <f>INT(D171/100)</f>
        <v/>
      </c>
      <c r="H171">
        <f>SUMIFS($D$2:D171,$C$2:C171,C171)-D171</f>
        <v/>
      </c>
      <c r="I171">
        <f>IF(H171&gt;=250000,1.5,IF(H171&gt;=100000,1.25,1))</f>
        <v/>
      </c>
      <c r="J171">
        <f>ROUNDDOWN(G171*I171,0)</f>
        <v/>
      </c>
      <c r="K171">
        <f>IF(COUNTIFS($C$2:$C$174,C171,$F$2:$F$174,EDATE(F171,-1))&gt;0,200,0)</f>
        <v/>
      </c>
      <c r="L171">
        <f>IF(E171&gt;=3,100,0)</f>
        <v/>
      </c>
      <c r="M171">
        <f>J171+K171+L171</f>
        <v/>
      </c>
      <c r="N171">
        <f>SUMIFS($M$2:M171,$C$2:C171,C171)</f>
        <v/>
      </c>
      <c r="O171">
        <f>IF(AND(B171&lt;DATE(2025,7,1),COUNTIFS($C$2:$C$174,C171,$B$2:$B$174,"&gt;="&amp;DATE(2025,10,1))=0),M171,0)</f>
        <v/>
      </c>
      <c r="P171">
        <f>IF(N171&gt;=5000,A171,"")</f>
        <v/>
      </c>
    </row>
    <row r="172">
      <c r="A172" t="n">
        <v>10173</v>
      </c>
      <c r="B172" s="3">
        <f>INDEX(Lines!$B$2:$B$331,MATCH(A172,Lines!$A$2:$A$331,0))</f>
        <v/>
      </c>
      <c r="C172">
        <f>INDEX(Lines!$C$2:$C$331,MATCH(A172,Lines!$A$2:$A$331,0))</f>
        <v/>
      </c>
      <c r="D172">
        <f>SUMIFS(Lines!$I$2:$I$331,Lines!$A$2:$A$331,A172)</f>
        <v/>
      </c>
      <c r="E172">
        <f>COUNTIFS(Lines!$A$2:$A$331,A172)</f>
        <v/>
      </c>
      <c r="F172" s="3">
        <f>DATE(YEAR(B172),MONTH(B172),1)</f>
        <v/>
      </c>
      <c r="G172">
        <f>INT(D172/100)</f>
        <v/>
      </c>
      <c r="H172">
        <f>SUMIFS($D$2:D172,$C$2:C172,C172)-D172</f>
        <v/>
      </c>
      <c r="I172">
        <f>IF(H172&gt;=250000,1.5,IF(H172&gt;=100000,1.25,1))</f>
        <v/>
      </c>
      <c r="J172">
        <f>ROUNDDOWN(G172*I172,0)</f>
        <v/>
      </c>
      <c r="K172">
        <f>IF(COUNTIFS($C$2:$C$174,C172,$F$2:$F$174,EDATE(F172,-1))&gt;0,200,0)</f>
        <v/>
      </c>
      <c r="L172">
        <f>IF(E172&gt;=3,100,0)</f>
        <v/>
      </c>
      <c r="M172">
        <f>J172+K172+L172</f>
        <v/>
      </c>
      <c r="N172">
        <f>SUMIFS($M$2:M172,$C$2:C172,C172)</f>
        <v/>
      </c>
      <c r="O172">
        <f>IF(AND(B172&lt;DATE(2025,7,1),COUNTIFS($C$2:$C$174,C172,$B$2:$B$174,"&gt;="&amp;DATE(2025,10,1))=0),M172,0)</f>
        <v/>
      </c>
      <c r="P172">
        <f>IF(N172&gt;=5000,A172,"")</f>
        <v/>
      </c>
    </row>
    <row r="173">
      <c r="A173" t="n">
        <v>10174</v>
      </c>
      <c r="B173" s="3">
        <f>INDEX(Lines!$B$2:$B$331,MATCH(A173,Lines!$A$2:$A$331,0))</f>
        <v/>
      </c>
      <c r="C173">
        <f>INDEX(Lines!$C$2:$C$331,MATCH(A173,Lines!$A$2:$A$331,0))</f>
        <v/>
      </c>
      <c r="D173">
        <f>SUMIFS(Lines!$I$2:$I$331,Lines!$A$2:$A$331,A173)</f>
        <v/>
      </c>
      <c r="E173">
        <f>COUNTIFS(Lines!$A$2:$A$331,A173)</f>
        <v/>
      </c>
      <c r="F173" s="3">
        <f>DATE(YEAR(B173),MONTH(B173),1)</f>
        <v/>
      </c>
      <c r="G173">
        <f>INT(D173/100)</f>
        <v/>
      </c>
      <c r="H173">
        <f>SUMIFS($D$2:D173,$C$2:C173,C173)-D173</f>
        <v/>
      </c>
      <c r="I173">
        <f>IF(H173&gt;=250000,1.5,IF(H173&gt;=100000,1.25,1))</f>
        <v/>
      </c>
      <c r="J173">
        <f>ROUNDDOWN(G173*I173,0)</f>
        <v/>
      </c>
      <c r="K173">
        <f>IF(COUNTIFS($C$2:$C$174,C173,$F$2:$F$174,EDATE(F173,-1))&gt;0,200,0)</f>
        <v/>
      </c>
      <c r="L173">
        <f>IF(E173&gt;=3,100,0)</f>
        <v/>
      </c>
      <c r="M173">
        <f>J173+K173+L173</f>
        <v/>
      </c>
      <c r="N173">
        <f>SUMIFS($M$2:M173,$C$2:C173,C173)</f>
        <v/>
      </c>
      <c r="O173">
        <f>IF(AND(B173&lt;DATE(2025,7,1),COUNTIFS($C$2:$C$174,C173,$B$2:$B$174,"&gt;="&amp;DATE(2025,10,1))=0),M173,0)</f>
        <v/>
      </c>
      <c r="P173">
        <f>IF(N173&gt;=5000,A173,"")</f>
        <v/>
      </c>
    </row>
    <row r="174">
      <c r="A174" t="n">
        <v>10175</v>
      </c>
      <c r="B174" s="3">
        <f>INDEX(Lines!$B$2:$B$331,MATCH(A174,Lines!$A$2:$A$331,0))</f>
        <v/>
      </c>
      <c r="C174">
        <f>INDEX(Lines!$C$2:$C$331,MATCH(A174,Lines!$A$2:$A$331,0))</f>
        <v/>
      </c>
      <c r="D174">
        <f>SUMIFS(Lines!$I$2:$I$331,Lines!$A$2:$A$331,A174)</f>
        <v/>
      </c>
      <c r="E174">
        <f>COUNTIFS(Lines!$A$2:$A$331,A174)</f>
        <v/>
      </c>
      <c r="F174" s="3">
        <f>DATE(YEAR(B174),MONTH(B174),1)</f>
        <v/>
      </c>
      <c r="G174">
        <f>INT(D174/100)</f>
        <v/>
      </c>
      <c r="H174">
        <f>SUMIFS($D$2:D174,$C$2:C174,C174)-D174</f>
        <v/>
      </c>
      <c r="I174">
        <f>IF(H174&gt;=250000,1.5,IF(H174&gt;=100000,1.25,1))</f>
        <v/>
      </c>
      <c r="J174">
        <f>ROUNDDOWN(G174*I174,0)</f>
        <v/>
      </c>
      <c r="K174">
        <f>IF(COUNTIFS($C$2:$C$174,C174,$F$2:$F$174,EDATE(F174,-1))&gt;0,200,0)</f>
        <v/>
      </c>
      <c r="L174">
        <f>IF(E174&gt;=3,100,0)</f>
        <v/>
      </c>
      <c r="M174">
        <f>J174+K174+L174</f>
        <v/>
      </c>
      <c r="N174">
        <f>SUMIFS($M$2:M174,$C$2:C174,C174)</f>
        <v/>
      </c>
      <c r="O174">
        <f>IF(AND(B174&lt;DATE(2025,7,1),COUNTIFS($C$2:$C$174,C174,$B$2:$B$174,"&gt;="&amp;DATE(2025,10,1))=0),M174,0)</f>
        <v/>
      </c>
      <c r="P174">
        <f>IF(N174&gt;=5000,A174,"")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points</t>
        </is>
      </c>
      <c r="C1" s="1" t="inlineStr">
        <is>
          <t>expired</t>
        </is>
      </c>
      <c r="D1" s="1" t="inlineStr">
        <is>
          <t>balance</t>
        </is>
      </c>
      <c r="E1" s="1" t="inlineStr">
        <is>
          <t>rank</t>
        </is>
      </c>
      <c r="F1" s="1" t="inlineStr">
        <is>
          <t>months_ordered</t>
        </is>
      </c>
      <c r="G1" s="1" t="inlineStr">
        <is>
          <t>base_points</t>
        </is>
      </c>
    </row>
    <row r="2">
      <c r="A2" t="inlineStr">
        <is>
          <t>Blue Bay Cafe</t>
        </is>
      </c>
      <c r="B2">
        <f>SUMIFS(Orders!$M$2:$M$174,Orders!$C$2:$C$174,A2)</f>
        <v/>
      </c>
      <c r="C2">
        <f>SUMIFS(Orders!$O$2:$O$174,Orders!$C$2:$C$174,A2)</f>
        <v/>
      </c>
      <c r="D2">
        <f>B2-C2</f>
        <v/>
      </c>
      <c r="E2">
        <f>RANK(D2,$D$2:$D$24,0)</f>
        <v/>
      </c>
      <c r="F2">
        <f>SUMPRODUCT((Orders!$C$2:$C$174=A2)/COUNTIFS(Orders!$C$2:$C$174,Orders!$C$2:$C$174,Orders!$F$2:$F$174,Orders!$F$2:$F$174))</f>
        <v/>
      </c>
      <c r="G2">
        <f>SUMIFS(Orders!$G$2:$G$174,Orders!$C$2:$C$174,A2)</f>
        <v/>
      </c>
    </row>
    <row r="3">
      <c r="A3" t="inlineStr">
        <is>
          <t>City Needs Store</t>
        </is>
      </c>
      <c r="B3">
        <f>SUMIFS(Orders!$M$2:$M$174,Orders!$C$2:$C$174,A3)</f>
        <v/>
      </c>
      <c r="C3">
        <f>SUMIFS(Orders!$O$2:$O$174,Orders!$C$2:$C$174,A3)</f>
        <v/>
      </c>
      <c r="D3">
        <f>B3-C3</f>
        <v/>
      </c>
      <c r="E3">
        <f>RANK(D3,$D$2:$D$24,0)</f>
        <v/>
      </c>
      <c r="F3">
        <f>SUMPRODUCT((Orders!$C$2:$C$174=A3)/COUNTIFS(Orders!$C$2:$C$174,Orders!$C$2:$C$174,Orders!$F$2:$F$174,Orders!$F$2:$F$174))</f>
        <v/>
      </c>
      <c r="G3">
        <f>SUMIFS(Orders!$G$2:$G$174,Orders!$C$2:$C$174,A3)</f>
        <v/>
      </c>
    </row>
    <row r="4">
      <c r="A4" t="inlineStr">
        <is>
          <t>Coastal Foods</t>
        </is>
      </c>
      <c r="B4">
        <f>SUMIFS(Orders!$M$2:$M$174,Orders!$C$2:$C$174,A4)</f>
        <v/>
      </c>
      <c r="C4">
        <f>SUMIFS(Orders!$O$2:$O$174,Orders!$C$2:$C$174,A4)</f>
        <v/>
      </c>
      <c r="D4">
        <f>B4-C4</f>
        <v/>
      </c>
      <c r="E4">
        <f>RANK(D4,$D$2:$D$24,0)</f>
        <v/>
      </c>
      <c r="F4">
        <f>SUMPRODUCT((Orders!$C$2:$C$174=A4)/COUNTIFS(Orders!$C$2:$C$174,Orders!$C$2:$C$174,Orders!$F$2:$F$174,Orders!$F$2:$F$174))</f>
        <v/>
      </c>
      <c r="G4">
        <f>SUMIFS(Orders!$G$2:$G$174,Orders!$C$2:$C$174,A4)</f>
        <v/>
      </c>
    </row>
    <row r="5">
      <c r="A5" t="inlineStr">
        <is>
          <t>Deccan Packaging</t>
        </is>
      </c>
      <c r="B5">
        <f>SUMIFS(Orders!$M$2:$M$174,Orders!$C$2:$C$174,A5)</f>
        <v/>
      </c>
      <c r="C5">
        <f>SUMIFS(Orders!$O$2:$O$174,Orders!$C$2:$C$174,A5)</f>
        <v/>
      </c>
      <c r="D5">
        <f>B5-C5</f>
        <v/>
      </c>
      <c r="E5">
        <f>RANK(D5,$D$2:$D$24,0)</f>
        <v/>
      </c>
      <c r="F5">
        <f>SUMPRODUCT((Orders!$C$2:$C$174=A5)/COUNTIFS(Orders!$C$2:$C$174,Orders!$C$2:$C$174,Orders!$F$2:$F$174,Orders!$F$2:$F$174))</f>
        <v/>
      </c>
      <c r="G5">
        <f>SUMIFS(Orders!$G$2:$G$174,Orders!$C$2:$C$174,A5)</f>
        <v/>
      </c>
    </row>
    <row r="6">
      <c r="A6" t="inlineStr">
        <is>
          <t>Evergreen Mart</t>
        </is>
      </c>
      <c r="B6">
        <f>SUMIFS(Orders!$M$2:$M$174,Orders!$C$2:$C$174,A6)</f>
        <v/>
      </c>
      <c r="C6">
        <f>SUMIFS(Orders!$O$2:$O$174,Orders!$C$2:$C$174,A6)</f>
        <v/>
      </c>
      <c r="D6">
        <f>B6-C6</f>
        <v/>
      </c>
      <c r="E6">
        <f>RANK(D6,$D$2:$D$24,0)</f>
        <v/>
      </c>
      <c r="F6">
        <f>SUMPRODUCT((Orders!$C$2:$C$174=A6)/COUNTIFS(Orders!$C$2:$C$174,Orders!$C$2:$C$174,Orders!$F$2:$F$174,Orders!$F$2:$F$174))</f>
        <v/>
      </c>
      <c r="G6">
        <f>SUMIFS(Orders!$G$2:$G$174,Orders!$C$2:$C$174,A6)</f>
        <v/>
      </c>
    </row>
    <row r="7">
      <c r="A7" t="inlineStr">
        <is>
          <t>Festive Gifts Co</t>
        </is>
      </c>
      <c r="B7">
        <f>SUMIFS(Orders!$M$2:$M$174,Orders!$C$2:$C$174,A7)</f>
        <v/>
      </c>
      <c r="C7">
        <f>SUMIFS(Orders!$O$2:$O$174,Orders!$C$2:$C$174,A7)</f>
        <v/>
      </c>
      <c r="D7">
        <f>B7-C7</f>
        <v/>
      </c>
      <c r="E7">
        <f>RANK(D7,$D$2:$D$24,0)</f>
        <v/>
      </c>
      <c r="F7">
        <f>SUMPRODUCT((Orders!$C$2:$C$174=A7)/COUNTIFS(Orders!$C$2:$C$174,Orders!$C$2:$C$174,Orders!$F$2:$F$174,Orders!$F$2:$F$174))</f>
        <v/>
      </c>
      <c r="G7">
        <f>SUMIFS(Orders!$G$2:$G$174,Orders!$C$2:$C$174,A7)</f>
        <v/>
      </c>
    </row>
    <row r="8">
      <c r="A8" t="inlineStr">
        <is>
          <t>Fresh Bowl Kitchens</t>
        </is>
      </c>
      <c r="B8">
        <f>SUMIFS(Orders!$M$2:$M$174,Orders!$C$2:$C$174,A8)</f>
        <v/>
      </c>
      <c r="C8">
        <f>SUMIFS(Orders!$O$2:$O$174,Orders!$C$2:$C$174,A8)</f>
        <v/>
      </c>
      <c r="D8">
        <f>B8-C8</f>
        <v/>
      </c>
      <c r="E8">
        <f>RANK(D8,$D$2:$D$24,0)</f>
        <v/>
      </c>
      <c r="F8">
        <f>SUMPRODUCT((Orders!$C$2:$C$174=A8)/COUNTIFS(Orders!$C$2:$C$174,Orders!$C$2:$C$174,Orders!$F$2:$F$174,Orders!$F$2:$F$174))</f>
        <v/>
      </c>
      <c r="G8">
        <f>SUMIFS(Orders!$G$2:$G$174,Orders!$C$2:$C$174,A8)</f>
        <v/>
      </c>
    </row>
    <row r="9">
      <c r="A9" t="inlineStr">
        <is>
          <t>Green Leaf Hotels</t>
        </is>
      </c>
      <c r="B9">
        <f>SUMIFS(Orders!$M$2:$M$174,Orders!$C$2:$C$174,A9)</f>
        <v/>
      </c>
      <c r="C9">
        <f>SUMIFS(Orders!$O$2:$O$174,Orders!$C$2:$C$174,A9)</f>
        <v/>
      </c>
      <c r="D9">
        <f>B9-C9</f>
        <v/>
      </c>
      <c r="E9">
        <f>RANK(D9,$D$2:$D$24,0)</f>
        <v/>
      </c>
      <c r="F9">
        <f>SUMPRODUCT((Orders!$C$2:$C$174=A9)/COUNTIFS(Orders!$C$2:$C$174,Orders!$C$2:$C$174,Orders!$F$2:$F$174,Orders!$F$2:$F$174))</f>
        <v/>
      </c>
      <c r="G9">
        <f>SUMIFS(Orders!$G$2:$G$174,Orders!$C$2:$C$174,A9)</f>
        <v/>
      </c>
    </row>
    <row r="10">
      <c r="A10" t="inlineStr">
        <is>
          <t>Harbour Traders</t>
        </is>
      </c>
      <c r="B10">
        <f>SUMIFS(Orders!$M$2:$M$174,Orders!$C$2:$C$174,A10)</f>
        <v/>
      </c>
      <c r="C10">
        <f>SUMIFS(Orders!$O$2:$O$174,Orders!$C$2:$C$174,A10)</f>
        <v/>
      </c>
      <c r="D10">
        <f>B10-C10</f>
        <v/>
      </c>
      <c r="E10">
        <f>RANK(D10,$D$2:$D$24,0)</f>
        <v/>
      </c>
      <c r="F10">
        <f>SUMPRODUCT((Orders!$C$2:$C$174=A10)/COUNTIFS(Orders!$C$2:$C$174,Orders!$C$2:$C$174,Orders!$F$2:$F$174,Orders!$F$2:$F$174))</f>
        <v/>
      </c>
      <c r="G10">
        <f>SUMIFS(Orders!$G$2:$G$174,Orders!$C$2:$C$174,A10)</f>
        <v/>
      </c>
    </row>
    <row r="11">
      <c r="A11" t="inlineStr">
        <is>
          <t>Kitchen Kraft</t>
        </is>
      </c>
      <c r="B11">
        <f>SUMIFS(Orders!$M$2:$M$174,Orders!$C$2:$C$174,A11)</f>
        <v/>
      </c>
      <c r="C11">
        <f>SUMIFS(Orders!$O$2:$O$174,Orders!$C$2:$C$174,A11)</f>
        <v/>
      </c>
      <c r="D11">
        <f>B11-C11</f>
        <v/>
      </c>
      <c r="E11">
        <f>RANK(D11,$D$2:$D$24,0)</f>
        <v/>
      </c>
      <c r="F11">
        <f>SUMPRODUCT((Orders!$C$2:$C$174=A11)/COUNTIFS(Orders!$C$2:$C$174,Orders!$C$2:$C$174,Orders!$F$2:$F$174,Orders!$F$2:$F$174))</f>
        <v/>
      </c>
      <c r="G11">
        <f>SUMIFS(Orders!$G$2:$G$174,Orders!$C$2:$C$174,A11)</f>
        <v/>
      </c>
    </row>
    <row r="12">
      <c r="A12" t="inlineStr">
        <is>
          <t>Lakeview Resorts</t>
        </is>
      </c>
      <c r="B12">
        <f>SUMIFS(Orders!$M$2:$M$174,Orders!$C$2:$C$174,A12)</f>
        <v/>
      </c>
      <c r="C12">
        <f>SUMIFS(Orders!$O$2:$O$174,Orders!$C$2:$C$174,A12)</f>
        <v/>
      </c>
      <c r="D12">
        <f>B12-C12</f>
        <v/>
      </c>
      <c r="E12">
        <f>RANK(D12,$D$2:$D$24,0)</f>
        <v/>
      </c>
      <c r="F12">
        <f>SUMPRODUCT((Orders!$C$2:$C$174=A12)/COUNTIFS(Orders!$C$2:$C$174,Orders!$C$2:$C$174,Orders!$F$2:$F$174,Orders!$F$2:$F$174))</f>
        <v/>
      </c>
      <c r="G12">
        <f>SUMIFS(Orders!$G$2:$G$174,Orders!$C$2:$C$174,A12)</f>
        <v/>
      </c>
    </row>
    <row r="13">
      <c r="A13" t="inlineStr">
        <is>
          <t>Metro Mart</t>
        </is>
      </c>
      <c r="B13">
        <f>SUMIFS(Orders!$M$2:$M$174,Orders!$C$2:$C$174,A13)</f>
        <v/>
      </c>
      <c r="C13">
        <f>SUMIFS(Orders!$O$2:$O$174,Orders!$C$2:$C$174,A13)</f>
        <v/>
      </c>
      <c r="D13">
        <f>B13-C13</f>
        <v/>
      </c>
      <c r="E13">
        <f>RANK(D13,$D$2:$D$24,0)</f>
        <v/>
      </c>
      <c r="F13">
        <f>SUMPRODUCT((Orders!$C$2:$C$174=A13)/COUNTIFS(Orders!$C$2:$C$174,Orders!$C$2:$C$174,Orders!$F$2:$F$174,Orders!$F$2:$F$174))</f>
        <v/>
      </c>
      <c r="G13">
        <f>SUMIFS(Orders!$G$2:$G$174,Orders!$C$2:$C$174,A13)</f>
        <v/>
      </c>
    </row>
    <row r="14">
      <c r="A14" t="inlineStr">
        <is>
          <t>Northgate Distributors</t>
        </is>
      </c>
      <c r="B14">
        <f>SUMIFS(Orders!$M$2:$M$174,Orders!$C$2:$C$174,A14)</f>
        <v/>
      </c>
      <c r="C14">
        <f>SUMIFS(Orders!$O$2:$O$174,Orders!$C$2:$C$174,A14)</f>
        <v/>
      </c>
      <c r="D14">
        <f>B14-C14</f>
        <v/>
      </c>
      <c r="E14">
        <f>RANK(D14,$D$2:$D$24,0)</f>
        <v/>
      </c>
      <c r="F14">
        <f>SUMPRODUCT((Orders!$C$2:$C$174=A14)/COUNTIFS(Orders!$C$2:$C$174,Orders!$C$2:$C$174,Orders!$F$2:$F$174,Orders!$F$2:$F$174))</f>
        <v/>
      </c>
      <c r="G14">
        <f>SUMIFS(Orders!$G$2:$G$174,Orders!$C$2:$C$174,A14)</f>
        <v/>
      </c>
    </row>
    <row r="15">
      <c r="A15" t="inlineStr">
        <is>
          <t>Om Sai Provisions</t>
        </is>
      </c>
      <c r="B15">
        <f>SUMIFS(Orders!$M$2:$M$174,Orders!$C$2:$C$174,A15)</f>
        <v/>
      </c>
      <c r="C15">
        <f>SUMIFS(Orders!$O$2:$O$174,Orders!$C$2:$C$174,A15)</f>
        <v/>
      </c>
      <c r="D15">
        <f>B15-C15</f>
        <v/>
      </c>
      <c r="E15">
        <f>RANK(D15,$D$2:$D$24,0)</f>
        <v/>
      </c>
      <c r="F15">
        <f>SUMPRODUCT((Orders!$C$2:$C$174=A15)/COUNTIFS(Orders!$C$2:$C$174,Orders!$C$2:$C$174,Orders!$F$2:$F$174,Orders!$F$2:$F$174))</f>
        <v/>
      </c>
      <c r="G15">
        <f>SUMIFS(Orders!$G$2:$G$174,Orders!$C$2:$C$174,A15)</f>
        <v/>
      </c>
    </row>
    <row r="16">
      <c r="A16" t="inlineStr">
        <is>
          <t>Patel Kitchenware</t>
        </is>
      </c>
      <c r="B16">
        <f>SUMIFS(Orders!$M$2:$M$174,Orders!$C$2:$C$174,A16)</f>
        <v/>
      </c>
      <c r="C16">
        <f>SUMIFS(Orders!$O$2:$O$174,Orders!$C$2:$C$174,A16)</f>
        <v/>
      </c>
      <c r="D16">
        <f>B16-C16</f>
        <v/>
      </c>
      <c r="E16">
        <f>RANK(D16,$D$2:$D$24,0)</f>
        <v/>
      </c>
      <c r="F16">
        <f>SUMPRODUCT((Orders!$C$2:$C$174=A16)/COUNTIFS(Orders!$C$2:$C$174,Orders!$C$2:$C$174,Orders!$F$2:$F$174,Orders!$F$2:$F$174))</f>
        <v/>
      </c>
      <c r="G16">
        <f>SUMIFS(Orders!$G$2:$G$174,Orders!$C$2:$C$174,A16)</f>
        <v/>
      </c>
    </row>
    <row r="17">
      <c r="A17" t="inlineStr">
        <is>
          <t>Prime Wholesale</t>
        </is>
      </c>
      <c r="B17">
        <f>SUMIFS(Orders!$M$2:$M$174,Orders!$C$2:$C$174,A17)</f>
        <v/>
      </c>
      <c r="C17">
        <f>SUMIFS(Orders!$O$2:$O$174,Orders!$C$2:$C$174,A17)</f>
        <v/>
      </c>
      <c r="D17">
        <f>B17-C17</f>
        <v/>
      </c>
      <c r="E17">
        <f>RANK(D17,$D$2:$D$24,0)</f>
        <v/>
      </c>
      <c r="F17">
        <f>SUMPRODUCT((Orders!$C$2:$C$174=A17)/COUNTIFS(Orders!$C$2:$C$174,Orders!$C$2:$C$174,Orders!$F$2:$F$174,Orders!$F$2:$F$174))</f>
        <v/>
      </c>
      <c r="G17">
        <f>SUMIFS(Orders!$G$2:$G$174,Orders!$C$2:$C$174,A17)</f>
        <v/>
      </c>
    </row>
    <row r="18">
      <c r="A18" t="inlineStr">
        <is>
          <t>Royal Banquets</t>
        </is>
      </c>
      <c r="B18">
        <f>SUMIFS(Orders!$M$2:$M$174,Orders!$C$2:$C$174,A18)</f>
        <v/>
      </c>
      <c r="C18">
        <f>SUMIFS(Orders!$O$2:$O$174,Orders!$C$2:$C$174,A18)</f>
        <v/>
      </c>
      <c r="D18">
        <f>B18-C18</f>
        <v/>
      </c>
      <c r="E18">
        <f>RANK(D18,$D$2:$D$24,0)</f>
        <v/>
      </c>
      <c r="F18">
        <f>SUMPRODUCT((Orders!$C$2:$C$174=A18)/COUNTIFS(Orders!$C$2:$C$174,Orders!$C$2:$C$174,Orders!$F$2:$F$174,Orders!$F$2:$F$174))</f>
        <v/>
      </c>
      <c r="G18">
        <f>SUMIFS(Orders!$G$2:$G$174,Orders!$C$2:$C$174,A18)</f>
        <v/>
      </c>
    </row>
    <row r="19">
      <c r="A19" t="inlineStr">
        <is>
          <t>Sea Breeze Hotel</t>
        </is>
      </c>
      <c r="B19">
        <f>SUMIFS(Orders!$M$2:$M$174,Orders!$C$2:$C$174,A19)</f>
        <v/>
      </c>
      <c r="C19">
        <f>SUMIFS(Orders!$O$2:$O$174,Orders!$C$2:$C$174,A19)</f>
        <v/>
      </c>
      <c r="D19">
        <f>B19-C19</f>
        <v/>
      </c>
      <c r="E19">
        <f>RANK(D19,$D$2:$D$24,0)</f>
        <v/>
      </c>
      <c r="F19">
        <f>SUMPRODUCT((Orders!$C$2:$C$174=A19)/COUNTIFS(Orders!$C$2:$C$174,Orders!$C$2:$C$174,Orders!$F$2:$F$174,Orders!$F$2:$F$174))</f>
        <v/>
      </c>
      <c r="G19">
        <f>SUMIFS(Orders!$G$2:$G$174,Orders!$C$2:$C$174,A19)</f>
        <v/>
      </c>
    </row>
    <row r="20">
      <c r="A20" t="inlineStr">
        <is>
          <t>Sharma Hardware</t>
        </is>
      </c>
      <c r="B20">
        <f>SUMIFS(Orders!$M$2:$M$174,Orders!$C$2:$C$174,A20)</f>
        <v/>
      </c>
      <c r="C20">
        <f>SUMIFS(Orders!$O$2:$O$174,Orders!$C$2:$C$174,A20)</f>
        <v/>
      </c>
      <c r="D20">
        <f>B20-C20</f>
        <v/>
      </c>
      <c r="E20">
        <f>RANK(D20,$D$2:$D$24,0)</f>
        <v/>
      </c>
      <c r="F20">
        <f>SUMPRODUCT((Orders!$C$2:$C$174=A20)/COUNTIFS(Orders!$C$2:$C$174,Orders!$C$2:$C$174,Orders!$F$2:$F$174,Orders!$F$2:$F$174))</f>
        <v/>
      </c>
      <c r="G20">
        <f>SUMIFS(Orders!$G$2:$G$174,Orders!$C$2:$C$174,A20)</f>
        <v/>
      </c>
    </row>
    <row r="21">
      <c r="A21" t="inlineStr">
        <is>
          <t>Spice Route Restaurants</t>
        </is>
      </c>
      <c r="B21">
        <f>SUMIFS(Orders!$M$2:$M$174,Orders!$C$2:$C$174,A21)</f>
        <v/>
      </c>
      <c r="C21">
        <f>SUMIFS(Orders!$O$2:$O$174,Orders!$C$2:$C$174,A21)</f>
        <v/>
      </c>
      <c r="D21">
        <f>B21-C21</f>
        <v/>
      </c>
      <c r="E21">
        <f>RANK(D21,$D$2:$D$24,0)</f>
        <v/>
      </c>
      <c r="F21">
        <f>SUMPRODUCT((Orders!$C$2:$C$174=A21)/COUNTIFS(Orders!$C$2:$C$174,Orders!$C$2:$C$174,Orders!$F$2:$F$174,Orders!$F$2:$F$174))</f>
        <v/>
      </c>
      <c r="G21">
        <f>SUMIFS(Orders!$G$2:$G$174,Orders!$C$2:$C$174,A21)</f>
        <v/>
      </c>
    </row>
    <row r="22">
      <c r="A22" t="inlineStr">
        <is>
          <t>Sunrise Caterers</t>
        </is>
      </c>
      <c r="B22">
        <f>SUMIFS(Orders!$M$2:$M$174,Orders!$C$2:$C$174,A22)</f>
        <v/>
      </c>
      <c r="C22">
        <f>SUMIFS(Orders!$O$2:$O$174,Orders!$C$2:$C$174,A22)</f>
        <v/>
      </c>
      <c r="D22">
        <f>B22-C22</f>
        <v/>
      </c>
      <c r="E22">
        <f>RANK(D22,$D$2:$D$24,0)</f>
        <v/>
      </c>
      <c r="F22">
        <f>SUMPRODUCT((Orders!$C$2:$C$174=A22)/COUNTIFS(Orders!$C$2:$C$174,Orders!$C$2:$C$174,Orders!$F$2:$F$174,Orders!$F$2:$F$174))</f>
        <v/>
      </c>
      <c r="G22">
        <f>SUMIFS(Orders!$G$2:$G$174,Orders!$C$2:$C$174,A22)</f>
        <v/>
      </c>
    </row>
    <row r="23">
      <c r="A23" t="inlineStr">
        <is>
          <t>Tasty Tiffins</t>
        </is>
      </c>
      <c r="B23">
        <f>SUMIFS(Orders!$M$2:$M$174,Orders!$C$2:$C$174,A23)</f>
        <v/>
      </c>
      <c r="C23">
        <f>SUMIFS(Orders!$O$2:$O$174,Orders!$C$2:$C$174,A23)</f>
        <v/>
      </c>
      <c r="D23">
        <f>B23-C23</f>
        <v/>
      </c>
      <c r="E23">
        <f>RANK(D23,$D$2:$D$24,0)</f>
        <v/>
      </c>
      <c r="F23">
        <f>SUMPRODUCT((Orders!$C$2:$C$174=A23)/COUNTIFS(Orders!$C$2:$C$174,Orders!$C$2:$C$174,Orders!$F$2:$F$174,Orders!$F$2:$F$174))</f>
        <v/>
      </c>
      <c r="G23">
        <f>SUMIFS(Orders!$G$2:$G$174,Orders!$C$2:$C$174,A23)</f>
        <v/>
      </c>
    </row>
    <row r="24">
      <c r="A24" t="inlineStr">
        <is>
          <t>Western Logistics</t>
        </is>
      </c>
      <c r="B24">
        <f>SUMIFS(Orders!$M$2:$M$174,Orders!$C$2:$C$174,A24)</f>
        <v/>
      </c>
      <c r="C24">
        <f>SUMIFS(Orders!$O$2:$O$174,Orders!$C$2:$C$174,A24)</f>
        <v/>
      </c>
      <c r="D24">
        <f>B24-C24</f>
        <v/>
      </c>
      <c r="E24">
        <f>RANK(D24,$D$2:$D$24,0)</f>
        <v/>
      </c>
      <c r="F24">
        <f>SUMPRODUCT((Orders!$C$2:$C$174=A24)/COUNTIFS(Orders!$C$2:$C$174,Orders!$C$2:$C$174,Orders!$F$2:$F$174,Orders!$F$2:$F$174))</f>
        <v/>
      </c>
      <c r="G24">
        <f>SUMIFS(Orders!$G$2:$G$174,Orders!$C$2:$C$174,A24)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points</t>
        </is>
      </c>
    </row>
    <row r="2">
      <c r="A2" s="2" t="n">
        <v>45658</v>
      </c>
      <c r="B2">
        <f>SUMIFS(Orders!$M$2:$M$174,Orders!$F$2:$F$174,A2)</f>
        <v/>
      </c>
    </row>
    <row r="3">
      <c r="A3" s="2" t="n">
        <v>45689</v>
      </c>
      <c r="B3">
        <f>SUMIFS(Orders!$M$2:$M$174,Orders!$F$2:$F$174,A3)</f>
        <v/>
      </c>
    </row>
    <row r="4">
      <c r="A4" s="2" t="n">
        <v>45717</v>
      </c>
      <c r="B4">
        <f>SUMIFS(Orders!$M$2:$M$174,Orders!$F$2:$F$174,A4)</f>
        <v/>
      </c>
    </row>
    <row r="5">
      <c r="A5" s="2" t="n">
        <v>45748</v>
      </c>
      <c r="B5">
        <f>SUMIFS(Orders!$M$2:$M$174,Orders!$F$2:$F$174,A5)</f>
        <v/>
      </c>
    </row>
    <row r="6">
      <c r="A6" s="2" t="n">
        <v>45778</v>
      </c>
      <c r="B6">
        <f>SUMIFS(Orders!$M$2:$M$174,Orders!$F$2:$F$174,A6)</f>
        <v/>
      </c>
    </row>
    <row r="7">
      <c r="A7" s="2" t="n">
        <v>45809</v>
      </c>
      <c r="B7">
        <f>SUMIFS(Orders!$M$2:$M$174,Orders!$F$2:$F$174,A7)</f>
        <v/>
      </c>
    </row>
    <row r="8">
      <c r="A8" s="2" t="n">
        <v>45839</v>
      </c>
      <c r="B8">
        <f>SUMIFS(Orders!$M$2:$M$174,Orders!$F$2:$F$174,A8)</f>
        <v/>
      </c>
    </row>
    <row r="9">
      <c r="A9" s="2" t="n">
        <v>45870</v>
      </c>
      <c r="B9">
        <f>SUMIFS(Orders!$M$2:$M$174,Orders!$F$2:$F$174,A9)</f>
        <v/>
      </c>
    </row>
    <row r="10">
      <c r="A10" s="2" t="n">
        <v>45901</v>
      </c>
      <c r="B10">
        <f>SUMIFS(Orders!$M$2:$M$174,Orders!$F$2:$F$174,A10)</f>
        <v/>
      </c>
    </row>
    <row r="11">
      <c r="A11" s="2" t="n">
        <v>45931</v>
      </c>
      <c r="B11">
        <f>SUMIFS(Orders!$M$2:$M$174,Orders!$F$2:$F$174,A11)</f>
        <v/>
      </c>
    </row>
    <row r="12">
      <c r="A12" s="2" t="n">
        <v>45962</v>
      </c>
      <c r="B12">
        <f>SUMIFS(Orders!$M$2:$M$174,Orders!$F$2:$F$174,A12)</f>
        <v/>
      </c>
    </row>
    <row r="13">
      <c r="A13" s="2" t="n">
        <v>45992</v>
      </c>
      <c r="B13">
        <f>SUMIFS(Orders!$M$2:$M$174,Orders!$F$2:$F$174,A13)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2026-09-17T03:01:32Z</dcterms:created>
  <dcterms:modified xmlns:dcterms="http://purl.org/dc/terms/" xmlns:xsi="http://www.w3.org/2001/XMLSchema-instance" xsi:type="dcterms:W3CDTF">2026-09-17T03:01:32Z</dcterms:modified>
</cp:coreProperties>
</file>