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Themes" sheetId="3" state="visible" r:id="rId5"/>
    <sheet name="Register" sheetId="4" state="visible" r:id="rId6"/>
  </sheets>
  <definedNames>
    <definedName function="false" hidden="true" localSheetId="3" name="_xlnm._FilterDatabase" vbProcedure="false">Register!$A$1:$K$3759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<sst xmlns="http://schemas.openxmlformats.org/spreadsheetml/2006/main" count="30443" uniqueCount="14603">
  <si>
    <t xml:space="preserve">Analyst to Architect — Full-Book Review: Action Register</t>
  </si>
  <si>
    <t xml:space="preserve">Content review 25 September 2026: every chapter (1–83) read in full against the 7 review tests. Visual/layout review 27 September 2026: every page of all 85 chapter PDFs (2,455 pages; final versions — Ch 12 reviewed on Draft v4) checked for figures, tables, text, code blocks, maths, structure and print. Findings only: no chapter has been rewritten.</t>
  </si>
  <si>
    <t xml:space="preserve">Visual findings have Test = "Visual"; their Where column starts with the PDF page number (page 1 = chapter cover; printed folio = PDF page − 1). A snapshot of every High and Medium visual finding is in Visual-Review.zip, named &lt;Finding ID&gt;_p&lt;page&gt;.png.</t>
  </si>
  <si>
    <t xml:space="preserve">How to use this workbook</t>
  </si>
  <si>
    <t xml:space="preserve">1. "Register" lists every finding in book order. Filter by Part, Chapter, Test or Severity.</t>
  </si>
  <si>
    <t xml:space="preserve">2. Your decision goes in the yellow "Decision" column (Approve / Modify / Reject / Defer). Notes go in "Your notes".</t>
  </si>
  <si>
    <t xml:space="preserve">3. "Summary" counts findings per chapter and your decisions so far; it updates as you fill in decisions.</t>
  </si>
  <si>
    <t xml:space="preserve">4. "Themes" lists the problems that repeat across the book, so one decision can cover many rows.</t>
  </si>
  <si>
    <t xml:space="preserve">Severity</t>
  </si>
  <si>
    <t xml:space="preserve">High = a beginner gets stuck, is misled, or gets a wrong number or broken code.</t>
  </si>
  <si>
    <t xml:space="preserve">Medium = slows or confuses the reader; the book resolves it later.</t>
  </si>
  <si>
    <t xml:space="preserve">Low = polish, wording, small inconsistencies.</t>
  </si>
  <si>
    <t xml:space="preserve">The seven tests</t>
  </si>
  <si>
    <t xml:space="preserve">First-time reader · Line-by-line code · Flow · Load · Consistency/correctness · Reader-facing polish · Sequence — plus Visual (page appearance).</t>
  </si>
  <si>
    <t xml:space="preserve">Sources</t>
  </si>
  <si>
    <t xml:space="preserve">Parts 0–I: findings-part-0-and-I.md and fix-instructions-part-0-and-I.md (project). Parts II–VIII and Closing: one detailed review file per chapter (Part-II-review.md … Closing-review.md), each with a code audit, sequence notes and recomputed numbers.</t>
  </si>
  <si>
    <t xml:space="preserve">Not verified here: live web prices/salaries (Ch 8, 54, 65), legal claims (Ch 64), VBA/DAX/Excel behaviour needing Excel or Power BI, and outputs needing companion data files not available to the reviewers. Each is flagged in its row.</t>
  </si>
  <si>
    <t xml:space="preserve">Part</t>
  </si>
  <si>
    <t xml:space="preserve">Chapter</t>
  </si>
  <si>
    <t xml:space="preserve">Title</t>
  </si>
  <si>
    <t xml:space="preserve">Findings</t>
  </si>
  <si>
    <t xml:space="preserve">High</t>
  </si>
  <si>
    <t xml:space="preserve">Medium</t>
  </si>
  <si>
    <t xml:space="preserve">Low</t>
  </si>
  <si>
    <t xml:space="preserve">Visual</t>
  </si>
  <si>
    <t xml:space="preserve">Decided</t>
  </si>
  <si>
    <t xml:space="preserve">Approved</t>
  </si>
  <si>
    <t xml:space="preserve">0–I</t>
  </si>
  <si>
    <t xml:space="preserve">All</t>
  </si>
  <si>
    <t xml:space="preserve">Parts 0–I cross-part (sequence)</t>
  </si>
  <si>
    <t xml:space="preserve">0</t>
  </si>
  <si>
    <t xml:space="preserve">1</t>
  </si>
  <si>
    <t xml:space="preserve">What Is Data</t>
  </si>
  <si>
    <t xml:space="preserve">2</t>
  </si>
  <si>
    <t xml:space="preserve">How Computers Store Move Protect Data</t>
  </si>
  <si>
    <t xml:space="preserve">3</t>
  </si>
  <si>
    <t xml:space="preserve">How a Business Runs on Data</t>
  </si>
  <si>
    <t xml:space="preserve">4</t>
  </si>
  <si>
    <t xml:space="preserve">Numbers Without Fear</t>
  </si>
  <si>
    <t xml:space="preserve">5</t>
  </si>
  <si>
    <t xml:space="preserve">Thinking Like an Analyst</t>
  </si>
  <si>
    <t xml:space="preserve">6</t>
  </si>
  <si>
    <t xml:space="preserve">Setting Up to Learn</t>
  </si>
  <si>
    <t xml:space="preserve">I</t>
  </si>
  <si>
    <t xml:space="preserve">7</t>
  </si>
  <si>
    <t xml:space="preserve">The Data Landscape</t>
  </si>
  <si>
    <t xml:space="preserve">8</t>
  </si>
  <si>
    <t xml:space="preserve">The Career Tree How Skills Unlock Roles</t>
  </si>
  <si>
    <t xml:space="preserve">9</t>
  </si>
  <si>
    <t xml:space="preserve">How Expertise Actually Forms</t>
  </si>
  <si>
    <t xml:space="preserve">II</t>
  </si>
  <si>
    <t xml:space="preserve">10</t>
  </si>
  <si>
    <t xml:space="preserve">Spreadsheet Fundamentals Excel and Google Sheets</t>
  </si>
  <si>
    <t xml:space="preserve">11</t>
  </si>
  <si>
    <t xml:space="preserve">The Spreadsheet, Mastered: Excel &amp; Google Sheets</t>
  </si>
  <si>
    <t xml:space="preserve">12</t>
  </si>
  <si>
    <t xml:space="preserve">Databases and SQL Foundations v4</t>
  </si>
  <si>
    <t xml:space="preserve">13</t>
  </si>
  <si>
    <t xml:space="preserve">SQL for Real Analysis</t>
  </si>
  <si>
    <t xml:space="preserve">14</t>
  </si>
  <si>
    <t xml:space="preserve">Data Cleaning and Preparation</t>
  </si>
  <si>
    <t xml:space="preserve">15</t>
  </si>
  <si>
    <t xml:space="preserve">Data Visualization Principles</t>
  </si>
  <si>
    <t xml:space="preserve">16</t>
  </si>
  <si>
    <t xml:space="preserve">Business Intelligence with Power BI</t>
  </si>
  <si>
    <t xml:space="preserve">17</t>
  </si>
  <si>
    <t xml:space="preserve">Python from Zero</t>
  </si>
  <si>
    <t xml:space="preserve">18</t>
  </si>
  <si>
    <t xml:space="preserve">Python for Analysts: pandas &amp; Automation</t>
  </si>
  <si>
    <t xml:space="preserve">19</t>
  </si>
  <si>
    <t xml:space="preserve">Spreadsheet Automation: Macros, VBA, Office Scripts &amp; Google Apps Script</t>
  </si>
  <si>
    <t xml:space="preserve">20</t>
  </si>
  <si>
    <t xml:space="preserve">Automating Reports and Delivering Insights</t>
  </si>
  <si>
    <t xml:space="preserve">21</t>
  </si>
  <si>
    <t xml:space="preserve">Descriptive Statistics and Probability</t>
  </si>
  <si>
    <t xml:space="preserve">22</t>
  </si>
  <si>
    <t xml:space="preserve">Statistics Without Fooling Yourself</t>
  </si>
  <si>
    <t xml:space="preserve">23</t>
  </si>
  <si>
    <t xml:space="preserve">Business Acumen KPIs and Metrics</t>
  </si>
  <si>
    <t xml:space="preserve">24</t>
  </si>
  <si>
    <t xml:space="preserve">Requirements Storytelling and Stakeholders</t>
  </si>
  <si>
    <t xml:space="preserve">25</t>
  </si>
  <si>
    <t xml:space="preserve">The Business Analyst Track</t>
  </si>
  <si>
    <t xml:space="preserve">26</t>
  </si>
  <si>
    <t xml:space="preserve">The Professional Toolkit: Git, Agile, Documentation &amp; AI Assistants</t>
  </si>
  <si>
    <t xml:space="preserve">27</t>
  </si>
  <si>
    <t xml:space="preserve">Capstone: Your Analyst Portfolio</t>
  </si>
  <si>
    <t xml:space="preserve">III</t>
  </si>
  <si>
    <t xml:space="preserve">28</t>
  </si>
  <si>
    <t xml:space="preserve">Advanced SQL Performance and Data Modeling</t>
  </si>
  <si>
    <t xml:space="preserve">29</t>
  </si>
  <si>
    <t xml:space="preserve">Python as Software, Not Scripts</t>
  </si>
  <si>
    <t xml:space="preserve">30</t>
  </si>
  <si>
    <t xml:space="preserve">Inference and Experiments</t>
  </si>
  <si>
    <t xml:space="preserve">31</t>
  </si>
  <si>
    <t xml:space="preserve">Causal Inference Without Experiments</t>
  </si>
  <si>
    <t xml:space="preserve">32</t>
  </si>
  <si>
    <t xml:space="preserve">Analytics Engineering with dbt</t>
  </si>
  <si>
    <t xml:space="preserve">33</t>
  </si>
  <si>
    <t xml:space="preserve">The Computer Science You Actually Need</t>
  </si>
  <si>
    <t xml:space="preserve">34</t>
  </si>
  <si>
    <t xml:space="preserve">The Command Line Linux and Networking Basics</t>
  </si>
  <si>
    <t xml:space="preserve">IV</t>
  </si>
  <si>
    <t xml:space="preserve">35</t>
  </si>
  <si>
    <t xml:space="preserve">The Math Under the Models</t>
  </si>
  <si>
    <t xml:space="preserve">36</t>
  </si>
  <si>
    <t xml:space="preserve">The Machine Learning Workflow and Feature Engineering</t>
  </si>
  <si>
    <t xml:space="preserve">37</t>
  </si>
  <si>
    <t xml:space="preserve">Supervised Learning Algorithms</t>
  </si>
  <si>
    <t xml:space="preserve">38</t>
  </si>
  <si>
    <t xml:space="preserve">Unsupervised Learning</t>
  </si>
  <si>
    <t xml:space="preserve">39</t>
  </si>
  <si>
    <t xml:space="preserve">Evaluation, Tuning, Interpretation &amp; Honesty</t>
  </si>
  <si>
    <t xml:space="preserve">40</t>
  </si>
  <si>
    <t xml:space="preserve">Time Series and Forecasting</t>
  </si>
  <si>
    <t xml:space="preserve">41</t>
  </si>
  <si>
    <t xml:space="preserve">NLP Foundations</t>
  </si>
  <si>
    <t xml:space="preserve">42</t>
  </si>
  <si>
    <t xml:space="preserve">Recommender Systems and Ranking</t>
  </si>
  <si>
    <t xml:space="preserve">43</t>
  </si>
  <si>
    <t xml:space="preserve">A First Look at Deep Learning</t>
  </si>
  <si>
    <t xml:space="preserve">44</t>
  </si>
  <si>
    <t xml:space="preserve">Capstone: An End-to-End Data Science Project</t>
  </si>
  <si>
    <t xml:space="preserve">V</t>
  </si>
  <si>
    <t xml:space="preserve">45</t>
  </si>
  <si>
    <t xml:space="preserve">Data Ingestion and Integration</t>
  </si>
  <si>
    <t xml:space="preserve">46</t>
  </si>
  <si>
    <t xml:space="preserve">Pipelines and Orchestration</t>
  </si>
  <si>
    <t xml:space="preserve">47</t>
  </si>
  <si>
    <t xml:space="preserve">Data Quality Observability and Contracts</t>
  </si>
  <si>
    <t xml:space="preserve">48</t>
  </si>
  <si>
    <t xml:space="preserve">Big Data and Distributed Compute</t>
  </si>
  <si>
    <t xml:space="preserve">49</t>
  </si>
  <si>
    <t xml:space="preserve">Storage Warehouses and Lakehouses</t>
  </si>
  <si>
    <t xml:space="preserve">50</t>
  </si>
  <si>
    <t xml:space="preserve">Streaming and Real Time</t>
  </si>
  <si>
    <t xml:space="preserve">51</t>
  </si>
  <si>
    <t xml:space="preserve">Data Activation: Reverse ETL, APIs &amp; System Integration</t>
  </si>
  <si>
    <t xml:space="preserve">52</t>
  </si>
  <si>
    <t xml:space="preserve">The Cloud Containers and Infrastructure as Code</t>
  </si>
  <si>
    <t xml:space="preserve">VI</t>
  </si>
  <si>
    <t xml:space="preserve">53</t>
  </si>
  <si>
    <t xml:space="preserve">Deep Learning in Depth</t>
  </si>
  <si>
    <t xml:space="preserve">54</t>
  </si>
  <si>
    <t xml:space="preserve">Generative AI &amp; Large Language Models</t>
  </si>
  <si>
    <t xml:space="preserve">55</t>
  </si>
  <si>
    <t xml:space="preserve">Building AI Applications: RAG, Agents &amp; Evaluation</t>
  </si>
  <si>
    <t xml:space="preserve">56</t>
  </si>
  <si>
    <t xml:space="preserve">MLOps: Making Models Survive Production</t>
  </si>
  <si>
    <t xml:space="preserve">57</t>
  </si>
  <si>
    <t xml:space="preserve">LLMOps</t>
  </si>
  <si>
    <t xml:space="preserve">58</t>
  </si>
  <si>
    <t xml:space="preserve">Intelligent Automation</t>
  </si>
  <si>
    <t xml:space="preserve">59</t>
  </si>
  <si>
    <t xml:space="preserve">Industry Case Studies</t>
  </si>
  <si>
    <t xml:space="preserve">VII</t>
  </si>
  <si>
    <t xml:space="preserve">60</t>
  </si>
  <si>
    <t xml:space="preserve">Designing Whole Systems</t>
  </si>
  <si>
    <t xml:space="preserve">61</t>
  </si>
  <si>
    <t xml:space="preserve">Distributed Systems and Trade offs</t>
  </si>
  <si>
    <t xml:space="preserve">62</t>
  </si>
  <si>
    <t xml:space="preserve">Data Architecture Patterns</t>
  </si>
  <si>
    <t xml:space="preserve">63</t>
  </si>
  <si>
    <t xml:space="preserve">Automation Architecture and Governance</t>
  </si>
  <si>
    <t xml:space="preserve">64</t>
  </si>
  <si>
    <t xml:space="preserve">Security, Privacy, Governance &amp; Responsible AI</t>
  </si>
  <si>
    <t xml:space="preserve">65</t>
  </si>
  <si>
    <t xml:space="preserve">FinOps: The Economics of Data Platforms</t>
  </si>
  <si>
    <t xml:space="preserve">66</t>
  </si>
  <si>
    <t xml:space="preserve">Data Strategy Maturity and Building Data Teams</t>
  </si>
  <si>
    <t xml:space="preserve">67</t>
  </si>
  <si>
    <t xml:space="preserve">The Architect as Leader</t>
  </si>
  <si>
    <t xml:space="preserve">VIII</t>
  </si>
  <si>
    <t xml:space="preserve">68</t>
  </si>
  <si>
    <t xml:space="preserve">How Data Hiring Works</t>
  </si>
  <si>
    <t xml:space="preserve">69</t>
  </si>
  <si>
    <t xml:space="preserve">The Extra-Points Method</t>
  </si>
  <si>
    <t xml:space="preserve">70</t>
  </si>
  <si>
    <t xml:space="preserve">Excel, Google Sheets, VBA &amp; BI Question Bank</t>
  </si>
  <si>
    <t xml:space="preserve">71</t>
  </si>
  <si>
    <t xml:space="preserve">SQL Question Bank</t>
  </si>
  <si>
    <t xml:space="preserve">72</t>
  </si>
  <si>
    <t xml:space="preserve">Python and pandas Question Bank</t>
  </si>
  <si>
    <t xml:space="preserve">72A</t>
  </si>
  <si>
    <t xml:space="preserve">Data Structures and Algorithms Question Bank</t>
  </si>
  <si>
    <t xml:space="preserve">73</t>
  </si>
  <si>
    <t xml:space="preserve">Statistics Probability and Experimentation Bank</t>
  </si>
  <si>
    <t xml:space="preserve">74</t>
  </si>
  <si>
    <t xml:space="preserve">Machine Learning Question Bank</t>
  </si>
  <si>
    <t xml:space="preserve">75</t>
  </si>
  <si>
    <t xml:space="preserve">Product Sense, Metrics, Case Studies &amp; Guesstimates</t>
  </si>
  <si>
    <t xml:space="preserve">76A</t>
  </si>
  <si>
    <t xml:space="preserve">Data Analyst and Data Scientist Question Bank</t>
  </si>
  <si>
    <t xml:space="preserve">76B</t>
  </si>
  <si>
    <t xml:space="preserve">Business Analyst Question Bank</t>
  </si>
  <si>
    <t xml:space="preserve">77</t>
  </si>
  <si>
    <t xml:space="preserve">Data Engineering and Data System Design Bank</t>
  </si>
  <si>
    <t xml:space="preserve">78</t>
  </si>
  <si>
    <t xml:space="preserve">Automation and Integration Question Bank</t>
  </si>
  <si>
    <t xml:space="preserve">79</t>
  </si>
  <si>
    <t xml:space="preserve">GenAI LLM and MLOps Question Bank</t>
  </si>
  <si>
    <t xml:space="preserve">80</t>
  </si>
  <si>
    <t xml:space="preserve">Architecture and Leadership Question Bank</t>
  </si>
  <si>
    <t xml:space="preserve">81</t>
  </si>
  <si>
    <t xml:space="preserve">Behavioral HR and Offer Conversations</t>
  </si>
  <si>
    <t xml:space="preserve">82</t>
  </si>
  <si>
    <t xml:space="preserve">Take Home Assignments and Mock Interviews</t>
  </si>
  <si>
    <t xml:space="preserve">Closing</t>
  </si>
  <si>
    <t xml:space="preserve">83</t>
  </si>
  <si>
    <t xml:space="preserve">The Long Game (Closing)</t>
  </si>
  <si>
    <t xml:space="preserve">Total</t>
  </si>
  <si>
    <t xml:space="preserve">#</t>
  </si>
  <si>
    <t xml:space="preserve">Theme (repeats across the book)</t>
  </si>
  <si>
    <t xml:space="preserve">Where it shows up (examples)</t>
  </si>
  <si>
    <t xml:space="preserve">One decision that would cover it</t>
  </si>
  <si>
    <t xml:space="preserve">Code shown before it is taught (sequence rule)</t>
  </si>
  <si>
    <t xml:space="preserve">Parts 0–I (S.1); Ch 14–15 pandas; Ch 12 JOIN before §12.10; Ch 17 loops/keyword args before explained; Ch 18 merge/lambda; Ch 28 recursion; Ch 33 recursion before §33.6; Ch 34 pipes in §34.2</t>
  </si>
  <si>
    <t xml:space="preserve">Apply the sequence rule book-wide: every chapter re-ordered so each keyword, function or library appears first in the section that teaches it</t>
  </si>
  <si>
    <t xml:space="preserve">Tools and libraries never installed</t>
  </si>
  <si>
    <t xml:space="preserve">scikit-learn (Ch 35–36), scipy (Ch 21), xgboost/lightgbm/optuna (Ch 37), umap/mlxtend (Ch 38), NLTK/gensim/implicit (Ch 41–42), PyTorch CPU build (Ch 43, 53), Dagster web server (Ch 46), Java + Spark, Polars (Ch 48), Kafka (Ch 50), Docker/kubectl/Terraform (Ch 52), FastAPI/uvicorn/MLflow (Ch 56), LLM SDK + API key (Ch 54), psql client (Ch 12, 28, 32), tabulate (Ch 18)</t>
  </si>
  <si>
    <t xml:space="preserve">Extend just-in-time setup to every tool: an install cell + one-line first check at the start of the chapter that first uses it</t>
  </si>
  <si>
    <t xml:space="preserve">Big code blocks with many new ideas at once</t>
  </si>
  <si>
    <t xml:space="preserve">Ch 17 first REPL blocks; Ch 18 §18.15 125-line script; Ch 29 60-line API client; Ch 36 40-line first scikit-learn block (10 classes); Ch 37 setup blocks (8–13 ideas); Ch 50 Spark/Kafka cells (12–15 ideas); Ch 28 38-line SCD insert</t>
  </si>
  <si>
    <t xml:space="preserve">Standard: one new idea per cell, output shown, every line and argument explained; long scripts built in stages</t>
  </si>
  <si>
    <t xml:space="preserve">No by-hand example before the method</t>
  </si>
  <si>
    <t xml:space="preserve">Ch 21–22 formulas never written in symbols; Ch 37 linear regression, ridge/lasso, k-NN, forests; Ch 38 hierarchical, DBSCAN, silhouette; Ch 39 every metric; Ch 40 decomposition, ACF; Ch 41 TF-IDF, word2vec; Ch 42 matrix factorization; Ch 43/53 backprop</t>
  </si>
  <si>
    <t xml:space="preserve">Standard ladder for every method: plain idea → tiny by-hand example → spreadsheet (where sensible) → code</t>
  </si>
  <si>
    <t xml:space="preserve">Foundations the book never teaches</t>
  </si>
  <si>
    <t xml:space="preserve">Logarithms (Ch 31, 35, 36), chain rule (Ch 43, 53), Python classes/decorators/type hints (Ch 29), JavaScript/TypeScript/HTML (Ch 19), YAML/Jinja (Ch 26, 32), regular expressions (Ch 14), JSON in Python (Ch 18), autocorrelation (Ch 40), topological sort (Ch 77), isolation levels (Ch 71)</t>
  </si>
  <si>
    <t xml:space="preserve">Add short primers ("Logs in ten minutes", "Classes in 20 minutes", "YAML in ten minutes", etc.) where first needed, or remove the dependency</t>
  </si>
  <si>
    <t xml:space="preserve">Hidden companion code and black-box outputs</t>
  </si>
  <si>
    <t xml:space="preserve">Ch 14 cleaning pipeline built by a script; Ch 46 ingest.py; Ch 51 scoring rule; Ch 55 VectorIndex/SupportAssistant; Ch 57 registry/meter/cache; Ch 58 run() pipeline; Ch 27 outputs with no code</t>
  </si>
  <si>
    <t xml:space="preserve">Rule: every output in the text comes from code on the page (or an explicitly shown companion file walkthrough)</t>
  </si>
  <si>
    <t xml:space="preserve">Printed outputs that are errors or cannot come from the code</t>
  </si>
  <si>
    <t xml:space="preserve">Ch 18 TypeError/NameError/KeyError outputs; Ch 51 seven NameError cells; Ch 46 mock CRM shut down early; Ch 17 REPL output missing 22; Ch 42 Ex 9 ValueError; Ch 54 Answer 7 crash; Ch 78 retry NameError</t>
  </si>
  <si>
    <t xml:space="preserve">Re-run every chapter top to bottom on the stated versions before print; regenerate outputs</t>
  </si>
  <si>
    <t xml:space="preserve">Wrong chapter/section cross-references</t>
  </si>
  <si>
    <t xml:space="preserve">"Chapter 19" for regression (Ch 30, 31, 53, 59); "Chapter 38" for evaluation/leakage (Ch 53–56, 59); "Chapter 52" for MLOps (Ch 36, 38, 39, 40); "Chapter 23" for semantic layer (Ch 60–64); "Chapter 76" which does not exist (12 chapters); "Chapter 74" for banks (Ch 57, 58); many more in each file</t>
  </si>
  <si>
    <t xml:space="preserve">One cross-reference pass after all moves, using a generated chapter/section index</t>
  </si>
  <si>
    <t xml:space="preserve">Part VIII pointers and numbering</t>
  </si>
  <si>
    <t xml:space="preserve">"Learn it in" pointers placeholder/self-referential (Ch 72 → itself, Ch 73 "to confirm", Ch 75/78/82 point to other banks); 72A/76A/76B numbering and no Ch 76; questions on topics never taught (Monty Hall, RICE, INVEST, Gherkin, closures, decorators, MVCC); no difficulty labels; "Passes" tier describes red flags</t>
  </si>
  <si>
    <t xml:space="preserve">Renumber Part VIII (proposal in Ch 72A review); fixed question codes (SQL-001…); every question points to a teaching section; untaught questions removed or taught</t>
  </si>
  <si>
    <t xml:space="preserve">Riverstone facts that disagree across chapters</t>
  </si>
  <si>
    <t xml:space="preserve">Warehouse DuckDB (Part V) vs "Postgres + Delta" (Part VII); hourly rate ₹300 vs ₹1,200 (Ch 20, 58, 63, 66, 80); exchange rate ₹83/₹87/₹88; Meera timeline (Ch 1 vs Ch 83); Farah story (Ch 8/9 vs Ch 68); sensor dataset (Ch 40 vs 48); lead vs churn AUCs (Ch 74, 76A, 82 vs Ch 36–39); invoicing manual vs automatic (Ch 25/76B vs Ch 3); flash time 06:00/06:30/07:30</t>
  </si>
  <si>
    <t xml:space="preserve">A single "Riverstone fact sheet" (people, timeline, systems, rates, datasets) that every chapter is checked against</t>
  </si>
  <si>
    <t xml:space="preserve">Drafting and authoring leftovers</t>
  </si>
  <si>
    <t xml:space="preserve">"(In the finished book… Appendix G)" (59); "first edition"/"draft" (Ch 6, 8, 9, 48); "this chat doesn't have…" (Ch 70–74, 77–80, 82); "blueprint" (Ch 48, 78, 82); coordinator renumbering notes (72A, 76A); AI-authoring note (Ch 67); build scripts named as reader files (Ch 8, 9, 14, 15, 36, 40)</t>
  </si>
  <si>
    <t xml:space="preserve">One polish pass with a search list; can be done now</t>
  </si>
  <si>
    <t xml:space="preserve">Time needed estimates too low</t>
  </si>
  <si>
    <t xml:space="preserve">Ch 11 (25–30 → 35–45 h), Ch 12 (19–23 → 27–35 h), Ch 28, 35, 36 (8–12 → 14–18 h), 39, 40, 52 (12–16 → 20–26 h)</t>
  </si>
  <si>
    <t xml:space="preserve">Re-measure after fixes; recompute Ch 6, Ch 9 and Closing tables from one source</t>
  </si>
  <si>
    <t xml:space="preserve">Claims needing outside verification</t>
  </si>
  <si>
    <t xml:space="preserve">PayScale median vs average (Ch 8); LLM prices/model names (Ch 54 §54.12); AWS Mumbai prices (Ch 65); DPDP Act / GDPR / EU AI Act statements (Ch 64); MySQL 8.0 end-of-life guidance (Ch 12, 13, 28, 71)</t>
  </si>
  <si>
    <t xml:space="preserve">Fact-check pass with dated sources before print</t>
  </si>
  <si>
    <t xml:space="preserve">VISUAL — Draft/approval labels on every cover</t>
  </si>
  <si>
    <t xml:space="preserve">All 85 chapters: labels vary ("Draft chapter", "Draft v3", "v1.1", "Approved chapter · v1/v2", "Approved · Draft v3") with dates 16–21 Sep 2026; Ch 59 "Class C · no companion code"; cover rule strikes "&amp;"/"GOVERNANCE" in Part III and VII labels (Ch 28–34, 63–67); Ch 44 subtitle cut off</t>
  </si>
  <si>
    <t xml:space="preserve">Remove status badges, versions and dates from reader-facing covers; one cover template for all chapters</t>
  </si>
  <si>
    <t xml:space="preserve">VISUAL — Contents pages without page numbers</t>
  </si>
  <si>
    <t xml:space="preserve">All 85 chapters</t>
  </si>
  <si>
    <t xml:space="preserve">Add right-aligned page numbers with dot leaders (one template change)</t>
  </si>
  <si>
    <t xml:space="preserve">VISUAL — Figure text below print size</t>
  </si>
  <si>
    <t xml:space="preserve">216 rows in 64 chapters: figure text 3–6.9 pt against a 7 pt minimum (worst: Ch 25 Fig 25.2 at 3.1 pt, Ch 15 Figs 15.15–15.16 at 2–5.5 pt, Part VII figures 3.7–5.8 pt). Cause: figures drawn about 1.7× too wide, then scaled down</t>
  </si>
  <si>
    <t xml:space="preserve">Redraw figures at final print width (text ≥ 7 pt, ideally 8 pt); split wide figures into 2 × n grids; one figure style sheet</t>
  </si>
  <si>
    <t xml:space="preserve">VISUAL — Figures that contradict the text or overlap themselves</t>
  </si>
  <si>
    <t xml:space="preserve">Fig 25.5 IDs differ from text; Fig 24.1 labels overprinted and quadrants wrong; Fig 33.1 "to scale" but O(log n) above O(n); Fig 40.2 caption vs lags; Fig 50.1 machines in both partitions; Fig 59.2 7 vs "eight of nine"; Fig 64.1 caption vs matrix; Fig 17.1 arrow reversed; Fig 49.2 arrows; overlaps/clipping in Ch 15, 22, 24, 28–41, 55–67</t>
  </si>
  <si>
    <t xml:space="preserve">Check every figure against its caption and text; fix labels, arrows and clipping when redrawing</t>
  </si>
  <si>
    <t xml:space="preserve">VISUAL — Figures out of number order</t>
  </si>
  <si>
    <t xml:space="preserve">Ch 15, 26, 29, 30, 33, 38, 39, 45, 48, 53, 54, 62, 63, 72</t>
  </si>
  <si>
    <t xml:space="preserve">Place figures in number order (renumber after layout)</t>
  </si>
  <si>
    <t xml:space="preserve">VISUAL — Colour-only meaning (red/green)</t>
  </si>
  <si>
    <t xml:space="preserve">19 chapters incl. Ch 31 Fig 31.2, 38.3, 39.3, 40.2, 45–46, 83.2</t>
  </si>
  <si>
    <t xml:space="preserve">Add shape, pattern or direct labels; check in greyscale and a colour-blind simulator</t>
  </si>
  <si>
    <t xml:space="preserve">VISUAL — Page breaks: half-empty pages and stranded lines</t>
  </si>
  <si>
    <t xml:space="preserve">Half-empty pages in 54 chapters (up to 75–88% blank: Ch 29 p. 7, Ch 43 p. 9, Ch 46 p. 9); lead-ins "…:", headings and answer numbers stranded at page foot in 53 chapters; code blocks never split across pages</t>
  </si>
  <si>
    <t xml:space="preserve">Allow long code blocks to split (with "continued" marker); keep-with-next on headings, lead-ins and answer numbers; float figures</t>
  </si>
  <si>
    <t xml:space="preserve">VISUAL — Code lines wrap to column 0</t>
  </si>
  <si>
    <t xml:space="preserve">52 chapters (heavy in Ch 28–29, 38, 45–47, 52): no continuation marker, lost indentation; YAML/Python wraps would break copied code; output tables wrap so numbers sit under wrong headings (Ch 38 p. 20, Ch 28 p. 80)</t>
  </si>
  <si>
    <t xml:space="preserve">Hard-wrap source lines at ~80 chars with language-correct continuation; widen or shrink output blocks; never soft-wrap code</t>
  </si>
  <si>
    <t xml:space="preserve">VISUAL — Two-digit list numbers clipped</t>
  </si>
  <si>
    <t xml:space="preserve">Exercises/answers 10+ show "l0.", "l8.", "!0." in 35+ chapters (Ch 10–29, 47–66, 69)</t>
  </si>
  <si>
    <t xml:space="preserve">Widen list indent in the shared list style (one change)</t>
  </si>
  <si>
    <t xml:space="preserve">VISUAL — Tables: mid-token wraps, split short tables, left-aligned numbers, invisible headers</t>
  </si>
  <si>
    <t xml:space="preserve">Mid-token wraps in 20 chapters (flags, IDs "Q72A-/003" in all rapid-fire tables); short tables split with 1–2 rows in 41 chapters; numbers left-aligned in 25; white-on-white header cells Ch 11, 12, 27; tables set as monospace text Ch 63 p. 6, Ch 65 p. 6; Ch 56 table body printed as raw "|" text; Ch 11 "|" in formulas breaks rows</t>
  </si>
  <si>
    <t xml:space="preserve">Table style: no-wrap for code/IDs, non-breaking hyphens, right-aligned numbers, keep short tables together, fix pill-in-header style, escape "|"</t>
  </si>
  <si>
    <t xml:space="preserve">VISUAL — Rendering faults: maths, money, markup</t>
  </si>
  <si>
    <t xml:space="preserve">"$" read as maths (Ch 49, 54); Xᵀ printed as "Xˢ", run-together formulas, sqrt without overbar (Ch 35); p̄ bar misplaced (Ch 30); raw Markdown/HTML printed (Ch 11 p. 52, Ch 82 p. 7); ₹ glyph falls back to another font (7 chapters)</t>
  </si>
  <si>
    <t xml:space="preserve">Escape "$"; render formulas with KaTeX/MathML; lint Markdown before build; use a body font with ₹</t>
  </si>
  <si>
    <t xml:space="preserve">VISUAL — Scale and resolution</t>
  </si>
  <si>
    <t xml:space="preserve">Ch 19 printed at ~77% scale (body 8 pt, code 6.1 pt); Ch 20 Fig 20.3 screenshot ~187 ppi; Ch 15 heatmaps 144–194 ppi; Ch 53 Fig 53.1 images ~105 ppi</t>
  </si>
  <si>
    <t xml:space="preserve">Re-run Ch 19 layout at 100%; re-capture screenshots at 2×; export rasters at ≥ 300 ppi</t>
  </si>
  <si>
    <t xml:space="preserve">Integrity of examples and advice</t>
  </si>
  <si>
    <t xml:space="preserve">Ch 54 prompting numbers come from a mock but are called "real"; Ch 81 advises telling other people's stories in first person; Ch 76A/81 present textbook projects as the candidate's own work; Ch 44 "value at risk" called revenue</t>
  </si>
  <si>
    <t xml:space="preserve">Label simulated results as simulated; interview advice uses only the reader's own work</t>
  </si>
  <si>
    <t xml:space="preserve">Finding ID</t>
  </si>
  <si>
    <t xml:space="preserve">Where</t>
  </si>
  <si>
    <t xml:space="preserve">Issue</t>
  </si>
  <si>
    <t xml:space="preserve">Test</t>
  </si>
  <si>
    <t xml:space="preserve">Change needed</t>
  </si>
  <si>
    <t xml:space="preserve">Decision</t>
  </si>
  <si>
    <t xml:space="preserve">Your notes</t>
  </si>
  <si>
    <t xml:space="preserve">S.1</t>
  </si>
  <si>
    <t xml:space="preserve">Parts 0, I</t>
  </si>
  <si>
    <t xml:space="preserve">Code shown before it is taught (table above). "You don't need to read this yet" labels don't fix it.</t>
  </si>
  <si>
    <t xml:space="preserve">Sequence</t>
  </si>
  <si>
    <t xml:space="preserve">See fix-instructions-part-0-and-I.md (fix dependency: Needs map)</t>
  </si>
  <si>
    <t xml:space="preserve">0.7</t>
  </si>
  <si>
    <t xml:space="preserve">All chapters</t>
  </si>
  <si>
    <t xml:space="preserve">Heavy forward references (Ch 12–78) in nearly every section.</t>
  </si>
  <si>
    <t xml:space="preserve">Flow</t>
  </si>
  <si>
    <t xml:space="preserve">0.8</t>
  </si>
  <si>
    <t xml:space="preserve">Ch 1–6</t>
  </si>
  <si>
    <t xml:space="preserve">Two datasets used without introduction: mini database (Q1 2026, 12 orders) vs one-year database (2025, 173 orders); March = ₹31,800 in one chapter, ₹278,008 in another.</t>
  </si>
  <si>
    <t xml:space="preserve">Consistency</t>
  </si>
  <si>
    <t xml:space="preserve">See fix-instructions-part-0-and-I.md (fix dependency: Independent)</t>
  </si>
  <si>
    <t xml:space="preserve">0.9</t>
  </si>
  <si>
    <t xml:space="preserve">Ch 1–5</t>
  </si>
  <si>
    <t xml:space="preserve">Fast-growing cast (Meera, Anita, Vikram, Neha, Rahul, Farah, Suresh, Imran, Rakesh, Kavya); no cast list or company fact sheet.</t>
  </si>
  <si>
    <t xml:space="preserve">First-time reader</t>
  </si>
  <si>
    <t xml:space="preserve">0.11</t>
  </si>
  <si>
    <t xml:space="preserve">Ch 1 §1.6, Fig 1.3</t>
  </si>
  <si>
    <t xml:space="preserve">"Each level allows everything the level above it allows" reads backwards.</t>
  </si>
  <si>
    <t xml:space="preserve">0.12</t>
  </si>
  <si>
    <t xml:space="preserve">Ch 1 §1.6 ex. 2</t>
  </si>
  <si>
    <t xml:space="preserve">Kelvin conversion is unnecessary physics for the point.</t>
  </si>
  <si>
    <t xml:space="preserve">Load</t>
  </si>
  <si>
    <t xml:space="preserve">0.15</t>
  </si>
  <si>
    <t xml:space="preserve">Ch 1–6 answers</t>
  </si>
  <si>
    <t xml:space="preserve">"(In the finished book these move to Appendix G.)" production note in every chapter.</t>
  </si>
  <si>
    <t xml:space="preserve">Polish</t>
  </si>
  <si>
    <t xml:space="preserve">V1.1</t>
  </si>
  <si>
    <t xml:space="preserve">p. 17 · Code block: Kavya's three days (project)</t>
  </si>
  <si>
    <t xml:space="preserve">All 8 data rows and the header wrap: "…│ Station" / "stall │ No", "…│ shop" / "│ necessary". The dashed rule also breaks onto a second line. The table readers are asked to copy no longer reads as a table.</t>
  </si>
  <si>
    <t xml:space="preserve">Drop a column or shorten values ("Station stall" → "Stall"), or reduce the block to 7 pt with no-wrap. Alternatively set it as a normal table like the column spec above it.</t>
  </si>
  <si>
    <t xml:space="preserve">V1.2</t>
  </si>
  <si>
    <t xml:space="preserve">p. 6 · Figure 1.2 (receipt → table)</t>
  </si>
  <si>
    <t xml:space="preserve">Receipt and table text is 4.9–5.4 pt. The table's column headers and cells, the chapter's first data table, are unreadable in print.</t>
  </si>
  <si>
    <t xml:space="preserve">Redraw at ≥ 7 pt. Stack the receipt above the table so each gets full width.</t>
  </si>
  <si>
    <t xml:space="preserve">V1.3</t>
  </si>
  <si>
    <t xml:space="preserve">p. 11 · Figure 1.4 (structured / semi-structured / unstructured)</t>
  </si>
  <si>
    <t xml:space="preserve">All three panels are 4.9–5.2 pt, including the JSON and email text the prose tells readers to look at ("the middle panel… every value has a name").</t>
  </si>
  <si>
    <t xml:space="preserve">Enlarge to ≥ 7 pt, stacked vertically if needed, or show fewer lines per panel.</t>
  </si>
  <si>
    <t xml:space="preserve">V1.4</t>
  </si>
  <si>
    <t xml:space="preserve">p. 5 · Figure 1.1 (data → insight staircase)</t>
  </si>
  <si>
    <t xml:space="preserve">Box text 5.1–5.6 pt; the bottom note "Each step up needs more context…" is 5.1 pt.</t>
  </si>
  <si>
    <t xml:space="preserve">Scale up to ≥ 7 pt, or drop the per-box detail lines.</t>
  </si>
  <si>
    <t xml:space="preserve">V1.5</t>
  </si>
  <si>
    <t xml:space="preserve">p. 9 · Figure 1.3 (levels of measurement)</t>
  </si>
  <si>
    <t xml:space="preserve">Descriptions and "e.g." lines are 5.3–5.8 pt; right-hand pills are about 6 pt.</t>
  </si>
  <si>
    <t xml:space="preserve">Increase to ≥ 7 pt; the figure has spare height.</t>
  </si>
  <si>
    <t xml:space="preserve">V1.6</t>
  </si>
  <si>
    <t xml:space="preserve">p. 6→7 · Lead-in "The vocabulary:"</t>
  </si>
  <si>
    <t xml:space="preserve">Stranded alone at the foot of p. 6; the bullet list is on p. 7.</t>
  </si>
  <si>
    <t xml:space="preserve">Keep the lead-in with the next block.</t>
  </si>
  <si>
    <t xml:space="preserve">V1.7</t>
  </si>
  <si>
    <t xml:space="preserve">p. 11→12 · Table "Shape / Examples / Where you'll work with it"</t>
  </si>
  <si>
    <t xml:space="preserve">Two rows on p. 11. Only the "Unstructured" row, with a repeated header, is on p. 12.</t>
  </si>
  <si>
    <t xml:space="preserve">Keep this 3-row table together.</t>
  </si>
  <si>
    <t xml:space="preserve">V1.8</t>
  </si>
  <si>
    <t xml:space="preserve">p. 1 · Cover</t>
  </si>
  <si>
    <t xml:space="preserve">Shows "Draft chapter", "16 September 2026" and "Every number in the examples checked". Ch07–09 say "Approved chapter · v1" instead.</t>
  </si>
  <si>
    <t xml:space="preserve">Remove draft/date labels for print, or standardize them across chapters.</t>
  </si>
  <si>
    <t xml:space="preserve">V1.9</t>
  </si>
  <si>
    <t xml:space="preserve">p. 2 · Contents</t>
  </si>
  <si>
    <t xml:space="preserve">No page numbers.</t>
  </si>
  <si>
    <t xml:space="preserve">Add page numbers.</t>
  </si>
  <si>
    <t xml:space="preserve">V1.10</t>
  </si>
  <si>
    <t xml:space="preserve">p. 16→17 · Tools, last paragraph</t>
  </si>
  <si>
    <t xml:space="preserve">"Chapter 6 walks you through installing everything else the book uses." is alone at the top of p. 17 while p. 16 ends with a 16% gap.</t>
  </si>
  <si>
    <t xml:space="preserve">Let the line stay on p. 16.</t>
  </si>
  <si>
    <t xml:space="preserve">V1.11</t>
  </si>
  <si>
    <t xml:space="preserve">p. 6 · Bullet "Data" continuation</t>
  </si>
  <si>
    <t xml:space="preserve">A one-line widow ("twelve rows tell a manager nothing.") sits at the top of p. 6.</t>
  </si>
  <si>
    <t xml:space="preserve">Widow control of 2 lines.</t>
  </si>
  <si>
    <t xml:space="preserve">V1.12</t>
  </si>
  <si>
    <t xml:space="preserve">p. 8 · Watch out "the type you see…"</t>
  </si>
  <si>
    <t xml:space="preserve">Inline code breaks across lines ("14-09-" / "2026").</t>
  </si>
  <si>
    <t xml:space="preserve">No-break inline code.</t>
  </si>
  <si>
    <t xml:space="preserve">V1.13</t>
  </si>
  <si>
    <t xml:space="preserve">p. 10, 22 · Ratings table; answer 7 table</t>
  </si>
  <si>
    <t xml:space="preserve">Numeric columns (Mean 3.0 / 3.4, Median) are left-aligned.</t>
  </si>
  <si>
    <t xml:space="preserve">Right-align numbers.</t>
  </si>
  <si>
    <t xml:space="preserve">V1.14</t>
  </si>
  <si>
    <t xml:space="preserve">p. 20 · Answers 10–13</t>
  </si>
  <si>
    <t xml:space="preserve">Two-digit list numbers hang into the left margin (x = 48 pt).</t>
  </si>
  <si>
    <t xml:space="preserve">Widen the list-number box.</t>
  </si>
  <si>
    <t xml:space="preserve">V1.15</t>
  </si>
  <si>
    <t xml:space="preserve">p. 4–22 · "₹"</t>
  </si>
  <si>
    <t xml:space="preserve">Falls back to DejaVu Serif because Lora lacks the glyph.</t>
  </si>
  <si>
    <t xml:space="preserve">Embed a Lora-compatible ₹ or set ₹ in a matching font.</t>
  </si>
  <si>
    <t xml:space="preserve">0.5</t>
  </si>
  <si>
    <t xml:space="preserve">Ch 2 §2.1, 2.5, 2.8, 2.9</t>
  </si>
  <si>
    <t xml:space="preserve">Results shown without the code that produced them: 0.30000000000000004, exact-decimal 0.3, pandas reading CSV, curl request, SHA-256 hashes.</t>
  </si>
  <si>
    <t xml:space="preserve">Line-by-line</t>
  </si>
  <si>
    <t xml:space="preserve">See fix-instructions-part-0-and-I.md (fix dependency: Needs map (remove vs keep))</t>
  </si>
  <si>
    <t xml:space="preserve">0.6</t>
  </si>
  <si>
    <t xml:space="preserve">Ch 2 overall</t>
  </si>
  <si>
    <t xml:space="preserve">~110 key terms in one chapter (bits → Unicode → floating point → formats → Parquet → DNS/HTTPS → IaaS/PaaS/SaaS → APIs → CIA → hashing → 3-2-1).</t>
  </si>
  <si>
    <t xml:space="preserve">0.13</t>
  </si>
  <si>
    <t xml:space="preserve">Ch 2 §2.2, §2.5</t>
  </si>
  <si>
    <t xml:space="preserve">Fig 2.1 says "see section 2.2" from inside 2.2; §2.5 title "six ways" vs text "five data formats".</t>
  </si>
  <si>
    <t xml:space="preserve">V2.1</t>
  </si>
  <si>
    <t xml:space="preserve">p. 21→22 · Tools bullet "The companion files…"</t>
  </si>
  <si>
    <t xml:space="preserve">The last word "18." wraps alone to the top of p. 22, followed by a section rule. It reads like a stray list number.</t>
  </si>
  <si>
    <t xml:space="preserve">Tighten or reflow the bullet so "Chapter 18." stays together (non-breaking space after "Chapter").</t>
  </si>
  <si>
    <t xml:space="preserve">V2.2</t>
  </si>
  <si>
    <t xml:space="preserve">p. 6 · Figure 2.1 (B → PB size ladder)</t>
  </si>
  <si>
    <t xml:space="preserve">Example lines ("a short plain-text email…", "a phone photo is typically…") are 5.7 pt and the footnote is 5.7 pt.</t>
  </si>
  <si>
    <t xml:space="preserve">Set ≥ 7 pt; the bars leave room.</t>
  </si>
  <si>
    <t xml:space="preserve">V2.3</t>
  </si>
  <si>
    <t xml:space="preserve">p. 12 · Figure 2.2 (row vs column storage)</t>
  </si>
  <si>
    <t xml:space="preserve">Cell values and notes are 5.5–6.0 pt.</t>
  </si>
  <si>
    <t xml:space="preserve">Enlarge to ≥ 7 pt, or stack the two panels.</t>
  </si>
  <si>
    <t xml:space="preserve">V2.4</t>
  </si>
  <si>
    <t xml:space="preserve">p. 15 · Figure 2.3 (API as waiter)</t>
  </si>
  <si>
    <t xml:space="preserve">Box text and the request/response examples are 5.5–5.9 pt. The italic subtitle above the figure is a pale 5.6 pt.</t>
  </si>
  <si>
    <t xml:space="preserve">Enlarge to ≥ 7 pt; darken the subtitle.</t>
  </si>
  <si>
    <t xml:space="preserve">V2.5</t>
  </si>
  <si>
    <t xml:space="preserve">p. 19 · Figure 2.4 (3-2-1 backups)</t>
  </si>
  <si>
    <t xml:space="preserve">Sub-labels ("the original, plus two backups", "off-site or in the cloud…") are 5.6 pt light grey.</t>
  </si>
  <si>
    <t xml:space="preserve">≥ 7 pt and darker grey.</t>
  </si>
  <si>
    <t xml:space="preserve">V2.6</t>
  </si>
  <si>
    <t xml:space="preserve">p. 17→18 · Table "Goal / Means / Example of failure" (CIA triad)</t>
  </si>
  <si>
    <t xml:space="preserve">Only the Confidentiality row is on p. 17; Integrity and Availability follow on p. 18 under a repeated header.</t>
  </si>
  <si>
    <t xml:space="preserve">V2.7</t>
  </si>
  <si>
    <t xml:space="preserve">Shows "Draft chapter", "16 September 2026" and "Every size, output, and timing measured".</t>
  </si>
  <si>
    <t xml:space="preserve">Remove for print / standardize across chapters.</t>
  </si>
  <si>
    <t xml:space="preserve">V2.8</t>
  </si>
  <si>
    <t xml:space="preserve">V2.9</t>
  </si>
  <si>
    <t xml:space="preserve">p. 10 · Excel (.xlsx) section end</t>
  </si>
  <si>
    <t xml:space="preserve">A 19% gap at the foot of the page because the 20-line JSON block moves whole to p. 11.</t>
  </si>
  <si>
    <t xml:space="preserve">Allow the JSON block to split, or accept the gap.</t>
  </si>
  <si>
    <t xml:space="preserve">V2.10</t>
  </si>
  <si>
    <t xml:space="preserve">p. 13→14 · 2.6 Databases lead-in "…and it:"</t>
  </si>
  <si>
    <t xml:space="preserve">Ends p. 13; the bullet list starts p. 14.</t>
  </si>
  <si>
    <t xml:space="preserve">Keep with next.</t>
  </si>
  <si>
    <t xml:space="preserve">V2.11</t>
  </si>
  <si>
    <t xml:space="preserve">p. 26 · Answer 7 inline CSV line</t>
  </si>
  <si>
    <t xml:space="preserve">The inline code breaks inside a date ("2026-03-" / "03,Delivered…"), which makes the corrected line look like it contains a stray hyphen.</t>
  </si>
  <si>
    <t xml:space="preserve">Set it as a code block, or no-break inline code.</t>
  </si>
  <si>
    <t xml:space="preserve">V2.12</t>
  </si>
  <si>
    <t xml:space="preserve">p. 5, 12, 17 · UTF-8 table, format-test table, status-code table</t>
  </si>
  <si>
    <t xml:space="preserve">Numeric columns (Characters, Bytes, File size, times) are left-aligned; "500 Internal Server / Error" wraps inside its code pill.</t>
  </si>
  <si>
    <t xml:space="preserve">Right-align numbers; widen the Code column.</t>
  </si>
  <si>
    <t xml:space="preserve">V2.13</t>
  </si>
  <si>
    <t xml:space="preserve">p. 24 · Exercises 10–15</t>
  </si>
  <si>
    <t xml:space="preserve">Two-digit numbers hang into the margin.</t>
  </si>
  <si>
    <t xml:space="preserve">V2.14</t>
  </si>
  <si>
    <t xml:space="preserve">p. 5–26 · "₹", "→", "⁰"</t>
  </si>
  <si>
    <t xml:space="preserve">Fall back to DejaVu Serif.</t>
  </si>
  <si>
    <t xml:space="preserve">As V1.15.</t>
  </si>
  <si>
    <t xml:space="preserve">V3.1</t>
  </si>
  <si>
    <t xml:space="preserve">p. 6 · Figure 3.2 (ten steps, lead to cash)</t>
  </si>
  <si>
    <t xml:space="preserve">Dates, actions and system records are 4.7–5.1 pt ("CRM: quote Q-2025-118", "ERP: invoice 9001"). The step list below depends on this figure.</t>
  </si>
  <si>
    <t xml:space="preserve">Redraw as 2 rows × 5 at full width with ≥ 7 pt text, or as a vertical timeline.</t>
  </si>
  <si>
    <t xml:space="preserve">V3.2</t>
  </si>
  <si>
    <t xml:space="preserve">p. 14 · Figure 3.4 (manual steps marked)</t>
  </si>
  <si>
    <t xml:space="preserve">Same drawing as Fig 3.2 plus red "!" markers, at 4.7–5.8 pt. The key line below the figure is 5.6 pt.</t>
  </si>
  <si>
    <t xml:space="preserve">As V3.1.</t>
  </si>
  <si>
    <t xml:space="preserve">V3.3</t>
  </si>
  <si>
    <t xml:space="preserve">p. 5 · Figure 3.1 (eight departments)</t>
  </si>
  <si>
    <t xml:space="preserve">Department descriptions are 5.3 pt.</t>
  </si>
  <si>
    <t xml:space="preserve">≥ 7 pt; use 2 × 4 boxes at a larger size.</t>
  </si>
  <si>
    <t xml:space="preserve">V3.4</t>
  </si>
  <si>
    <t xml:space="preserve">p. 10 · Figure 3.3 (booked / billed / collected bars)</t>
  </si>
  <si>
    <t xml:space="preserve">Value labels (₹161,700…) and axis ticks are 5.5–5.8 pt.</t>
  </si>
  <si>
    <t xml:space="preserve">≥ 7 pt value labels.</t>
  </si>
  <si>
    <t xml:space="preserve">V3.5</t>
  </si>
  <si>
    <t xml:space="preserve">p. 4→5 · Section 3.1 end / Figure 3.1</t>
  </si>
  <si>
    <t xml:space="preserve">"Figure 3.1 shows the eight you'll meet most often." ends p. 4 with 25% of the page blank; the figure is on p. 5.</t>
  </si>
  <si>
    <t xml:space="preserve">Let the figure float back or shrink it slightly.</t>
  </si>
  <si>
    <t xml:space="preserve">V3.6</t>
  </si>
  <si>
    <t xml:space="preserve">p. 15→16 · Common mistakes table</t>
  </si>
  <si>
    <t xml:space="preserve">The heading and one row ("Quoting sales without saying which") are at the foot of p. 15; the other 7 rows are on p. 16.</t>
  </si>
  <si>
    <t xml:space="preserve">Move heading and table together to p. 16, or keep ≥ 3 rows.</t>
  </si>
  <si>
    <t xml:space="preserve">V3.7</t>
  </si>
  <si>
    <t xml:space="preserve">p. 17→18 · Project Step 2 "…recording six things for each:"</t>
  </si>
  <si>
    <t xml:space="preserve">Stranded at the foot of p. 17; the column table is on p. 18.</t>
  </si>
  <si>
    <t xml:space="preserve">V3.8</t>
  </si>
  <si>
    <t xml:space="preserve">Shows "Draft chapter", "16 September 2026" and "Every number checked against the Riverstone database".</t>
  </si>
  <si>
    <t xml:space="preserve">Remove for print / standardize.</t>
  </si>
  <si>
    <t xml:space="preserve">V3.9</t>
  </si>
  <si>
    <t xml:space="preserve">V3.10</t>
  </si>
  <si>
    <t xml:space="preserve">p. 7 · Inline dates and body hyphens</t>
  </si>
  <si>
    <t xml:space="preserve">"dated 2026-01-" / "06" (invoice step 7) splits an ISO date. "part-" / "payment" and "cut-" / "off" are fine.</t>
  </si>
  <si>
    <t xml:space="preserve">No-break ISO dates.</t>
  </si>
  <si>
    <t xml:space="preserve">V3.11</t>
  </si>
  <si>
    <t xml:space="preserve">p. 11→12 · KPI table</t>
  </si>
  <si>
    <t xml:space="preserve">Six rows on p. 11, three on p. 12. The header repeats, which is acceptable, but the split falls mid-concept.</t>
  </si>
  <si>
    <t xml:space="preserve">Optional: keep together.</t>
  </si>
  <si>
    <t xml:space="preserve">V3.12</t>
  </si>
  <si>
    <t xml:space="preserve">p. 6, 10, 16 · Order, quarter and CRM tables</t>
  </si>
  <si>
    <t xml:space="preserve">Money columns (Line value, Booked, Billed, Collected, Value) are left-aligned.</t>
  </si>
  <si>
    <t xml:space="preserve">V3.13</t>
  </si>
  <si>
    <t xml:space="preserve">p. 14 · Figure 3.4 marking</t>
  </si>
  <si>
    <t xml:space="preserve">Manual steps are shown by red outline and pink fill plus a "!" badge. The badge carries the meaning in greyscale, which is good, but the pink fill is faint.</t>
  </si>
  <si>
    <t xml:space="preserve">Keep the badge; darken the outline.</t>
  </si>
  <si>
    <t xml:space="preserve">V3.14</t>
  </si>
  <si>
    <t xml:space="preserve">p. 3–24 · "₹" incl. bold</t>
  </si>
  <si>
    <t xml:space="preserve">Fallback to DejaVu Serif-Bold is visible in bold totals (e.g., "₹14,700", "₹335,930").</t>
  </si>
  <si>
    <t xml:space="preserve">V3.15</t>
  </si>
  <si>
    <t xml:space="preserve">p. 21 · Exercises 10–15</t>
  </si>
  <si>
    <t xml:space="preserve">Numbers hang into the margin.</t>
  </si>
  <si>
    <t xml:space="preserve">S.4</t>
  </si>
  <si>
    <t xml:space="preserve">Ch 4, 5, 7</t>
  </si>
  <si>
    <t xml:space="preserve">"Spreadsheet link", "SQL link", "Dialect note" boxes point to unlearned tools.</t>
  </si>
  <si>
    <t xml:space="preserve">0.10</t>
  </si>
  <si>
    <t xml:space="preserve">Ch 4 §4.4</t>
  </si>
  <si>
    <t xml:space="preserve">Monthly revenues sum to ₹4,335,473, stated total ₹4,335,471 (rounding).</t>
  </si>
  <si>
    <t xml:space="preserve">0.14</t>
  </si>
  <si>
    <t xml:space="preserve">"Eleventh root" / 2.17 ^ (1/11) with no one-line explanation of a root.</t>
  </si>
  <si>
    <t xml:space="preserve">V4.1</t>
  </si>
  <si>
    <t xml:space="preserve">p. 14 · Figure 4.4 (truncated vs zero axis)</t>
  </si>
  <si>
    <t xml:space="preserve">Axis ticks (23%–32%, 0%–35%) and month letters are 4.8 pt, and the panel titles 5.7 pt. The figure's point is to read the axis, and the axis cannot be read.</t>
  </si>
  <si>
    <t xml:space="preserve">Axis labels ≥ 7 pt; give each panel more height.</t>
  </si>
  <si>
    <t xml:space="preserve">V4.2</t>
  </si>
  <si>
    <t xml:space="preserve">p. 9 · Figure 4.2 (actual vs 7.3% vs 13.1% lines)</t>
  </si>
  <si>
    <t xml:space="preserve">Legend and axis text are 5.1–5.7 pt. The caption distinguishes the lines only as "(red)" and "(green)", so red/green-deficient readers depend on the dash patterns and the tiny legend.</t>
  </si>
  <si>
    <t xml:space="preserve">Enlarge to ≥ 7 pt; label the lines directly ("13.1% average", "7.3% compound"); drop colour words from the caption.</t>
  </si>
  <si>
    <t xml:space="preserve">V4.3</t>
  </si>
  <si>
    <t xml:space="preserve">p. 5 · Figure 4.1 (rises and falls don't cancel)</t>
  </si>
  <si>
    <t xml:space="preserve">Bar labels and "+50% of 100" annotations are 5.5–6.6 pt; x labels ("after +50%") 5.5 pt.</t>
  </si>
  <si>
    <t xml:space="preserve">≥ 7 pt.</t>
  </si>
  <si>
    <t xml:space="preserve">V4.4</t>
  </si>
  <si>
    <t xml:space="preserve">p. 11 · Figure 4.3 (order-value histogram)</t>
  </si>
  <si>
    <t xml:space="preserve">Bin counts, axis and "a few large orders…" note are 5.7–6.5 pt.</t>
  </si>
  <si>
    <t xml:space="preserve">V4.5</t>
  </si>
  <si>
    <t xml:space="preserve">p. 8→9 · Compound growth section / Figure 4.2</t>
  </si>
  <si>
    <t xml:space="preserve">P. 8 ends after "…you land exactly on December." with 30% blank; Figure 4.2 opens p. 9.</t>
  </si>
  <si>
    <t xml:space="preserve">Shrink the figure slightly or let text flow above it.</t>
  </si>
  <si>
    <t xml:space="preserve">V4.6</t>
  </si>
  <si>
    <t xml:space="preserve">p. 6→7 · Segment table (Wholesale / Retail / Hospitality / Total)</t>
  </si>
  <si>
    <t xml:space="preserve">Only the header and Wholesale row sit at the foot of p. 6; the other three rows are on p. 7.</t>
  </si>
  <si>
    <t xml:space="preserve">Keep the 4-row table together.</t>
  </si>
  <si>
    <t xml:space="preserve">V4.7</t>
  </si>
  <si>
    <t xml:space="preserve">p. 11→12 · "That's a weighted average:"</t>
  </si>
  <si>
    <t xml:space="preserve">The lead-in ends p. 11; the formula box opens p. 12.</t>
  </si>
  <si>
    <t xml:space="preserve">V4.8</t>
  </si>
  <si>
    <t xml:space="preserve">p. 12→13 · Shares table (whole % / one decimal)</t>
  </si>
  <si>
    <t xml:space="preserve">Wholesale, Retail and Hospitality are on p. 12; the Total row, which the paragraph is about (99% vs 100.0%), is alone on p. 13 under a repeated header.</t>
  </si>
  <si>
    <t xml:space="preserve">Keep the table together; the total is the point of the example.</t>
  </si>
  <si>
    <t xml:space="preserve">V4.9</t>
  </si>
  <si>
    <t xml:space="preserve">V4.10</t>
  </si>
  <si>
    <t xml:space="preserve">V4.11</t>
  </si>
  <si>
    <t xml:space="preserve">p. 10 · Spreadsheet link box</t>
  </si>
  <si>
    <t xml:space="preserve">Inline formulas break badly: "=" ends a line with "(end/start)^(1/periods)-1" on the next, and "=RRI(3, 4335471," / "6000000)".</t>
  </si>
  <si>
    <t xml:space="preserve">Put the two formulas on their own lines as a code block.</t>
  </si>
  <si>
    <t xml:space="preserve">V4.12</t>
  </si>
  <si>
    <t xml:space="preserve">p. 6–8, 12 · Monthly revenue, shares and units tables</t>
  </si>
  <si>
    <t xml:space="preserve">Money and percentage columns are left-aligned.</t>
  </si>
  <si>
    <t xml:space="preserve">V4.13</t>
  </si>
  <si>
    <t xml:space="preserve">p. 7→8 · Month-over-month table</t>
  </si>
  <si>
    <t xml:space="preserve">Jan–Jul on p. 7, Aug–Dec + Year on p. 8 (header repeated). This is acceptable, but the table is short enough to keep whole.</t>
  </si>
  <si>
    <t xml:space="preserve">Optional keep-together.</t>
  </si>
  <si>
    <t xml:space="preserve">V4.14</t>
  </si>
  <si>
    <t xml:space="preserve">p. 22–23 · Exercises 10–15</t>
  </si>
  <si>
    <t xml:space="preserve">V4.15</t>
  </si>
  <si>
    <t xml:space="preserve">p. 3–25 · "₹" (regular, bold, italic)</t>
  </si>
  <si>
    <t xml:space="preserve">Fallback on 19 pages; the Serif-Bold ₹ is visibly heavier than Lora bold.</t>
  </si>
  <si>
    <t xml:space="preserve">V5.1</t>
  </si>
  <si>
    <t xml:space="preserve">p. 8 · Figure 5.3 (Not MECE vs MECE)</t>
  </si>
  <si>
    <t xml:space="preserve">Customer names in the boxes and the explanatory notes are 4.9–5.4 pt. The red "Not MECE" and green "MECE" notes rely partly on colour, although the headings say it.</t>
  </si>
  <si>
    <t xml:space="preserve">Redraw at ≥ 7 pt; stack the two trees vertically.</t>
  </si>
  <si>
    <t xml:space="preserve">V5.2</t>
  </si>
  <si>
    <t xml:space="preserve">p. 9 · Figure 5.4 (March issue tree)</t>
  </si>
  <si>
    <t xml:space="preserve">Leaf text is 5.3–6.1 pt, status pills about 5.3 pt and legend 6.1 pt. The whole of section 5.4 walks through this tree.</t>
  </si>
  <si>
    <t xml:space="preserve">≥ 7 pt; split into two figures or run full width.</t>
  </si>
  <si>
    <t xml:space="preserve">V5.3</t>
  </si>
  <si>
    <t xml:space="preserve">p. 7 · Figure 5.2 (hypothesis loop)</t>
  </si>
  <si>
    <t xml:space="preserve">Sub-labels in the boxes are 5.0 pt and the side notes 5.6–5.9 pt.</t>
  </si>
  <si>
    <t xml:space="preserve">≥ 7 pt; the figure has spare white space to the right.</t>
  </si>
  <si>
    <t xml:space="preserve">V5.4</t>
  </si>
  <si>
    <t xml:space="preserve">p. 5 · Figure 5.1 (five checks)</t>
  </si>
  <si>
    <t xml:space="preserve">Step sub-lines ("billed revenue (invoices raised)") are 5.2 pt.</t>
  </si>
  <si>
    <t xml:space="preserve">V5.5</t>
  </si>
  <si>
    <t xml:space="preserve">p. 8→9 · "Working through March" / Figure 5.4</t>
  </si>
  <si>
    <t xml:space="preserve">P. 8 ends with 24% blank; the figure is on p. 9.</t>
  </si>
  <si>
    <t xml:space="preserve">Reduce the figure or allow text to flow.</t>
  </si>
  <si>
    <t xml:space="preserve">V5.6</t>
  </si>
  <si>
    <t xml:space="preserve">p. 10→11 · "What to tell Anita. A good answer is short, ranked, and honest about confidence:"</t>
  </si>
  <si>
    <t xml:space="preserve">Stranded at the foot of p. 10; the quoted note is on p. 11.</t>
  </si>
  <si>
    <t xml:space="preserve">V5.7</t>
  </si>
  <si>
    <t xml:space="preserve">p. 15→16 · Sales executive table</t>
  </si>
  <si>
    <t xml:space="preserve">Header and Farah row at the foot of p. 15; Rahul and Neha on p. 16 under a repeated header. The comparison is split.</t>
  </si>
  <si>
    <t xml:space="preserve">Keep the 3-row table together.</t>
  </si>
  <si>
    <t xml:space="preserve">V5.8</t>
  </si>
  <si>
    <t xml:space="preserve">Shows "Draft chapter", "17 September 2026" and "Every number checked against the Riverstone databases".</t>
  </si>
  <si>
    <t xml:space="preserve">Remove / standardize.</t>
  </si>
  <si>
    <t xml:space="preserve">V5.9</t>
  </si>
  <si>
    <t xml:space="preserve">V5.10</t>
  </si>
  <si>
    <t xml:space="preserve">p. 23 · Last page</t>
  </si>
  <si>
    <t xml:space="preserve">Holds only answer 15 (4 lines) with 90% blank.</t>
  </si>
  <si>
    <t xml:space="preserve">Tighten the preceding pages or accept.</t>
  </si>
  <si>
    <t xml:space="preserve">V5.11</t>
  </si>
  <si>
    <t xml:space="preserve">p. 13→14 · Decision table ("Part / Question / For the three customers…")</t>
  </si>
  <si>
    <t xml:space="preserve">Decision, Options and Criteria rows are on p. 13; Evidence and the rest on p. 14. The header repeats.</t>
  </si>
  <si>
    <t xml:space="preserve">Acceptable; keep together if space allows.</t>
  </si>
  <si>
    <t xml:space="preserve">V5.12</t>
  </si>
  <si>
    <t xml:space="preserve">p. 9, 10, 15 · Invoiced-orders, overdue and lead tables</t>
  </si>
  <si>
    <t xml:space="preserve">Money and count columns are left-aligned.</t>
  </si>
  <si>
    <t xml:space="preserve">V5.13</t>
  </si>
  <si>
    <t xml:space="preserve">p. 19–20 · Exercises 10–15</t>
  </si>
  <si>
    <t xml:space="preserve">V5.14</t>
  </si>
  <si>
    <t xml:space="preserve">p. 5–22 · "₹"</t>
  </si>
  <si>
    <t xml:space="preserve">DejaVu Serif fallback.</t>
  </si>
  <si>
    <t xml:space="preserve">S.2</t>
  </si>
  <si>
    <t xml:space="preserve">Ch 6 ex. 6</t>
  </si>
  <si>
    <t xml:space="preserve">Tests PostgreSQL double precision / MySQL approximate-value rounding never taught. Typo: part (e) ROUND(45E1) = 450, answer treats it as 4.5 (45E-1).</t>
  </si>
  <si>
    <t xml:space="preserve">See fix-instructions-part-0-and-I.md (fix dependency: Typo: Independent; exercise: Needs map)</t>
  </si>
  <si>
    <t xml:space="preserve">S.3</t>
  </si>
  <si>
    <t xml:space="preserve">Ch 6 whole</t>
  </si>
  <si>
    <t xml:space="preserve">Setup chapter too early: Python installed Ch 6, first used Ch 17 (~150+ study hours later); Git → Ch 26; Power BI → Ch 16; reader runs terminal/venv/PowerShell policy before knowing what Python is; 3–4 h of installing at the weakest moment; Ch 7–9 use no software.</t>
  </si>
  <si>
    <t xml:space="preserve">0.1</t>
  </si>
  <si>
    <t xml:space="preserve">Ch 6 §6.8, Fig 6.2</t>
  </si>
  <si>
    <t xml:space="preserve">Plan says Parts 0–II take 6 months at 8 h/week (~208 h); book's own estimates total 319–396 h; Closing says 12–15 months at 6 h/week. Meera's "nine months at 6 h" also wrong.</t>
  </si>
  <si>
    <t xml:space="preserve">See fix-instructions-part-0-and-I.md (fix dependency: Needs map (final hours))</t>
  </si>
  <si>
    <t xml:space="preserve">0.2</t>
  </si>
  <si>
    <t xml:space="preserve">Ch 6 §6.3</t>
  </si>
  <si>
    <t xml:space="preserve">WITHDRAWN (see S.3). Was: no first Jupyter notebook in Ch 6. Jupyter belongs in Ch 17.</t>
  </si>
  <si>
    <t xml:space="preserve">—</t>
  </si>
  <si>
    <t xml:space="preserve">Withdrawn</t>
  </si>
  <si>
    <t xml:space="preserve">See fix-instructions-part-0-and-I.md (fix dependency: —)</t>
  </si>
  <si>
    <t xml:space="preserve">0.3</t>
  </si>
  <si>
    <t xml:space="preserve">SUPERSEDED by S.3. Was: venv/pip/activate/Set-ExecutionPolicy lines not explained. These commands shouldn't be in Part 0.</t>
  </si>
  <si>
    <t xml:space="preserve">Superseded</t>
  </si>
  <si>
    <t xml:space="preserve">0.4</t>
  </si>
  <si>
    <t xml:space="preserve">Ch 6 §6.3 step 2</t>
  </si>
  <si>
    <t xml:space="preserve">DB install sends reader forward to Ch 12 §12.3 ("do them now, and come back").</t>
  </si>
  <si>
    <t xml:space="preserve">I.8</t>
  </si>
  <si>
    <t xml:space="preserve">Ch 6 vs Ch 9</t>
  </si>
  <si>
    <t xml:space="preserve">Optimistic Ch 6 plan comes before Ch 9's honest timeline (same root as 0.1).</t>
  </si>
  <si>
    <t xml:space="preserve">V6.1</t>
  </si>
  <si>
    <t xml:space="preserve">p. 5 · Figure 6.1 (core toolkit)</t>
  </si>
  <si>
    <t xml:space="preserve">Tool names, "First used" and "Runs on" lines are 5.0–5.4 pt, and the footer band 5.0 pt. The table below repeats the same facts.</t>
  </si>
  <si>
    <t xml:space="preserve">≥ 7 pt, or drop the per-card detail and keep the table.</t>
  </si>
  <si>
    <t xml:space="preserve">V6.2</t>
  </si>
  <si>
    <t xml:space="preserve">p. 14 · Figures 6.2 (six-month plan) and 6.3 (weekly rhythm)</t>
  </si>
  <si>
    <t xml:space="preserve">Sub-lines ("foundations, the map…", "Read a new section…") are 5.4–5.8 pt; the Fig 6.3 bar captions are 5.4 pt.</t>
  </si>
  <si>
    <t xml:space="preserve">V6.3</t>
  </si>
  <si>
    <t xml:space="preserve">p. 13→14 · 6.8 heading + one paragraph</t>
  </si>
  <si>
    <t xml:space="preserve">P. 13 ends with 25% blank after two lines of 6.8; the plan figure is on p. 14.</t>
  </si>
  <si>
    <t xml:space="preserve">Let the figure flow back or move the heading with it.</t>
  </si>
  <si>
    <t xml:space="preserve">V6.4</t>
  </si>
  <si>
    <t xml:space="preserve">p. 7→8 · "…go to your book folder (section 6.4) and run:"</t>
  </si>
  <si>
    <t xml:space="preserve">Stranded at the foot of p. 7; the venv commands are on p. 8.</t>
  </si>
  <si>
    <t xml:space="preserve">V6.5</t>
  </si>
  <si>
    <t xml:space="preserve">Shows "Draft chapter", "17 September 2026" and "Versions and install steps checked against official sources".</t>
  </si>
  <si>
    <t xml:space="preserve">V6.6</t>
  </si>
  <si>
    <t xml:space="preserve">V6.7</t>
  </si>
  <si>
    <t xml:space="preserve">p. 19 · Exercise 6(e)</t>
  </si>
  <si>
    <t xml:space="preserve">The inline code "SELECT ROUND(45E-" / "1);" breaks at the exponent sign, so the value readers must predict appears as "45E-" and "1".</t>
  </si>
  <si>
    <t xml:space="preserve">No-break inline code (or put the five expressions in a small code block).</t>
  </si>
  <si>
    <t xml:space="preserve">V6.8</t>
  </si>
  <si>
    <t xml:space="preserve">p. 7 · Two "SELECT COUNT(*) FROM order_items;" blocks</t>
  </si>
  <si>
    <t xml:space="preserve">Identical query blocks and their outputs have no label saying which is PostgreSQL and which is MySQL; readers must infer it from the output style.</t>
  </si>
  <si>
    <t xml:space="preserve">Add "PostgreSQL:" / "MySQL:" labels as on p. 11.</t>
  </si>
  <si>
    <t xml:space="preserve">V6.9</t>
  </si>
  <si>
    <t xml:space="preserve">p. 11 · Terminal table, Example column</t>
  </si>
  <si>
    <t xml:space="preserve">"cd analyst-to-" / "architect" and "python" / "check_setup.py" wrap inside a narrow column.</t>
  </si>
  <si>
    <t xml:space="preserve">Widen the Example column or no-wrap code cells.</t>
  </si>
  <si>
    <t xml:space="preserve">V6.10</t>
  </si>
  <si>
    <t xml:space="preserve">p. 16, 18 · Meera story; recap bullet</t>
  </si>
  <si>
    <t xml:space="preserve">Inline code breaks across lines ("xcode-select --" / "install", "python -m pip" / "install").</t>
  </si>
  <si>
    <t xml:space="preserve">V6.11</t>
  </si>
  <si>
    <t xml:space="preserve">p. 11→12 · MySQL ROUND query / output</t>
  </si>
  <si>
    <t xml:space="preserve">The query ends p. 11 and its output opens p. 12.</t>
  </si>
  <si>
    <t xml:space="preserve">Keep query and output together.</t>
  </si>
  <si>
    <t xml:space="preserve">V6.12</t>
  </si>
  <si>
    <t xml:space="preserve">p. 20 · Exercises 10–15</t>
  </si>
  <si>
    <t xml:space="preserve">V6.13</t>
  </si>
  <si>
    <t xml:space="preserve">p. 8, 19, 22 · "→", "₹"</t>
  </si>
  <si>
    <t xml:space="preserve">I.3</t>
  </si>
  <si>
    <t xml:space="preserve">Ch 7 §7.6 step 2</t>
  </si>
  <si>
    <t xml:space="preserve">12-line SQL (LEFT JOIN, GROUP BY, HAVING, NULLS FIRST, date arithmetic) + MySQL dialect version before any SQL is taught. Upgraded to High (see S.1).</t>
  </si>
  <si>
    <t xml:space="preserve">Load / Sequence</t>
  </si>
  <si>
    <t xml:space="preserve">I.4</t>
  </si>
  <si>
    <t xml:space="preserve">Ch 7 §7.6 steps 5–7</t>
  </si>
  <si>
    <t xml:space="preserve">"Every role depends on the ones before it", but data engineer (step 7) supplies data needed by data scientist and ML engineer (steps 5–6).</t>
  </si>
  <si>
    <t xml:space="preserve">I.9</t>
  </si>
  <si>
    <t xml:space="preserve">Ch 7–9 answers</t>
  </si>
  <si>
    <t xml:space="preserve">"(In the finished book these move to Appendix G.)" repeated.</t>
  </si>
  <si>
    <t xml:space="preserve">V7.1</t>
  </si>
  <si>
    <t xml:space="preserve">p. 5 · Figure 7.1 (four questions → tracks → roles)</t>
  </si>
  <si>
    <t xml:space="preserve">Role lists and the "Taught in Parts…" lines are 4.7–5.6 pt; the bottom band ("Underneath all four…") 5.1 pt.</t>
  </si>
  <si>
    <t xml:space="preserve">Redraw at ≥ 7 pt; this is the chapter's key map.</t>
  </si>
  <si>
    <t xml:space="preserve">V7.2</t>
  </si>
  <si>
    <t xml:space="preserve">p. 10 · Figure 7.3 (automated flow)</t>
  </si>
  <si>
    <t xml:space="preserve">Stage items and "who automates" labels are 4.9–5.6 pt.</t>
  </si>
  <si>
    <t xml:space="preserve">V7.3</t>
  </si>
  <si>
    <t xml:space="preserve">p. 11 · Figure 7.4 (centralized / embedded / hub-and-spoke)</t>
  </si>
  <si>
    <t xml:space="preserve">Department and pros/cons text are 4.9–6.0 pt.</t>
  </si>
  <si>
    <t xml:space="preserve">V7.4</t>
  </si>
  <si>
    <t xml:space="preserve">p. 8 · Figure 7.2 (the tree)</t>
  </si>
  <si>
    <t xml:space="preserve">All box text is 5.3 pt.</t>
  </si>
  <si>
    <t xml:space="preserve">V7.5</t>
  </si>
  <si>
    <t xml:space="preserve">p. 16 · Figure 7.5 (one request, every role)</t>
  </si>
  <si>
    <t xml:space="preserve">Role descriptions are 5.3–5.6 pt.</t>
  </si>
  <si>
    <t xml:space="preserve">V7.6</t>
  </si>
  <si>
    <t xml:space="preserve">p. 7→8 · End of 7.3 / Figure 7.2</t>
  </si>
  <si>
    <t xml:space="preserve">P. 7 ends with 25% blank; the tree figure opens p. 8.</t>
  </si>
  <si>
    <t xml:space="preserve">Let the figure float or shrink it.</t>
  </si>
  <si>
    <t xml:space="preserve">V7.7</t>
  </si>
  <si>
    <t xml:space="preserve">p. 9→10 · End of 7.4 / Figure 7.3</t>
  </si>
  <si>
    <t xml:space="preserve">P. 9 ends with 24% blank.</t>
  </si>
  <si>
    <t xml:space="preserve">As V7.6.</t>
  </si>
  <si>
    <t xml:space="preserve">V7.8</t>
  </si>
  <si>
    <t xml:space="preserve">p. 15→16 · Step 10 / Figure 7.5</t>
  </si>
  <si>
    <t xml:space="preserve">P. 15 ends with 33% blank.</t>
  </si>
  <si>
    <t xml:space="preserve">V7.9</t>
  </si>
  <si>
    <t xml:space="preserve">p. 12→13 · "How it works, in plain words."</t>
  </si>
  <si>
    <t xml:space="preserve">Stranded at the foot of p. 12; the bullets are on p. 13.</t>
  </si>
  <si>
    <t xml:space="preserve">V7.10</t>
  </si>
  <si>
    <t xml:space="preserve">Shows "Approved chapter · v1" and "21 September 2026" and has no tagline line. This differs from Ch01–06's "Draft chapter" + tagline.</t>
  </si>
  <si>
    <t xml:space="preserve">Remove status/date for print; make cover furniture identical across chapters.</t>
  </si>
  <si>
    <t xml:space="preserve">V7.11</t>
  </si>
  <si>
    <t xml:space="preserve">V7.12</t>
  </si>
  <si>
    <t xml:space="preserve">p. 13→14 · MySQL query and its output</t>
  </si>
  <si>
    <t xml:space="preserve">The query ends p. 13 (16% blank below); its output opens p. 14.</t>
  </si>
  <si>
    <t xml:space="preserve">V7.13</t>
  </si>
  <si>
    <t xml:space="preserve">p. 25 · Answer 1</t>
  </si>
  <si>
    <t xml:space="preserve">Sub-answer labels change style mid-answer: "(a)…(d)" then "e. Question 2".</t>
  </si>
  <si>
    <t xml:space="preserve">Use "(e)".</t>
  </si>
  <si>
    <t xml:space="preserve">V7.14</t>
  </si>
  <si>
    <t xml:space="preserve">p. 23–24 · Exercises 10–15</t>
  </si>
  <si>
    <t xml:space="preserve">V7.15</t>
  </si>
  <si>
    <t xml:space="preserve">p. 13, 25 · "₹"</t>
  </si>
  <si>
    <t xml:space="preserve">I.1</t>
  </si>
  <si>
    <t xml:space="preserve">Ch 8 §8.1, §8.2; Ch 9 §9.2, §9.7; Ch 8 ans. 1</t>
  </si>
  <si>
    <t xml:space="preserve">Drafting history addressed to reader: "The draft of this book introduced…", "fix for the first edition's tier order", "rules from the first edition still hold", "first edition saved this topic for its closing chapter", "as the first edition did".</t>
  </si>
  <si>
    <t xml:space="preserve">I.2</t>
  </si>
  <si>
    <t xml:space="preserve">Ch 8, Ch 9 Tools</t>
  </si>
  <si>
    <t xml:space="preserve">Author's build scripts named as reader resources: checks/ch08_check.py, figures/make_figs08.py, checks/ch09_check.py, figures/make_figs09.py.</t>
  </si>
  <si>
    <t xml:space="preserve">I.5</t>
  </si>
  <si>
    <t xml:space="preserve">Ch 8 §8.6</t>
  </si>
  <si>
    <t xml:space="preserve">Table labels ₹577,000 PayScale median base; text and answer 7 call ₹577,472 the average base.</t>
  </si>
  <si>
    <t xml:space="preserve">See fix-instructions-part-0-and-I.md (fix dependency: Independent (verify source))</t>
  </si>
  <si>
    <t xml:space="preserve">I.6</t>
  </si>
  <si>
    <t xml:space="preserve">Long, dated salary section (retrieved Sep 2026) in an orientation chapter; goes stale fastest.</t>
  </si>
  <si>
    <t xml:space="preserve">See fix-instructions-part-0-and-I.md (fix dependency: Independent (decide placement))</t>
  </si>
  <si>
    <t xml:space="preserve">I.10</t>
  </si>
  <si>
    <t xml:space="preserve">Ch 8 Fig 8.1</t>
  </si>
  <si>
    <t xml:space="preserve">Roles on the tree ("BI analyst", "Senior analyst", "Reporting / MIS assistant") not among Ch 7's ten roles.</t>
  </si>
  <si>
    <t xml:space="preserve">V8.1</t>
  </si>
  <si>
    <t xml:space="preserve">p. 5 · Figure 8.1 (career tree tiers)</t>
  </si>
  <si>
    <t xml:space="preserve">Role chips are 4.9–5.1 pt and tier titles 5.3–5.5 pt; the bottom note is 4.9 pt.</t>
  </si>
  <si>
    <t xml:space="preserve">Redraw at ≥ 7 pt; the chips have room to grow.</t>
  </si>
  <si>
    <t xml:space="preserve">V8.2</t>
  </si>
  <si>
    <t xml:space="preserve">p. 8 · Figure 8.2 (skills heatmap)</t>
  </si>
  <si>
    <t xml:space="preserve">Row labels and legend are 4.5–5.5 pt, and the column heads are rotated 45°. The "useful" cells are a pale blue close to the white "not needed" cells, and the two are hard to tell apart in greyscale. The figure repeats the table on p. 7.</t>
  </si>
  <si>
    <t xml:space="preserve">Either drop the heatmap (the table already carries the data) or enlarge it to ≥ 7 pt, use horizontal abbreviations as in the table and darken the "useful" tint.</t>
  </si>
  <si>
    <t xml:space="preserve">V8.3</t>
  </si>
  <si>
    <t xml:space="preserve">p. 13 · Figure 8.3 (decoding a JD)</t>
  </si>
  <si>
    <t xml:space="preserve">JD text and the seven callouts are 5.1–5.7 pt.</t>
  </si>
  <si>
    <t xml:space="preserve">≥ 7 pt; stack the JD above the callouts.</t>
  </si>
  <si>
    <t xml:space="preserve">V8.4</t>
  </si>
  <si>
    <t xml:space="preserve">p. 19 · Figure 8.4 (three entry routes)</t>
  </si>
  <si>
    <t xml:space="preserve">Box text and advantage/obstacle lines are 5.3–5.5 pt. "Advantage" (green) vs "Obstacle" (red) is also labelled in words, so that part is fine.</t>
  </si>
  <si>
    <t xml:space="preserve">V8.5</t>
  </si>
  <si>
    <t xml:space="preserve">p. 11–12→13 · 8.5 intro, JD callout, Figure 8.3</t>
  </si>
  <si>
    <t xml:space="preserve">P. 11 ends 27% empty because the JD callout moves whole to p. 12. P. 12 then ends 32% empty because "Reading it line by line" and Figure 8.3 move to p. 13.</t>
  </si>
  <si>
    <t xml:space="preserve">Let the callout split, or put Figure 8.3 before the callout.</t>
  </si>
  <si>
    <t xml:space="preserve">V8.6</t>
  </si>
  <si>
    <t xml:space="preserve">p. 18→19 · "8.8 Entry routes…"</t>
  </si>
  <si>
    <t xml:space="preserve">The heading and one sentence sit at the foot of p. 18 above a 30% gap; Figure 8.4 and the text follow on p. 19.</t>
  </si>
  <si>
    <t xml:space="preserve">Move the heading with its figure.</t>
  </si>
  <si>
    <t xml:space="preserve">V8.7</t>
  </si>
  <si>
    <t xml:space="preserve">p. 23→24 · Project "Stretch goals"</t>
  </si>
  <si>
    <t xml:space="preserve">The label is stranded at the foot of p. 23; its bullets are on p. 24.</t>
  </si>
  <si>
    <t xml:space="preserve">V8.8</t>
  </si>
  <si>
    <t xml:space="preserve">Shows "Approved chapter · v1" and "21 September 2026" (no tagline), unlike Ch01–06.</t>
  </si>
  <si>
    <t xml:space="preserve">Standardize or remove.</t>
  </si>
  <si>
    <t xml:space="preserve">V8.9</t>
  </si>
  <si>
    <t xml:space="preserve">V8.10</t>
  </si>
  <si>
    <t xml:space="preserve">p. 7 · Skills-matrix table</t>
  </si>
  <si>
    <t xml:space="preserve">"Not needed" is a tiny centred "·" that almost disappears in print, while ● and ○ are clear.</t>
  </si>
  <si>
    <t xml:space="preserve">Leave the cell blank or use an en dash.</t>
  </si>
  <si>
    <t xml:space="preserve">V8.11</t>
  </si>
  <si>
    <t xml:space="preserve">p. 14, 15 · Scoring and salary tables</t>
  </si>
  <si>
    <t xml:space="preserve">Numbers (Weight, Points, Salary profiles, ₹ amounts) are left-aligned.</t>
  </si>
  <si>
    <t xml:space="preserve">V8.12</t>
  </si>
  <si>
    <t xml:space="preserve">p. 17 · Pathways table</t>
  </si>
  <si>
    <t xml:space="preserve">Long chapter lists wrap to 2–3 lines in narrow columns. This is readable, but the table is dense.</t>
  </si>
  <si>
    <t xml:space="preserve">Optional: widen the last column.</t>
  </si>
  <si>
    <t xml:space="preserve">V8.13</t>
  </si>
  <si>
    <t xml:space="preserve">p. 25–26 · Exercises 10–14</t>
  </si>
  <si>
    <t xml:space="preserve">V8.14</t>
  </si>
  <si>
    <t xml:space="preserve">p. 7, 15–27 · "₹", ●/○ in key</t>
  </si>
  <si>
    <t xml:space="preserve">I.7</t>
  </si>
  <si>
    <t xml:space="preserve">Ch 9 §9.7 + story</t>
  </si>
  <si>
    <t xml:space="preserve">Weeks 1–4 and 4–8 both count week 4; "cut her minutes back" not shown in log (weeks 9–12 avg 245 min vs 246 in plateau).</t>
  </si>
  <si>
    <t xml:space="preserve">V9.1</t>
  </si>
  <si>
    <t xml:space="preserve">p. 12 · Figure 9.4 (practice log chart)</t>
  </si>
  <si>
    <t xml:space="preserve">Axis ticks, point labels and both rotated axis titles are 4.4–5.4 pt; the plateau label is 5.9 pt. Dual axes (minutes bars, score line) make the small text harder to read.</t>
  </si>
  <si>
    <t xml:space="preserve">≥ 7 pt; label the axes horizontally at the top ("Minutes (bars)", "Score /10 (line)").</t>
  </si>
  <si>
    <t xml:space="preserve">V9.2</t>
  </si>
  <si>
    <t xml:space="preserve">p. 6 · Figure 9.1 (three ingredients loop)</t>
  </si>
  <si>
    <t xml:space="preserve">Box text and quotes are 4.9–5.6 pt; the loop note is 5.3 pt.</t>
  </si>
  <si>
    <t xml:space="preserve">V9.3</t>
  </si>
  <si>
    <t xml:space="preserve">p. 7 · Figure 9.2 (naive vs deliberate)</t>
  </si>
  <si>
    <t xml:space="preserve">Cell text is 5.6–5.8 pt. The red and green left bars mark the two columns, which are also labelled, so colour is not required.</t>
  </si>
  <si>
    <t xml:space="preserve">V9.4</t>
  </si>
  <si>
    <t xml:space="preserve">p. 9 · Figure 9.3 (portfolio piece anatomy)</t>
  </si>
  <si>
    <t xml:space="preserve">The write-up text is 5.3 pt and the side labels 5.8 pt.</t>
  </si>
  <si>
    <t xml:space="preserve">≥ 7 pt, or turn it into a real one-page sample.</t>
  </si>
  <si>
    <t xml:space="preserve">V9.5</t>
  </si>
  <si>
    <t xml:space="preserve">p. 3→4 · "In plain English" + "Think about learning to cook."</t>
  </si>
  <si>
    <t xml:space="preserve">The heading and its one-line lead-in end p. 3; the cooking bullets are on p. 4.</t>
  </si>
  <si>
    <t xml:space="preserve">Keep the heading and lead-in with the list.</t>
  </si>
  <si>
    <t xml:space="preserve">V9.6</t>
  </si>
  <si>
    <t xml:space="preserve">p. 4→5 · Table "Hours per week / Weeks for Chapters 12 and 13"</t>
  </si>
  <si>
    <t xml:space="preserve">The 6-hour row is on p. 4 and the 10-hour row on p. 5 under a repeated header, so a 2-row table is split 1 + 1.</t>
  </si>
  <si>
    <t xml:space="preserve">Keep together.</t>
  </si>
  <si>
    <t xml:space="preserve">V9.7</t>
  </si>
  <si>
    <t xml:space="preserve">p. 16→17 · Project "Stretch goals"</t>
  </si>
  <si>
    <t xml:space="preserve">Label stranded at the foot of p. 16.</t>
  </si>
  <si>
    <t xml:space="preserve">V9.8</t>
  </si>
  <si>
    <t xml:space="preserve">Shows "Approved chapter · v1" and "21 September 2026".</t>
  </si>
  <si>
    <t xml:space="preserve">V9.9</t>
  </si>
  <si>
    <t xml:space="preserve">V9.10</t>
  </si>
  <si>
    <t xml:space="preserve">p. 9→10 · Portfolio stages table</t>
  </si>
  <si>
    <t xml:space="preserve">Three rows on p. 9, two on p. 10 (header repeated).</t>
  </si>
  <si>
    <t xml:space="preserve">Keep together if space allows.</t>
  </si>
  <si>
    <t xml:space="preserve">V9.11</t>
  </si>
  <si>
    <t xml:space="preserve">p. 18→19 · Exercise 11</t>
  </si>
  <si>
    <t xml:space="preserve">The last line "and what the research does suggest." is a widow at the top of p. 19.</t>
  </si>
  <si>
    <t xml:space="preserve">Widow control.</t>
  </si>
  <si>
    <t xml:space="preserve">V9.12</t>
  </si>
  <si>
    <t xml:space="preserve">p. 12 · Practice-log table</t>
  </si>
  <si>
    <t xml:space="preserve">Week columns 1–12 and the minutes are left-aligned in narrow cells.</t>
  </si>
  <si>
    <t xml:space="preserve">Centre or right-align.</t>
  </si>
  <si>
    <t xml:space="preserve">V9.13</t>
  </si>
  <si>
    <t xml:space="preserve">p. 18–19 · Exercises 10–14</t>
  </si>
  <si>
    <t xml:space="preserve">10.1</t>
  </si>
  <si>
    <t xml:space="preserve">§10.1 "Getting set up. For Excel, sign in at office.com…"</t>
  </si>
  <si>
    <t xml:space="preserve">Setup is a three-sentence paragraph buried in §10.1. It has no first-run check and doesn't say how to open a companion .xlsx in the free web apps. "In Excel, double-click the file" (§10.1 tour) doesn't work in Excel for the web, which is the free route the chapter recommends. Chapter 6's setup has moved here under the approved plan (M.3/S.3), but §10.0 doesn't exist yet.</t>
  </si>
  <si>
    <t xml:space="preserve">Flow / First-time reader</t>
  </si>
  <si>
    <t xml:space="preserve">ADD a new §10.0 "Getting a spreadsheet and checking it works" (~1½ pages) before §10.1. (1) Three routes in a small table: Excel for the web (free, Microsoft account, office.com), Microsoft 365 desktop (employer/college), Google Sheets (free, sheets.google.com). Say which later sections need desktop Excel on Windows (§10.4 Excel import; Ch 11 §11.7–11.8). (2) Create a blank workbook. (3) First run: type 2.5 in A1. In B1 type =ROUND(A1,0) and press Enter. Explain it in one line each: = means "calculate"; ROUND is the function; A1 is the cell to read; 0 means "no decimal places". Result: 3. Then change A1 to 2.4: B1 becomes 2. That's the whole idea of a formula: it recalculates. Add a one-line note that Chapter 17 comes back to this exact cell when Python's round(2.5) gives 2. (4) Download the companion folder, then open ch10_practice.xlsx and numbers_practice.xlsx in each route. Web Excel: upload to OneDrive, then open. Sheets: File → Import → Upload. Desktop: double-click. (5) Checkpoint: "You should see five sheet tabs: Data, Customers, Products, Targets, Cell detective." Move the "Getting set up" paragraph and the Tools-line promise ("section 10.1 shows how to get both") into §10.0.</t>
  </si>
  <si>
    <t xml:space="preserve">10.2</t>
  </si>
  <si>
    <t xml:space="preserve">End of §10.7 (no box exists yet)</t>
  </si>
  <si>
    <t xml:space="preserve">The approved plan moves Chapter 4's three "Spreadsheet link" boxes here as "Back to Chapter 4" exercises (RRI, SUMPRODUCT, AVERAGE/MEDIAN/COUNTIF), with numbers_practice.xlsx introduced as the first practice file. None of it is present. Also, SUMPRODUCT is only taught in Ch 11 §11.2 and RRI isn't taught anywhere in Ch 10, so the exercises can't just be pasted in.</t>
  </si>
  <si>
    <t xml:space="preserve">ADD a box "Back to Chapter 4: let the spreadsheet do it" at the end of §10.7, after the criteria sub-section, using numbers_practice.xlsx. (a) *orders* sheet (one row per order, 173 rows): =AVERAGE(B2:B174) → 25,061; =MEDIAN(B2:B174) → 21,375; mean in E1, then =COUNTIF(B2:B174,"&gt;"&amp;E1) → 70. Compare with this chapter's per-line average of ₹13,298.99. Same data, different grain (§10.2), so the answer changes. (b) *monthly* sheet: percent change =(C2-B2)/B2 (point back to Ch 4 §4.1), and reverse percentage =B2/(1-12%). (c) Compound growth: first =(439824/202640)^(1/11)-1 using the ^ operator from §10.6 → 0.0730. Then introduce RRI(number_of_periods, start_value, end_value) with every argument named: =RRI(11,202640,439824) → 0.0730, and =RRI(3,4335471,6000000) → 0.1144. Contrast with the misleading =AVERAGE(F3:F13) → 0.1307 (Ch 4 §4.4). (d) Move the weighted average (SUMPRODUCT, discounts sheet 4.69%) to Ch 11 §11.2, which already derives 4.69% (see ch11 11.19), and say so in this box: "Chapter 11 shows how the discounts sheet gets 4.69%." (e) Add ROUND/significant figures (Ch 4 §4.6) as a one-line exercise using §10.7's ROUND. Each exercise: predict by hand first, then formula, then result shown.</t>
  </si>
  <si>
    <t xml:space="preserve">10.3</t>
  </si>
  <si>
    <t xml:space="preserve">§10.4 "135 dates became the wrong real dates… Ten of them survived"</t>
  </si>
  <si>
    <t xml:space="preserve">Wrong count. Figure 10.3 says 125 wrong + 10 right by luck + 195 text = 330. The text says 135 wrong, *plus* 10 lucky, plus 195, which is 340. 135 is the number of real dates (COUNT = 135 = 125 wrong + 10 right). The error repeats in "The 135 wrong dates are real dates" (§10.4), story Step 4 "the 135 dates that had turned into wrong real dates", and the Recap "scrambled 135 of Riverstone's 330 dates".</t>
  </si>
  <si>
    <t xml:space="preserve">§10.4: "125 dates became the wrong real dates… Ten more survived by luck… so 135 cells hold real dates, and only 10 of them are right." Next paragraph: "The 125 wrong dates are real dates…". Story Step 4: "the 125 dates that had turned into wrong real dates". Recap: "turned 125 of Riverstone's 330 dates into wrong dates silently, left 195 as text…". Keep "COUNT… returns 135" (§10.4 watch-out, story Step 2) and add "(125 wrong + 10 right)" the first time.</t>
  </si>
  <si>
    <t xml:space="preserve">10.4</t>
  </si>
  <si>
    <t xml:space="preserve">§10.5 Flash Fill "=LEFT(D1,FIND(" ",D1)-1) returns Neha"</t>
  </si>
  <si>
    <t xml:space="preserve">Bug: D1 is the product_id header. The names are in column I (sales_rep), row 2 onward. Typed as printed, this returns #VALUE (no space in "product_id"). LEFT, FIND and MID are also used here before §10.8 teaches them, and FIND's arguments, the -1/+1, and MID's 100 aren't explained.</t>
  </si>
  <si>
    <t xml:space="preserve">Line-by-line / Sequence</t>
  </si>
  <si>
    <t xml:space="preserve">Change to =LEFT(I2,FIND(" ",I2)-1) and =MID(I2,FIND(" ",I2)+1,100), and say "in a spare column on row 2, then fill down". Better, move both formulas to §10.8 (after the text-function table) as a worked example, built one cell at a time: (1) =FIND(" ",I2) → 5 ("the space is the 5th character"); (2) =LEFT(I2,5-1) → Neha ("the 4 characters before the space"); (3) replace 5 with the FIND; (4) =MID(I2,5+1,100) → Kulkarni ("start after the space; 100 just means 'the rest'"). In §10.5 leave only Flash Fill and a pointer: "section 10.8 shows the formula version".</t>
  </si>
  <si>
    <t xml:space="preserve">10.5</t>
  </si>
  <si>
    <t xml:space="preserve">§10.7 "But Chapter 13 reported Riverstone's 2025 net revenue as ₹4,335,471"</t>
  </si>
  <si>
    <t xml:space="preserve">The reader hasn't read Chapter 13. The sentence is past tense ("reported… and it was right"), so they think they missed something. The reader first met ₹4,335,471 in Chapter 4 (RRI example; 173 orders). Same problem in §10.7 "matching Chapter 13. ✓", project "match Chapter 13's figures", answer 9 "matches the database in Chapter 13", and Practice-data line "riverstone_2025 database you'll query in Chapter 13".</t>
  </si>
  <si>
    <t xml:space="preserve">Consistency / Flow</t>
  </si>
  <si>
    <t xml:space="preserve">Replace with: "But Chapter 4 used ₹4,335,471 as Riverstone's 2025 revenue, and that figure is right." Then: "matching Chapter 4's figure ✓" (§10.7, project, answer 9). Practice-data line: "…the same data as Chapter 4's one-year database, so every total matches; you'll load it into a database in Chapter 12." Keep one forward mention only.</t>
  </si>
  <si>
    <t xml:space="preserve">10.6</t>
  </si>
  <si>
    <t xml:space="preserve">§10.3 "Try these formulas in column C… =ISNUMBER('Cell detective'!A2)"</t>
  </si>
  <si>
    <t xml:space="preserve">Sequence inside the chapter. §10.3 asks the reader to type formulas and functions (ISNUMBER, ISTEXT, LEN, SUM, COUNT, COUNTA, =Data!B2*1, EOMONTH) before §10.6 says "Every formula starts with =" and §10.7 defines a function. The Plain-English box mentions formulas, but the reader has never typed one.</t>
  </si>
  <si>
    <t xml:space="preserve">Keep §10.3 where it is (it's the right idea), but add a 4-line primer at its start (or rely on §10.0's first run): "A formula starts with =. A function is a named calculation, like ROUND in section 10.0. What goes in the brackets is its input, called an argument. Type the formula, press Enter, and the cell shows the result." Say which cell to type into ("C2 of the Cell detective sheet") and that the sheet reference 'Cell detective'! isn't needed on the same sheet: use =ISNUMBER(A2). Move the EOMONTH watch-out ("a date result that looks like 1900") to §10.8, after EOMONTH is taught.</t>
  </si>
  <si>
    <t xml:space="preserve">10.7</t>
  </si>
  <si>
    <t xml:space="preserve">§10.3 "=Data!B2*1 → 45659"</t>
  </si>
  <si>
    <t xml:space="preserve">On most setups the result displays as 2025-01-02, not 45659. Excel copies the date format onto simple formulas that reference a date. So the demonstration fails silently. Why *1 is there is also not explained.</t>
  </si>
  <si>
    <t xml:space="preserve">Line-by-line / Correctness</t>
  </si>
  <si>
    <t xml:space="preserve">"In a spare cell type =Data!B2, then change the cell's format to Number (Excel: Home → Number → General; Sheets: Format → Number → Number). It shows 45659." Drop *1. If kept, explain: "multiplying by 1 doesn't change the value; it's only there to force a number". Still add the format step.</t>
  </si>
  <si>
    <t xml:space="preserve">10.8</t>
  </si>
  <si>
    <t xml:space="preserve">§10.4 step 4 "repair the codes afterward with =TEXT(C2,"0000")"; Watch out "=COUNTA(A2:A331) → 330… =COUNT(B2:B331)"</t>
  </si>
  <si>
    <t xml:space="preserve">TEXT (taught §10.8) and COUNT/COUNTA (taught §10.7) are used in §10.4 with no explanation of their arguments.</t>
  </si>
  <si>
    <t xml:space="preserve">In §10.4, describe the checks in words ("count the rows; check the code column still shows 0002; count how many dates are real numbers"). Say "section 10.7 gives you the three formulas, and exercise 19 asks you to come back and run them". Leave TEXT to §10.8 (it already has the repair workflow). If the formulas stay in §10.4, add one line each: "COUNTA(range) counts non-empty cells; COUNT(range) counts only numbers (and dates, which are numbers)".</t>
  </si>
  <si>
    <t xml:space="preserve">10.9</t>
  </si>
  <si>
    <t xml:space="preserve">§10.5 "=(TIME(17,30,0)-TIME(9,15,0))*24 → 8.25"</t>
  </si>
  <si>
    <t xml:space="preserve">TIME is never introduced, and its three arguments aren't named.</t>
  </si>
  <si>
    <t xml:space="preserve">Add: "TIME(hour, minute, second) builds a time: TIME(17,30,0) is 5:30 PM." Split into cells: A1 =TIME(9,15,0) (shows 9:15 AM), B1 =TIME(17,30,0), C1 =B1-A1 (shows 8:15 or 0.34375), D1 =C1*24 → 8.25.</t>
  </si>
  <si>
    <t xml:space="preserve">10.10</t>
  </si>
  <si>
    <t xml:space="preserve">§10.6 error table "=IF(B5=0,"",D5/B5) for months with no target"; "convert it with VALUE"</t>
  </si>
  <si>
    <t xml:space="preserve">IF (§10.7) and VALUE (§10.8) appear before they're taught. B5/D5 refer to the tracker built in the project, which doesn't exist yet.</t>
  </si>
  <si>
    <t xml:space="preserve">Change the fix text to "Check the denominator; section 10.7's IF can show a blank instead." "Convert it with VALUE (section 10.8)." Remove the B5/D5 formula here (the project already has G5's IF).</t>
  </si>
  <si>
    <t xml:space="preserve">10.11</t>
  </si>
  <si>
    <t xml:space="preserve">§10.7 "=MAXIFS(Data!J2:J331,Data!N2:N331,"Retail",…) returns 49875"</t>
  </si>
  <si>
    <t xml:space="preserve">Uses column N (segment), which the reader only creates in §10.9. The text admits it. Typed now, it returns 0.</t>
  </si>
  <si>
    <t xml:space="preserve">Move the MAXIFS/MINIFS paragraph to the end of §10.9 (after the segment table), or drop it from Ch 10 (Ch 11 §11.2 teaches MAXIFS/MINIFS fully, with the same 49875). If kept in §10.7, use a column that exists: =MAXIFS(Data!J2:J331,Data!H2:H331,"&lt;&gt;Cancelled") → 56700.</t>
  </si>
  <si>
    <t xml:space="preserve">10.12</t>
  </si>
  <si>
    <t xml:space="preserve">§10.7 "=SUMIFS(…,"&gt;="&amp;DATE(2025,11,1),…) → 633408"</t>
  </si>
  <si>
    <t xml:space="preserve">The formula uses DATE, which §10.8 teaches. It also does five things at once: 3 criteria pairs, &amp;, DATE. How "&gt;="&amp;DATE(…) becomes a criterion (the text "&gt;=45962") isn't shown.</t>
  </si>
  <si>
    <t xml:space="preserve">Build it in three cells. (1) In a spare cell, =DATE(2025,11,1) → 2025-11-01, with one line saying "DATE(year, month, day) builds a date; section 10.8 has more". (2) ="&gt;="&amp;DATE(2025,11,1) → shows &gt;=45962: "&amp; glued the operator to the date's day number, giving the text SUMIFS wants". (3) The full SUMIFS, adding one pair at a time, with results: status only → 4,335,471; plus start date → (show value); plus end date → 633,408.</t>
  </si>
  <si>
    <t xml:space="preserve">10.13</t>
  </si>
  <si>
    <t xml:space="preserve">§10.7 "Counting and adding with conditions: COUNTIF(S), SUMIF(S), AVERAGEIF(S)"</t>
  </si>
  <si>
    <t xml:space="preserve">The heading names SUMIF and AVERAGEIF, but they're never shown. AVERAGEIFS's argument order (average_range first) is stated only by example. The classic trap (SUMIF puts the sum range last) is left to Ch 11, although readers will meet SUMIF in inherited files from day one.</t>
  </si>
  <si>
    <t xml:space="preserve">Add the signature line AVERAGEIFS(average_range, criteria_range1, criterion1, …). Add one example plus a warning: "=SUMIF(Data!H2:H331,"Delivered",Data!J2:J331): SUMIF puts the range to add last; SUMIFS puts it first. Use SUMIFS even for one condition and you never have to remember."</t>
  </si>
  <si>
    <t xml:space="preserve">10.14</t>
  </si>
  <si>
    <t xml:space="preserve">§10.9 "Try the lookup against the number 5… =IFERROR(INDEX(…MATCH("0005"…"</t>
  </si>
  <si>
    <t xml:space="preserve">The key demo uses INDEX/MATCH, which the chapter says "Chapter 11 explains", instead of the XLOOKUP the reader has just learned. A beginner can't read the formula.</t>
  </si>
  <si>
    <t xml:space="preserve">Rewrite with XLOOKUP: =XLOOKUP("0005",Customers!A2:A25,Customers!B2:B25,"not found") → Metro Mart, then =XLOOKUP(5,Customers!A2:A25,Customers!B2:B25,"not found") → not found. Explain: "the first looks for the text 0005; the second for the number 5". Keep one INDEX/MATCH line only as "what you'll see in older files".</t>
  </si>
  <si>
    <t xml:space="preserve">10.15</t>
  </si>
  <si>
    <t xml:space="preserve">§10.10 "SUBTOTAL with function number 109 adds visible rows only"</t>
  </si>
  <si>
    <t xml:space="preserve">Why 109? Its first argument is a code that isn't explained: 9 = SUM including manually hidden rows, 109 = SUM ignoring them. Both ignore filtered rows. The reader can't adapt it to COUNT (102/103) or AVERAGE (101).</t>
  </si>
  <si>
    <t xml:space="preserve">Add: "SUBTOTAL(function_code, range). The code picks the calculation: 101 = AVERAGE, 102 = COUNT, 103 = COUNTA, 109 = SUM. Codes 1–11 do the same but still include rows you hid by hand; 101–111 skip them. Both skip rows a filter hides." Show one more result: =SUBTOTAL(103,A2:A331) → 15 with the filter on.</t>
  </si>
  <si>
    <t xml:space="preserve">10.16</t>
  </si>
  <si>
    <t xml:space="preserve">§10.9 segment table "Segment Orders Net revenue… Wholesale 55"</t>
  </si>
  <si>
    <t xml:space="preserve">The Orders column has no formula. Counting orders (not lines) needs first_line_of_order, which the reader only builds in project step 3, several sections later.</t>
  </si>
  <si>
    <t xml:space="preserve">Add under the table: "The Orders column counts orders, not lines. You'll build the first_line_of_order flag that does this in the project (step 3), then =SUMIFS(Data!L2:L331,Data!N2:N331,"Wholesale",Data!H2:H331,"&lt;&gt;Cancelled") → 55." Or drop the Orders column here and add it to the project.</t>
  </si>
  <si>
    <t xml:space="preserve">10.17</t>
  </si>
  <si>
    <t xml:space="preserve">Project step 4 "C5: =SUMIFS(…Data!$K$2:$K$331,A5…" vs "D5: =SUMIFS(…"&gt;="&amp;A5,…"&lt;="&amp;EOMONTH(A5,0)…"</t>
  </si>
  <si>
    <t xml:space="preserve">Two methods for the same month filter, in adjacent columns of one row, with no explanation. C5 matches the month key; D5 uses a date range with EOMONTH. A beginner will wonder which is right.</t>
  </si>
  <si>
    <t xml:space="preserve">Flow / Line-by-line</t>
  </si>
  <si>
    <t xml:space="preserve">Use the month key in both: D5: =SUMIFS(Data!$J$2:$J$331,Data!$K$2:$K$331,A5,Data!$H$2:$H$331,"&lt;&gt;Cancelled"). It's shorter, and it's why K was built. Then add an optional note: "The date-range version …"&gt;="&amp;A5,…"&lt;="&amp;EOMONTH(A5,0)… gives the same answer without a helper column."</t>
  </si>
  <si>
    <t xml:space="preserve">10.18</t>
  </si>
  <si>
    <t xml:space="preserve">Project step 3 "L first_line_of_order: =IF(COUNTIF($A$2:A2,A2)=1,1,0)"</t>
  </si>
  <si>
    <t xml:space="preserve">Two new ideas that aren't flagged. (a) A criterion that is a cell, with no operator, means "equals". (b) The expanding range is explained, but not the result on a real order.</t>
  </si>
  <si>
    <t xml:space="preserve">Add: "A criterion that's just a cell (A2) means 'equal to that cell's value'." Show a 4-row trace for order 10003 (rows 4–5): L4 COUNTIF($A$2:A4,A4) → 1 → flag 1; L5 COUNTIF($A$2:A5,A5) → 2 → flag 0.</t>
  </si>
  <si>
    <t xml:space="preserve">10.19</t>
  </si>
  <si>
    <t xml:space="preserve">Project step 8 "a drop-down (data validation) that picks a rep and shows their revenue"</t>
  </si>
  <si>
    <t xml:space="preserve">The formula that reads the drop-down isn't given, and nothing in the chapter shows a SUMIFS whose criterion is a validated cell.</t>
  </si>
  <si>
    <t xml:space="preserve">Add: "Put the drop-down in B2 (list from the rep names); in B3: =SUMIFS(Data!$J$2:$J$331,Data!$I$2:$I$331,B2,Data!$H$2:$H$331,"&lt;&gt;Cancelled"). Pick Farah Khan → 1,489,073."</t>
  </si>
  <si>
    <t xml:space="preserve">10.20</t>
  </si>
  <si>
    <t xml:space="preserve">§10.4 "Spreadsheet link. …pandas (Chapter 18) and database loaders (section 12.13)"; §10.6 "Spreadsheet link. …SQL (Chapter 12) and Python (Chapter 18)"; §10.7 "SQL link. SUMIFS(J, H, "&lt;&gt;Cancelled")… SELECT SUM(net_revenue)… GROUP BY"; §10.9 "SQL link. …JOIN customers ON… pandas.merge"; §10.7 "like ELSE in SQL's CASE (Chapter 12)"</t>
  </si>
  <si>
    <t xml:space="preserve">M.10: four preview boxes and one inline aside show SQL/pandas syntax before those tools are taught. The §10.4 and §10.6 boxes are also mislabeled "Spreadsheet link" inside the spreadsheet chapter.</t>
  </si>
  <si>
    <t xml:space="preserve">DELETE all four boxes and the "like ELSE in SQL's CASE" clause. MOVE their content to the target chapters, pointing back: Ch 12 §12.9 (GROUP BY): "In Chapter 10 you built one SUMIFS per month; GROUP BY does it in one line." Ch 12 JOIN section: "A lookup is a join done one cell at a time (Ch 10 §10.9)." Ch 12 §12.13 and Ch 18: "Chapter 10's CSV import lesson again: tell the tool each column's type." Keep at most one sentence in §10.4: "Every tool that reads CSV files guesses types; you'll see the same fix in later chapters." Keep "the same rule you'll write in SQL in Chapter 12" (§10.6) only if R3's one-per-section allowance is unused.</t>
  </si>
  <si>
    <t xml:space="preserve">10.21</t>
  </si>
  <si>
    <t xml:space="preserve">§10.4 "Importing correctly in Excel… Power Query Editor… Change Type → Using Locale"</t>
  </si>
  <si>
    <t xml:space="preserve">These steps need desktop Excel (Windows or recent Mac). §10.1/§10.0 steer beginners to free Excel for the web, where this route may be missing or limited, so the reader gets stuck at the chapter's most important lesson.</t>
  </si>
  <si>
    <t xml:space="preserve">Add a Tool note at the top of "Importing correctly in Excel": "These steps need the Excel desktop app. In Excel for the web, check whether Data → Get Data → From Text/CSV offers 'Transform Data'. If it doesn't, use the Google Sheets route below; the lesson is the same." Confirm current Excel-for-web Power Query support before print.</t>
  </si>
  <si>
    <t xml:space="preserve">10.22</t>
  </si>
  <si>
    <t xml:space="preserve">Chapter at a glance "Time needed: 14–17 hours… two weeks"</t>
  </si>
  <si>
    <t xml:space="preserve">Load. 16 sections, ~50 functions (§10.7 alone introduces ~20: SUM, AVERAGE, MIN, MAX, ROUND, ROUNDUP, ROUNDDOWN, INT, MEDIAN, COUNT, COUNTA, COUNTBLANK, IF, IFS, AND, OR, IFERROR, COUNTIF(S), SUMIFS, AVERAGEIFS, MAXIFS/MINIFS), 75 key terms, 29 exercises, a 9-step project. §10.0 and the Chapter 4 box add more.</t>
  </si>
  <si>
    <t xml:space="preserve">(1) Restate as 18–22 hours over two to three weeks. (2) Split §10.7 into §10.7 "Totals, counts and rounding" (SUM…COUNTBLANK, plus the Chapter 4 box) and §10.8 "Decisions and conditions" (IF…AVERAGEIFS, reconciliation), renumbering the rest. (3) Add a sitting plan after "Chapter at a glance": Sitting 1 §10.0–10.3; 2 §10.4–10.5; 3 §10.6; 4 the two function sections; 5 §10.8–10.9 (text/dates, lookup); 6 §10.10–10.12; 7 §10.13–10.15; 8–9 project; 10 exercises.</t>
  </si>
  <si>
    <t xml:space="preserve">10.23</t>
  </si>
  <si>
    <t xml:space="preserve">§10.7 "Chapter 21 explains which average to report… level of measurement from Chapter 1"</t>
  </si>
  <si>
    <t xml:space="preserve">Chapter 4 §4.5 already taught mean vs median and "which one to choose" with Riverstone order values. Pointing forward to Ch 21 ignores what the reader knows.</t>
  </si>
  <si>
    <t xml:space="preserve">"Chapter 4 (section 4.5) showed why: a few large orders pull the mean up. Here the same thing happens at the line level." Drop the Ch 21 pointer, or move it to "Where this leads".</t>
  </si>
  <si>
    <t xml:space="preserve">10.24</t>
  </si>
  <si>
    <t xml:space="preserve">Tools "build_ch10_files.py : the Python script that builds all of the above… (seed 20251)"; Answers "(In the finished book these move to Appendix G.)"</t>
  </si>
  <si>
    <t xml:space="preserve">Build-pipeline file listed as a reader companion file (same pattern as I.2), plus the production note.</t>
  </si>
  <si>
    <t xml:space="preserve">Delete the build_ch10_files.py bullet (keep it in the author's repo), or reword it for Appendix E: "The files were generated from Riverstone's data; regenerating them isn't needed." Delete "(In the finished book these move to Appendix G.)".</t>
  </si>
  <si>
    <t xml:space="preserve">10.25</t>
  </si>
  <si>
    <t xml:space="preserve">Figure 10.3 caption "The same 330 lines imported two ways"</t>
  </si>
  <si>
    <t xml:space="preserve">The figure has three panels (CSV, month-first, typed import). The inner heading says "three ways".</t>
  </si>
  <si>
    <t xml:space="preserve">Caption: "The same 330 lines: the raw CSV, opened with month-first dates, and imported with column types set."</t>
  </si>
  <si>
    <t xml:space="preserve">10.26</t>
  </si>
  <si>
    <t xml:space="preserve">Figure 10.2 "Check with the formula bar, =ISNUMBER(A1), =ISTEXT(A1)"</t>
  </si>
  <si>
    <t xml:space="preserve">The detective cells are A2–A7; A1 is the header. Also, 0005 in the figure isn't one of the six Cell detective cells described in the text.</t>
  </si>
  <si>
    <t xml:space="preserve">Change to =ISNUMBER(A2) etc. Either add 0005 to the Cell detective sheet (as A8) or replace that figure row with "2900 stored as text".</t>
  </si>
  <si>
    <t xml:space="preserve">10.27</t>
  </si>
  <si>
    <t xml:space="preserve">§10.7 Interview extra point "The segment totals add to ₹4,335,471"</t>
  </si>
  <si>
    <t xml:space="preserve">The table just above is by sales rep; segments come in §10.9.</t>
  </si>
  <si>
    <t xml:space="preserve">"The rep totals (and the blank-rep line) add to ₹4,335,471…"</t>
  </si>
  <si>
    <t xml:space="preserve">10.28</t>
  </si>
  <si>
    <t xml:space="preserve">Project tracker table "Total 4,240,000 173 4,335,471"</t>
  </si>
  <si>
    <t xml:space="preserve">The monthly figures, rounded to whole rupees, add to 4,335,473 (the same rounding effect as finding 0.10 in Ch 4). A reader who checks will think the tracker is off by ₹2.</t>
  </si>
  <si>
    <t xml:space="preserve">Add under the table: "Months are rounded to whole rupees, so they add to ₹4,335,473; the tracker adds the full values, which total ₹4,335,471." Or show the monthly values with paise, as answer 24 does (681,070.75; 439,823.50).</t>
  </si>
  <si>
    <t xml:space="preserve">10.29</t>
  </si>
  <si>
    <t xml:space="preserve">Chapter at a glance "Before you start: Chapter 1… and Chapter 2"</t>
  </si>
  <si>
    <t xml:space="preserve">The chapter uses Chapter 4 (percent change for vs_prev_month, mean vs median, the Chapter 4 exercises) and Chapter 3 (cancelled orders, targets).</t>
  </si>
  <si>
    <t xml:space="preserve">"Before you start: Chapters 1, 2 and 4 (percentages and averages). Chapter 3 helps."</t>
  </si>
  <si>
    <t xml:space="preserve">10.30</t>
  </si>
  <si>
    <t xml:space="preserve">§10.8 text table "&amp; , CONCAT"; "TEXTJOIN(", ",TRUE,range)"</t>
  </si>
  <si>
    <t xml:space="preserve">CONCAT's version requirement (Excel 2019+) isn't noted, though IFS/TEXTJOIN's are. TEXTJOIN's three arguments are half-explained and it has no worked result. RIGHT, UPPER and LOWER have no example (RIGHT is used later in the date rescue).</t>
  </si>
  <si>
    <t xml:space="preserve">Add "(Excel 2019 or later)" to CONCAT. Give TEXTJOIN's signature TEXTJOIN(delimiter, ignore_empty, range) and one result, e.g. =TEXTJOIN(", ",TRUE,Customers!B2:B4) → "Sharma Hardware, Patel Kitchenware, …". Add =RIGHT("RS-2025-0418",4) → 0418.</t>
  </si>
  <si>
    <t xml:space="preserve">10.31</t>
  </si>
  <si>
    <t xml:space="preserve">§10.2 "Select J2:J331 after you've added the net revenue column in section 10.6"</t>
  </si>
  <si>
    <t xml:space="preserve">Forward within the chapter. The status-bar demo quotes Sum 4,398,121 for a column that doesn't exist yet.</t>
  </si>
  <si>
    <t xml:space="preserve">Demonstrate on an existing column: "Select E2:E331 (quantity)", and give its Sum/Average/Count. Move the net_revenue status-bar numbers to §10.6 after the column is filled.</t>
  </si>
  <si>
    <t xml:space="preserve">10.32</t>
  </si>
  <si>
    <t xml:space="preserve">§10.11 duplicates rule "=COUNTIF($A:$A,$A2)&gt;1"</t>
  </si>
  <si>
    <t xml:space="preserve">On order_id, this highlights every multi-line order: legitimate repeats, not errors. A beginner will think the data has 200+ duplicates.</t>
  </si>
  <si>
    <t xml:space="preserve">Add: "On order_id this lights up every order with more than one line; that's the grain, not a mistake. Use it on a column that should be unique, such as Customers!A:A."</t>
  </si>
  <si>
    <t xml:space="preserve">10.33</t>
  </si>
  <si>
    <t xml:space="preserve">§10.6 Figure 10.4 text + "Switching quickly. …F4 (Mac Excel: Cmd+T)"</t>
  </si>
  <si>
    <t xml:space="preserve">The F4 tip is given twice, in the figure and the paragraph below it.</t>
  </si>
  <si>
    <t xml:space="preserve">Keep the paragraph; remove the F4 sentence from the figure.</t>
  </si>
  <si>
    <t xml:space="preserve">V10.1</t>
  </si>
  <si>
    <t xml:space="preserve">p. 44–45 · Practice exercises 10–29</t>
  </si>
  <si>
    <t xml:space="preserve">Two-digit list numbers start at x = 47.7 pt and are clipped on the left: "18." reads as "l8.", "20." as "!0.", "25." as "!5.". Readers cannot reliably tell which exercise is which, and answers are keyed by number.</t>
  </si>
  <si>
    <t xml:space="preserve">Widen the list indent for ≥ 10 items (e.g. padding-left ≥ 2.2 em) or right-align the markers inside the text block. Fix it in the shared list style: the same defect is in Ch11 and Ch12.</t>
  </si>
  <si>
    <t xml:space="preserve">V10.2</t>
  </si>
  <si>
    <t xml:space="preserve">p. 6 · Figure 10.1 (Excel vs Sheets window)</t>
  </si>
  <si>
    <t xml:space="preserve">Grid, ribbon and name-box text is 5.2–5.9 pt, and the column headers and cell values cannot be read in print.</t>
  </si>
  <si>
    <t xml:space="preserve">Show fewer columns (A–C) or stack the two windows vertically, and redraw at ≥ 7 pt.</t>
  </si>
  <si>
    <t xml:space="preserve">V10.3</t>
  </si>
  <si>
    <t xml:space="preserve">p. 10 · Figure 10.2 (you see / cell contains)</t>
  </si>
  <si>
    <t xml:space="preserve">The "Why it matters" column and type chips are 5.3–5.8 pt, and the note under the figure is about 5.3 pt.</t>
  </si>
  <si>
    <t xml:space="preserve">Drop the chip column or move "why it matters" into the caption, and set text ≥ 7 pt.</t>
  </si>
  <si>
    <t xml:space="preserve">V10.4</t>
  </si>
  <si>
    <t xml:space="preserve">p. 12 · Figure 10.3 (three import panels)</t>
  </si>
  <si>
    <t xml:space="preserve">Panel text is 5.7–6.4 pt, and the red/amber annotations in the middle panel are the smallest.</t>
  </si>
  <si>
    <t xml:space="preserve">Stack the panels, or give them the full width at ≥ 7 pt.</t>
  </si>
  <si>
    <t xml:space="preserve">V10.5</t>
  </si>
  <si>
    <t xml:space="preserve">p. 18 · Figure 10.4 (relative vs absolute)</t>
  </si>
  <si>
    <t xml:space="preserve">Formula cells and results are 5.2–5.5 pt monospace, and the F4 note is about 5 pt. This is the figure the section's argument depends on.</t>
  </si>
  <si>
    <t xml:space="preserve">Show 3 rows per panel at ≥ 7 pt, or replace the figure with two small real tables.</t>
  </si>
  <si>
    <t xml:space="preserve">V10.6</t>
  </si>
  <si>
    <t xml:space="preserve">p. 41 · Figure 10.5 (tracker structure + result)</t>
  </si>
  <si>
    <t xml:space="preserve">Box and table text is 5.4–6.7 pt. The "% target" cells rely on red vs green fill, and the legend explaining it ("Green: on target. Red: below 80%") is about 5.4 pt.</t>
  </si>
  <si>
    <t xml:space="preserve">Enlarge to ≥ 7 pt and add ✓/✗ or "below" text to the coloured cells so they read in greyscale and for colour-blind readers.</t>
  </si>
  <si>
    <t xml:space="preserve">V10.7</t>
  </si>
  <si>
    <t xml:space="preserve">p. 23, 47 · SUMIFS formula blocks (Nov revenue; answer 14)</t>
  </si>
  <si>
    <t xml:space="preserve">Long formulas wrap to column 0 in the middle of a string literal: …,Data!B2:B331," / &lt;="&amp;DATE(…). The opening quote seems to end the line and the next line begins with &lt;=, which looks like a new token. There is no continuation marker. The inline code in the "Blank" bullet (p. 23) breaks the same way.</t>
  </si>
  <si>
    <t xml:space="preserve">Hard-break formulas after a comma with a hanging indent, or add a ↩ continuation marker to the code style. Never break inside a quoted criterion.</t>
  </si>
  <si>
    <t xml:space="preserve">V10.8</t>
  </si>
  <si>
    <t xml:space="preserve">"Approved chapter v2", "Approved 16 September 2026" and "Every formula result checked" are visible to readers. The wording differs from Ch12 ("Approved · Draft v3").</t>
  </si>
  <si>
    <t xml:space="preserve">Remove for print, or standardise the label across chapters.</t>
  </si>
  <si>
    <t xml:space="preserve">V10.9</t>
  </si>
  <si>
    <t xml:space="preserve">V10.10</t>
  </si>
  <si>
    <t xml:space="preserve">p. 34→35 · Table "What survives the trip"</t>
  </si>
  <si>
    <t xml:space="preserve">Only the header and 1 row sit at the foot of p. 34. The other 6 rows are on p. 35 (header repeated).</t>
  </si>
  <si>
    <t xml:space="preserve">Keep short tables together (break-inside: avoid), or push the lead-in and table to p. 35.</t>
  </si>
  <si>
    <t xml:space="preserve">V10.11</t>
  </si>
  <si>
    <t xml:space="preserve">p. 8→9 · Table "Rows, columns, and sheets"</t>
  </si>
  <si>
    <t xml:space="preserve">The last row ("Rename, move, copy, color a sheet") runs onto p. 9 by itself.</t>
  </si>
  <si>
    <t xml:space="preserve">Keep the table together.</t>
  </si>
  <si>
    <t xml:space="preserve">V10.12</t>
  </si>
  <si>
    <t xml:space="preserve">p. 35→36 · Table "Printing and saving as PDF"</t>
  </si>
  <si>
    <t xml:space="preserve">The last row ("Save as PDF") is alone on p. 36.</t>
  </si>
  <si>
    <t xml:space="preserve">V10.13</t>
  </si>
  <si>
    <t xml:space="preserve">p. 23→24 · Sales-rep reconciliation table</t>
  </si>
  <si>
    <t xml:space="preserve">2 rows on p. 23, then 3 rows including the Total on p. 24. The reconciliation cannot be read at a glance.</t>
  </si>
  <si>
    <t xml:space="preserve">Keep this 5-row table together.</t>
  </si>
  <si>
    <t xml:space="preserve">V10.14</t>
  </si>
  <si>
    <t xml:space="preserve">p. 12 · Text vs Figure 10.3</t>
  </si>
  <si>
    <t xml:space="preserve">The text says "135 dates became the wrong real dates… Ten of them survived by luck". The figure's middle panel says "125 lines: wrong real dates / 10 lines: right by luck". Readers see two different counts.</t>
  </si>
  <si>
    <t xml:space="preserve">Use one breakdown in both (e.g. "135 read month-first: 125 wrong, 10 right by luck").</t>
  </si>
  <si>
    <t xml:space="preserve">V10.15</t>
  </si>
  <si>
    <t xml:space="preserve">p. 31 · "10.12 Charts"</t>
  </si>
  <si>
    <t xml:space="preserve">The heading and one paragraph sit at the foot of p. 31. The text says "the numbers are in Figure 10.5", which is 10 pages later (p. 41).</t>
  </si>
  <si>
    <t xml:space="preserve">Keep the heading with the first steps, and write "Figure 10.5 in the project section" so readers know where to look.</t>
  </si>
  <si>
    <t xml:space="preserve">V10.16</t>
  </si>
  <si>
    <t xml:space="preserve">p. 18, 23–24, 26, 27, 41–42 · Numeric table columns</t>
  </si>
  <si>
    <t xml:space="preserve">Quantity, net revenue, orders, share and target columns are left-aligned (the mixed-reference grid on p. 18, the segment table on p. 26, the sort table on p. 27, the tracker table on pp. 41–42).</t>
  </si>
  <si>
    <t xml:space="preserve">Right-align numeric columns.</t>
  </si>
  <si>
    <t xml:space="preserve">V10.17</t>
  </si>
  <si>
    <t xml:space="preserve">p. 6, 15, 16, 20 and passim · Inline-code pills</t>
  </si>
  <si>
    <t xml:space="preserve">Pill padding puts a visible space before punctuation and inside brackets: "( A1:I331 )", "SUM ,", "Watch out:  0000 formatting" (double space in the callout title, p. 16).</t>
  </si>
  <si>
    <t xml:space="preserve">Trim the pill's outer margin and drop the extra space in callout titles.</t>
  </si>
  <si>
    <t xml:space="preserve">V10.18</t>
  </si>
  <si>
    <t xml:space="preserve">p. 46 · Answers heading</t>
  </si>
  <si>
    <t xml:space="preserve">"(In the finished book these move to Appendix G.)" is a production note printed for readers.</t>
  </si>
  <si>
    <t xml:space="preserve">Remove it when the answers move.</t>
  </si>
  <si>
    <t xml:space="preserve">V10.19</t>
  </si>
  <si>
    <t xml:space="preserve">p. see fonts · "₹" glyph</t>
  </si>
  <si>
    <t xml:space="preserve">Falls back to DejaVu Serif.</t>
  </si>
  <si>
    <t xml:space="preserve">Book-wide: use a body font with U+20B9 or subset one in.</t>
  </si>
  <si>
    <t xml:space="preserve">11.1</t>
  </si>
  <si>
    <t xml:space="preserve">Chapter at a glance "Time needed: 25–30 hours… three to four weeks"</t>
  </si>
  <si>
    <t xml:space="preserve">Load. One chapter covers the IFS family + SUMPRODUCT, ~35 everyday functions, 10 lookup patterns, pivots + GETPIVOTDATA, 25+ dynamic-array/LAMBDA functions, GROUPBY/PIVOTBY, Power Query UI + M, Power Pivot + DAX, what-if, QUERY/ARRAYFORMULA/IMPORTRANGE, auditing, and a competition case. The time estimate is low (see header), and a beginner has no signal about what is core and what is advanced.</t>
  </si>
  <si>
    <t xml:space="preserve">(1) Restate as 35–45 hours over five to six weeks. (2) Mark core vs. second pass in "Chapter at a glance". Core: §11.1–11.5, the first half of §11.6 (UNIQUE, SORT, FILTER, SEQUENCE, LET), §11.7 steps 1–6 with refresh and unpivot, §11.9 Goal Seek, §11.10 QUERY, §11.12, §11.13. Second pass: §11.6 shaping functions, LAMBDA/MAP/SCAN/REDUCE, GROUPBY/PIVOTBY; "Power Query in depth"; §11.8 Power Pivot/DAX (it's re-taught in Ch 16); data tables and Scenario Manager; §11.14. (3) Add a sitting plan (10–12 sittings). (4) Alternative for the author to decide: split into Ch 11 "Formulas, lookups and pivots" (§11.1–11.6, 11.12) and Ch 11A "Refreshable workbooks" (§11.7–11.11, 11.13, project), with §11.14 as an optional end-of-part challenge.</t>
  </si>
  <si>
    <t xml:space="preserve">11.2</t>
  </si>
  <si>
    <t xml:space="preserve">Warm-up ex. 1 "Match each pivot table area to the SQL clause"; answer 1 "CASE expressions (Chapter 12)"</t>
  </si>
  <si>
    <t xml:space="preserve">The exercise can only be answered by someone who knows SQL, which starts in Chapter 12. A first-time reader can't do exercise 1 of the chapter.</t>
  </si>
  <si>
    <t xml:space="preserve">Replace ex. 1 with a spreadsheet-only version: "Match each pivot area to what it does: (a) leaves rows out before summarizing, (b) one row per value, (c) one column per value, (d) the number in every cell." Move the SQL mapping to Chapter 12 as an exercise there: "In Chapter 11 you built this pivot; write the SQL". Rewrite answer 1 to match.</t>
  </si>
  <si>
    <t xml:space="preserve">11.3</t>
  </si>
  <si>
    <t xml:space="preserve">§11.2 "=SUMPRODUCT((((Sales!N2:N331="Wholesale")+(Sales!E2:E331&gt;=50))&gt;0)*(Sales!H2:H331&lt;&gt;"Cancelled")) → 145"</t>
  </si>
  <si>
    <t xml:space="preserve">One formula, five new ideas: a test on a whole range makes an array of TRUE/FALSE; TRUE×1 = 1; + as OR; &gt;0 to stop double counting; * as AND. The "How it works" bullets explain it after the fact. There's no intermediate result the reader can see.</t>
  </si>
  <si>
    <t xml:space="preserve">Teach it in four cells, each with its result. (1) =SUMPRODUCT(--(Sales!N2:N331="Wholesale")) → 105: "the test makes 330 TRUE/FALSE values; -- turns them into 1s and 0s; SUMPRODUCT adds them". Introduce -- here, not in §11.3. (2) =SUMPRODUCT((Sales!N2:N331="Wholesale")*(Sales!H2:H331&lt;&gt;"Cancelled")) → 105: "multiplying two tests = AND". (3) =SUMPRODUCT((Sales!N2:N331="Wholesale")+(Sales!E2:E331&gt;=50)) → 151, "wrong: 6 rows are counted twice (1 + 1 = 2)". (4) Wrap the sum in (…)&gt;0 → the final 145. Show a 3-row mini-table: Wholesale test, quantity test, sum, &gt;0. Then the revenue variant (₹2,533,048.50).</t>
  </si>
  <si>
    <t xml:space="preserve">11.4</t>
  </si>
  <si>
    <t xml:space="preserve">§11.3 "each with a Riverstone example you can type into a spare sheet" + "=IF(J5&gt;=30000…", "=IFERROR(G2/B2,0)", "=NOT(H2="Cancelled")"</t>
  </si>
  <si>
    <t xml:space="preserve">Typed "into a spare sheet", J5, J2, H2, B2, G2 refer to the spare sheet's empty cells. The results shown (Large, Small, Closed, Q1, TRUE) only appear on the Sales sheet. =IFERROR(G2/B2,0) divides discount_pct by order_date, which is meaningless, and "0 when B2 is 0" can't happen.</t>
  </si>
  <si>
    <t xml:space="preserve">Either say "type these in a spare column (T onward) of the Sales sheet" or prefix every reference with Sales! (=IF(Sales!J5&gt;=30000,…)). Replace the IFERROR example with a meaningful one: =IFERROR(Sales!J2/Sales!E2,0) (price per unit after discount; 0 only if quantity is blank), or reuse Chapter 10's tracker =IFERROR(D5/B5,"no target"). Apply the same fix to the §11.3 date and number tables where references lack a sheet name.</t>
  </si>
  <si>
    <t xml:space="preserve">11.5</t>
  </si>
  <si>
    <t xml:space="preserve">§11.8 steps 2–4 "right-click RiverstoneSales → Load To…"; "Use the practice file's plain Sales columns (A to I)"; Fig 11.6 "Sales (fact) · 330 rows"; measures SUMX ( Sales, …</t>
  </si>
  <si>
    <t xml:space="preserve">The model instructions contradict themselves, and the measures won't run as written. (a) Step 2 loads RiverstoneSales (from §11.7: 326 rows, cancelled already removed, segment already merged). Then it says to use the practice file's plain Sales columns A–I instead. (b) Figure 11.6 shows a 330-row Sales table. (c) Every measure refers to Sales[...]. With RiverstoneSales loaded, Sales[quantity] is an error. (d) With the filtered query, CALCULATE(…, status &lt;&gt; "Cancelled") does nothing, so the lesson about filters is lost. (e) RiverstoneSales was built in a *new* workbook (§11.7 step 1.2), while Customers/Products come "from the practice workbook", so they aren't in the same model (see 11.6).</t>
  </si>
  <si>
    <t xml:space="preserve">Line-by-line / Consistency</t>
  </si>
  <si>
    <t xml:space="preserve">Rewrite step 2 as one path: "In ch11_practice.xlsx: click in the Sales data (columns A–I only, 330 rows, no cancelled filter) → Data → From Table/Range → Close &amp; Load To… → Only Create Connection + Add this data to the Data Model. In the Power Pivot window, rename the table Sales. Do the same for Customers and Products." Delete the RiverstoneSales sentence (or add an optional note: "In your own work you'd load the §11.7 query here"). Keep Fig 11.6 at 330 rows. Add a check after step 4: "Put Sales[status] in Rows and count order_id: Cancelled should show 4. That's why the measure needs CALCULATE."</t>
  </si>
  <si>
    <t xml:space="preserve">11.6</t>
  </si>
  <si>
    <t xml:space="preserve">§11.7 step 1.2 "In a new workbook: Data → Get Data → From Folder"; Step 5 "in the practice workbook, click in the Customers data, Data → From Table/Range"</t>
  </si>
  <si>
    <t xml:space="preserve">From Table/Range creates the Customers query in ch11_practice.xlsx, but the folder query lives in a different, new workbook. Merge Queries only lists queries in the same workbook, so the reader can't select Customers at step 5.2.</t>
  </si>
  <si>
    <t xml:space="preserve">Line-by-line / First-time reader</t>
  </si>
  <si>
    <t xml:space="preserve">Change step 1.2 to "Open ch11_practice.xlsx and add a new sheet; Data → Get Data → From File → From Folder". Everything then lives in one workbook, and step 5.1 works. Alternatively keep the new workbook and load Customers with Data → Get Data → From File → From Workbook → ch11_practice.xlsx → Customers. Either way, add a checkpoint: "Queries &amp; Connections should now list two queries."</t>
  </si>
  <si>
    <t xml:space="preserve">11.7</t>
  </si>
  <si>
    <t xml:space="preserve">§11.7 "The M code… riverstone_sales.pq… let FolderPath = … in NetRevenue"</t>
  </si>
  <si>
    <t xml:space="preserve">A 30-line M block with ~12 new functions and options: Folder.Files, Table.SelectRows, each, Text.Lower, Table.AddColumn, Csv.Document with Delimiter/Encoding 65001/QuoteStyle, Table.PromoteHeaders, [PromoteAllScalars = true], Table.Combine, Parsed[Data], Table.TransformColumnTypes with a culture, type number, let…in. One sentence explains it all. It's offered for pasting, so a beginner pastes code they can't read. It also silently differs from the UI query: no Customers merge, and the table name differs.</t>
  </si>
  <si>
    <t xml:space="preserve">Either (a) cut the block from the chapter and keep it only in the companion file, with the sentence "You don't need to write M; Advanced Editor shows what your clicks produced", or (b) teach it as annotated steps. Show the Advanced Editor after the reader's *own* six UI steps, and map each line to the Applied Step they clicked. Explain let/in; each [status] &lt;&gt; "Cancelled" ("for each row, keep it if…"); Encoding 65001 = UTF-8 (Ch 2); "en-IN" = the Using Locale choice. Add one line: "The companion version skips the Customers merge from step 5." Option (b) should be marked second pass.</t>
  </si>
  <si>
    <t xml:space="preserve">11.8</t>
  </si>
  <si>
    <t xml:space="preserve">Answer 33 "=SUMPRODUCT((Sales[segment]="Wholesale") * (Sales[status]&lt;&gt;"Cancelled") / COUNTIFS(Sales[customer_name], … Sales[status], Sales[status]))… Hospitality 9, Retail 8, Wholesale 6"</t>
  </si>
  <si>
    <t xml:space="preserve">Formula bug. The denominator groups rows by name and status. A customer with both Delivered and Shipped (or Pending) lines gets 1 from each status group, so they're counted twice. There are 3 Shipped and 1 Pending lines, so any customer holding one of them together with Delivered lines is double-counted. The stated 9/8/6 was probably computed another way, so the printed formula may not reproduce it.</t>
  </si>
  <si>
    <t xml:space="preserve">Correctness</t>
  </si>
  <si>
    <t xml:space="preserve">Recompute on the file. Replace the denominator with COUNTIFS(Sales[customer_name], Sales[customer_name], Sales[status], "&lt;&gt;Cancelled"). That counts each customer's valid lines, so each customer sums to 1. A customer whose only lines are cancelled would give 0/0: wrap it as IFERROR((…)/COUNTIFS(…),0), which needs Ctrl+Shift+Enter in old Excel. Or lead with the Microsoft 365 version, which is already given and is simpler. Also check §11.2's distinct-order formula: it's safe only if all lines of an order share a status. State that assumption.</t>
  </si>
  <si>
    <t xml:space="preserve">11.9</t>
  </si>
  <si>
    <t xml:space="preserve">§11.3 text table rows "TEXTSPLIT =TEXTSPLIT("02.01.2025 SO10001 C0002","" and "REPT =REPT(" ",ROUND(0.393*20,0)) "; story step 3 "She pressed Ctrl+  on the Summary sheet… March and April used SUM"</t>
  </si>
  <si>
    <t xml:space="preserve">Build/markup leak: the source's pipe characters and backticks broke the table cells and the inline code. The TEXTSPLIT row has lost its delimiters, result and Sheets column. The REPT row shows raw backticks and a missing character (probably █). The story shows "Ctrl+ " and stray . A reader sees garbage.</t>
  </si>
  <si>
    <t xml:space="preserve">Rebuild the two table rows with escaped pipes. TEXTSPLIT: =TEXTSPLIT("02.01.2025 | SO10001 | C0002"," | ") → 02.01.2025 · SO10001 · C0002 · Sheets: No (use SPLIT). REPT: =REPT("█",ROUND(0.393*20,0)) → ████████ (8 blocks, an in-cell bar for Wholesale's 39.3%) · Sheets: Yes. Story: "She pressed Ctrl+ on the Summary sheet and read the formulas. Most months used SUMIFS(…,"&lt;&gt;Cancelled"). March and April used SUM, which includes cancelled orders." Search the whole book's build for other backtick/pipe leaks.</t>
  </si>
  <si>
    <t xml:space="preserve">11.10</t>
  </si>
  <si>
    <t xml:space="preserve">§11.2 "Figure 11.3's pivot table", "DAX TOTALYTD measure in section 11.8", "=COUNTA(UNIQUE(...))"; §11.2 "wrap the formula in ARRAYFORMULA"; §11.2 "use SUMPRODUCT with EXACT (below)"; §11.3 "IFNA(MATCH("9999",…"; §11.3 interview point "UNIQUE"; §11.4 "spills (section 11.6)", "TAKE (section 11.6)"; §11.5 "section 11.8's margin table"</t>
  </si>
  <si>
    <t xml:space="preserve">In-chapter sequence breaks. MATCH is used in §11.3 but taught in §11.4. UNIQUE is used in §11.2–11.3, taught in §11.6. ARRAYFORMULA is used in §11.2–11.4, taught in §11.10. EXACT is used in §11.2, taught in §11.3. TOTALYTD is cited in §11.2, taught in §11.8. Figure 11.3 is cited in §11.2 but shown in §11.5. Spill and TAKE are used in §11.4, taught in §11.6. The "margin table" is cited in §11.5 but appears in §11.8.</t>
  </si>
  <si>
    <t xml:space="preserve">Change the IFNA example to =IFNA(XLOOKUP("9999",Customers!A2:A25,Customers!B2:B25),"not found"), since XLOOKUP is known from Ch 10. Replace "COUNTA(UNIQUE(...)) is simpler (section 11.6)" with "Section 11.6 shows a shorter way". Replace "same as the DAX TOTALYTD measure in section 11.8" with "you'll get the same numbers from a pivot (§11.5) and from DAX (§11.8)". For the Sheets ARRAYFORMULA notes, say "(section 11.10 explains ARRAYFORMULA)". Move the EXACT rule after §11.3's text table or say "(EXACT, section 11.3)". §11.5: "the bulk discounts you'll see in §11.8's margin table" → "the bulk discounts on large crate orders". §11.2 interview point: drop UNIQUE, or add "(section 11.6)".</t>
  </si>
  <si>
    <t xml:space="preserve">11.11</t>
  </si>
  <si>
    <t xml:space="preserve">§11.3 tables (Decisions, Text, Dates, Numbers)</t>
  </si>
  <si>
    <t xml:space="preserve">~35 functions in four tables, most with one example and no named arguments. Unexplained: RANK.EQ's 0 (descending), LARGE/SMALL's k, QUARTILE.INC's 1, PERCENTILE.INC's 0.9 (explained), WEEKNUM's type 1 (explained later), DATEDIF units "ym"/"md", CEILING.MATH's significance, PMT's negative present value and argument order (rate, nper, pv), NUMBERVALUE's separators, SUBSTITUTE's optional instance number. XOR and CLEAN have no worked result.</t>
  </si>
  <si>
    <t xml:space="preserve">Line-by-line / Load</t>
  </si>
  <si>
    <t xml:space="preserve">Give each function its signature in the table, e.g. RANK.EQ(number, ref, [order]): order 0 = largest is 1. For PMT: "PMT(rate per period, number of periods, loan amount); the loan is entered as −500000 because it's money you receive; the payment comes back positive." Add a worked answer for DATEDIF "ym" (10 months → remainder), CEILING.MATH ("round up to a multiple of 10"), XOR (=XOR(G2&gt;0,E2&gt;=50)). Move the rarely used ones (NUMBERVALUE, CLEAN, XOR, MROUND/FLOOR.MATH, WEEKNUM/ISOWEEKNUM, DATEDIF) to a "reference card" box, so the core reading covers ~15 functions.</t>
  </si>
  <si>
    <t xml:space="preserve">11.12</t>
  </si>
  <si>
    <t xml:space="preserve">§11.3 "=MOD(ROW(),2)=0"; §11.6 "=ROWS(...)"; §11.14 D2 "ROW()-Parameters!$B$5", "…*ROW(grid))", "COLUMN(grid)"</t>
  </si>
  <si>
    <t xml:space="preserve">ROW, ROWS and COLUMN are never introduced, yet the §11.14 receipts formula depends on ROW().</t>
  </si>
  <si>
    <t xml:space="preserve">Add one line at their first use (§11.3 numbers table): "ROW() returns the current cell's row number (row 7 → 7); ROW(A5) returns 5; ROWS(range) counts rows; COLUMN() does the same for columns." In §11.14 add a worked trace: "In D10 (L = 7), ROW() − 7 = 3, so INDEX(E1:E366, 3) reads E3, the PO placed 7 days earlier."</t>
  </si>
  <si>
    <t xml:space="preserve">11.13</t>
  </si>
  <si>
    <t xml:space="preserve">§11.4 "=INDEX(B5:D16, MATCH(DATE(2025,10,1), A5:A16, 0), MATCH("Wholesale", B4:D4, 0))" → ₹207,827</t>
  </si>
  <si>
    <t xml:space="preserve">The two-way lookup uses a month × segment grid in A4:D16 that the reader hasn't built. It isn't in the practice workbook's described sheets, and only exercise 24, 20 pages later, asks for it. The reader can't run the example.</t>
  </si>
  <si>
    <t xml:space="preserve">Line-by-line / Flow</t>
  </si>
  <si>
    <t xml:space="preserve">Before the formula: "First build the grid on a new sheet. Months (2025-01-01 … 2025-12-01) in A5:A16, segments in B4:D4 (Hospitality, Retail, Wholesale), and in B5: =SUMIFS(Sales!$J$2:$J$331,Sales!$K$2:$K$331,$A5,Sales!$N$2:$N$331,B$4,Sales!$H$2:$H$331,"&lt;&gt;Cancelled"), filled across and down (the mixed-reference grid from §11.2)." Then show the two MATCH results separately (10 and 3) before the INDEX. Ex. 24 then becomes a re-do with other items.</t>
  </si>
  <si>
    <t xml:space="preserve">11.14</t>
  </si>
  <si>
    <t xml:space="preserve">§11.4 "=SUMIFS(INDIRECT("'"&amp;A4&amp;"'!J2:J100"), INDIRECT("'"&amp;A4&amp;"'!H2:H100"), "&lt;&gt;Cancelled")"</t>
  </si>
  <si>
    <t xml:space="preserve">The string-building is the hard part, and it isn't shown: "'" is a double-quoted single quote, and the result is the text 'Oct'!J2:J100. A beginner can't decode "'"&amp;A4&amp;"'!J2:J100".</t>
  </si>
  <si>
    <t xml:space="preserve">Build it in cells: B4 ="'"&amp;A4&amp;"'!J2:J100" → shows 'Jan'!J2:J100. Explain: "the single quotes protect sheet names with spaces; they're typed inside double quotes because they're text". Then C4 =SUM(INDIRECT(B4)), then the full SUMIFS. Show one result: January → 202,640.</t>
  </si>
  <si>
    <t xml:space="preserve">11.15</t>
  </si>
  <si>
    <t xml:space="preserve">§11.2 "A criterion of 101 doesn't count a cell holding the text "101" in every situation."</t>
  </si>
  <si>
    <t xml:space="preserve">Vague and partly wrong. COUNTIF/SUMIFS criteria *do* treat numeric-looking text in the range as matching the number 101 in most cases. The real traps are lookups (XLOOKUP/MATCH, where 5 ≠ "0005") and SUM skipping text. "In every situation" gives the reader nothing to act on.</t>
  </si>
  <si>
    <t xml:space="preserve">Replace with: "Lookups and SUM care about type (Chapter 10, §10.3 and §10.9): XLOOKUP won't match the number 5 to the text 0005, and SUM skips numbers stored as text. The IFS family is more forgiving about numeric text in criteria, but don't rely on it. Fix the types first." Verify behaviour in both apps before print.</t>
  </si>
  <si>
    <t xml:space="preserve">11.16</t>
  </si>
  <si>
    <t xml:space="preserve">§11.7 Performance "Prefer database views (Chapter 12) for heavy joins"</t>
  </si>
  <si>
    <t xml:space="preserve">Broken cross-reference: views are taught in Chapter 13 §13.2 (CREATE VIEW sales_lines), not Chapter 12.</t>
  </si>
  <si>
    <t xml:space="preserve">"(Chapter 13)".</t>
  </si>
  <si>
    <t xml:space="preserve">11.17</t>
  </si>
  <si>
    <t xml:space="preserve">§11.2 "SQL link. Every formula in this section is a WHERE plus an aggregate…"; §11.4 "SQL link. An exact lookup is a LEFT JOIN…window functions"; §11.5 Fig 11.3 "SQL it corresponds to (Chapter 12)" column + "SQL link. This pivot is SELECT segment, quarter…"; §11.8 "SQL link. A DAX measure… SUM(...) OVER (ORDER BY month)"; §11.10 "SQL link. QUERY is excellent practice for Chapter 12…"; "Before you start: …Chapter 12 helps with the SQL comparisons"; Recap "Pivot tables map to SQL: Filters → WHERE…"; answer 14 "Chapter 12's anti-join"</t>
  </si>
  <si>
    <t xml:space="preserve">M.10: five SQL preview boxes, an SQL column in a figure, an SQL recap bullet and a forward prerequisite (11 → 12). They show SQL syntax (GROUP BY, LEFT JOIN, window functions, COUNT(DISTINCT)) before Chapter 12. The §11.4 box is also technically off: a band lookup is a range (non-equi) join, not a window-function pattern.</t>
  </si>
  <si>
    <t xml:space="preserve">DELETE the five boxes, the SQL column of Figure 11.3 (keep areas → result only) and the SQL recap bullet. Change "Before you start" to "Chapter 10." MOVE the content to Ch 12/13 as back-pointing boxes: Ch 12 GROUP BY ("Chapter 11's pivot: Filters = WHERE, Rows = GROUP BY…"), Ch 12 LEFT JOIN ("Chapter 10–11's lookups…"), Ch 12 anti-join, Ch 13 window functions ("Chapter 11's running total and Show Values As"). In §11.10 reframe QUERY on its own terms ("a mini query language inside Sheets: select, where, group by, order by, pivot"). Then Chapter 12 opens with "You've already written select/where/group by in Sheets' QUERY", a good backward bridge. Keep in-text phrases like "a join, in Chapter 12's terms" (§11.7) only within R3's one-per-section allowance.</t>
  </si>
  <si>
    <t xml:space="preserve">11.18</t>
  </si>
  <si>
    <t xml:space="preserve">§11.1 "gross_margin is… the same rule as Chapter 12"; "It's the same idea as Chapter 12's tables"; Practice data "Chapter 13's database"; story "the database query from Chapter 13"; §11.3 "Chapter 21 explains what medians, percentiles, and modes mean"; §11.5 "Chapter 21 turns it into a proper histogram"</t>
  </si>
  <si>
    <t xml:space="preserve">These forward references stand in for concepts the reader already has. Gross margin is Ch 3 §3.5; mean/median/mode is Ch 4 §4.5; histograms are Ch 15. The database references are to chapters not yet read.</t>
  </si>
  <si>
    <t xml:space="preserve">"the same rule as Chapter 3 (section 3.5)"; "Chapter 4 showed what medians and modes mean"; "Chapter 15 turns it into a proper histogram". Practice data: "Every total matches Chapter 10's tracker." Story: "₹64,596 short of the tracker". Drop "and of the database query from Chapter 13".</t>
  </si>
  <si>
    <t xml:space="preserve">11.19</t>
  </si>
  <si>
    <t xml:space="preserve">§11.2 weighted discount "→ 4.69"; §11.3 (no Chapter 4 exercises yet)</t>
  </si>
  <si>
    <t xml:space="preserve">The approved plan puts the remaining Chapter 4 spreadsheet exercises in §11.3. They're absent. §11.2 re-derives Chapter 4's 4.69% weighted discount without saying so.</t>
  </si>
  <si>
    <t xml:space="preserve">(a) In §11.2, label the weighted-average paragraph "Back to Chapter 4 (section 4.5)". Show the general form =SUMPRODUCT(values, weights)/SUM(weights) first (Ch 4's box), then this filtered version. Name each SUMPRODUCT argument. Add a numbers_practice.xlsx discounts-sheet check: → 4.69%. (b) At the end of §11.3 add a box "Back to Chapter 4: the rest of the numbers" using numbers_practice.xlsx: percentage points vs percent change (Oct 27.9% → Nov 24.0%: =C2-B2 formatted as a number → −3.9 points; =(C2-B2)/B2 → −14.0%); segment shares rounded with ROUND(…,0) add to 99%, not 100% (Ch 4 §4.6: 39 + 34 + 26); MODE.SNGL on order quantities (Ch 4 §4.5); a ratio with the wrong denominator (Ch 4 §4.3). Each: predict by hand, formula, result shown.</t>
  </si>
  <si>
    <t xml:space="preserve">11.20</t>
  </si>
  <si>
    <t xml:space="preserve">§11.6 "Shaping arrays: TAKE, DROP, CHOOSECOLS…"; "MAP, BYROW, BYCOL, SCAN, REDUCE"; "=REDUCE(0, G3:G13-G2:G12, LAMBDA(acc, x, MAX(acc, x)))"</t>
  </si>
  <si>
    <t xml:space="preserve">14 functions in two tables with few shown results. G3:G13-G2:G12 (subtracting two offset ranges to get 11 month-on-month changes) is a new idea hidden in an example. LAMBDA's parameter binding ((45, 750, 5) fills qty, price, disc) gets one sentence. G2:G13 and F2#/G2# refer to ranges built in other sections.</t>
  </si>
  <si>
    <t xml:space="preserve">Mark "Shaping arrays", LAMBDA helpers and GROUPBY/PIVOTBY as second pass (11.1). For what stays: show =G3:G13-G2:G12 on its own first (11 values spill: +51,024 … −193,584.50) before REDUCE. For LAMBDA, add a 3-row table showing which value goes into which parameter. State at the top of the sub-section which sheet holds G2:G13 (the monthly table from §11.2's running-total example) and F2#/G2# (the customer list above).</t>
  </si>
  <si>
    <t xml:space="preserve">11.21</t>
  </si>
  <si>
    <t xml:space="preserve">§11.7 "Table.TransformColumns(Source, {{"quantity", each Number.From(Text.Select(Text.From(_), {"0".."9"})), Int64.Type}})"; "each try Number.From([quantity]) otherwise null"; "each List.Count(List.Distinct([order_id]))"</t>
  </si>
  <si>
    <t xml:space="preserve">Three dense M one-liners with unexplained syntax: _, {"0".."9"}, nested Text.From/Text.Select/Number.From, try … otherwise, each in a Group By.</t>
  </si>
  <si>
    <t xml:space="preserve">Prefer the UI route already given (Extract → Text Before Delimiter). If the M stays, break it down: "Text.From(_) = this cell as text; Text.Select(…, {"0".."9"}) keeps only digits (55 pcs → "55"); Number.From turns "55" into 55; _ means 'the current value'." Mark as second pass.</t>
  </si>
  <si>
    <t xml:space="preserve">11.22</t>
  </si>
  <si>
    <t xml:space="preserve">§11.14 Level 2 "set ROP to a value that never triggers, or temporarily set Q to 0"</t>
  </si>
  <si>
    <t xml:space="preserve">Ambiguous. Stock falls to −1,785, so any ROP ≥ −1,785 (including the obvious 0) will trigger POs. A reader who picks ROP = 0 gets wrong Level 2 answers.</t>
  </si>
  <si>
    <t xml:space="preserve">"For Level 2, set Q to 0 (POs may be 'placed', but nothing arrives). Leave ROP as it is."</t>
  </si>
  <si>
    <t xml:space="preserve">11.23</t>
  </si>
  <si>
    <t xml:space="preserve">§11.14 "ROP =INDEX(rop_list, SUMPRODUCT((grid=MIN(grid))*ROW(grid))-MIN(ROW(grid))+1)"; "=LET(c, grid, m, MIN(c), TOCOL(IF(c=m, rop_list&amp;" / "&amp;q_list, 1/0), 2))"</t>
  </si>
  <si>
    <t xml:space="preserve">Named ranges grid, rop_list and q_list are never defined. The formulas combine SUMPRODUCT, ROW/COLUMN arithmetic, LET, TOCOL's ignore code 2, and 1/0 as a deliberate error, all in one line.</t>
  </si>
  <si>
    <t xml:space="preserve">Add: "Name the ranges: select the 9 ROP values → name box → rop_list; the 16 Q values → q_list; the 144 result cells → grid." Lead with the method a beginner can do: a conditional-formatting rule =C6=MIN(grid) highlights the cheapest cell, and the reader reads off its ROP (row label) and Q (column label). Then keep the SUMPRODUCT/ROW formulas as the "formula way", explained one piece at a time: ROW(grid) gives each cell's sheet row; (grid=MIN(grid))*ROW(grid) is 0 everywhere except the winner's row; SUMPRODUCT picks that row out; −MIN(ROW(grid))+1 turns a sheet row into a position in rop_list. Keep the LET/TOCOL line as an optional Microsoft 365 aside, with 1/0 and code 2 explained ("make an error on purpose, then TOCOL's 2 skips errors").</t>
  </si>
  <si>
    <t xml:space="preserve">11.24</t>
  </si>
  <si>
    <t xml:space="preserve">§11.14 whole section; "Your turn… Riverstone Rewards (45 minutes)"; ex. 43</t>
  </si>
  <si>
    <t xml:space="preserve">A competition-level case (text parsing, a 365-row simulation, INDEX/ROW offsets, a 144-cell data table), placed before the project in a chapter already over-long. The Rewards case (tiers by earlier orders, streaks, expiry) is harder still and is set as a regular exercise.</t>
  </si>
  <si>
    <t xml:space="preserve">Load / Flow</t>
  </si>
  <si>
    <t xml:space="preserve">Move §11.14 after the project and label it "Optional challenge: do this after the project, or on a second pass". Move ex. 43 from "Timed case" in the exercises to that section. Consider relocating the Rewards case to Chapter 27 (portfolio) or Chapter 70 (interview bank) with a pointer here.</t>
  </si>
  <si>
    <t xml:space="preserve">11.25</t>
  </si>
  <si>
    <t xml:space="preserve">§11.8 "Tool note: availability… Power Pivot… not available in Excel for Mac"; §11.7 "Google Sheets has no Power Query"; §11.9 data tables</t>
  </si>
  <si>
    <t xml:space="preserve">Readers on the free route recommended in Ch 10 (Excel for the web or Sheets) or on a Mac can't do most of §11.7, any of §11.8, or the data tables. The notes say so, but the exercises (16–20, 22, 40) and project steps 2 and 5 have no alternative path.</t>
  </si>
  <si>
    <t xml:space="preserve">After each tool note, add "If you're on Sheets/Mac/web: do X instead". §11.7: Sheets route from project step 2 (VSTACK + ARRAYFORMULA), promoted into the section. §11.8: read for ideas; exercises 19–20 → the same numbers with SUMPRODUCT/SUMIFS (gross margin %, YTD with SUMIFS ≤ EOMONTH). §11.9: the mixed-reference grid (already given). Mark exercises 16–20 and 40 "(Excel for Windows; Sheets alternative: …)".</t>
  </si>
  <si>
    <t xml:space="preserve">11.26</t>
  </si>
  <si>
    <t xml:space="preserve">§11.1 "convert it to a table named Sales… Most formulas… refer to it as Sales[column]"; §11.2 formulas use "Sales!J2:J331"</t>
  </si>
  <si>
    <t xml:space="preserve">The sheet and the table are both named Sales. Sales!J2 (sheet, with !) and Sales[net_revenue] (table, with [ ]) look almost the same. The chapter switches between them without saying which is which.</t>
  </si>
  <si>
    <t xml:space="preserve">Add one line in §11.1: "Sales!J2:J331 means cells on the *sheet* called Sales; Sales[net_revenue] means a column of the *table* called Sales. Both point at the same numbers here."</t>
  </si>
  <si>
    <t xml:space="preserve">11.27</t>
  </si>
  <si>
    <t xml:space="preserve">§11.5 "GETPIVOTDATA. In Excel, clicking a pivot cell… inserts =GETPIVOTDATA(...)" then a full sub-section "GETPIVOTDATA: reading numbers out of a pivot table"</t>
  </si>
  <si>
    <t xml:space="preserve">GETPIVOTDATA is introduced twice, with different advice: "type the address instead, or turn it off" vs "it's robust; make it dynamic".</t>
  </si>
  <si>
    <t xml:space="preserve">Delete the short paragraph under "Refresh, and the traps". Keep the full sub-section and add its one-line tip about turning Generate GetPivotData off when you want plain references.</t>
  </si>
  <si>
    <t xml:space="preserve">11.28</t>
  </si>
  <si>
    <t xml:space="preserve">§11.7 column profile "status has 322 Delivered, 4 Cancelled, 3 Shipped, and 1 Pending line"</t>
  </si>
  <si>
    <t xml:space="preserve">It doesn't say at which applied step the profile is read. After Step 3's filter there are no Cancelled rows (326 total).</t>
  </si>
  <si>
    <t xml:space="preserve">"Click the Changed Type step (before the cancelled filter) and read the profile…"</t>
  </si>
  <si>
    <t xml:space="preserve">11.29</t>
  </si>
  <si>
    <t xml:space="preserve">§11.10 "TEXT(B1,"yyyy-mmdd")"</t>
  </si>
  <si>
    <t xml:space="preserve">Probably a line-wrap extraction artifact, but if the PDF really says yyyy-mmdd, the QUERY date literal breaks.</t>
  </si>
  <si>
    <t xml:space="preserve">Verify in the PDF; it must read "yyyy-mm-dd".</t>
  </si>
  <si>
    <t xml:space="preserve">11.30</t>
  </si>
  <si>
    <t xml:space="preserve">Exercise 38 "Build a segment-by-quarter pivot and use GETPIVOTDATA to return Farah Khan's Q3 revenue from a rep-by-quarter pivot"</t>
  </si>
  <si>
    <t xml:space="preserve">The instructions contradict each other (segment pivot vs rep pivot).</t>
  </si>
  <si>
    <t xml:space="preserve">"Build a rep-by-quarter pivot and use GETPIVOTDATA to return Farah Khan's Q3 revenue."</t>
  </si>
  <si>
    <t xml:space="preserve">11.31</t>
  </si>
  <si>
    <t xml:space="preserve">§11.4 "=XLOOKUP(TRUE, EXACT(Customers!A2:A25, "0014"), …)" as the case-sensitive example</t>
  </si>
  <si>
    <t xml:space="preserve">The example uses a code with no letters, so case never matters and the point isn't shown.</t>
  </si>
  <si>
    <t xml:space="preserve">Use a letter code, e.g. a small two-row list ab12 / AB12: =XLOOKUP(TRUE, EXACT(A2:A3,"AB12"), B2:B3) → second row, while plain XLOOKUP returns the first.</t>
  </si>
  <si>
    <t xml:space="preserve">11.32</t>
  </si>
  <si>
    <t xml:space="preserve">Tools "build_ch11_files.py : the script that builds all of the above… (seed 20251)"; Answers "(In the finished book these move to Appendix G.)"</t>
  </si>
  <si>
    <t xml:space="preserve">Build-pipeline file listed as a reader companion file, plus the production note.</t>
  </si>
  <si>
    <t xml:space="preserve">Delete both (same fix as ch10 10.24).</t>
  </si>
  <si>
    <t xml:space="preserve">11.33</t>
  </si>
  <si>
    <t xml:space="preserve">§11.6 "@ in a formula (Excel) means 'one value, not the array'… It's safe to leave."</t>
  </si>
  <si>
    <t xml:space="preserve">An overstatement. The implicit-intersection @ can change results if someone later expects a spill.</t>
  </si>
  <si>
    <t xml:space="preserve">"…It usually reproduces the old behaviour; if you want the whole list, remove the @ and check the result."</t>
  </si>
  <si>
    <t xml:space="preserve">11.34</t>
  </si>
  <si>
    <t xml:space="preserve">§11.4 XLOOKUP table "2 Wildcards: * , ? (Excel; Sheets uses 2 for wildcards too)"</t>
  </si>
  <si>
    <t xml:space="preserve">Redundant wording.</t>
  </si>
  <si>
    <t xml:space="preserve">"2 — Wildcards: * any text, ? one character (both apps)".</t>
  </si>
  <si>
    <t xml:space="preserve">V11.1</t>
  </si>
  <si>
    <t xml:space="preserve">p. 11 · Text-functions table, TEXTSPLIT row</t>
  </si>
  <si>
    <t xml:space="preserve">The formula =TEXTSPLIT(A2, {"|","x","@","-","%"}) contains |, which ended the Markdown cell. The Example cell shows  =TEXTSPLIT("02.01.2025 , the Result cell shows "SO10001" and the Sheets cell shows C0002",". The real result and the Sheets answer are lost, and a stray backtick is printed.</t>
  </si>
  <si>
    <t xml:space="preserve">Escape the pipes (|) or use an HTML table for this row, then re-check the Result and Sheets columns.</t>
  </si>
  <si>
    <t xml:space="preserve">V11.2</t>
  </si>
  <si>
    <t xml:space="preserve">p. 12 · Text-functions table, REPT row</t>
  </si>
  <si>
    <t xml:space="preserve">The same fault: =REPT("|",ROUND(0.393*20,0)) is split across Example (" =REPT(" "), Result ("",ROUND(0.393*20,0))") and Sheets (""). The result (a bar of pipes) and "Yes" are missing.</t>
  </si>
  <si>
    <t xml:space="preserve">As V11.1.</t>
  </si>
  <si>
    <t xml:space="preserve">V11.3</t>
  </si>
  <si>
    <t xml:space="preserve">p. 12–13 · Numbers &amp; statistics table header</t>
  </si>
  <si>
    <t xml:space="preserve">The header "Example (valid and cancelled lines, J2:J331 or E2:E331)" has both ranges as inline-code pills: white pills with white text, so they appear as two blank boxes. It happens on p. 12 and again on the repeated header on p. 13.</t>
  </si>
  <si>
    <t xml:space="preserve">Override the code-pill style in table headers (transparent background, inherit colour), or write the ranges as plain text. This is the same fault as V27.1 and V12.1.</t>
  </si>
  <si>
    <t xml:space="preserve">V11.4</t>
  </si>
  <si>
    <t xml:space="preserve">p. 52 · Real-world story, step 3</t>
  </si>
  <si>
    <t xml:space="preserve">"Ctrl+" opened a code span, so the rest of the paragraph shows raw Markdown in monospace: "Ctrl+  on the Summary sheet and read the formulas. Most months used SUMIFS(…,"&lt;&gt;Cancelled") . March and April used SUM". The key finding of the story is unreadable.</t>
  </si>
  <si>
    <t xml:space="preserve">Escape the backtick (use a double-backtick code span:   Ctrl+  ) and re-render.</t>
  </si>
  <si>
    <t xml:space="preserve">V11.5</t>
  </si>
  <si>
    <t xml:space="preserve">p. 56–58 · Practice exercises 10–43</t>
  </si>
  <si>
    <t xml:space="preserve">Two-digit numbers are clipped at the left: "19." reads "l9.", "20." reads "!0.". This covers 34 exercises.</t>
  </si>
  <si>
    <t xml:space="preserve">As V10.1: widen the list indent for ≥ 10 items (shared list style).</t>
  </si>
  <si>
    <t xml:space="preserve">V11.6</t>
  </si>
  <si>
    <t xml:space="preserve">p. 6 · Figure 11.1 (SUMIFS anatomy + criteria table)</t>
  </si>
  <si>
    <t xml:space="preserve">Argument labels and the criteria table are 5.6–6.4 pt.</t>
  </si>
  <si>
    <t xml:space="preserve">Redraw at ≥ 7 pt, or set the criteria table as a real table outside the figure.</t>
  </si>
  <si>
    <t xml:space="preserve">V11.7</t>
  </si>
  <si>
    <t xml:space="preserve">p. 14 · Figure 11.2 (three lookups)</t>
  </si>
  <si>
    <t xml:space="preserve">Sheet cells 5.3 pt, formula strips 5.7 pt, explanatory lines 5.1 pt.</t>
  </si>
  <si>
    <t xml:space="preserve">Enlarge to ≥ 7 pt. The three formula strips could be a normal code block.</t>
  </si>
  <si>
    <t xml:space="preserve">V11.8</t>
  </si>
  <si>
    <t xml:space="preserve">p. 19 · Figure 11.3 (pivot areas ↔ SQL)</t>
  </si>
  <si>
    <t xml:space="preserve">Field-list boxes, SQL and the result grid are 5.3–6.3 pt, and the note under the result is smaller still.</t>
  </si>
  <si>
    <t xml:space="preserve">Enlarge, or split into two figures (areas ↔ SQL; result table).</t>
  </si>
  <si>
    <t xml:space="preserve">V11.9</t>
  </si>
  <si>
    <t xml:space="preserve">p. 24 · Figure 11.4 (spill range)</t>
  </si>
  <si>
    <t xml:space="preserve">Sheet cells 5.3 pt and the side note 5.1–5.6 pt. The explanatory paragraph is inside the figure at below-caption size.</t>
  </si>
  <si>
    <t xml:space="preserve">Move the note into the caption or body, and enlarge the sheets to ≥ 7 pt.</t>
  </si>
  <si>
    <t xml:space="preserve">V11.10</t>
  </si>
  <si>
    <t xml:space="preserve">p. 28 · Figure 11.5 (Power Query applied steps)</t>
  </si>
  <si>
    <t xml:space="preserve">Step boxes 5.1–5.6 pt. The line under the figure ("Nothing here edits the CSV files…") is about 5 pt light grey.</t>
  </si>
  <si>
    <t xml:space="preserve">Enlarge to ≥ 7 pt, and use two rows of three boxes if needed.</t>
  </si>
  <si>
    <t xml:space="preserve">V11.11</t>
  </si>
  <si>
    <t xml:space="preserve">p. 36 · Figure 11.6 (data model)</t>
  </si>
  <si>
    <t xml:space="preserve">Table fields 5.3 pt mono and the measure note 5.7 pt.</t>
  </si>
  <si>
    <t xml:space="preserve">Enlarge to ≥ 7 pt.</t>
  </si>
  <si>
    <t xml:space="preserve">V11.12</t>
  </si>
  <si>
    <t xml:space="preserve">p. 46 · Figure 11.7 (Stockroom plan)</t>
  </si>
  <si>
    <t xml:space="preserve">Box text 5.4–5.9 pt, and the sample table and the results note are about 5.4 pt.</t>
  </si>
  <si>
    <t xml:space="preserve">Enlarge, or drop the sample table (the text shows the columns anyway).</t>
  </si>
  <si>
    <t xml:space="preserve">V11.13</t>
  </si>
  <si>
    <t xml:space="preserve">p. 48 · Figure 11.8 (closing-stock chart)</t>
  </si>
  <si>
    <t xml:space="preserve">Axis ticks and legend are 5.2–5.7 pt. The line colours (blue/orange) work in colour, but the lines are hard to separate in greyscale.</t>
  </si>
  <si>
    <t xml:space="preserve">Ticks and legend ≥ 7 pt, plus a dashed style for one series.</t>
  </si>
  <si>
    <t xml:space="preserve">V11.14</t>
  </si>
  <si>
    <t xml:space="preserve">p. 7, 8, 10, 25 and passim · Long formula blocks</t>
  </si>
  <si>
    <t xml:space="preserve">Formulas wrap to column 0 in the middle of a string literal, e.g. G16: =SUMIFS(…,Sales!$H$2:$H$331," / &lt;&gt;Cancelled") (p. 10), …,Sales!H2:H331," / &lt;&gt;Cancelled")  → 59 (p. 7) and "&lt;&gt;Cancelled") on p. 8. There is no continuation marker, and indentation is lost.</t>
  </si>
  <si>
    <t xml:space="preserve">Break after commas with a hanging indent, or add a ↩ marker. Never break inside quotes.</t>
  </si>
  <si>
    <t xml:space="preserve">V11.15</t>
  </si>
  <si>
    <t xml:space="preserve">p. 30 · M-code lead-in</t>
  </si>
  <si>
    <t xml:space="preserve">"…(change FolderPath first):" ends p. 30 above a 35% blank. The 30-line M block is on p. 31.</t>
  </si>
  <si>
    <t xml:space="preserve">Let the lead-in move with the block, or allow the block to split.</t>
  </si>
  <si>
    <t xml:space="preserve">V11.16</t>
  </si>
  <si>
    <t xml:space="preserve">"Approved chapter v2", "Approved 17 September 2026" and "Every number checked" are visible to readers.</t>
  </si>
  <si>
    <t xml:space="preserve">Remove for print / standardise across chapters.</t>
  </si>
  <si>
    <t xml:space="preserve">V11.17</t>
  </si>
  <si>
    <t xml:space="preserve">V11.18</t>
  </si>
  <si>
    <t xml:space="preserve">p. 12→13 · Numbers &amp; statistics table</t>
  </si>
  <si>
    <t xml:space="preserve">Only the header and 1 row (LARGE) are on p. 12. The other 11 rows are on p. 13.</t>
  </si>
  <si>
    <t xml:space="preserve">Keep the table together or move the heading.</t>
  </si>
  <si>
    <t xml:space="preserve">V11.19</t>
  </si>
  <si>
    <t xml:space="preserve">p. 41→42 · "And the reverse:" table</t>
  </si>
  <si>
    <t xml:space="preserve">1 row on p. 41, and the rest of the table on p. 42.</t>
  </si>
  <si>
    <t xml:space="preserve">V11.20</t>
  </si>
  <si>
    <t xml:space="preserve">p. 43→44 · "When to leave the spreadsheet" table</t>
  </si>
  <si>
    <t xml:space="preserve">The last row ("Interactive dashboards…") is alone at the top of p. 44.</t>
  </si>
  <si>
    <t xml:space="preserve">V11.21</t>
  </si>
  <si>
    <t xml:space="preserve">p. 18 · "11.5 Pivot tables"</t>
  </si>
  <si>
    <t xml:space="preserve">The heading and a 3-line intro sit at the foot of p. 18 above a 24% blank. Figure 11.3 is on p. 19.</t>
  </si>
  <si>
    <t xml:space="preserve">Move the heading with the figure.</t>
  </si>
  <si>
    <t xml:space="preserve">V11.22</t>
  </si>
  <si>
    <t xml:space="preserve">p. 21→22 · GETPIVOTDATA argument table</t>
  </si>
  <si>
    <t xml:space="preserve">2 rows on p. 21, 2 rows on p. 22.</t>
  </si>
  <si>
    <t xml:space="preserve">V11.23</t>
  </si>
  <si>
    <t xml:space="preserve">p. 11, 12, 24, 25 · Narrow function columns</t>
  </si>
  <si>
    <t xml:space="preserve">Signatures wrap mid-token in the first column: "TAKE(array, rows," / "[cols])", "MAP(array, LAMBDA(x," / "…))", "No (use LEFT +" / "FIND )".</t>
  </si>
  <si>
    <t xml:space="preserve">Widen column 1, or show only the function name there.</t>
  </si>
  <si>
    <t xml:space="preserve">V11.24</t>
  </si>
  <si>
    <t xml:space="preserve">p. 19, 22, 36, 37–38, 50 · Numeric table columns</t>
  </si>
  <si>
    <t xml:space="preserve">Pivot result (Q1–Q4), value bands, segment margins, the what-if grid and the month reconciliation are all left-aligned.</t>
  </si>
  <si>
    <t xml:space="preserve">V11.25</t>
  </si>
  <si>
    <t xml:space="preserve">p. 59 · Answers heading</t>
  </si>
  <si>
    <t xml:space="preserve">"(In the finished book these move to Appendix G.)" is visible to readers.</t>
  </si>
  <si>
    <t xml:space="preserve">Remove when the answers move.</t>
  </si>
  <si>
    <t xml:space="preserve">V11.26</t>
  </si>
  <si>
    <t xml:space="preserve">p. passim · "₹" glyph; inline-code pills</t>
  </si>
  <si>
    <t xml:space="preserve">"₹" falls back to DejaVu Serif. Pill padding adds a space before punctuation ("SUMIFS ,", "( =SUMIFS(…) )").</t>
  </si>
  <si>
    <t xml:space="preserve">Book-wide fixes, as in the pilot.</t>
  </si>
  <si>
    <t xml:space="preserve">12.1</t>
  </si>
  <si>
    <t xml:space="preserve">§12.3 step 4 "Open an SQL editor on that connection and run"; §12.4 first query</t>
  </si>
  <si>
    <t xml:space="preserve">Nowhere does the chapter say how to run a query. Missing: how to open an SQL editor in DBeaver, which key runs the statement under the cursor (Ctrl+Enter / Cmd+Enter), the difference between Execute Statement and Execute SQL Script (Alt+X), where the result grid appears, where errors show, or how to run one query out of several in the same editor. This is the reader's first ever query, so they get stuck at the very first step.</t>
  </si>
  <si>
    <t xml:space="preserve">Add a boxed "Running your first query in DBeaver" at the end of §12.3, before "Try it". (1) Right-click the riverstone connection → SQL Editor → Open SQL script (or press Ctrl+]). (2) Type SELECT 1;. (3) Put the cursor anywhere in the statement and press Ctrl+Enter (Cmd+Enter on Mac); the result grid opens below with one column ?column? and value 1. (4) Alt+X (Execute SQL Script) runs every statement in the editor, each result in its own tab; use it only for setup scripts. (5) Errors appear in the Output/Execution log panel in red, with the line number. (6) Separate statements with ; and a blank line so Ctrl+Enter picks the right one. Include a screenshot of the editor with the grid. Then keep "Try it: SELECT * FROM products;" and show its six-row output.</t>
  </si>
  <si>
    <t xml:space="preserve">12.2</t>
  </si>
  <si>
    <t xml:space="preserve">§12.9 "Real-life example: revenue is not profit", 14-line query with two JOINs</t>
  </si>
  <si>
    <t xml:space="preserve">The first query that uses JOIN … ON, table aliases (AS oi, p.), two joins, a four-part expression repeated three times and a ratio of two SUMs sits in §12.9, before joins are taught (§12.10). The text admits it ("for now, read JOIN … ON as…"). For a first SQL chapter, this is five new ideas at once.</t>
  </si>
  <si>
    <t xml:space="preserve">Sequence / Line-by-line</t>
  </si>
  <si>
    <t xml:space="preserve">Move the whole "revenue is not profit" example, its output table, the "Now read it as a manager would" paragraph and the Simplification note to §12.10, straight after "Joining three or more tables" (it is a three-table join). In §12.9, keep a join-free example of an aggregate over an expression: SELECT ROUND(SUM(quantity * unit_price * (1 - discount_pct / 100)), 0) AS net_revenue_all_lines FROM order_items; → 335930. Explain that this includes the cancelled order 5004 (₹12,000), and that excluding it needs the orders table, "which is what joins are for (next section)". Update the §12.5 forward reference "In section 12.9 you'll find…" to "section 12.10".</t>
  </si>
  <si>
    <t xml:space="preserve">12.3</t>
  </si>
  <si>
    <t xml:space="preserve">§12.4 "Calculated columns and aliases": ROUND(unit_price * 1.18, 2) AS price_incl_tax</t>
  </si>
  <si>
    <t xml:space="preserve">The third query the reader ever sees brings in four ideas at once: a calculated column, the * operator with a decimal literal, a function with two arguments (ROUND), and the AS alias. "Function" and "argument" are never defined for SQL.</t>
  </si>
  <si>
    <t xml:space="preserve">Split into three cells, each run with output. (1) SELECT product_name, unit_price, unit_price * 1.18 FROM products;: show the raw 531.0000 / 920.4000 values and the column heading ?column?, and explain that * means multiply and that a calculation creates a result column, not a stored one. (2) Add AS price_incl_tax, show the new heading, and define "alias". (3) Wrap in ROUND(…, 2). Define function ("a named operation: name, then its inputs in brackets"), argument ("each input, separated by commas; here the value and the number of decimal places") and point back to Ch 10's =ROUND(A1,0). Put the ROUND documentation note (12.30) after cell 3 or in §12.8.</t>
  </si>
  <si>
    <t xml:space="preserve">12.4</t>
  </si>
  <si>
    <t xml:space="preserve">§12.4 DISTINCT, §12.5 margin query, §12.6 COALESCE: ORDER BY city / ORDER BY margin_pct / ORDER BY customer_id</t>
  </si>
  <si>
    <t xml:space="preserve">ORDER BY is used in six queries (§12.4 DISTINCT, §12.5 margin, §12.6 COALESCE, and later) before its own section §12.7. The DISTINCT result also shows a NULL row ("Notice the blank sixth row") two sections before NULL is taught.</t>
  </si>
  <si>
    <t xml:space="preserve">Reorder: move §12.7 "ORDER BY and LIMIT" to directly after "SELECT * — every column" in §12.4, as new §12.5, and renumber. Put DISTINCT after ORDER BY. In the DISTINCT paragraph, change "counts as a value of its own. More on that in section 12.6" to: "That empty-looking row is Sunrise Caterers' missing city. Databases mark a missing value as NULL (DBeaver shows it as [NULL]); section 12.7 is all about it." Keep the NULL-sort dialect note in the ORDER BY section, but point it forward.</t>
  </si>
  <si>
    <t xml:space="preserve">12.5</t>
  </si>
  <si>
    <t xml:space="preserve">§12.5 "Watch out: text comparisons… WHERE LOWER(status) = 'delivered'"</t>
  </si>
  <si>
    <t xml:space="preserve">LOWER() is used here, but text functions are taught in §12.8.</t>
  </si>
  <si>
    <t xml:space="preserve">Add in place: "LOWER() turns text into lower case (section 12.8 has the other text functions)". Or run it: SELECT COUNT(*) FROM orders WHERE LOWER(status) = 'delivered'; → 8, next to WHERE status = 'delivered' → 0.</t>
  </si>
  <si>
    <t xml:space="preserve">12.6</t>
  </si>
  <si>
    <t xml:space="preserve">§12.5 "IN, BETWEEN, and LIKE": WHERE order_date BETWEEN … AND status IN (…)</t>
  </si>
  <si>
    <t xml:space="preserve">Two new keywords (BETWEEN, IN) plus a date-literal comparison in one query. The reader can't tell which filter removed which rows.</t>
  </si>
  <si>
    <t xml:space="preserve">Split into two cells. (a) SELECT order_id, order_date FROM orders WHERE order_date BETWEEN '2026-02-01' AND '2026-02-28'; → 5 rows, and note that text in quotes is read as a date because the column is a DATE. (b) … WHERE status IN ('Delivered', 'Shipped'); → 10 rows, and show that it equals status = 'Delivered' OR status = 'Shipped'. Then combine them with AND for the current 5-row result. Show the half-open version as its own run (same 5 rows).</t>
  </si>
  <si>
    <t xml:space="preserve">12.7</t>
  </si>
  <si>
    <t xml:space="preserve">§12.5 margin query "Multiplying by 100.0 rather than 100 keeps the maths in decimals"</t>
  </si>
  <si>
    <t xml:space="preserve">Four ideas in one query: an expression in WHERE, ROUND to 1 place, a percentage, and ORDER BY on an alias (explained only in §12.11). The 100.0 explanation is misleading here: unit_price and unit_cost are NUMERIC, so 100 * would also give decimals. The trap only bites on INTEGER columns.</t>
  </si>
  <si>
    <t xml:space="preserve">Build it in two cells: (1) SELECT with margin_pct and no WHERE, all 6 products listed, so the reader sees every margin (33.3, 30.8, 41.7, 33.8, 24.1, 29.2); (2) add the WHERE. Rewrite the sentence as: "Here both columns are NUMERIC, so plain 100 would work too; writing 100.0 is a habit that protects you when the columns are whole numbers (see the integer-division Watch out)". Add a one-line demo: SELECT 7 / 2, 7 / 2.0; → 3, 3.5000000000000000.</t>
  </si>
  <si>
    <t xml:space="preserve">12.8</t>
  </si>
  <si>
    <t xml:space="preserve">§12.6 "Section 12.8 shows that SUM then skips it"; NULL rule 4 "(section 12.8)"</t>
  </si>
  <si>
    <t xml:space="preserve">Wrong cross-references: aggregates are in §12.9, not §12.8.</t>
  </si>
  <si>
    <t xml:space="preserve">Change both to "section 12.9" (renumber if 12.4 is applied).</t>
  </si>
  <si>
    <t xml:space="preserve">12.9</t>
  </si>
  <si>
    <t xml:space="preserve">§12.6 "WHERE city &lt;&gt; 'Mumbai' OR city IS NULL"</t>
  </si>
  <si>
    <t xml:space="preserve">The fix is shown as a fragment. It isn't run and has no output, so the reader never sees Sunrise come back.</t>
  </si>
  <si>
    <t xml:space="preserve">Show the full query and its 6-row output (Patel, Green Leaf, Coastal, Sunrise [NULL], Northgate, Blue Bay). Note that OR mixed with nothing else needs no brackets here, but "the moment you add an AND, bracket it".</t>
  </si>
  <si>
    <t xml:space="preserve">12.10</t>
  </si>
  <si>
    <t xml:space="preserve">§12.8 ageing CASE: WHEN DATE '2026-03-31' - due_date &lt;= 30</t>
  </si>
  <si>
    <t xml:space="preserve">The DATE literal and date subtraction are used before the "Working with dates" subsection that follows. The explanation of DATE '…' and "subtracting two dates gives days" sits in "How it works" under the query.</t>
  </si>
  <si>
    <t xml:space="preserve">Reorder §12.8 to: CASE price bands → Working with dates (EXTRACT, DATE_TRUNC, ::date, date subtraction, all run) → Real-life example: which invoices are overdue? In "Working with dates", add a one-line run: SELECT DATE '2026-03-31' - DATE '2026-02-05' AS days; → 54. The ageing query then uses nothing new except combining them.</t>
  </si>
  <si>
    <t xml:space="preserve">12.11</t>
  </si>
  <si>
    <t xml:space="preserve">§12.8 "Working with text" table</t>
  </si>
  <si>
    <t xml:space="preserve">Text functions are only listed in a table, never run. The SUBSTRING row has no input ("take part of a string → Pun").  |  |  is presented as equal to CONCAT, but in PostgreSQL 'a' \ | \ | NULL is NULL while CONCAT('a', NULL) is 'a'.</t>
  </si>
  <si>
    <t xml:space="preserve">Add one run on real data: SELECT customer_name, UPPER(city) AS city_upper, LENGTH(customer_name) AS name_length, SUBSTRING(customer_name FROM 1 FOR 3) AS short_code, customer_name \ | \ | ' (' \ | \ | segment \ | \ | ')' AS label FROM customers ORDER BY customer_id LIMIT 3; with output, plus one line for Sunrise showing city_upper NULL. Fix the SUBSTRING row to SUBSTRING('Pune' FROM 1 FOR 3) → Pun. Add: "\ | \ |  with a NULL gives NULL; CONCAT skips NULLs in PostgreSQL (MySQL's CONCAT returns NULL; see exercise 21)."</t>
  </si>
  <si>
    <t xml:space="preserve">12.12</t>
  </si>
  <si>
    <t xml:space="preserve">§12.9 "Aggregate functions" table; first SUM is ROUND(SUM(quantity * unit_price * (1 - discount_pct / 100)), 2) with GROUP BY and LIMIT</t>
  </si>
  <si>
    <t xml:space="preserve">SUM, AVG, MIN and MAX are listed but never run alone. The first SUM the reader sees is nested in ROUND, wraps a three-part expression and sits in a GROUP BY with LIMIT. The line-level revenue formula is never shown row by row first.</t>
  </si>
  <si>
    <t xml:space="preserve">Insert three cells before "GROUP BY". (1) SELECT SUM(quantity) AS units, MIN(order_date)… split sensibly: SELECT SUM(amount) AS invoiced, AVG(amount) AS avg_invoice, MIN(invoice_date) AS first_invoice, MAX(invoice_date) AS last_invoice FROM invoices; → 297710.00, 29771.00, 2026-01-06, 2026-03-11. (2) Line revenue with no aggregate: SELECT order_id, quantity, unit_price, discount_pct, quantity * unit_price * (1 - discount_pct / 100) AS line_revenue FROM order_items WHERE order_id IN (5001, 5002); → 4 rows (9000, 5700, 52200, 21060), and explain each part of the formula. (3) Then the existing per-order SUM, first without ROUND, then with it. Also add: "discount_pct is NUMERIC, so / 100 keeps decimals; if it were INTEGER, 5 / 100 would be 0 (integer division)."</t>
  </si>
  <si>
    <t xml:space="preserve">12.13</t>
  </si>
  <si>
    <t xml:space="preserve">§12.9 "If three products have ratings 4, 5, and NULL, AVG(rating) is 4.5"</t>
  </si>
  <si>
    <t xml:space="preserve">Illustrated with a column that doesn't exist in the database, so it can't be run.</t>
  </si>
  <si>
    <t xml:space="preserve">Replace with a runnable pair on the real data: SELECT COUNT(*) AS customers, COUNT(city) AS with_city FROM customers; → 8, 7. Keep the ratings sentence as the explanation of AVG.</t>
  </si>
  <si>
    <t xml:space="preserve">12.14</t>
  </si>
  <si>
    <t xml:space="preserve">§12.2 "The slip is a join… By section 12.10 you'll write that query yourself."</t>
  </si>
  <si>
    <t xml:space="preserve">The promise is never kept. No query rebuilds the order-5001 slip from five tables.</t>
  </si>
  <si>
    <t xml:space="preserve">Add to §12.10, after "Joining three or more tables": "Rebuilding the order slip from Figure 12.2". SELECT o.order_id, o.order_date, o.status, c.customer_name, c.city, e.employee_name AS sales_rep, p.product_name, oi.quantity, oi.unit_price, oi.discount_pct, ROUND(oi.quantity * oi.unit_price * (1 - oi.discount_pct / 100), 2) AS line_value FROM orders AS o JOIN customers AS c ON o.customer_id = c.customer_id LEFT JOIN employees AS e ON o.sales_rep_id = e.employee_id JOIN order_items AS oi ON oi.order_id = o.order_id JOIN products AS p ON p.product_id = oi.product_id WHERE o.order_id = 5001 ORDER BY p.product_id; Output is 2 rows (Storage Box 10L 9000.00; Water Bottle 1L 5700.00), verified. Explain why employees is a LEFT JOIN (order 5008 has no rep). Point back to Figure 12.2.</t>
  </si>
  <si>
    <t xml:space="preserve">12.15</t>
  </si>
  <si>
    <t xml:space="preserve">§12.10 "Build multi-table queries one join at a time, running the query after each step"</t>
  </si>
  <si>
    <t xml:space="preserve">The advice is given but never demonstrated. The three-table revenue-by-city query appears fully formed.</t>
  </si>
  <si>
    <t xml:space="preserve">Before the city query, show the build as four short runs with row counts only: SELECT COUNT(*) FROM orders AS o; → 12; add JOIN customers → 12 ("each order has one customer, so no change: good"); add JOIN order_items → 19 ("now one row per line: the grain changed"); add WHERE o.status &lt;&gt; 'Cancelled' → 18. Then GROUP BY. This also sets up the fan-out section.</t>
  </si>
  <si>
    <t xml:space="preserve">12.16</t>
  </si>
  <si>
    <t xml:space="preserve">§12.10 fan-out "Two fixes: … 2. Don't join tables you don't need."</t>
  </si>
  <si>
    <t xml:space="preserve">Only fix 1 is shown. The "fixed" query still joins order_items, which contradicts fix 2 on the same page.</t>
  </si>
  <si>
    <t xml:space="preserve">Show fix 2 as its own run: SELECT c.customer_name, COUNT(*) AS num_orders FROM customers AS c JOIN orders AS o ON c.customer_id = o.customer_id GROUP BY c.customer_name ORDER BY c.customer_name; → same 7 rows (2, 2, 2, 1, 1, 3, 1). Say it is the better fix, and that fix 1 is the fallback when the finer table is needed for another column.</t>
  </si>
  <si>
    <t xml:space="preserve">12.17</t>
  </si>
  <si>
    <t xml:space="preserve">§12.10 CROSS JOIN FROM (SELECT DISTINCT segment FROM customers) AS s; "The fix: … in a subquery" (money fan-out); FULL OUTER "combine… with UNION"</t>
  </si>
  <si>
    <t xml:space="preserve">Derived-table subqueries (taught §12.12) are used twice in §12.10. UNION (§12.12) is named as the MySQL workaround. The money fix is also the reader's first LEFT JOIN to a derived table, with COALESCE: several ideas at once.</t>
  </si>
  <si>
    <t xml:space="preserve">(a) CROSS JOIN: first show it on base tables the reader knows, SELECT c.customer_name, p.product_name FROM customers AS c CROSS JOIN products AS p;, giving 8 × 6 = 48 rows (show the first 6 and the row count). Then say: "to get each segment × category pair once, you first need the distinct lists, a job for subqueries (section 12.12)", and move the current DISTINCT-pairs query there as a derived-table example. (b) Money fan-out: keep the wrong query and the detail rows in §12.10. Move "The fix: add up payments first, then join" (Figure 12.4, the query and "How it works") into §12.12, directly after "A table (derived table) in FROM", as its first worked use. Leave a one-line pointer in §12.10: "the fix needs one more tool; section 12.12". (c) FULL OUTER: change "with UNION" to "(section 12.16 shows how)".</t>
  </si>
  <si>
    <t xml:space="preserve">12.18</t>
  </si>
  <si>
    <t xml:space="preserve">§12.10 "Spreadsheet link… Chapter 18 shows the same idea again in Python as pandas.merge"</t>
  </si>
  <si>
    <t xml:space="preserve">This box points forward to Python, which M.10 says to trim. Meanwhile the removed Ch 10–11 "SQL link" boxes (M.10) need their back-pointers to land here, and the chapter has only two (XLOOKUP, pivot).</t>
  </si>
  <si>
    <t xml:space="preserve">Flow / Sequence</t>
  </si>
  <si>
    <t xml:space="preserve">Delete the pandas sentence. Add short "Back to Chapter 10/11" notes at: (1) SUM(CASE…) in §12.9, "the SQL form of Chapter 11's SUMIFS"; (2) COUNT(DISTINCT) in §12.9, "Chapter 11 exercise 10: counting lines (326) vs distinct orders (173) is this same trap"; (3) LEFT JOIN in §12.10, "an XLOOKUP whose 'not found' becomes NULL"; (4) CASE in §12.8, where the IF/IFS link is already present (keep); (5) the half-open date range, if Ch 10 taught a date filter. Each note is one sentence and points back only.</t>
  </si>
  <si>
    <t xml:space="preserve">12.19</t>
  </si>
  <si>
    <t xml:space="preserve">§12.12 "Watch out: NOT IN and NULLs… returns no rows at all"</t>
  </si>
  <si>
    <t xml:space="preserve">The book calls this "a favorite interview trap" but never shows it, although the data has a perfect case: employees.manager_id contains a NULL (Anita Rao).</t>
  </si>
  <si>
    <t xml:space="preserve">Add two runs. "Which employees manage nobody?" SELECT employee_name FROM employees WHERE employee_id NOT IN (SELECT manager_id FROM employees); → (0 rows). Then SELECT e.employee_name FROM employees AS e WHERE NOT EXISTS (SELECT 1 FROM employees AS m WHERE m.manager_id = e.employee_id); → Neha Kulkarni, Rahul Mehta, Farah Khan (3 rows); both verified. Explain: the list is (NULL, 1, 2, 2, 1), and "3 is not NULL" is UNKNOWN. Add the fix WHERE manager_id IS NOT NULL inside the subquery as a third option.</t>
  </si>
  <si>
    <t xml:space="preserve">12.20</t>
  </si>
  <si>
    <t xml:space="preserve">§12.12 "Replace UNION with UNION ALL and you get six rows"; "INTERSECT… EXCEPT…"</t>
  </si>
  <si>
    <t xml:space="preserve">UNION ALL is described but not run. INTERSECT and EXCEPT get no example, although EXCEPT is needed for the March issue-tree query (12.31).</t>
  </si>
  <si>
    <t xml:space="preserve">Show the UNION ALL output (6 rows including [NULL]). Add one EXCEPT run on real data: customers with an order in February EXCEPT customers with a non-cancelled order in March → Coastal Foods, Northgate Distributors, Sunrise Caterers. The MySQL note "8.0.31+" is already in §12.16.</t>
  </si>
  <si>
    <t xml:space="preserve">12.21</t>
  </si>
  <si>
    <t xml:space="preserve">§12.13 Step 1 SELECT datname FROM pg_database… output lists "riverstone_2025"</t>
  </si>
  <si>
    <t xml:space="preserve">The output can't match the reader's machine: riverstone_2025 is created in Ch 13 (ch013 line 48). Also, pg_database (a system catalog) isn't explained.</t>
  </si>
  <si>
    <t xml:space="preserve">Either (a) remove riverstone_2025 and show (2 rows), or (b) if 12.32 moves the riverstone_2025 load into §12.3, keep it. Add one line: "pg_database is a built-in table where PostgreSQL lists its databases; you can query it like any other table." Show the MySQL SHOW DATABASES LIKE 'riverstone%'; output too.</t>
  </si>
  <si>
    <t xml:space="preserve">12.22</t>
  </si>
  <si>
    <t xml:space="preserve">§12.13 whole section (~800 lines, Steps 1–11, two dialects)</t>
  </si>
  <si>
    <t xml:space="preserve">Load: in a first SQL chapter, §12.13 alone adds about 45 statements, 25 new keywords (DDL/DML/TCL, IDENTITY/AUTO_INCREMENT, CHECK, FK actions, upsert, RETURNING, TRUNCATE, schemas…) and a dialect comparison of each. There are no sitting breaks and no time estimate.</t>
  </si>
  <si>
    <t xml:space="preserve">Add a "Plan your sittings" box under Chapter at a glance. Sitting 1: 12.1–12.3 (plus install); 2: 12.4–12.7; 3: 12.8–12.9; 4: 12.10; 5: 12.11–12.12; 6: 12.13 Steps 1–6; 7: 12.13 Steps 7–11; 8: 12.14–12.16 + real-world report; then exercises and project. Put a "Good place to stop" line at each break. In §12.13's intro, say "PostgreSQL readers can skip every MySQL block now and return with the MySQL track." Consider moving Steps 10–11's schema and rename-database material into a boxed "Reference" so the core path is Steps 1–9.</t>
  </si>
  <si>
    <t xml:space="preserve">12.23</t>
  </si>
  <si>
    <t xml:space="preserve">§12.3 Option B Linux: sudo dpkg -i …, sudo apt-get update, systemctl status mysql; mysql -u root -p &lt; riverstone_setup_mysql.sql</t>
  </si>
  <si>
    <t xml:space="preserve">Terminal commands appear before the terminal is taught (approved plan: Ch 26 §26.0). Nothing explains sudo, apt-get, the # comments or &lt; redirection.</t>
  </si>
  <si>
    <t xml:space="preserve">Sequence / First-time reader</t>
  </si>
  <si>
    <t xml:space="preserve">Keep the Linux block but introduce it with: "These are terminal commands. If you're on Linux you've likely used a terminal; if not, use Appendix B's step-by-step or an online playground (below)." Add one-line glosses: sudo = run as administrator; apt-get = Ubuntu's installer; # starts a comment. Remove the mysql -u root -p &lt; alternative (DBeaver's Execute SQL Script does the same job) or box it as "For later (Chapter 26)".</t>
  </si>
  <si>
    <t xml:space="preserve">12.24</t>
  </si>
  <si>
    <t xml:space="preserve">§12.3 Option A "use host localhost, port 5432… DBeaver offers to download the driver"; "Then edit the connection so its database is riverstone, and reconnect"</t>
  </si>
  <si>
    <t xml:space="preserve">"Host", "localhost", "port" and "driver" are undefined. "Edit the connection" has no steps. Only the MySQL option has version advice, OS-specific steps and troubleshooting; PostgreSQL gets six bare lines.</t>
  </si>
  <si>
    <t xml:space="preserve">Define in one line each: localhost = "this computer"; port = "the numbered door the database listens on (PostgreSQL 5432, MySQL 3306)"; driver = "the small connector file DBeaver uses to talk to that database". Give edit steps: right-click connection → Edit Connection → Main tab → Database: riverstone → OK → right-click → Disconnect/Reconnect (or Invalidate/Reconnect). Bring PostgreSQL to parity with the Ch 6 material (see 12.29): Windows EDB installer (untick StackBuilder, pgAdmin optional), macOS installer or Postgres.app, Linux apt install postgresql (with the same terminal caveat), which version to choose ("current major, 17 or 18; the book was tested on 16+"), and troubleshooting (forgotten postgres password, port 5432 in use, service not running).</t>
  </si>
  <si>
    <t xml:space="preserve">12.25</t>
  </si>
  <si>
    <t xml:space="preserve">§12.3 step 4 "CREATE DATABASE riverstone;"; step 6 "SELECT COUNT(*) FROM order_items; should return 19"; Option B "USE riverstone;"</t>
  </si>
  <si>
    <t xml:space="preserve">Setup runs statements taught much later (CREATE §12.13, COUNT §12.9, USE §12.13) with no explanation. The check result is described, not shown.</t>
  </si>
  <si>
    <t xml:space="preserve">Add a one-line gloss for each: "CREATE DATABASE makes an empty database called riverstone (section 12.13 explains it)"; "COUNT(*) counts rows (section 12.9)"; "USE picks the database in MySQL". Show the check output as it will look in DBeaver: a grid with column count and value 19 (MySQL: COUNT(*) 19), as Ch 6 did.</t>
  </si>
  <si>
    <t xml:space="preserve">12.26</t>
  </si>
  <si>
    <t xml:space="preserve">All output blocks (psql style, "(8 rows)", blank for NULL); §12.13 "The psql client prints INSERT 0 5", \c, \d, \copy</t>
  </si>
  <si>
    <t xml:space="preserve">All results are printed in psql text format, and NULL appears as a blank. The reader, in DBeaver, sees a grid with [NULL], no "(n rows)" footer, and "Updated Rows: n". psql is mentioned several times but never installed or opened (it needs a terminal). Only §12.16 mentions [NULL], near the end.</t>
  </si>
  <si>
    <t xml:space="preserve">At the first query in §12.4, add: "Results in this book are printed as text, the way PostgreSQL's command-line client psql shows them. In DBeaver you'll see the same rows in a grid; the row count is at the bottom of the grid, and a missing value shows as [NULL] where this book shows a blank." Mark \c, \d and \copy as "(psql only; you'll meet the terminal in Chapter 26)", or move them to a psql box in the cheat sheet. In §12.13 lead with DBeaver's "Updated Rows: 5" and put psql/MySQL-client messages second.</t>
  </si>
  <si>
    <t xml:space="preserve">12.27</t>
  </si>
  <si>
    <t xml:space="preserve">§12.13 CSV load: \copy suppliers … FROM 'new_suppliers.csv', LOAD DATA LOCAL INFILE … SET GLOBAL local_infile = 1</t>
  </si>
  <si>
    <t xml:space="preserve">Two command-line loaders plus a server security setting, with no output beyond "COPY 2". The DBeaver route, which is the one the reader can use, has no screenshot or result check.</t>
  </si>
  <si>
    <t xml:space="preserve">Make DBeaver Import Data the taught path: numbered steps, a screenshot of the column mapping, and a check query SELECT COUNT(*) FROM suppliers; with the expected count. Move \copy and LOAD DATA into a "For later: loading from the command line (Chapter 45)" box. Keep the "(The examples below don't include these two suppliers…)" note, but place it before the steps so readers don't load them by accident.</t>
  </si>
  <si>
    <t xml:space="preserve">12.28</t>
  </si>
  <si>
    <t xml:space="preserve">§12.13 "UPDATE suppliers SET rating = 4…"; "DELETE FROM purchase_orders WHERE po_id = 5;"; soft delete; RENAME/DROP COLUMN; SET NOT NULL after fix</t>
  </si>
  <si>
    <t xml:space="preserve">Several changes run with no confirmation: no row count, no follow-up SELECT. That undercuts the chapter's own "glance at that number after every change" rule.</t>
  </si>
  <si>
    <t xml:space="preserve">After each, add the DBeaver message ("Updated Rows: 1"), or a one-line check (e.g. SELECT COUNT(*) FROM purchase_orders; → 4 after the delete; SELECT supplier_name, is_active FROM suppliers WHERE supplier_name = 'Nilgiri Packaging'; → f).</t>
  </si>
  <si>
    <t xml:space="preserve">12.29</t>
  </si>
  <si>
    <t xml:space="preserve">Moving in from Ch 6 §6.3 step 2 (approved)</t>
  </si>
  <si>
    <t xml:space="preserve">§12.3 already has full steps and no "Chapter 6" loop (✓ none found). The Ch 6 summary had details §12.3 lacks: EDB installer notes (pgAdmin/StackBuilder not needed), Postgres.app, "write down the password", the shown SELECT COUNT(*) output grid in both databases ("Nineteen order lines: the same twelve orders you followed through Chapters 1 to 5"), "Can't install? Chromebook / locked work laptop / ask IT", and the IT-request exercise 10.</t>
  </si>
  <si>
    <t xml:space="preserve">Merge those items into §12.3 Option A and the "Can't install software" note (see 12.24–12.25). Add Ch 6's exercise 10 as a §12.3 "Try it" or exercise: "Write a short request to your IT team to install PostgreSQL and DBeaver for practice on sample data", with its model answer. Keep the sentence linking the 19 lines back to the twelve orders of Chapters 1–5: it is the bridge the reader needs (see 12.33).</t>
  </si>
  <si>
    <t xml:space="preserve">12.30</t>
  </si>
  <si>
    <t xml:space="preserve">Moving in from Ch 6 §6.6 (approved): ROUND documentation Watch out (SQL part)</t>
  </si>
  <si>
    <t xml:space="preserve">§12.4 says only "ROUND(value, 2) rounds to two decimal places", with no tie rule. The chapter itself depends on it later (§12.13: 124.425 → 124.43). The Ch 6 comparison (PostgreSQL numeric vs double precision; MySQL exact vs approximate 2.5E0) needs casts and literals the reader meets only in §12.8.</t>
  </si>
  <si>
    <t xml:space="preserve">Flow / Correctness</t>
  </si>
  <si>
    <t xml:space="preserve">Add "Watch out: how ROUND breaks ties" at the end of §12.8 "Working with dates", after :: casting is taught, or in §12.4 if CAST is glossed there. Content: the PostgreSQL query SELECT ROUND(2.5) AS exact_half, ROUND(3.5) AS exact_three_half, ROUND(2.5::double precision) AS float_half, ROUND(3.5::double precision) AS float_three_half; → 3, 4, 2, 4; the MySQL twin with 2.5E0/3.5E0 → 3, 4, 2, 4; the two manual quotes (PostgreSQL "For numeric, ties are broken by rounding away from zero…"; MySQL "the result depends on the C library"); and the link: "Riverstone's money columns are NUMERIC/DECIMAL, so ties round away from zero, which is why 124.425 became 124.43 in section 12.13 and why money never goes in FLOAT (section 12.1)." Include the "how to read a documentation page" five-point list only if Ch 6 no longer carries it. Move Ch 6 exercise 6 (SQL parts a, b, e) into the MySQL track, fixing S.2: (e) must read SELECT ROUND(45E-1); (45E1 is 450). Answer: (a) 5, (b) 4, (e) 4 on most systems. Leave Python and spreadsheet parts to Ch 17 / Ch 10.</t>
  </si>
  <si>
    <t xml:space="preserve">12.31</t>
  </si>
  <si>
    <t xml:space="preserve">Moving in from Ch 5 §5.4 (approved): "The March issue tree from Chapter 5, now as queries"</t>
  </si>
  <si>
    <t xml:space="preserve">There is no home for it yet. Ch 5's numbers depend on a definition the chapter doesn't discuss: billed revenue = invoices by invoice_date (Feb ₹161,700, Mar ₹31,800), while the §12.15/real-world report uses order_date with Delivered/Shipped. Both give ₹31,800 for March on this data, but they differ in general. There is also a trap: a naive "invoiced in Feb EXCEPT invoiced in March" returns 4 customers (it wrongly includes Metro Mart, whose March order is pending). Ch 5 says 3.</t>
  </si>
  <si>
    <t xml:space="preserve">Flow / Consistency</t>
  </si>
  <si>
    <t xml:space="preserve">Add §12.15 "Question 5: Why did March fall? (Chapter 5's issue tree, now as queries)", after Q4, using only taught SQL. Each step is run and its output checked against Ch 5. (1) Billed revenue by invoice month: SELECT DATE_TRUNC('month', invoice_date)::date AS month, COUNT(*) AS invoices, SUM(amount) AS billed, ROUND(AVG(amount), 0) AS avg_invoice FROM invoices WHERE invoice_date &gt;= DATE '2026-02-01' GROUP BY 1 ORDER BY 1; → Feb 5 / 161700 / 32340; Mar 2 / 31800 / 15900 ✓ Ch 5. Then do the count × size split by hand as in Ch 5 (₹97,020 + ₹32,880 = ₹129,900). (2) Which customers stopped: February-invoiced customers EXCEPT customers with a non-cancelled March order → Coastal Foods, Northgate Distributors, Sunrise Caterers ✓. Show the wrong version (EXCEPT March-invoiced → also Metro Mart) and explain it: "Metro Mart did order in March; the order isn't billed yet". (3) Booked, not billed: orders LEFT JOIN invoices … WHERE i.invoice_id IS NULL AND o.status &lt;&gt; 'Cancelled' with line revenue → 5012 Pending 26,220 ✓; March with it = ₹58,020 ✓. (4) Wholesale share of February: SUM(CASE WHEN c.segment = 'Wholesale' THEN i.amount ELSE 0 END) → 109,185 of 161,700 = 67.5% ✓. (5) Overdue vs ordered in March: reuse Q3's balance derived table, LEFT JOIN from customers, and add EXISTS (… March non-cancelled order) as a yes/no column → matches Ch 5's seven-row table (Northgate 46,560; Sunrise 23,325; Coastal 12,625; Patel 6,250 overdue; Sharma 11,700 not yet due; Green Leaf, Metro 0). End with "What the data can't answer" (seasonality, competitors), pointing back to Ch 5. Add a Watch out: "billed revenue (invoice date) and order revenue (order date) are different business rules; say which one you report". Put the companion queries in ch12_queries_mysql.sql and a PostgreSQL file.</t>
  </si>
  <si>
    <t xml:space="preserve">12.32</t>
  </si>
  <si>
    <t xml:space="preserve">Moving in from Ch 7 (approved): companion/mysql/ch07_queries_mysql.sql</t>
  </si>
  <si>
    <t xml:space="preserve">Ch 7's quiet-customer query (every customer, latest non-cancelled order, days to 31 Dec 2025, &gt;60 days or none; 5 customers, Tasty Tiffins 66 days) runs on riverstone_2025, which is loaded only in Ch 13. Ch 12 doesn't load it, so the file can't be used here as the chapter stands.</t>
  </si>
  <si>
    <t xml:space="preserve">Recommended: add an optional step 7 to §12.3, "Load the one-year database (riverstone_2025_setup.sql / MySQL twin): the same 2025 data as your Chapter 10–11 workbook", and change Ch 13's setup paragraph to "you loaded it in section 12.3". This also fixes 12.21 and helps 12.33. Then add exercise 30 (MySQL track and PostgreSQL): "Back to Chapter 7: on riverstone_2025, list customers with no non-cancelled order in the 60 days to 31 Dec 2025, including never-ordered customers. Predict first: Chapter 7 showed 5 customers, Tasty Tiffins at 66 days." The answer is Q1's pattern with DATE '2025-12-31' and &gt; 60, in both dialects. List ch07_queries_mysql.sql in Tools, renamed or merged into ch12_queries_mysql.sql, plus a PostgreSQL twin. If riverstone_2025 stays in Ch 13, move this exercise to Ch 13 instead and say so in the Ch 7 fix.</t>
  </si>
  <si>
    <t xml:space="preserve">12.33</t>
  </si>
  <si>
    <t xml:space="preserve">§12.2 "In this chapter we use a small slice… The full-size version, with thousands of orders"; Tools "the full-size version with thousands of orders, for the project"; Project Option B</t>
  </si>
  <si>
    <t xml:space="preserve">Two datasets appear with no bridge (Part 0 finding 0.8). Chapters 10–11 used the 2025 workbook (riverstone_2025 data: 24 customers, 175 orders, ₹4,335,471), and Ch 12 switches to the Q1 2026 mini database without saying so. The "full-size version" has 175 orders (Ch 13 line 41), not "thousands". The full dataset's file name isn't given.</t>
  </si>
  <si>
    <t xml:space="preserve">In §12.2 replace the sentence with: "Chapters 10 and 11 used a full year of Riverstone's sales (2025: 24 customers, 175 orders). To learn SQL we switch to a smaller slice, the first quarter of 2026: 8 customers and 12 orders, the same twelve orders you followed in Chapters 1–5, small enough to check every answer by eye. The one-year data comes back in Chapter 13 (riverstone_2025)." Fix Tools and Project Option B to name riverstone_2025_setup.sql and say "175 orders". If a larger "thousands of orders" dataset really exists in Appendix E, name it and state its size instead.</t>
  </si>
  <si>
    <t xml:space="preserve">12.34</t>
  </si>
  <si>
    <t xml:space="preserve">§12.15 "It's Monday, 31 March 2026, the last day of the quarter."</t>
  </si>
  <si>
    <t xml:space="preserve">31 March 2026 is a Tuesday.</t>
  </si>
  <si>
    <t xml:space="preserve">Change to "It's Tuesday, 31 March 2026" (or drop the weekday). The weekly-review framing can stay ("Before the 10 a.m. quarter-end review").</t>
  </si>
  <si>
    <t xml:space="preserve">12.35</t>
  </si>
  <si>
    <t xml:space="preserve">§12.15 Q2 "compare what products would have sold for at the price charged before discount (the list value)"</t>
  </si>
  <si>
    <t xml:space="preserve">Term collision: §12.2 and §12.5 call products.unit_price the "list price" (today's catalogue price). Here "list_value" is built from order_items.unit_price, the price charged. A careful reader will think the query uses the wrong column.</t>
  </si>
  <si>
    <t xml:space="preserve">Consistency / First-time reader</t>
  </si>
  <si>
    <t xml:space="preserve">Rename the column and wording to gross_value ("value before discount, at the price charged"), and update "Check" and "What to tell Anita" to match. Add one sentence: "We use the price on the order line, not today's list price in products, for the reason in section 12.2."</t>
  </si>
  <si>
    <t xml:space="preserve">12.36</t>
  </si>
  <si>
    <t xml:space="preserve">§12.15 Q1 "no order in the 30 days up to 31 March 2026, meaning no order since 1 March"</t>
  </si>
  <si>
    <t xml:space="preserve">1–31 March is 31 days, and the query tests "before 1 March", i.e. no order in March.</t>
  </si>
  <si>
    <t xml:space="preserve">Restate: "Customers with no (non-cancelled) order in March 2026, i.e. nothing since 1 March."</t>
  </si>
  <si>
    <t xml:space="preserve">12.37</t>
  </si>
  <si>
    <t xml:space="preserve">§12.15 Q3 SUM(CASE WHEN inv.due_date &lt; DATE '2026-03-31' AND … &lt;= 30 …); Q3/Q4 GROUP BY c.customer_name / e.employee_name, m.employee_name</t>
  </si>
  <si>
    <t xml:space="preserve">(a) §12.8's CASE relied on "first match wins", but separate SUM(CASE) columns don't share a CASE, so each band needs both bounds. The text doesn't say so, and the reader will wonder why the 1–30 column has an extra condition. (b) Q1 recommends grouping by ID plus name; Q3, Q4 and answers 11 and 13 group by name only.</t>
  </si>
  <si>
    <t xml:space="preserve">(a) Add under "How it works": "Each column is its own CASE, so there's no 'first match wins' across columns: every band states both its limits, or an invoice would be counted in two columns." (b) Group by c.customer_id, c.customer_name in Q3 and e.employee_id, e.employee_name, m.employee_name in Q4, or add "(names are unique here; see Q1)".</t>
  </si>
  <si>
    <t xml:space="preserve">12.38</t>
  </si>
  <si>
    <t xml:space="preserve">§12.16 "The monthly report, in MySQL… The 'In the real world' report at the end of this chapter"</t>
  </si>
  <si>
    <t xml:space="preserve">The MySQL translation is shown before the PostgreSQL original it translates, which appears later in "In the real world".</t>
  </si>
  <si>
    <t xml:space="preserve">Move "In the real world: Riverstone's monthly sales report" to just before §12.16, or make it the last part of §12.15. The MySQL version then refers back ("the report you just built").</t>
  </si>
  <si>
    <t xml:space="preserve">12.39</t>
  </si>
  <si>
    <t xml:space="preserve">§12.16 Trap 2 "PostgreSQL returns 0"; WHERE status COLLATE utf8mb4_bin = 'delivered' returns 0</t>
  </si>
  <si>
    <t xml:space="preserve">The PostgreSQL output and the COLLATE run are described, not shown.</t>
  </si>
  <si>
    <t xml:space="preserve">Show both results side by side: the PostgreSQL grid with 0 and the MySQL grid with 8, then the COLLATE query with its 0 output.</t>
  </si>
  <si>
    <t xml:space="preserve">12.40</t>
  </si>
  <si>
    <t xml:space="preserve">§12.13 "DCL… Chapter 64 covers it."; §12.13 upsert "You'll build this kind of job in Chapter 20."</t>
  </si>
  <si>
    <t xml:space="preserve">Cross-references that don't match their targets. Ch 64 covers access control conceptually (RBAC/ABAC) with no GRANT/REVOKE. Upsert/ON CONFLICT is taught in Ch 45 (17 mentions) and Ch 46, while Ch 20 covers idempotency but no upsert.</t>
  </si>
  <si>
    <t xml:space="preserve">Change to "Chapter 64 covers who should get which access (roles and permissions)". Change to "Chapter 45 builds this kind of load; Chapter 20 uses the same 'safe to run twice' idea for reports."</t>
  </si>
  <si>
    <t xml:space="preserve">12.41</t>
  </si>
  <si>
    <t xml:space="preserve">§12.3 "Avoid 8.0, which reached end of life in April 2026"; "MySQL 9.7, released in April 2026"</t>
  </si>
  <si>
    <t xml:space="preserve">Consistency: Ch 13 says "MySQL 8.0 or later (optional)… works in MySQL 8.0 and later", and Ch 6 says examples were "tested on PostgreSQL 16, MySQL 8.0". The PostgreSQL version is never stated in Ch 12. The 9.7 LTS release and date need checking at print time.</t>
  </si>
  <si>
    <t xml:space="preserve">State once in §12.3: "Tested on PostgreSQL 16–18 and MySQL 8.4 LTS / 9.7 LTS." Change Ch 13's wording to "MySQL 8.4 or later (8.0 also runs every query but is out of support)". Verify the 9.7 LTS date against dev.mysql.com before printing.</t>
  </si>
  <si>
    <t xml:space="preserve">12.42</t>
  </si>
  <si>
    <t xml:space="preserve">Project step 7 "Save it in a Git repository (Chapter 26) with a short README"</t>
  </si>
  <si>
    <t xml:space="preserve">Git is installed and taught only in Ch 26 (approved plan), so the reader can't do this step now.</t>
  </si>
  <si>
    <t xml:space="preserve">"Save the query and a short README (what the report is, the rules, how to run it) in a dated project folder. In Chapter 26 you'll put this folder under version control."</t>
  </si>
  <si>
    <t xml:space="preserve">12.43</t>
  </si>
  <si>
    <t xml:space="preserve">Recap "three silent traps: subtract dates with DATEDIFF, join text with CONCAT, … ignores capital letters and sorts NULLs first"; You've got it "the three differences"</t>
  </si>
  <si>
    <t xml:space="preserve">The recap names four items as "three", and  |  |  returning 0 comes with a warning, not an error. The count doesn't match §12.16's Trap 1–3 plus NULL sort.</t>
  </si>
  <si>
    <t xml:space="preserve">Recap: "…and four behaviours that change results without an error: date subtraction (use DATEDIFF), \ | \ |  (use CONCAT), case-insensitive comparison, and NULLs sorting first." Checklist: "name the four differences…".</t>
  </si>
  <si>
    <t xml:space="preserve">12.44</t>
  </si>
  <si>
    <t xml:space="preserve">Answers header "(In the finished book these move to Appendix G. Every query below was run…)"</t>
  </si>
  <si>
    <t xml:space="preserve">Drafting leftover (known pattern, recorded for this chapter's instance).</t>
  </si>
  <si>
    <t xml:space="preserve">Delete the first sentence; keep "Every query below was run against the Riverstone database, and the outputs are real."</t>
  </si>
  <si>
    <t xml:space="preserve">12.45</t>
  </si>
  <si>
    <t xml:space="preserve">Exercise 19 "you can safely join invoices to payments and use SUM(p.amount), but in section 12.10 the same join gave a wrong total"</t>
  </si>
  <si>
    <t xml:space="preserve">Misleading: in §12.10, SUM(p.amount) was correct. The wrong total was SUM(i.amount), and the answer does explain i.amount.</t>
  </si>
  <si>
    <t xml:space="preserve">"In exercise 14 you can safely join invoices to payments and show i.amount next to SUM(p.amount), but in section 12.10 the same join made SUM(i.amount) wrong. What's the difference?"</t>
  </si>
  <si>
    <t xml:space="preserve">12.46</t>
  </si>
  <si>
    <t xml:space="preserve">Exercise 11 / answer 11</t>
  </si>
  <si>
    <t xml:space="preserve">The answer counts the cancelled order 5004 as Green Leaf's first order (2026-01-20 → 42 days), while the chapter's rule is that cancelled orders aren't activity (Q1). The exercise doesn't say which rule applies.</t>
  </si>
  <si>
    <t xml:space="preserve">Add "ignore cancelled orders" to the exercise. The answer then needs WHERE o.status &lt;&gt; 'Cancelled', and Green Leaf becomes 2026-03-03 / 2026-03-03 / 0 (re-sort: Sharma 64, Metro 37, Coastal 33, then zeros). Or keep all orders and add a sentence noting 5004 is included on purpose.</t>
  </si>
  <si>
    <t xml:space="preserve">12.47</t>
  </si>
  <si>
    <t xml:space="preserve">§12.1 terms; §12.4 "clauses"; §12.5 "WHERE can test any expression"; Key terms "attribute/column · row/record"</t>
  </si>
  <si>
    <t xml:space="preserve">"Attribute" is a key term but never used in the text. "Record", "clause", "statement", "expression", "function" and "argument" are used without definitions.</t>
  </si>
  <si>
    <t xml:space="preserve">In §12.1: "columns (also called fields or attributes) … rows (also called records)". In §12.4, a four-line mini-glossary: statement (one complete instruction ending in ;), clause (one part of it, such as FROM or WHERE), expression (anything that works out to a value: a column, a number, unit_price * 1.18), function and argument (see 12.3).</t>
  </si>
  <si>
    <t xml:space="preserve">12.48</t>
  </si>
  <si>
    <t xml:space="preserve">§12.13 types table; rating SMALLINT</t>
  </si>
  <si>
    <t xml:space="preserve">SMALLINT is used in CREATE TABLE but is in neither type table (§12.1 or Step 2's PostgreSQL/MySQL comparison).</t>
  </si>
  <si>
    <t xml:space="preserve">Add a row "Small whole number: SMALLINT / SMALLINT (−32,768 to 32,767; enough for a 1–5 rating)".</t>
  </si>
  <si>
    <t xml:space="preserve">12.49</t>
  </si>
  <si>
    <t xml:space="preserve">§12.2 "Watch out: money and decimals… 0.1 + 0.2 may come out as 0.30000000000000004"</t>
  </si>
  <si>
    <t xml:space="preserve">The Python output from Ch 2 (0.5) is repeated without a runnable SQL demonstration. The reader could run one here.</t>
  </si>
  <si>
    <t xml:space="preserve">Add a runnable pair: SELECT 0.1 + 0.2 AS exact_numeric, 0.1::double precision + 0.2::double precision AS floating; → 0.3 and 0.30000000000000004. Place it after :: is taught, or gloss :: here. Point back to Ch 2 §2.1.</t>
  </si>
  <si>
    <t xml:space="preserve">12.50</t>
  </si>
  <si>
    <t xml:space="preserve">§12.11 placement</t>
  </si>
  <si>
    <t xml:space="preserve">The logical execution order explains errors met in §12.5 (alias in WHERE) and §12.9 (WHERE vs HAVING) but comes after joins. The forward references are acceptable. Minor: the "Written order" line leaves out DISTINCT, while the execution list includes it.</t>
  </si>
  <si>
    <t xml:space="preserve">Add SELECT DISTINCT to the written-order line. Optionally move §12.11 to directly after §12.9's HAVING, keeping the LEFT JOIN bullet as a one-line pointer to §12.10.</t>
  </si>
  <si>
    <t xml:space="preserve">V12.1</t>
  </si>
  <si>
    <t xml:space="preserve">p. 31 · WHERE vs HAVING table</t>
  </si>
  <si>
    <t xml:space="preserve">Still unfixed from v3. The two column headers WHERE and HAVING are inline-code pills: white pills with white text on the blue header bar. Readers cannot tell which column is which in the chapter's key comparison.</t>
  </si>
  <si>
    <t xml:space="preserve">Override the pill style inside table headers (transparent background, inherit colour), or use plain bold text.</t>
  </si>
  <si>
    <t xml:space="preserve">V12.2</t>
  </si>
  <si>
    <t xml:space="preserve">p. 64 · §12.13 Step 11 table (DELETE / TRUNCATE / DROP TABLE) — new</t>
  </si>
  <si>
    <t xml:space="preserve">The header "Can use WHERE?" has the same white-on-white pill, so it prints as "Can use ▭?". That column is the main way to tell DELETE from TRUNCATE.</t>
  </si>
  <si>
    <t xml:space="preserve">Same fix as V12.1. It is one CSS rule for code inside th.</t>
  </si>
  <si>
    <t xml:space="preserve">V12.3</t>
  </si>
  <si>
    <t xml:space="preserve">p. 84–85 · Practice exercises 10–29</t>
  </si>
  <si>
    <t xml:space="preserve">Two-digit numbers are clipped at the left edge: "l1."–"l9." read as the letter l, and "20."–"29." lose most of the "2". Answers are keyed by number. The v4 list has 29 items (v3 had 22).</t>
  </si>
  <si>
    <t xml:space="preserve">Widen the list indent for lists with 10 or more items (shared list style).</t>
  </si>
  <si>
    <t xml:space="preserve">V12.4</t>
  </si>
  <si>
    <t xml:space="preserve">p. 8 · Figure 12.1 (Riverstone ER diagram)</t>
  </si>
  <si>
    <t xml:space="preserve">Data types 5.4 pt, PK/FK badges 5.2 pt, legend and "order_id" line label about 5 pt light grey. The 1/N marks are tiny. Readers are told to "read it out loud".</t>
  </si>
  <si>
    <t xml:space="preserve">Redraw at 7 pt minimum (drop the type column or use two rows of tables), with the 1/N marks at 7 pt or more in bold.</t>
  </si>
  <si>
    <t xml:space="preserve">V12.5</t>
  </si>
  <si>
    <t xml:space="preserve">p. 10 · Figure 12.2 (order slip → five tables)</t>
  </si>
  <si>
    <t xml:space="preserve">Slip and table text 5.2–6.1 pt; the "Keys tie the pieces together" note about 5.4 pt.</t>
  </si>
  <si>
    <t xml:space="preserve">Enlarge to 7 pt minimum (fewer columns per table, or stack the tables under the slip).</t>
  </si>
  <si>
    <t xml:space="preserve">V12.6</t>
  </si>
  <si>
    <t xml:space="preserve">p. 41 · Figure 12.5 (written vs execution order)</t>
  </si>
  <si>
    <t xml:space="preserve">Stage sub-labels ("drop rows", "make groups") 4.9 pt and keyword pills 5.4–5.6 pt. The list directly above already gives the same content.</t>
  </si>
  <si>
    <t xml:space="preserve">Enlarge (2 rows of 4) at 7 pt minimum, or drop the figure.</t>
  </si>
  <si>
    <t xml:space="preserve">V12.7</t>
  </si>
  <si>
    <t xml:space="preserve">p. 34 · Figure 12.3 (inner vs left join)</t>
  </si>
  <si>
    <t xml:space="preserve">Table text 6.0–6.3 pt; notes 6.6–6.8 pt.</t>
  </si>
  <si>
    <t xml:space="preserve">Scale to 7 pt minimum.</t>
  </si>
  <si>
    <t xml:space="preserve">V12.8</t>
  </si>
  <si>
    <t xml:space="preserve">p. 38 · Figure 12.4 (fan-out fix)</t>
  </si>
  <si>
    <t xml:space="preserve">Cells 6.0–6.3 pt; the "SUM(paid) = 73,260 ✓" line 6.6 pt. The red/green panels also carry ✗/✓ text labels, so colour is not the only cue.</t>
  </si>
  <si>
    <t xml:space="preserve">V12.9</t>
  </si>
  <si>
    <t xml:space="preserve">p. 71 · Receivables-ageing query (§12.15 Q3)</t>
  </si>
  <si>
    <t xml:space="preserve">Still unfixed from v3. The CASE lines wrap to column 0: "AS" / "not_yet_due,", "AS" / "overdue_1_30,", "0.00" / "END) AS overdue_31_60,", "AS" / "overdue_60_plus". The aliases look like separate statements.</t>
  </si>
  <si>
    <t xml:space="preserve">Put each AS alias on its own indented line, or add a ↩ continuation marker with a hanging indent.</t>
  </si>
  <si>
    <t xml:space="preserve">V12.10</t>
  </si>
  <si>
    <t xml:space="preserve">p. 61 · §12.13 Step 9 "Fix the data first" UPDATEs — new</t>
  </si>
  <si>
    <t xml:space="preserve">All three UPDATE lines wrap inside the string literal, back to column 0: "'Kaveri Steel" / "Works';", "'Gujarat" / "Pigments';", "'Nilgiri" / "Packaging';". It looks as if the name contains a line break, and a copied statement would fail to match.</t>
  </si>
  <si>
    <t xml:space="preserve">Break before WHERE on an indented second line (drop the alignment padding).</t>
  </si>
  <si>
    <t xml:space="preserve">V12.11</t>
  </si>
  <si>
    <t xml:space="preserve">p. 48, 51–52, 57–58, 59–60, 61 · §12.13 PostgreSQL/MySQL pairs — new</t>
  </si>
  <si>
    <t xml:space="preserve">In several places two versions of the same statement, or of its output, are set one after the other with no "PostgreSQL:" / "MySQL:" label. Examples: the two CREATE TABLE purchase_orders blocks (p. 48); the two ID-list outputs (p. 52); the ROLLBACK test, where the MySQL block starts the next page (pp. 57→58); ALTER COLUMN … TYPE / MODIFY COLUMN split across pp. 59→60; SET NOT NULL / MODIFY … NOT NULL with their errors (p. 61). Elsewhere in the same section the labels are used (pp. 47, 56, 63). A PostgreSQL reader running the next block gets a syntax error.</t>
  </si>
  <si>
    <t xml:space="preserve">Put a small "PostgreSQL" / "MySQL" label (or tab chip) on every dialect-specific block, and keep each pair on one page.</t>
  </si>
  <si>
    <t xml:space="preserve">V12.12</t>
  </si>
  <si>
    <t xml:space="preserve">p. 53 · §12.13 "Loading rows from a CSV file" bullets — new</t>
  </si>
  <si>
    <t xml:space="preserve">The full \copy … and LOAD DATA LOCAL INFILE … IGNORE 1 LINES (…); commands are set as inline code spanning 2–3 lines of body text. The client option --local-infile=1 breaks as "--" / "local-infile=1". These are commands the reader must type exactly.</t>
  </si>
  <si>
    <t xml:space="preserve">Move each command into its own code block under its bullet; keep options such as --local-infile=1 unbroken.</t>
  </si>
  <si>
    <t xml:space="preserve">V12.13</t>
  </si>
  <si>
    <t xml:space="preserve">p. 9 · "One real order, spread across five tables"</t>
  </si>
  <si>
    <t xml:space="preserve">Still unfixed from v3. The paragraph ends at about 68% of the page, leaving 32% blank, because Figure 12.2 moved to p. 10.</t>
  </si>
  <si>
    <t xml:space="preserve">Let text flow round, or shrink or float the figure.</t>
  </si>
  <si>
    <t xml:space="preserve">V12.14</t>
  </si>
  <si>
    <t xml:space="preserve">p. 11→12 · "The data": order_items</t>
  </si>
  <si>
    <t xml:space="preserve">Still unfixed from v3. The table label "order_items" sits alone at the foot of p. 11 above a 29% blank; its table is on p. 12.</t>
  </si>
  <si>
    <t xml:space="preserve">Keep the label with its table (break-after: avoid).</t>
  </si>
  <si>
    <t xml:space="preserve">V12.15</t>
  </si>
  <si>
    <t xml:space="preserve">The badge reads "Sample chapter · Draft v4". That is a new wording: v3 had "Approved · Draft v3", and Ch10/11 have "Approved chapter v2". The cover also shows "16 September 2026", unchanged from v3 although this is a new draft, and "Every query tested on PostgreSQL 16 and MySQL 8".</t>
  </si>
  <si>
    <t xml:space="preserve">Remove for print, or standardise the badge and date across chapters.</t>
  </si>
  <si>
    <t xml:space="preserve">V12.16</t>
  </si>
  <si>
    <t xml:space="preserve">No page numbers, which matters more in a 95-page chapter.</t>
  </si>
  <si>
    <t xml:space="preserve">V12.17</t>
  </si>
  <si>
    <t xml:space="preserve">p. 87, 90, 91, 93, 95 · Answers at page foot — new positions</t>
  </si>
  <si>
    <t xml:space="preserve">These answers end a page with their content on the next: "5. Aggregate the sales first…:" (p. 87), "13." alone (p. 90), "15." alone (p. 91), "MySQL:" alone (p. 93, answer 23), and "27. The same in both:" (p. 95). The v3 strandings of "1." and "10." are fixed in v4.</t>
  </si>
  <si>
    <t xml:space="preserve">Keep answer numbers and "…:" lead-ins with their first block (global keep-with-next).</t>
  </si>
  <si>
    <t xml:space="preserve">V12.18</t>
  </si>
  <si>
    <t xml:space="preserve">p. 30, 35, 36, 37, 38, 42, 45, 49, 55, 60, 61, 70, 76 · Lead-ins at page foot</t>
  </si>
  <si>
    <t xml:space="preserve">Each page ends with a line like "…reports in SQL:" (30), "…two different aliases:" (35), "A reasonable-looking query:" (36), "…seems natural:" (37), "The fix: … result:" (38), "A correlated subquery with a real use…" (42), "…depends on the database and the tool:" (45), "Add several rows… commas:" (49), "…called a soft delete:" (55), "…Try it:" (60), "…same way in both databases:" (61), "First, the balance for every invoice:" (70) or "…MySQL puts it first:" (76). The code follows on the next page. Six of these are in §12.13.</t>
  </si>
  <si>
    <t xml:space="preserve">Global keep-with-next for paragraphs ending in ":" before a code block.</t>
  </si>
  <si>
    <t xml:space="preserve">V12.19</t>
  </si>
  <si>
    <t xml:space="preserve">p. 14 · Inline code "mysql-apt-config"</t>
  </si>
  <si>
    <t xml:space="preserve">Hyphenated across lines as "mysql-apt-" / "config".</t>
  </si>
  <si>
    <t xml:space="preserve">Non-breaking hyphens in inline code.</t>
  </si>
  <si>
    <t xml:space="preserve">V12.20</t>
  </si>
  <si>
    <t xml:space="preserve">p. 39→40, 51→52, 63→64, 64→65, 80→81 · Query separated from its result</t>
  </si>
  <si>
    <t xml:space="preserve">Version A query / output (39→40); the Gujarat insert / ID lists (51→52); the MySQL archive query / output (63→64); DROP TABLE suppliers; / its two errors (64→65); the monthly report / output (80→81).</t>
  </si>
  <si>
    <t xml:space="preserve">Keep each query with its output where it fits.</t>
  </si>
  <si>
    <t xml:space="preserve">V12.21</t>
  </si>
  <si>
    <t xml:space="preserve">p. 27→28 · Aggregate-functions table</t>
  </si>
  <si>
    <t xml:space="preserve">5 rows on p. 27; the last row (MIN/MAX) alone on p. 28 under a repeated header.</t>
  </si>
  <si>
    <t xml:space="preserve">V12.22</t>
  </si>
  <si>
    <t xml:space="preserve">p. 73→74 · "The differences that matter" table</t>
  </si>
  <si>
    <t xml:space="preserve">Header plus one row ("Days between two dates") at the foot of p. 73; the other 17 rows are on p. 74.</t>
  </si>
  <si>
    <t xml:space="preserve">Start the table on p. 74 with its heading.</t>
  </si>
  <si>
    <t xml:space="preserve">V12.23</t>
  </si>
  <si>
    <t xml:space="preserve">p. 67 · §12.13 cheat sheet — new</t>
  </si>
  <si>
    <t xml:space="preserve">An empty extra row with a closing rule after "Remove a database".</t>
  </si>
  <si>
    <t xml:space="preserve">Remove the empty row.</t>
  </si>
  <si>
    <t xml:space="preserve">V12.24</t>
  </si>
  <si>
    <t xml:space="preserve">p. 66–67, 74 · Dialect / cheat-sheet tables</t>
  </si>
  <si>
    <t xml:space="preserve">Monospace statements wrap mid-statement in narrow cells ("(FORMAT" / "csv, HEADER true)", "ALTER TABLE t SET" / "SCHEMA s;", "NOT" / "NULL and DEFAULT"). The column is still readable, but it looks ragged.</t>
  </si>
  <si>
    <t xml:space="preserve">Give the two code columns more width than "Task", or set the cells to no-wrap with a smaller size.</t>
  </si>
  <si>
    <t xml:space="preserve">V12.25</t>
  </si>
  <si>
    <t xml:space="preserve">p. 50, 65, 95 · Error-message output blocks</t>
  </si>
  <si>
    <t xml:space="preserve">Long error lines wrap to column 0 ("…depends on table" / "suppliers", "…hence column" / "cannot be dropped…").</t>
  </si>
  <si>
    <t xml:space="preserve">Hard-wrap the messages with an indent, as psql would show them.</t>
  </si>
  <si>
    <t xml:space="preserve">V12.26</t>
  </si>
  <si>
    <t xml:space="preserve">p. 76 · Heading "Trap 3: || means OR"</t>
  </si>
  <si>
    <t xml:space="preserve">The pill in the heading adds gaps either side.</t>
  </si>
  <si>
    <t xml:space="preserve">Trim the pill margin in headings.</t>
  </si>
  <si>
    <t xml:space="preserve">V12.27</t>
  </si>
  <si>
    <t xml:space="preserve">p. 1, 3 · Chapter title style</t>
  </si>
  <si>
    <t xml:space="preserve">The cover says "Chapter 12" with no full stop; the p. 3 heading and contents say "Chapter 12.".</t>
  </si>
  <si>
    <t xml:space="preserve">Pick one style book-wide.</t>
  </si>
  <si>
    <t xml:space="preserve">V12.28</t>
  </si>
  <si>
    <t xml:space="preserve">p. 86 · Answers heading</t>
  </si>
  <si>
    <t xml:space="preserve">"(In the finished book these move to Appendix G…)" is visible to readers.</t>
  </si>
  <si>
    <t xml:space="preserve">V12.29</t>
  </si>
  <si>
    <t xml:space="preserve">p. 82–83 · "You've got it when…" checklist</t>
  </si>
  <si>
    <t xml:space="preserve">Wrapped lines return under the checkbox with no hanging indent ("…anti-" / "join.", "ALTER" / "TABLE, and remove it…").</t>
  </si>
  <si>
    <t xml:space="preserve">Hanging indent for checkbox items.</t>
  </si>
  <si>
    <t xml:space="preserve">V12.30</t>
  </si>
  <si>
    <t xml:space="preserve">p. passim · "₹" and "→" glyphs; inline-code pills</t>
  </si>
  <si>
    <t xml:space="preserve">These fall back to DejaVu Serif (pages listed above). Pill padding adds a space before punctuation ("riverstone_lab ,", "( COUNT(*) )") and indents bullet heads that start with a pill (p. 49).</t>
  </si>
  <si>
    <t xml:space="preserve">Book-wide fixes.</t>
  </si>
  <si>
    <t xml:space="preserve">13.1</t>
  </si>
  <si>
    <t xml:space="preserve">§13.8 "A date spine with a recursive CTE" + Pattern 5 dialect note "MySQL a recursive CTE (section 13.8)"</t>
  </si>
  <si>
    <t xml:space="preserve">A recursive CTE (a CTE that refers to itself, a loop, UNION ALL anchor + recursive part, plus the cte_max_recursion_depth safety limit) is taught here as a side-note, but recursive CTEs belong to Ch 28 (M.7). It is also carried into Key terms ("recursive CTE · cte_max_recursion_depth"), the Recap ("replace generate_series with WITH RECURSIVE"), Exercise 16 and its answer, and the claim "a recursive CTE is the date-spine method you can take to either database with the smallest change".</t>
  </si>
  <si>
    <t xml:space="preserve">Use a calendar table instead (approved in M.7). (1) Have riverstone_2025_setup.sql / _mysql.sql create calendar_months(month DATE PRIMARY KEY) with 2025-01-01 … 2025-12-01, and a calendar_days table for 2025. (2) In Pattern 5, show the PostgreSQL generate_series version, then one sentence: "Most companies keep a calendar table for exactly this; the practice database has one: SELECT * FROM calendar_months; (12 rows)". Show the same query with FROM calendar_months AS m LEFT JOIN furniture …, which runs unchanged in both databases. (3) In §13.8, replace "A date spine with a recursive CTE" (block + "How the recursive CTE works" + the 1,000-row watch-out + SET SESSION) with "In MySQL, use the calendar table from Pattern 5; the query is identical." (4) Rewrite Ex 16 to use calendar_days (same answer: 31 / 17 / ₹439,824). (5) Remove "recursive CTE" and "cte_max_recursion_depth" from Key terms. Change the Recap bullet to "replace generate_series with a join to a calendar table". Change the §13.8 intro "CTEs, recursive CTEs, views" to "CTEs, views". (6) Move the recursive-CTE date spine and the MySQL 1,000-iteration limit to Ch 28 §(recursive CTEs), with a pointer back to Pattern 5.</t>
  </si>
  <si>
    <t xml:space="preserve">13.2</t>
  </si>
  <si>
    <t xml:space="preserve">§13.6 Running totals "SUM(m.revenue) OVER (ORDER BY m.month) adds up revenue from the first month"</t>
  </si>
  <si>
    <t xml:space="preserve">The running total relies on the default frame (RANGE … UNBOUNDED PRECEDING … CURRENT ROW), but frames only arrive in the next subsection (moving averages) and the default-frame trap two subsections later. The reader is told *that* it sums from the first month, not *why*. The query also breaks the chapter's own rule ("whenever you write a running total, write the frame explicitly").</t>
  </si>
  <si>
    <t xml:space="preserve">Sequence / Flow</t>
  </si>
  <si>
    <t xml:space="preserve">Reorder §13.6 to: MoM (LAG) → moving averages (introduces ROWS BETWEEN … AND … and the frame vocabulary table) → running totals written with ROWS BETWEEN UNBOUNDED PRECEDING AND CURRENT ROW → "The hidden frame trap" (show that leaving the frame out gives the same result here only because months are unique). In the running-total query, change WINDOW w AS (ORDER BY m.month) to WINDOW w AS (ORDER BY m.month ROWS BETWEEN UNBOUNDED PRECEDING AND CURRENT ROW). The output is identical.</t>
  </si>
  <si>
    <t xml:space="preserve">13.3</t>
  </si>
  <si>
    <t xml:space="preserve">§13.6 "at under 80% of the year-to-date target through July"</t>
  </si>
  <si>
    <t xml:space="preserve">Contradicted by the table directly above it: May's YTD is 81.7%. YTD was under 80% in Jan–Apr, Jun and Jul, but not May.</t>
  </si>
  <si>
    <t xml:space="preserve">Replace with: "Riverstone was behind target for ten straight months, hovering around 76–82% of the year-to-date target from February to August." (Jan 67.5, Feb 76.1, Mar 79.8, Apr 76.2, May 81.7, Jun 78.5, Jul 79.1, Aug 82.2.)</t>
  </si>
  <si>
    <t xml:space="preserve">13.4</t>
  </si>
  <si>
    <t xml:space="preserve">§13.2 table "Temporary table \</t>
  </si>
  <si>
    <t xml:space="preserve">until you disconnect" | Temporary tables are one of four options in the comparison table and in Key terms, but the chapter never shows one: no syntax, no output, no demonstration that the table disappears.</t>
  </si>
  <si>
    <t xml:space="preserve">First-time reader / Line-by-line</t>
  </si>
  <si>
    <t xml:space="preserve">After "Views: define it once", add a short "Temporary tables" subsection with a runnable 3-cell example (mini DB): (1) CREATE TEMP TABLE customer_revenue_tmp AS SELECT customer_id, SUM(net_revenue) AS revenue FROM sales_lines GROUP BY customer_id; → output SELECT 7; (2) SELECT COUNT(*) FROM customer_revenue_tmp; → 7; (3) disconnect/reconnect in DBeaver, run (2) again → ERROR: relation "customer_revenue_tmp" does not exist. Explain TEMP, AS SELECT, and when to prefer it over a CTE. MySQL note: CREATE TEMPORARY TABLE. Otherwise delete it from the table and Key terms.</t>
  </si>
  <si>
    <t xml:space="preserve">13.5</t>
  </si>
  <si>
    <t xml:space="preserve">§13.2 "CREATE VIEW sales_lines AS … Create this one in both databases"</t>
  </si>
  <si>
    <t xml:space="preserve">No output is shown and there is no way to check the view worked. There is no word on what happens if the reader runs it twice (ERROR: relation "sales_lines" already exists), how to change it (CREATE OR REPLACE VIEW / DROP VIEW), or how to switch databases in DBeaver between the two runs. The block itself (three-table join, two computed columns, a business rule in WHERE) is not explained line by line.</t>
  </si>
  <si>
    <t xml:space="preserve">After the block: show the output (CREATE VIEW), then a check (SELECT COUNT(*) FROM sales_lines; → mini DB line count; 2025 DB count) with both results. Add a 4-bullet line-by-line explanation: which table each column comes from, net_revenue = the Ch 12 formula, product_cost = quantity × unit cost (say where it's used later, or drop it), and WHERE status &lt;&gt; 'Cancelled' = the business rule. Add: "Ran it twice by mistake? You'll see 'already exists'. To change a view, use CREATE OR REPLACE VIEW (PostgreSQL and MySQL) or DROP VIEW sales_lines; then re-create." Add step-by-step: "In DBeaver, switch the editor's connection to riverstone_2025 (toolbar) and run the same statement again."</t>
  </si>
  <si>
    <t xml:space="preserve">13.6</t>
  </si>
  <si>
    <t xml:space="preserve">§13.2 "Here is the answer to exercise 13 from Chapter 12 … written with nested subqueries"</t>
  </si>
  <si>
    <t xml:space="preserve">The nested version the CTE replaces is not shown. The reader has to find the Ch 12 answer (headed for Appendix G) to see the "before".</t>
  </si>
  <si>
    <t xml:space="preserve">Print the Ch 12 nested-subquery answer (≈9 lines) right before the CTE, with the same 2-row output, and label the duplicated revenue logic in both places. The before/after is the whole argument for CTEs.</t>
  </si>
  <si>
    <t xml:space="preserve">13.7</t>
  </si>
  <si>
    <t xml:space="preserve">§13.3 "Window functions can use aggregates … SUM(SUM(net_revenue)) OVER ()"</t>
  </si>
  <si>
    <t xml:space="preserve">A classic stumbling block, stated in one sentence with no example. It is first used for real in the Exercise 2 answer.</t>
  </si>
  <si>
    <t xml:space="preserve">Add a worked cell after the sentence (mini DB): SELECT category, SUM(net_revenue) AS revenue, SUM(SUM(net_revenue)) OVER () AS all_categories FROM sales_lines GROUP BY category; with output (3 rows: 161,385 / 81,810 / 80,735, each with 323,930). Explain inner vs outer SUM against steps 3 and 5 of the §12.11 order.</t>
  </si>
  <si>
    <t xml:space="preserve">13.8</t>
  </si>
  <si>
    <t xml:space="preserve">§13.7 opening "The rest of the chapter is a set of patterns" (Patterns 1–10, pp. 165–175)</t>
  </si>
  <si>
    <t xml:space="preserve">Load: ten patterns, several of which bring 3–4 new ideas each (Pattern 5: generate_series + INTERVAL + cast; Pattern 7: EXTRACT(QUARTER), \ | \ | , month arithmetic, COUNT(DISTINCT CASE) ×3), all in one section with no checkpoint.</t>
  </si>
  <si>
    <t xml:space="preserve">Split into §13.7 "Patterns for ranking, shares and clean-up" (1 Top-N, 2 ABC, 3 Dedup, 4 Funnel, 10 Data-quality) and §13.8 "Patterns over time" (5 Date spine, 6 At-risk, 7 Cohort, 8 Streaks, 9 Pivot), and renumber MySQL to §13.9. End each with "Stop here. Try exercises 4, 9, 10 / 6, 7, 11." Add a sitting plan to "Time needed" (e.g., Week 1: 13.1–13.5; Week 2: 13.6–13.7; Week 3: 13.8–13.9 + project).</t>
  </si>
  <si>
    <t xml:space="preserve">13.9</t>
  </si>
  <si>
    <t xml:space="preserve">§13.7 Pattern 7 query (cohort retention)</t>
  </si>
  <si>
    <t xml:space="preserve">Four new ideas in one block: EXTRACT(QUARTER …), 'Q' \ | \ | number, the year×12+month arithmetic, and three COUNT(DISTINCT CASE …) columns.</t>
  </si>
  <si>
    <t xml:space="preserve">Build it in 3 cells, each with output: (1) first_orders alone (SELECT … LIMIT 5, showing customer_id / first_month); (2) cohort_activity for one customer (e.g., Patel: its months_since_first 0, 2, 3, 4, 5, 7, 10), showing the arithmetic on a row; (3) the final aggregate, first with only month_1_pct, then all three. Add a one-line note that EXTRACT returns a number, so 'Q' \ | \ | 1 gives Q1.</t>
  </si>
  <si>
    <t xml:space="preserve">13.10</t>
  </si>
  <si>
    <t xml:space="preserve">§13.8 table "13.5, Patterns 6 and 11"</t>
  </si>
  <si>
    <t xml:space="preserve">There is no Pattern 11 (it means Exercise 11). The table also leaves out two other places that subtract dates with -: the §13.2 ageing CTE (DATE '2026-03-31' - i.due_date) and Exercise 7 (w.next_order_date - w.order_date). In MySQL these run without error and give wrong numbers (the YYYYMMDD subtraction trap from §12.16), so a MySQL reader gets wrong ageing buckets.</t>
  </si>
  <si>
    <t xml:space="preserve">Consistency / Correctness</t>
  </si>
  <si>
    <t xml:space="preserve">Change the cell to "13.2 (ageing), 13.5, Pattern 6, exercises 7 and 11". Add the ageing line to the "What changes" examples: DATEDIFF(DATE '2026-03-31', i.due_date) AS days_past_due.</t>
  </si>
  <si>
    <t xml:space="preserve">13.11</t>
  </si>
  <si>
    <t xml:space="preserve">§13.3 "Only the function itself is required; the three parts inside OVER ( ) are optional"</t>
  </si>
  <si>
    <t xml:space="preserve">True in syntax, but misleading for ROW_NUMBER, RANK, DENSE_RANK, LAG and LEAD, which need ORDER BY to mean anything (RANK() OVER () gives every row 1; LAG without ORDER BY is arbitrary). Figure 13.2 also marks PARTITION BY and the frame "(optional)" but not ORDER BY, which disagrees with the sentence.</t>
  </si>
  <si>
    <t xml:space="preserve">Correctness / First-time reader</t>
  </si>
  <si>
    <t xml:space="preserve">Replace with: "Only the function is always required. PARTITION BY and the frame are optional. ORDER BY is optional for SUM/AVG/COUNT, but ranking functions and LAG/LEAD need it, because 'first' and 'previous' only make sense once rows are in order." Make the figure labels match.</t>
  </si>
  <si>
    <t xml:space="preserve">13.12</t>
  </si>
  <si>
    <t xml:space="preserve">§13.5 "LAG(revenue, 12, 0) … exactly 'the same month last year'"</t>
  </si>
  <si>
    <t xml:space="preserve">Two traps in one line. The default 0 turns "no data" into zero, so a YoY % would divide by zero or show a false −100%/+∞. And "12 rows back" is only "12 months back" if no month is missing (the lesson of Pattern 5, which comes later).</t>
  </si>
  <si>
    <t xml:space="preserve">Use LAG(revenue, 12) (NULL default) in the example. Add: "12 rows back equals 12 months back only when every month has a row; Pattern 5 shows how to guarantee that." The same fix applies to the §13.6 and stretch-goal mentions of LAG(revenue, 12).</t>
  </si>
  <si>
    <t xml:space="preserve">13.13</t>
  </si>
  <si>
    <t xml:space="preserve">§13.6 "JOIN sales_targets AS t ON t.target_month = m.month"</t>
  </si>
  <si>
    <t xml:space="preserve">sales_targets columns (target_month, target_revenue) are never shown. §13.1 describes only the grain.</t>
  </si>
  <si>
    <t xml:space="preserve">Before the query, add SELECT * FROM sales_targets ORDER BY target_month LIMIT 3; with its output (2025-01-01 / 300000 …), and say target_month is always the 1st of the month so it joins to DATE_TRUNC's output.</t>
  </si>
  <si>
    <t xml:space="preserve">13.14</t>
  </si>
  <si>
    <t xml:space="preserve">§13.7 Pattern 2 "Patel Kitchenware, which takes the total from 76.0% to exactly 80.0%"</t>
  </si>
  <si>
    <t xml:space="preserve">Recomputed: the cumulative share after Patel is 80.04%, and 80.0 is a rounding. The explanation (the class uses the share *before* the customer) is right, but "exactly" is not.</t>
  </si>
  <si>
    <t xml:space="preserve">"…takes the running share from 76.0% to 80.0% (80.04% before rounding), is still A…"</t>
  </si>
  <si>
    <t xml:space="preserve">13.15</t>
  </si>
  <si>
    <t xml:space="preserve">§13.7 Pattern 3 "PARTITION BY LOWER(email) groups … ignoring capital letters"</t>
  </si>
  <si>
    <t xml:space="preserve">All 21 duplicate rows shown have lower-case emails. Only the company name varies in case, so the output never shows LOWER() doing any work.</t>
  </si>
  <si>
    <t xml:space="preserve">Either plant one upper-case email in the setup data (e.g., lead 21 NovaSupermart@example.com) and show it grouping, or say "In this data the emails happen to be lower-case already; LOWER() protects you the day one isn't." Also add one sentence tying the counts together: 21 rows over 8 emails = 13 extra rows; 43 − 13 = 30.</t>
  </si>
  <si>
    <t xml:space="preserve">13.16</t>
  </si>
  <si>
    <t xml:space="preserve">§13.7 Pattern 4 "CASE h.stage WHEN 'New' THEN 1 …" and "COUNT(*) AS leads"</t>
  </si>
  <si>
    <t xml:space="preserve">(a) The simple-CASE form (CASE column WHEN value THEN …) is new; Ch 12 taught only the searched form CASE WHEN condition. (b) COUNT(*) counts history rows, so a lead that reaches a stage twice (e.g., re-quoted) is counted twice. The funnel also assumes every Won lead has rows for all earlier stages, which is not stated.</t>
  </si>
  <si>
    <t xml:space="preserve">(a) Add: "CASE h.stage WHEN 'New' THEN 1 … is shorthand for CASE WHEN h.stage = 'New' THEN 1 …." (b) Use COUNT(DISTINCT h.lead_id) AS leads (same output here) and say why. (c) Add a sentence: "This assumes the CRM records every stage a lead passes through; if a lead can jump from New to Won, count 'reached this stage or later' instead."</t>
  </si>
  <si>
    <t xml:space="preserve">13.17</t>
  </si>
  <si>
    <t xml:space="preserve">§13.7 Pattern 5 "How did Garden Chair sales change month to month?" / "generate_series(… INTERVAL '1 month')::date"</t>
  </si>
  <si>
    <t xml:space="preserve">The question is about Garden Chair, but the query filters category = 'Furniture' without saying Garden Chair is the only Furniture product. INTERVAL '1 month' literals and the fact that generate_series returns timestamps (hence ::date) are new and unexplained.</t>
  </si>
  <si>
    <t xml:space="preserve">Reword: "How did Furniture (Riverstone's only furniture product is the Garden Chair) change month to month?" In "How it works" add: "INTERVAL '1 month' is a length of time; generate_series steps by it. It returns timestamps, so ::date (§12.8) turns each back into a date."</t>
  </si>
  <si>
    <t xml:space="preserve">13.18</t>
  </si>
  <si>
    <t xml:space="preserve">§13.7 Pattern 6 output column "orders"</t>
  </si>
  <si>
    <t xml:space="preserve">COUNT(*) in customer_rhythm counts distinct order days (from order_days), not orders. The label "orders" is inaccurate for any customer with two orders on one day.</t>
  </si>
  <si>
    <t xml:space="preserve">Rename to order_days in the query and output, or add "(days with at least one order)" to the explanation.</t>
  </si>
  <si>
    <t xml:space="preserve">13.19</t>
  </si>
  <si>
    <t xml:space="preserve">§13.7 Pattern 8 "WHERE customer_id = 2" and Ex 3 "(customer 5)"</t>
  </si>
  <si>
    <t xml:space="preserve">Magic IDs: the reader is not shown that Patel Kitchenware is 2 or Metro Mart is 5 in the 2025 database.</t>
  </si>
  <si>
    <t xml:space="preserve">Add SELECT customer_id, customer_name FROM customers WHERE customer_name = 'Patel Kitchenware'; → 2 (or write WHERE customer_id = (SELECT customer_id FROM customers WHERE customer_name = 'Patel Kitchenware')). Do the same for Ex 3.</t>
  </si>
  <si>
    <t xml:space="preserve">13.20</t>
  </si>
  <si>
    <t xml:space="preserve">§13.4 "WITH units AS ( SELECT p.product_name, COALESCE(SUM(s.quantity), 0) … LEFT JOIN sales_lines"</t>
  </si>
  <si>
    <t xml:space="preserve">Why the query starts from products with a LEFT JOIN and COALESCE (so Garden Chair appears with 0) is not explained. It is the reason the tie example has a 6th row.</t>
  </si>
  <si>
    <t xml:space="preserve">Add one bullet: "Starting from products and LEFT JOINing sales keeps Garden Chair, which sold nothing; COALESCE turns its NULL sum into 0 (§12.6, §12.10)."</t>
  </si>
  <si>
    <t xml:space="preserve">13.21</t>
  </si>
  <si>
    <t xml:space="preserve">§13.4 latest-order query (no status filter)</t>
  </si>
  <si>
    <t xml:space="preserve">Unlike every other query in the chapter, this one includes cancelled orders (it reads orders, not sales_lines) and does not say whether that is intended.</t>
  </si>
  <si>
    <t xml:space="preserve">Add a sentence: "This reads orders directly, so a cancelled order can be 'latest'. That's right for 'last contact' and wrong for 'last purchase'; add WHERE o.status &lt;&gt; 'Cancelled' for the second."</t>
  </si>
  <si>
    <t xml:space="preserve">13.22</t>
  </si>
  <si>
    <t xml:space="preserve">§13.5 "LEAD(column) returns the value from the next row"</t>
  </si>
  <si>
    <t xml:space="preserve">LEAD is defined but not demonstrated in the body. It is first used in the Exercise 7 answer.</t>
  </si>
  <si>
    <t xml:space="preserve">Add a LEAD column to the §13.5 query (LEAD(o.order_date) OVER (PARTITION BY o.customer_id ORDER BY o.order_date) AS next_order) and show the extra output column.</t>
  </si>
  <si>
    <t xml:space="preserve">13.23</t>
  </si>
  <si>
    <t xml:space="preserve">§13.2 open_invoices "SELECT b.*, c.customer_name"</t>
  </si>
  <si>
    <t xml:space="preserve">alias.* (all columns of one table) is not explained. Ch 12 taught SELECT *.</t>
  </si>
  <si>
    <t xml:space="preserve">Add to the step-3 bullet: "b.* means every column from invoice_balances; then add the customer name."</t>
  </si>
  <si>
    <t xml:space="preserve">13.24</t>
  </si>
  <si>
    <t xml:space="preserve">Tools "Later: Power BI's DAX language (Chapter 16) has its own versions…"</t>
  </si>
  <si>
    <t xml:space="preserve">DAX preview in a Tools list for a SQL chapter (M.10). "Where this leads" already carries the Ch 16 pointer.</t>
  </si>
  <si>
    <t xml:space="preserve">Delete the "Later:" bullet from Tools. In Ch 16, add a back-pointer box: "Running totals, RANKX and time intelligence do what SQL windows did in Ch 13 §13.6."</t>
  </si>
  <si>
    <t xml:space="preserve">13.25</t>
  </si>
  <si>
    <t xml:space="preserve">Tools "Keep your pattern library in a Git repository (Chapter 26)"; "Chapter 32 introduces automatic formatting ('linting')"</t>
  </si>
  <si>
    <t xml:space="preserve">Forward references to tools 13–19 chapters away, placed in Tools as if usable now.</t>
  </si>
  <si>
    <t xml:space="preserve">Change to "Keep your pattern library as one .sql file per pattern in a folder (Chapter 26 puts it under version control)". Delete the linting clause or move it to "Where this leads".</t>
  </si>
  <si>
    <t xml:space="preserve">13.26</t>
  </si>
  <si>
    <t xml:space="preserve">Answers heading "(In the finished book these move to Appendix G.)"</t>
  </si>
  <si>
    <t xml:space="preserve">Drafting leftover (known, 59 chapters).</t>
  </si>
  <si>
    <t xml:space="preserve">Delete the parenthetical and keep "Every query below was run, and the outputs are real." Move the answers when the book is assembled.</t>
  </si>
  <si>
    <t xml:space="preserve">13.27</t>
  </si>
  <si>
    <t xml:space="preserve">Ex 15 answer "one more won website lead would double the website's rate"</t>
  </si>
  <si>
    <t xml:space="preserve">True only if an existing website lead converts (2/14 = 14.3%). A new won lead gives 2/15 = 13.3%.</t>
  </si>
  <si>
    <t xml:space="preserve">"…and if one more of the 14 website leads were won, its rate would double (1/14 → 2/14)."</t>
  </si>
  <si>
    <t xml:space="preserve">V13.1</t>
  </si>
  <si>
    <t xml:space="preserve">p. 41–42 · Practice exercises 10–16</t>
  </si>
  <si>
    <t xml:space="preserve">Two-digit list numbers sit at x = 48 pt, and the leading "1" is clipped by the column edge. "14." prints as "l4.", which the eye can read as "4.". The clipping is confirmed at 300 dpi.</t>
  </si>
  <si>
    <t xml:space="preserve">Widen the list-number box or right-align the numbers inside the text block. Don't let the list marker cross the clip path.</t>
  </si>
  <si>
    <t xml:space="preserve">V13.2</t>
  </si>
  <si>
    <t xml:space="preserve">p. 10 · Figure 13.1 (GROUP BY vs PARTITION BY)</t>
  </si>
  <si>
    <t xml:space="preserve">Table cells and notes are 5.4–6.9 pt, below the print minimum.</t>
  </si>
  <si>
    <t xml:space="preserve">Redraw at ≥ 7 pt. Stack the two right-hand tables under the input table if width is short.</t>
  </si>
  <si>
    <t xml:space="preserve">V13.3</t>
  </si>
  <si>
    <t xml:space="preserve">p. 11 · Figure 13.2 (anatomy of a window)</t>
  </si>
  <si>
    <t xml:space="preserve">Part labels and frame rows are 5.6–6.1 pt.</t>
  </si>
  <si>
    <t xml:space="preserve">Redraw at ≥ 7 pt.</t>
  </si>
  <si>
    <t xml:space="preserve">V13.4</t>
  </si>
  <si>
    <t xml:space="preserve">p. 12 · Figure 13.3 (three rankings)</t>
  </si>
  <si>
    <t xml:space="preserve">Text is 5.2–6.3 pt. The figure also repeats the psql output directly above it.</t>
  </si>
  <si>
    <t xml:space="preserve">Enlarge to ≥ 7 pt, or drop it, since the output already shows the three rankings.</t>
  </si>
  <si>
    <t xml:space="preserve">V13.5</t>
  </si>
  <si>
    <t xml:space="preserve">p. 30 · Figure 13.4 (gaps and islands)</t>
  </si>
  <si>
    <t xml:space="preserve">Text is 5.2–6.6 pt. The mini-table's last row ("Nov") has no bottom border and sits on the caption, so it looks cut off.</t>
  </si>
  <si>
    <t xml:space="preserve">Enlarge to ≥ 7 pt. Close the table border and add space above the caption.</t>
  </si>
  <si>
    <t xml:space="preserve">V13.6</t>
  </si>
  <si>
    <t xml:space="preserve">p. 14, 17, 19, 20, 22, 24, 25, 27, 28, 29, 30, 46, 48, 49, 50 · Code blocks (long … AS alias lines)</t>
  </si>
  <si>
    <t xml:space="preserve">Long lines wrap so that the alias or continuation lands at column 0 with no marker, e.g. "AS / previous_order," (p. 14), "moving_avg_3m," (p. 17), "COUNT(DISTINCT customer_id), 0) AS month_1_pct" (p. 28). Wrapped fragments read as new clauses.</t>
  </si>
  <si>
    <t xml:space="preserve">Hard-break long SQL deliberately (put the alias on its own indented line), or add a ↩ continuation marker and hanging indent to the code style.</t>
  </si>
  <si>
    <t xml:space="preserve">V13.7</t>
  </si>
  <si>
    <t xml:space="preserve">p. 9 · Before the PARTITION BY query</t>
  </si>
  <si>
    <t xml:space="preserve">"…the window restarts for each group:" ends the page above a ~20% blank. The query starts on p. 10.</t>
  </si>
  <si>
    <t xml:space="preserve">Keep the lead-in with its code, or allow the code block to split.</t>
  </si>
  <si>
    <t xml:space="preserve">V13.8</t>
  </si>
  <si>
    <t xml:space="preserve">p. 22 · Pattern 3 output</t>
  </si>
  <si>
    <t xml:space="preserve">The 21-row output is pushed to p. 23, leaving ~28% of p. 22 blank.</t>
  </si>
  <si>
    <t xml:space="preserve">Allow output blocks to split (repeating the header line), or shorten the output to the first rows plus "…".</t>
  </si>
  <si>
    <t xml:space="preserve">V13.9</t>
  </si>
  <si>
    <t xml:space="preserve">p. 26 · Pattern 6</t>
  </si>
  <si>
    <t xml:space="preserve">~25% blank after "The idea." The at-risk query starts on p. 27.</t>
  </si>
  <si>
    <t xml:space="preserve">Allow the query to split, or move a paragraph up.</t>
  </si>
  <si>
    <t xml:space="preserve">V13.10</t>
  </si>
  <si>
    <t xml:space="preserve">p. 28→29 · Pattern 7 "How it works."</t>
  </si>
  <si>
    <t xml:space="preserve">The run-in heading "How it works." is stranded alone at the foot of p. 28, with its bullets on p. 29.</t>
  </si>
  <si>
    <t xml:space="preserve">V13.11</t>
  </si>
  <si>
    <t xml:space="preserve">p. 34 · 13.8 date spine</t>
  </si>
  <si>
    <t xml:space="preserve">"Here is Pattern 5's Garden Chair query in MySQL:" ends the page above a ~30% blank. The code is on p. 35.</t>
  </si>
  <si>
    <t xml:space="preserve">Keep the lead-in with its code, or let the code split.</t>
  </si>
  <si>
    <t xml:space="preserve">V13.12</t>
  </si>
  <si>
    <t xml:space="preserve">p. 42 · Answers heading</t>
  </si>
  <si>
    <t xml:space="preserve">"Answers to practice exercises", its note and "1. (Mini database.)" sit at the page foot. Answer 1's code is on p. 43.</t>
  </si>
  <si>
    <t xml:space="preserve">Start the answers on a new page, or keep the heading with the first code block.</t>
  </si>
  <si>
    <t xml:space="preserve">V13.13</t>
  </si>
  <si>
    <t xml:space="preserve">p. 45, 48, 49, 50 · Answers 7, 11, 12, 16</t>
  </si>
  <si>
    <t xml:space="preserve">The answer number or lead-in is stranded at the page foot with 20–40% blank below: "7." alone (p. 45), "11." alone (p. 48), "12. …excluding it:" (p. 49), "16. …no sales:" (p. 50).</t>
  </si>
  <si>
    <t xml:space="preserve">Keep-with-next for answer numbers and "…:" lead-ins.</t>
  </si>
  <si>
    <t xml:space="preserve">V13.14</t>
  </si>
  <si>
    <t xml:space="preserve">p. 51 · Answer 16 text</t>
  </si>
  <si>
    <t xml:space="preserve">A stray "✓" sits mid-sentence: "…(₹439,824). ✓ Orders came in on only 14…". It looks like a leftover checking mark.</t>
  </si>
  <si>
    <t xml:space="preserve">Delete the tick.</t>
  </si>
  <si>
    <t xml:space="preserve">V13.15</t>
  </si>
  <si>
    <t xml:space="preserve">"Draft chapter" badge, "16 September 2026" and "Every query tested on PostgreSQL 16 and MySQL 8" are visible. Ch14–16 say "Approved chapter v1.x".</t>
  </si>
  <si>
    <t xml:space="preserve">Remove it for print, or align the label with the other chapters.</t>
  </si>
  <si>
    <t xml:space="preserve">V13.16</t>
  </si>
  <si>
    <t xml:space="preserve">V13.17</t>
  </si>
  <si>
    <t xml:space="preserve">p. 32 · 13.8 "Month-over-month growth in MySQL"</t>
  </si>
  <si>
    <t xml:space="preserve">"The query from section 13.6, with only the month calculation changed:" is the last line of the page. The code is on p. 33.</t>
  </si>
  <si>
    <t xml:space="preserve">V13.18</t>
  </si>
  <si>
    <t xml:space="preserve">p. 33 · MySQL spelling table</t>
  </si>
  <si>
    <t xml:space="preserve">Inline code wraps mid-expression in narrow cells: "DATE_TRUNC('month', / order_date)::date", "DATEDIFF(order_date, LAG(order_date) OVER / (…))".</t>
  </si>
  <si>
    <t xml:space="preserve">Widen columns 1–2 (column 3 has spare width) or set code cells to no-wrap.</t>
  </si>
  <si>
    <t xml:space="preserve">V13.19</t>
  </si>
  <si>
    <t xml:space="preserve">p. 11 · Figure 13.2 frame example</t>
  </si>
  <si>
    <t xml:space="preserve">"◄ 2 PRECEDING" points only at the Feb row, although Mar is also one of the preceding rows in the frame.</t>
  </si>
  <si>
    <t xml:space="preserve">Use a bracket spanning Feb–Mar, or label the rows "1 PRECEDING" and "2 PRECEDING".</t>
  </si>
  <si>
    <t xml:space="preserve">V13.20</t>
  </si>
  <si>
    <t xml:space="preserve">p. 3, 4, 8, 10, … · Inline code pills</t>
  </si>
  <si>
    <t xml:space="preserve">The pill padding adds a visible space inside brackets and before punctuation: "( riverstone )", "GROUP BY :", "( ROW_NUMBER , RANK , … )".</t>
  </si>
  <si>
    <t xml:space="preserve">Reduce horizontal pill padding, or remove the spaces around pills before punctuation.</t>
  </si>
  <si>
    <t xml:space="preserve">V13.21</t>
  </si>
  <si>
    <t xml:space="preserve">p. 10, 15, 17–19, 25, 31, 47, 51 · "₹" and "→" glyphs</t>
  </si>
  <si>
    <t xml:space="preserve">They fall back to DejaVu Serif because Lora lacks them. The difference is barely visible.</t>
  </si>
  <si>
    <t xml:space="preserve">Use a body font with ₹ and → (or subset them from a matching font).</t>
  </si>
  <si>
    <t xml:space="preserve">14.1</t>
  </si>
  <si>
    <t xml:space="preserve">§14.1 "psql -d riverstone_full -f sql/ch14_load_postgresql.sql" / "mysql --local-infile=1 -u root -p …" / "Run them from companion/ch14"</t>
  </si>
  <si>
    <t xml:space="preserve">The first action in the chapter is two terminal commands, including changing directory and client flags. The terminal is not taught until Ch 26 §26.0 (M.4). Readers set up databases through DBeaver in Ch 12 §12.3. The riverstone_full databases themselves are never set up either: the text says "loaded as the databases riverstone_full" but gives no step.</t>
  </si>
  <si>
    <t xml:space="preserve">Replace with DBeaver steps, as in §12.3: (1) "Create database riverstone_full, then File → Open File… → companion/full/riverstone_full_setup_postgresql.sql → Execute script (Alt+X). Check: SELECT COUNT(*) FROM order_items; → 209,006." (2) "Open companion/ch14/sql/ch14_load_postgresql.sql, make sure the editor's connection is riverstone_full, Execute script. Check: SELECT COUNT(*) FROM stg_orders_raw; → 25,976." Note that the script's file paths must point to the reader's companion folder (say which line to edit), or have the script use COPY … FROM with a documented path. (3) MySQL: in DBeaver, Edit Connection → Driver properties → allowLoadLocalInfile = true, plus SET GLOBAL local_infile = 1; run once. Move the psql/mysql command-line forms to Ch 26 §26.0 as an exercise ("now load it from the terminal").</t>
  </si>
  <si>
    <t xml:space="preserve">14.2</t>
  </si>
  <si>
    <t xml:space="preserve">Throughout: At-a-glance "a first look at pandas"; Tools "Python 3.12 with pandas…" (×2); §14.3 table column "pandas (section 14.11)"; §14.4 "drop_duplicates() in pandas", "rapidfuzz"; §14.6 "In pandas: df[df.quantity &gt; 90]"; §14.7 "tz_convert", "thousands=',' … in read_csv"; §14.8 ".str.strip().str.zfill(4)"; §14.10 "PostgreSQL, MySQL, and pandas versions alike"; §14.13 whole section; Project step 1 "pandas with dtype=str"; "You've got it" "…Power Query, SQL…, and pandas"; Exercises intro "or pandas"; Ex 23</t>
  </si>
  <si>
    <t xml:space="preserve">Python/pandas before Ch 17–18 (M.2). It is not only §14.13: about 15 pandas mentions and snippets are spread across the chapter, including a whole column of the §14.3 tool table.</t>
  </si>
  <si>
    <t xml:space="preserve">(1) Move §14.13 in full to Ch 18 as §18.10 "Cleaning the Q4 export in pandas". Keep its four cells and outputs, and add line-by-line explanations there (dtype=str, keep_default_na, .str.fullmatch, duplicated(), value_counts(), pd.to_numeric, zfill). (2) Delete the pandas column from the §14.3 "Missing values in each tool" table and move it to Ch 18 §18.10 as a recap table. (3) Delete the pandas clauses in §14.4 (drop_duplicates, rapidfuzz), §14.6, §14.7 (tz_convert, read_csv separators) and §14.8 (zfill). (4) §14.10: "…for the PostgreSQL and MySQL versions alike". (5) At-a-glance: "…in Excel and Power Query, and in SQL (PostgreSQL and MySQL)". Delete "Python 3.12…" from both Tools lists. (6) §14.1 principle: "A recorded Power Query or a SQL script cleans it again in seconds". (7) Project step 1: drop pandas. "You've got it": "…in both Power Query and SQL". (8) Delete Ex 23 (move it to Ch 18). Delete "or pandas" from the exercises intro. (9) Keep the "Where this leads → Chapter 18" bullet.</t>
  </si>
  <si>
    <t xml:space="preserve">14.3</t>
  </si>
  <si>
    <t xml:space="preserve">§14.2 first profiling queries: "WHERE order_item_id !~ '^[0-9]+$'", "regexp_replace(order_date, '[0-9]', '9', 'g')"</t>
  </si>
  <si>
    <t xml:space="preserve">Regular expressions are used in about 20 places in the chapter (~, !~, regexp_replace with 'g'/'i' flags, ^ $ [0-9] [^0-9] \d{2} \s+ + ? \ | , M's Text.Select range, Excel's REGEXREPLACE) but are never taught. Ch 10–13 never used them (Ch 11 only mentions that REGEX functions exist). The first explanation of a pattern arrives in §14.7, well after first use.</t>
  </si>
  <si>
    <t xml:space="preserve">Add a box at the start of §14.2, "Patterns in 10 minutes (regular expressions)": a table of 9 tokens (^ start, $ end, [0-9] / \d one digit, [^0-9] anything but a digit, + one or more, {4} exactly four, ? optional, \s a space, \ |  or). Then 4 runnable cells with output: SELECT '0124' ~ '^[0-9]+$'; → t; SELECT 'order_item_id' ~ '^[0-9]+$'; → f; SELECT regexp_replace('05-11-2025', '[0-9]', '9', 'g'); → 99-99-9999 (explain that 'g' = every match, not just the first); SELECT regexp_replace('Rs. 430', '^[^0-9]+', ''); → 430. Explain ~ (matches) and !~ (doesn't match). Point forward: "MySQL spells these REGEXP and REGEXP_REPLACE (§14.12)". Explain the 'i' flag where the match key uses it.</t>
  </si>
  <si>
    <t xml:space="preserve">14.4</t>
  </si>
  <si>
    <t xml:space="preserve">§14.3 missingness query "FROM clean_order_lines"; §14.6 "FROM clean_order_lines c WHERE c.quantity &gt; 90"; §14.7 "c.entered_at_ist", "WHERE c.date_repaired"; §14.5 "FROM typed t"; §14.9 "FROM clean_customers … email_invalid … signup_in_future"; §14.10 "dq_order_issues"</t>
  </si>
  <si>
    <t xml:space="preserve">The chapter never shows how clean_order_lines, clean_customers or dq_order_issues are built. It says "the companion script builds" them and shows fragments. Their columns (date_repaired, entered_at_ist, match_key, email_invalid, signup_in_future, action, issue) appear with no definition. The first use (§14.3) is three sections before the steps that produce the table (§14.4–14.7). A reader cannot rebuild the pipeline from the chapter. That breaks the author's "shown, run, output shown" rule for the chapter's main deliverable.</t>
  </si>
  <si>
    <t xml:space="preserve">Add §14.10a "The whole pipeline in SQL" (the mirror of §14.11's Power Query steps), printing the core of ch14_clean_postgresql.sql as named CTE steps, each followed by a row-count check with output: (1) data_rows (regex filter → 25,969); (2) deduped (SELECT DISTINCT * → 25,832); (3) typed (casts, NULLIF, LPAD, currency strip, fraction discounts, cartons); (4) mapped (status/branch joins); (5) parsed (date parts + test, from 14.6 below); (6) repaired (entry-date and price→product repairs, with the date_repaired / product_repaired flags); then CREATE TABLE clean_order_lines AS … and INSERT INTO dq_order_issues …. Do the same in a short block for clean_customers (match_key, email !~ '^[^@\s]+@[^@\s]+\.[^@\s]+$' AS email_invalid, signup_date &gt; CURRENT_DATE AS signup_in_future). Then move the §14.3 "missingness by branch" query to after that point (or run it on stg_orders_raw with LOWER(TRIM(branch)) and say the branch names are not yet standardized). In §14.6 and §14.7 add "(built in §14.10a)" at the first mention.</t>
  </si>
  <si>
    <t xml:space="preserve">14.5</t>
  </si>
  <si>
    <t xml:space="preserve">§14.7 "CASE WHEN order_date ~ '^\d{2}[-/]\d{2}[-/]\d{4}$' THEN substr(order_date,7,4)::int … END AS y (with matching expressions for month and day), and then: CASE … make_date(y, m, 1) + (dd - 1) …"</t>
  </si>
  <si>
    <t xml:space="preserve">The date-parsing logic is given as two fragments: the month and day expressions are left to the reader, y/m/dd come from an unseen step, and no output is shown. Five new things arrive at once: \d{n}, substr, ::int, make_date, date + integer. The "does the month survive" test is clever but is not shown working on a row.</t>
  </si>
  <si>
    <t xml:space="preserve">Replace with a runnable demo on a VALUES list of six sample strings ('05-11-2025', '05/11/2025', '2025-11-05', '45940', '31-11-2025', '32-10-2025'), in two cells: (1) parts CTE with y, m, dd as columns → output 6 rows (explain substr(text, start, length) and ::int); (2) add make_date(y, m, 1) + (dd - 1) AS candidate, EXTRACT(MONTH FROM …) = m AS month_survives, and the final parsed_date → output showing 2025-11-05 ×3, 2025-10-10, NULL, NULL. Explain each column. Then say the cleaning script applies exactly this to the 25,832 lines.</t>
  </si>
  <si>
    <t xml:space="preserve">14.6</t>
  </si>
  <si>
    <t xml:space="preserve">§14.2 "Six rows contain the word order_item_id … One row has an empty ID: the footer … That accounts for one of the 25,833 'distinct IDs' too."</t>
  </si>
  <si>
    <t xml:space="preserve">Wrong reason. COUNT(DISTINCT …) ignores NULLs, and the chapter itself says PostgreSQL loads an unquoted empty field as NULL (the query tests IS NULL). So the footer is not counted. The extra distinct value is the header text order_item_id: 25,832 real IDs + 1 = 25,833. The chapter's own later numbers (25,969 − 25,832 = 137) confirm this.</t>
  </si>
  <si>
    <t xml:space="preserve">Replace the sentence with: "The repeated header text order_item_id is itself one of the 25,833 'distinct IDs'; the footer's empty ID is NULL, which COUNT(DISTINCT) skips. So there are 25,832 real IDs."</t>
  </si>
  <si>
    <t xml:space="preserve">14.7</t>
  </si>
  <si>
    <t xml:space="preserve">§14.2 query layout: "SELECT order_item_id, COUNT(*) AS rows FROM stg_orders_raw WHERE … GROUP BY order_item_id ORDER BY rows DESC;" and all profiling queries</t>
  </si>
  <si>
    <t xml:space="preserve">Every profiling query is on one or two long lines, unlike Ch 12–13's one-clause-per-line style, and none has a "How it works". GROUP BY 1 / ORDER BY 1 (positional) is used from the second query on and never explained. NULLIF appears first in the quantities query without a definition.</t>
  </si>
  <si>
    <t xml:space="preserve">Reformat all §14.2 queries one clause per line (as in Ch 13). At the first GROUP BY 1, add: "GROUP BY 1 means 'group by the first column in the SELECT list', a shortcut for repeating the expression; ORDER BY 1 sorts by it." At the first NULLIF(quantity, ''), add: "NULLIF(a, b) returns NULL when a equals b, so an empty string becomes a real NULL before ::int, which would fail on ''."</t>
  </si>
  <si>
    <t xml:space="preserve">14.8</t>
  </si>
  <si>
    <t xml:space="preserve">§14.5 "SELECT ..., ms.clean_value AS status, mb.clean_value AS branch FROM typed t LEFT JOIN map_status ms …"</t>
  </si>
  <si>
    <t xml:space="preserve">A fragment: ... and the undefined typed table make it impossible to run. The mapping table's contents are shown as a figure only, never queried.</t>
  </si>
  <si>
    <t xml:space="preserve">Show two runnable cells: (1) SELECT * FROM map_status ORDER BY clean_value, raw_value; → 7 rows; (2) SELECT t.status AS exported, LOWER(TRIM(t.status)) AS key, ms.clean_value, COUNT(*) FROM stg_orders_raw t LEFT JOIN map_status ms ON ms.raw_value = LOWER(TRIM(t.status)) WHERE t.order_item_id ~ '^[0-9]+$' GROUP BY 1, 2, 3 ORDER BY 3, 4 DESC; → the 18 → 4 table with no NULLs (this is Figure 14.4 as a query). Then say the full pipeline (§14.10a) applies the same join.</t>
  </si>
  <si>
    <t xml:space="preserve">14.9</t>
  </si>
  <si>
    <t xml:space="preserve">§14.4 "LOWER(regexp_replace(regexp_replace(customer_name, '\s+(pvt\.?\s*ltd\.?\</t>
  </si>
  <si>
    <t xml:space="preserve">private limited)$', '', 'i'), '\s+', ' ', 'g')) AS match_key" | A three-deep nested expression with two regex patterns and two flags, given as a fragment (no FROM) and explained in one sentence. Figure 14.3 shows the steps in a different order (LOWER → collapse spaces → remove suffix) from the code (remove suffix → collapse → LOWER).</t>
  </si>
  <si>
    <t xml:space="preserve">Build it in one runnable cell on a 3-row VALUES list ('BHARAT Stores Agra Pvt Ltd', 'Bharat  Stores Agra', 'Bharat Silk Route Home Needs Pvt. Ltd.'), with one output column per step: step1_no_suffix, step2_one_space, match_key. Explain \s+, \.? ("an optional dot"), (a\ | b), $, the 'i' flag and the 'g' flag. Reorder Figure 14.3 to match the code, or reorder the code to match the figure. Either gives the same key here.</t>
  </si>
  <si>
    <t xml:space="preserve">14.10</t>
  </si>
  <si>
    <t xml:space="preserve">§14.4 "STRING_AGG(customer_code \</t>
  </si>
  <si>
    <t xml:space="preserve">\ | ' ' \ | \ | customer_name, ' \ | ' ORDER BY customer_code)" | STRING_AGG (and ORDER BY inside an aggregate) is new and not explained.</t>
  </si>
  <si>
    <t xml:space="preserve">Add: "STRING_AGG(text, separator ORDER BY …) is an aggregate that joins the group's values into one string, like TEXTJOIN in Excel (Ch 11). Here it lists both versions of each duplicate side by side. MySQL: GROUP_CONCAT(… ORDER BY … SEPARATOR ' \ | ')."</t>
  </si>
  <si>
    <t xml:space="preserve">14.11</t>
  </si>
  <si>
    <t xml:space="preserve">§14.6 "JOIN orders o USING (order_id)"; §14.9 "JOIN products p USING (product_id)"; §14.10 "JOIN order_items oi USING (order_item_id)"</t>
  </si>
  <si>
    <t xml:space="preserve">USING join syntax is new and not explained (Ch 12 taught ON a.x = b.x only).</t>
  </si>
  <si>
    <t xml:space="preserve">At first use (§14.6): "USING (order_id) is shorthand for ON oi.order_id = o.order_id when the column has the same name in both tables."</t>
  </si>
  <si>
    <t xml:space="preserve">14.12</t>
  </si>
  <si>
    <t xml:space="preserve">§14.7 "FROM (VALUES ('₹1,400.00'), ('Rs. 430'), ('750')) AS v(unit_price)"</t>
  </si>
  <si>
    <t xml:space="preserve">Table-value constructor, new and not explained.</t>
  </si>
  <si>
    <t xml:space="preserve">Add: "VALUES (…), (…) builds a tiny table on the spot; AS v(unit_price) names it and its column. Handy for testing an expression on a few examples before running it on 25,000 rows." (Useful again for 14.5 and 14.9.)</t>
  </si>
  <si>
    <t xml:space="preserve">14.13</t>
  </si>
  <si>
    <t xml:space="preserve">§14.3 table row "Fill down … LAST_VALUE(...) IGNORE NULLS is limited; use a window with COUNT (Chapter 13)"</t>
  </si>
  <si>
    <t xml:space="preserve">Ch 13 never taught a COUNT-window fill-down (I checked). PostgreSQL does not support IGNORE NULLS in window functions at all, so "is limited" understates it. The reader is sent to a technique that doesn't exist in the book.</t>
  </si>
  <si>
    <t xml:space="preserve">Correctness / Cross-reference</t>
  </si>
  <si>
    <t xml:space="preserve">Either (a) replace the SQL cell with "No simple SQL equivalent; do it in Power Query, or see the box below", and add a 6-row worked example: COUNT(branch) OVER (ORDER BY row_no) AS grp then MAX(branch) OVER (PARTITION BY grp) with output showing the blanks filled; or (b) write "not practical in SQL at this stage; use Power Query's Fill Down" and drop the Ch 13 reference.</t>
  </si>
  <si>
    <t xml:space="preserve">14.14</t>
  </si>
  <si>
    <t xml:space="preserve">§14.6 "Methods for spotting outliers" table: "Percentiles … IQR rule … Q1 − 1.5 × IQR (Chapter 21) … Z-score … 3 standard deviations … Box plot, histogram (Chapter 15)"</t>
  </si>
  <si>
    <t xml:space="preserve">Percentile, quartile, IQR, standard deviation, z-score, box plot and histogram are all used before they are taught (Ch 15, Ch 21). Two of them are Key terms of this chapter. For a first-time reader these rows are noise, and the chapter itself chooses business limits.</t>
  </si>
  <si>
    <t xml:space="preserve">First-time reader / Sequence</t>
  </si>
  <si>
    <t xml:space="preserve">Keep three rows: Business limits, Within-group comparison, Visual (charts in Ch 15). Replace the Percentiles/IQR/Z-score rows with one sentence under the table: "Statistical rules (percentiles, the IQR rule, z-scores) come in Chapter 21 once those measures are taught; for business data, limits from history are usually the better first check." Remove "IQR rule" and "z-score" from Key terms.</t>
  </si>
  <si>
    <t xml:space="preserve">14.15</t>
  </si>
  <si>
    <t xml:space="preserve">§14.6 "The profile also shows Wholesale lines of 85 or 90 Industrial Crates"</t>
  </si>
  <si>
    <t xml:space="preserve">Contradicts the table just above it: product 105 (Industrial Crate; ₹1,400 in §14.11 step 9) had a pre-Q4 maximum of 65. The §14.2 profile also didn't show this; it showed only the overall 5–700 range. If Q4 has 85–90-crate lines, a per-product limit (which the text recommends: "the historical maximum per product, or overall") would flag them as outliers, not "reality".</t>
  </si>
  <si>
    <t xml:space="preserve">Pick one: (a) name a product whose history does reach 85–90 (101, 103, 104, 107 or 108 per the table), e.g., "Wholesale lines of 85 or 90 Storage Box 10L"; or (b) keep crates and say "…up to 65 crates, the most ever sold on a line". Also make the rule explicit: the validation uses the overall limit 90, and a per-product limit would be stricter (and would need 105's 65).</t>
  </si>
  <si>
    <t xml:space="preserve">14.16</t>
  </si>
  <si>
    <t xml:space="preserve">§14.7 "The entry dates show what the dates should have been, often the 28th, which suggests someone typed a slip of a key."</t>
  </si>
  <si>
    <t xml:space="preserve">The data doesn't support a "slip of a key": e.g., exported 31-09-2025 vs entered 28 Dec; exported 32-10-2025 vs entered 30 Nov. The month is wrong by up to three, which no single keystroke explains. The section also relies on "the entry date in Indian time is always the order date", which is presented as fact here but is shown as a decision ("confirmed with ERP team") only in the log.</t>
  </si>
  <si>
    <t xml:space="preserve">Correctness / Consistency</t>
  </si>
  <si>
    <t xml:space="preserve">Replace with: "Only the day and month are impossible, and several don't even match the entry month, so the whole exported date is untrustworthy. Riverstone's ERP team confirmed that orders are always entered on the order date (IST), so the entry date is a reliable repair."</t>
  </si>
  <si>
    <t xml:space="preserve">14.17</t>
  </si>
  <si>
    <t xml:space="preserve">§14.7 UTC query "COUNT(*) FILTER (WHERE (entered_at_ist - INTERVAL '5 hours 30 minutes')::date &lt;&gt; order_date)"</t>
  </si>
  <si>
    <t xml:space="preserve">Uses entered_at_ist one paragraph before the conversion entered_at_utc::timestamptz AT TIME ZONE 'Asia/Kolkata' is shown. The reader also isn't told why the query subtracts 5:30 from IST instead of reading entered_at_utc directly. ::timestamptz and INTERVAL '5 hours 30 minutes' are new.</t>
  </si>
  <si>
    <t xml:space="preserve">Swap the order: show the conversion expression first (with 2 sample rows as output: UTC → IST), then the count. Simplify the count to WHERE entered_at_utc::timestamptz::date &lt;&gt; order_date (with the session time zone set to UTC), or explain "IST − 5:30 = UTC".</t>
  </si>
  <si>
    <t xml:space="preserve">14.18</t>
  </si>
  <si>
    <t xml:space="preserve">§14.7 "A web-portal order entered at 00:05 IST"; Ex 16 answer "web entries shortly after midnight IST"</t>
  </si>
  <si>
    <t xml:space="preserve">Riverstone's order entry is described in §14.1 as four branch sales offices entering into the ERP. No web portal has been introduced.</t>
  </si>
  <si>
    <t xml:space="preserve">Say "An order keyed in at 00:05 IST on 1 November (say, a late-night upload from Kolkata)…" or introduce the portal in §14.1's description.</t>
  </si>
  <si>
    <t xml:space="preserve">14.19</t>
  </si>
  <si>
    <t xml:space="preserve">§14.2 status profile "Delivered appears twice because one version has a trailing space you can't see"</t>
  </si>
  <si>
    <t xml:space="preserve">Pending (1,026 + 57) and Shipped (1,004 + 51) also appear twice for the same reason, as Figure 14.4 shows with ␣, but the text names only Delivered. The printed output gives the reader no way to see the space.</t>
  </si>
  <si>
    <t xml:space="preserve">"Delivered, Pending and Shipped each appear twice: one version has a trailing space." Add a column to the query to make it visible: '[' \ | \ | status \ | \ | ']' AS shown, LENGTH(status) AS len → [Delivered ]  10.</t>
  </si>
  <si>
    <t xml:space="preserve">14.20</t>
  </si>
  <si>
    <t xml:space="preserve">§14.5 "GROUP BY BINARY status"; §14.12 table "GROUP BY BINARY col"; Mistakes table; Ex 6 answer</t>
  </si>
  <si>
    <t xml:space="preserve">The BINARY operator is deprecated since MySQL 8.0.27 (warning 1287). Readers on current 8.0.x/8.4 will see a deprecation warning.</t>
  </si>
  <si>
    <t xml:space="preserve">Make GROUP BY status COLLATE utf8mb4_bin (already mentioned as an alternative) the primary form everywhere, or use CAST(status AS BINARY), and mention BINARY only as the older spelling.</t>
  </si>
  <si>
    <t xml:space="preserve">14.21</t>
  </si>
  <si>
    <t xml:space="preserve">§14.3 "14 lines (₹X of list value, to be confirmed by the ERP team) are excluded."</t>
  </si>
  <si>
    <t xml:space="preserve">Decision: an intentional template (model wording for a report footnote), not a drafting leftover. The value of lines with a blank quantity really is unknown until the source is checked. But as printed it reads like an unfilled placeholder, and "list value" can't be computed without a quantity, so the sentence is internally odd.</t>
  </si>
  <si>
    <t xml:space="preserve">Rewrite as model wording that needs no placeholder, consistent with Meera's note in the story: *"14 order lines with no quantity are excluded from revenue until the branches confirm them (list attached)."* If a rupee figure is wanted, make the slot visibly a template: "…(value: ₹____, to be confirmed by the ERP team)".</t>
  </si>
  <si>
    <t xml:space="preserve">14.22</t>
  </si>
  <si>
    <t xml:space="preserve">§14.10 "The companion check checks/ch14_compare_clean.py goes further…"; Tools "checks/ch14_compare_clean.py : compares your cleaned table with the truth"; Project step 5 "using checks/ch14_compare_clean.py"</t>
  </si>
  <si>
    <t xml:space="preserve">A build/QA script named as a reader file (test 6 leftover; sequence map "Build scripts as reader files"). It is also Python, which the reader can't run yet, and its path sits outside companion/ch14/. The full-column comparison it performs is the natural end of the SQL reconciliation lesson, and the reader never gets to do it themselves.</t>
  </si>
  <si>
    <t xml:space="preserve">Polish / Sequence</t>
  </si>
  <si>
    <t xml:space="preserve">Replace it with a SQL check the reader can run (EXCEPT is from Ch 12 §12.12): ship companion/ch14/sql/ch14_compare_clean.sql and print it in §14.10: SELECT order_item_id, order_date, customer_code, product_id, quantity, unit_price, discount_pct, status, branch, sales_rep FROM clean_order_lines EXCEPT SELECT … FROM truth_order_lines; → 20 rows (the quarantined lines), with output. truth_order_lines is loaded from clean_truth_orders_q4_2025.csv by the load script. Reword §14.10: "…compares every column of every line: only the 20 quarantined lines differ." Delete the checks/ line from Tools. Change Project step 5 to use the SQL file. A pandas comparison can live in Ch 18.</t>
  </si>
  <si>
    <t xml:space="preserve">14.23</t>
  </si>
  <si>
    <t xml:space="preserve">Tools "companion/ch14/build_ch14_files.py : rebuilds the exports … (seed 20251014)"; Stretch goal "change the planted-damage seed in build_ch14_files.py, rebuild, and rerun"</t>
  </si>
  <si>
    <t xml:space="preserve">The stretch goal requires running a Python script (Ch 17–18) and editing its seed.</t>
  </si>
  <si>
    <t xml:space="preserve">Ship a second pre-built export (e.g., orders_q1_2026_export.csv with the same kinds of damage and a different seed) and rewrite the stretch goal: "Run your pipeline, unchanged, on orders_q1_2026_export.csv. Whatever breaks is a rule that was too specific." Keep build_ch14_files.py in the companion listing marked "(for instructors; Python)", or move the rebuild idea to Ch 18's exercises.</t>
  </si>
  <si>
    <t xml:space="preserve">14.24</t>
  </si>
  <si>
    <t xml:space="preserve">Whole chapter: every topic is taught in SQL + MySQL + Excel/Power Query + (pandas); 30 exercises + project + 40-min timed challenge</t>
  </si>
  <si>
    <t xml:space="preserve">Load: each section asks the reader to hold 3–4 syntaxes for the same idea (e.g., §14.7 dates: SQL fragments, M try … otherwise, Excel DATE/IFERROR, the MySQL note, pandas). There is no sitting plan in "Time needed".</t>
  </si>
  <si>
    <t xml:space="preserve">Make SQL (PostgreSQL) the teaching path in §14.2–14.10. Replace the inline Excel/Power Query snippets in each section with a one-line "Spreadsheet equivalent: see §14.11 step N", so §14.11 carries the full Power Query pipeline once (it already does). §14.12 (MySQL) and §14.11 stay as they are. After removing pandas (14.2), add a sitting plan to "Time needed": Week 1 §14.1–14.4; Week 2 §14.5–14.8; Week 3 §14.9–14.12, project and challenge. Mark Ex 22 and Ex 24 as optional if time is short.</t>
  </si>
  <si>
    <t xml:space="preserve">14.25</t>
  </si>
  <si>
    <t xml:space="preserve">§14.7 M: "Value.Is(Value.FromText(t), type number) … Date.FromText(t, [Format = "dd-MM-yyyy", Culture = "en-IN"])"; §14.11 steps 2, 7, 8, 9 (Text.Select with {"0".."9"}, DateTimeZone.RemoveZone/SwitchZone, Text.TrimStart with a list, Record.FieldOrDefault with #"430" field names)</t>
  </si>
  <si>
    <t xml:space="preserve">Ch 11 taught let … in and try … otherwise (§11.7). But these blocks bring about 10 new M functions and two new syntaxes (options record [Format=…], list range {"0".."9"}, quoted field names #"430") with a one-sentence explanation each and no preview of the result column.</t>
  </si>
  <si>
    <t xml:space="preserve">For each custom column in §14.11, add (a) one line per function saying what it does and (b) a 4-row before/after preview (e.g., unit_price: Rs. 430 → 430; ₹1,400.00 → 1400; 750 → 750). For step 9, first explain a record as "a small lookup of name = value pairs" and #"430" as "a field whose name is the text 430", then show a blank-product row being repaired. Name the step-7 parsed column explicitly: step 7 says "Custom column" but step 7's formula refers to [order_date_parsed], so write "name it order_date_parsed".</t>
  </si>
  <si>
    <t xml:space="preserve">14.26</t>
  </si>
  <si>
    <t xml:space="preserve">§14.9 "Validation rules … customer_code is four digits; email matches ^[^@\s]+@[^@\s]+\.[^@\s]+$"</t>
  </si>
  <si>
    <t xml:space="preserve">The email regex is the most complex pattern in the chapter and is shown in a table cell, unexplained. It is the rule behind the "58 invalid emails" result.</t>
  </si>
  <si>
    <t xml:space="preserve">After the table, read it once: "^[^@\s]+ one or more characters that aren't @ or a space, then @, then more of the same, then a literal dot \., then more: roughly 'something@something.something'. It catches accounts.saffronkitchenware.example.com (no @)." Say that it is a sanity check, not full email validation.</t>
  </si>
  <si>
    <t xml:space="preserve">14.27</t>
  </si>
  <si>
    <t xml:space="preserve">§14.10 cleaning log "9 Strip currency text … 2,300"; "10 Map status and branch … 3,100 and 1,400"</t>
  </si>
  <si>
    <t xml:space="preserve">A log that is meant to "explain every rupee" carries rounded counts, while every other row is exact (7, 137, 533, 141, 1,362, 812). The profile had 2,316 currency rows (before de-duplication), and the non-standard status rows are 3,119 before de-duplication.</t>
  </si>
  <si>
    <t xml:space="preserve">Replace with the exact post-de-duplication counts produced by the pipeline (run SELECT COUNT(*) … WHERE unit_price !~ '^[0-9]+$' on the deduplicated rows, and the same for status/branch not already in standard form), matching the "(Rows affected are counted after duplicates are removed.)" note.</t>
  </si>
  <si>
    <t xml:space="preserve">14.28</t>
  </si>
  <si>
    <t xml:space="preserve">§14.4 "similarity('Metro Mart', 'METRO MART Pvt Ltd') returns 0.5555556 … Candidates above a threshold such as 0.6"</t>
  </si>
  <si>
    <t xml:space="preserve">The value is correct (recomputed: 10 shared trigrams of 18 = 0.556). But the example is a true duplicate that the suggested 0.6 threshold would *miss*, and the text doesn't say so.</t>
  </si>
  <si>
    <t xml:space="preserve">Add: "Notice this real duplicate scores below 0.6: the legal suffix adds trigrams. Compare match keys instead of raw names (similarity of the keys is 1), or lower the threshold and review more candidates." This also sets up Ex 26.</t>
  </si>
  <si>
    <t xml:space="preserve">14.29</t>
  </si>
  <si>
    <t xml:space="preserve">§14.4 "Power Query uses the Jaccard similarity algorithm"; Key terms "trigram · Jaccard similarity"</t>
  </si>
  <si>
    <t xml:space="preserve">Jaccard similarity is named and made a key term but never defined. Trigram is defined only in passing ("shared three-letter sequences").</t>
  </si>
  <si>
    <t xml:space="preserve">One sentence: "Jaccard similarity = shared pieces ÷ all distinct pieces from both names; pg_trgm's similarity is the same idea applied to 3-letter pieces (trigrams)." Tie it to the 10/18 example.</t>
  </si>
  <si>
    <t xml:space="preserve">14.30</t>
  </si>
  <si>
    <t xml:space="preserve">§14.11 "StatusMap , BranchMap , CityMap : from status_map.csv and your completed mappings"</t>
  </si>
  <si>
    <t xml:space="preserve">Tools lists only city_map.csv and status_map.csv ("incomplete on purpose"). There is no branch_map.csv, so a Power Query reader has no BranchMap source and isn't told to build one.</t>
  </si>
  <si>
    <t xml:space="preserve">Either ship branch_map.csv (starter) or say: "Create BranchMap yourself from Exercise 7's mapping (12 rows), in a sheet → From Table/Range."</t>
  </si>
  <si>
    <t xml:space="preserve">14.31</t>
  </si>
  <si>
    <t xml:space="preserve">§14.11 Google Sheets "=LPAD -style =RIGHT("0000"&amp;TRIM(D2),4)"</t>
  </si>
  <si>
    <t xml:space="preserve">Garbled phrasing: "=LPAD-style" reads as a formula.</t>
  </si>
  <si>
    <t xml:space="preserve">"…an LPAD-style pad: =RIGHT("0000"&amp;TRIM(D2),4)…"</t>
  </si>
  <si>
    <t xml:space="preserve">14.32</t>
  </si>
  <si>
    <t xml:space="preserve">§14.3 table header "pandas (section 14.11)"</t>
  </si>
  <si>
    <t xml:space="preserve">Wrong in-chapter reference: pandas is §14.13; §14.11 is Power Query.</t>
  </si>
  <si>
    <t xml:space="preserve">Cross-reference</t>
  </si>
  <si>
    <t xml:space="preserve">Moot once the column is removed (14.2). If kept anywhere, say §14.13 (or Ch 18 §18.10 after the move).</t>
  </si>
  <si>
    <t xml:space="preserve">14.33</t>
  </si>
  <si>
    <t xml:space="preserve">Where this leads "the Business Analyst bank (Chapter 76)"</t>
  </si>
  <si>
    <t xml:space="preserve">No Chapter 76 exists. The Business Analyst Question Bank is 76B (Part VIII numbering 72A/76A/76B).</t>
  </si>
  <si>
    <t xml:space="preserve">"…the Business Analyst Question Bank (Chapter 76B)". Update again if Part VIII is renumbered.</t>
  </si>
  <si>
    <t xml:space="preserve">14.34</t>
  </si>
  <si>
    <t xml:space="preserve">Drafting leftover (known).</t>
  </si>
  <si>
    <t xml:space="preserve">Delete the parenthetical. Move the answers when the book is assembled.</t>
  </si>
  <si>
    <t xml:space="preserve">14.35</t>
  </si>
  <si>
    <t xml:space="preserve">Story "they were behind Delhi by ₹42,580, less than one order"</t>
  </si>
  <si>
    <t xml:space="preserve">Not supported by any number in the chapter. Riverstone's 2025 revenue of ₹114.7 crore across roughly 39,000 orders a year (116,194 orders over 2023–25) implies an average order of about ₹25,000–30,000, so ₹42,580 is more than one average order.</t>
  </si>
  <si>
    <t xml:space="preserve">"…behind Delhi by ₹42,580, about the size of one large order." Or state the Q4 average order value and compare.</t>
  </si>
  <si>
    <t xml:space="preserve">14.36</t>
  </si>
  <si>
    <t xml:space="preserve">§14.2 casts "MIN(NULLIF(quantity,'')::int)", §14.7 "::int", "::text", §14.12 answer "::numeric", §14.7 "::timestamptz"</t>
  </si>
  <si>
    <t xml:space="preserve">Ch 12 taught only ::date. The other casts are self-explanatory to an expert but not to a beginner, and timestamptz (timestamp with time zone) is a new type.</t>
  </si>
  <si>
    <t xml:space="preserve">At first use, add one line: "::int, ::text, ::numeric convert to whole number, text, and exact decimal, just like ::date (§12.8). An ::int fails on text such as '' or 'N/A', which is why NULLIF comes first." At ::timestamptz add: "a moment in time that knows its time zone."</t>
  </si>
  <si>
    <t xml:space="preserve">V14.1</t>
  </si>
  <si>
    <t xml:space="preserve">p. 33, 44, 45 · Numbered lists ≥ 10 (Power Query steps 10–12; exercises 10–30)</t>
  </si>
  <si>
    <t xml:space="preserve">The leading digit is clipped by the text-column edge: "17." prints as "l7.", and "20."–"24." show only half of the "2".</t>
  </si>
  <si>
    <t xml:space="preserve">Widen the list-number box or right-align numbers inside the text block.</t>
  </si>
  <si>
    <t xml:space="preserve">V14.2</t>
  </si>
  <si>
    <t xml:space="preserve">p. 5 · Figure 14.1 (cleaning workflow)</t>
  </si>
  <si>
    <t xml:space="preserve">Box text is 5.1–6.3 pt, the loop note about 5 pt.</t>
  </si>
  <si>
    <t xml:space="preserve">Redraw at ≥ 7 pt, e.g. as 2 rows of 3 boxes.</t>
  </si>
  <si>
    <t xml:space="preserve">V14.3</t>
  </si>
  <si>
    <t xml:space="preserve">p. 5 · Figure 14.1 loop arrow</t>
  </si>
  <si>
    <t xml:space="preserve">The dashed return arrow is labelled "A failed check sends you back to profiling", but it lands on box 1 "Load as text", not box 2 "Profile".</t>
  </si>
  <si>
    <t xml:space="preserve">Point the arrow at box 2, or change the label.</t>
  </si>
  <si>
    <t xml:space="preserve">V14.4</t>
  </si>
  <si>
    <t xml:space="preserve">p. 14 · Figure 14.2 (missing-value decision path)</t>
  </si>
  <si>
    <t xml:space="preserve">Text is 5.5–6.7 pt. The red footnote ("Never fill an identifier…") is the smallest.</t>
  </si>
  <si>
    <t xml:space="preserve">V14.5</t>
  </si>
  <si>
    <t xml:space="preserve">p. 16 · Figure 14.3 (match key)</t>
  </si>
  <si>
    <t xml:space="preserve">Text is 5.6–6.6 pt, including the monospace example strings.</t>
  </si>
  <si>
    <t xml:space="preserve">V14.6</t>
  </si>
  <si>
    <t xml:space="preserve">p. 19 · Figure 14.4 (18 spellings → 4)</t>
  </si>
  <si>
    <t xml:space="preserve">Text is 6.2–6.7 pt, just under the minimum. The trailing-space glyph "␣" is tiny.</t>
  </si>
  <si>
    <t xml:space="preserve">Scale up slightly (the figure has width to spare).</t>
  </si>
  <si>
    <t xml:space="preserve">V14.7</t>
  </si>
  <si>
    <t xml:space="preserve">p. 17 · Fuzzy-duplicate output (match_key / records / versions)</t>
  </si>
  <si>
    <t xml:space="preserve">The output is wider than the block: the dashed separator and two rows wrap to column 0 ("Store Thane", "Route Home Needs Pvt Ltd"), breaking the column layout. The " | " inside STRING_AGG also looks like a column separator.</t>
  </si>
  <si>
    <t xml:space="preserve">Show \x expanded output, truncate the versions column, or use "; " as the STRING_AGG separator.</t>
  </si>
  <si>
    <t xml:space="preserve">V14.8</t>
  </si>
  <si>
    <t xml:space="preserve">p. 8, 9, 11, 20, 21, 23, 28, 29, 30, 34 · Code blocks</t>
  </si>
  <si>
    <t xml:space="preserve">Single-line queries and long lines wrap to column 0 with no marker: "order_item_id IS NULL GROUP BY…" (p. 8), "NULL)" (p. 20), "or DD/MM/YYYY" (p. 23, the wrapped comment lands as bare code), and many lines in the validation-rules query (p. 28).</t>
  </si>
  <si>
    <t xml:space="preserve">Format the queries over several lines, as in Ch13's style, or add a continuation marker and hanging indent.</t>
  </si>
  <si>
    <t xml:space="preserve">V14.9</t>
  </si>
  <si>
    <t xml:space="preserve">p. 27 · 14.9 Validation rules</t>
  </si>
  <si>
    <t xml:space="preserve">After the section's two-line intro, ~30% of the page is blank. The rules query starts on p. 28.</t>
  </si>
  <si>
    <t xml:space="preserve">Allow the long code block to split, or pull the "Riverstone's rules" heading and the first half of the query up.</t>
  </si>
  <si>
    <t xml:space="preserve">V14.10</t>
  </si>
  <si>
    <t xml:space="preserve">p. 10→11 · "Code lengths." run-in head</t>
  </si>
  <si>
    <t xml:space="preserve">Stranded as the last line of p. 10. Its query is on p. 11.</t>
  </si>
  <si>
    <t xml:space="preserve">V14.11</t>
  </si>
  <si>
    <t xml:space="preserve">p. 31→32 · Cleaning log table</t>
  </si>
  <si>
    <t xml:space="preserve">Row 13 ("Keep missing sales rep") runs alone onto p. 32 under a repeated header.</t>
  </si>
  <si>
    <t xml:space="preserve">Keep the table together (it fits if it moves up one line), or break at a more even point.</t>
  </si>
  <si>
    <t xml:space="preserve">V14.12</t>
  </si>
  <si>
    <t xml:space="preserve">p. 8, 9 · Profiling outputs</t>
  </si>
  <si>
    <t xml:space="preserve">The status and price-pattern outputs are pushed to the next page, leaving ~15–20% blank on pp. 8 and 9.</t>
  </si>
  <si>
    <t xml:space="preserve">Allow output blocks to split.</t>
  </si>
  <si>
    <t xml:space="preserve">V14.13</t>
  </si>
  <si>
    <t xml:space="preserve">p. 7, 13, 39 · Lead-ins at page foot</t>
  </si>
  <si>
    <t xml:space="preserve">"A real order line ID is all digits:" (p. 7), "Figure 14.2 gives a decision path…" (p. 13, figure on p. 14), "What made the difference:" (p. 39).</t>
  </si>
  <si>
    <t xml:space="preserve">V14.14</t>
  </si>
  <si>
    <t xml:space="preserve">"Approved chapter v1.2", "Approved 17 September 2026 · v1.2" and "Every query and output verified" are visible. Ch13 says "Draft chapter", Ch15 "v1.1", Ch16 "v1".</t>
  </si>
  <si>
    <t xml:space="preserve">Remove for print, or standardise.</t>
  </si>
  <si>
    <t xml:space="preserve">V14.15</t>
  </si>
  <si>
    <t xml:space="preserve">V14.16</t>
  </si>
  <si>
    <t xml:space="preserve">p. 38, 39 · Branch league tables</t>
  </si>
  <si>
    <t xml:space="preserve">Rupee columns (Q4 net revenue, Quick slide, Clean, Change) are left-aligned.</t>
  </si>
  <si>
    <t xml:space="preserve">V14.17</t>
  </si>
  <si>
    <t xml:space="preserve">p. 14, 32–33 · "Missing values in each tool" table; Power Query steps 7–10</t>
  </si>
  <si>
    <t xml:space="preserve">Long inline code wraps mid-expression (=IF(A2="", / "(unassigned)",A2), df[col].replace(["N/A", / "-"], None)), and M formulas run on across 3–4 lines of body text.</t>
  </si>
  <si>
    <t xml:space="preserve">Widen code columns. Move long M expressions into code blocks.</t>
  </si>
  <si>
    <t xml:space="preserve">V14.18</t>
  </si>
  <si>
    <t xml:space="preserve">p. 36 · pandas section</t>
  </si>
  <si>
    <t xml:space="preserve">The output "(25976, 13)" begins p. 36, separated from its three-line code block at the foot of p. 35.</t>
  </si>
  <si>
    <t xml:space="preserve">Keep the code and output together.</t>
  </si>
  <si>
    <t xml:space="preserve">V14.19</t>
  </si>
  <si>
    <t xml:space="preserve">p. many (see fonts) · "₹" / "→" glyphs</t>
  </si>
  <si>
    <t xml:space="preserve">As V13.21.</t>
  </si>
  <si>
    <t xml:space="preserve">15.1</t>
  </si>
  <si>
    <t xml:space="preserve">§15.14 "A first look at charts in code … import pandas as pd"</t>
  </si>
  <si>
    <t xml:space="preserve">Two code blocks use pandas (read_csv, boolean filtering, .head(), .to_string(), .sum()) and matplotlib (use("Agg"), subplots, ax.plot, ax.text, .iloc[-1], spines) before Python is taught in Ch 17–18. About 25 new functions and arguments arrive with no explanation. Confirms M.2.</t>
  </si>
  <si>
    <t xml:space="preserve">Delete the subsection "A first look at charts in code" (the text from "Python is taught in its own block…" through "…figures/make_figs15.py.") and both code blocks. Move them to Ch 18 as new §18.11 "The Ch 15 chart in matplotlib", rebuilt as Jupyter cells: (1) read CSV + head(); (2) filter year 2025; (3) attainment sum; (4) fig, ax = plt.subplots() + one ax.plot; (5) target line with linestyle="--"; (6) direct labels with ax.text; (7) title/ylabel/ylim/xticks; (8) spines; (9) savefig. Show the output (chart image) after each, and explain every argument (figsize, color hex, linewidth, va, loc, dpi, bbox_inches). In Ch 15 leave one sentence: "Chapter 18 (section 18.11) rebuilds this chart in Python, where every rule above becomes one line of code."</t>
  </si>
  <si>
    <t xml:space="preserve">15.2</t>
  </si>
  <si>
    <t xml:space="preserve">Tools line "optionally Python 3.12 with pandas and matplotlib for section 15.14" (also Tools list l.789)</t>
  </si>
  <si>
    <t xml:space="preserve">Once §15.14 moves, Python in the Tools list sends a reader who is not ready yet off to install it.</t>
  </si>
  <si>
    <t xml:space="preserve">Delete "; optionally Python 3.12 with pandas and matplotlib for section 15.14" from the at-a-glance Tools line and delete the Tools bullet "Python 3.12 with pandas 3.0.2 and matplotlib 3.10 (optional, section 15.14)."</t>
  </si>
  <si>
    <t xml:space="preserve">15.3</t>
  </si>
  <si>
    <t xml:space="preserve">Project step 4 "in Excel, Google Sheets, or Python"; Stretch goal "Rebuild all five in Python … style_chart(ax, title)"; Practice intro "Excel, Google Sheets, or Python"; Ex 9 "(Excel's Box and Whisker, or Python)"; Ex 22 highlight_lines + answer; Ans 13 "df[[...]].corr() in pandas"; §15.9 "BI tools … or Python are better"; You've got it "recognize the same principles in code"</t>
  </si>
  <si>
    <t xml:space="preserve">Python is offered as a route throughout the practice material before the reader knows it. Ex 22 (Stretch) *requires* matplotlib.</t>
  </si>
  <si>
    <t xml:space="preserve">Remove "or Python" from project step 4, the practice intro and Ex 9. Move the style_chart stretch goal and Ex 22 with its answer to Ch 18's exercises, renumbering the Ch 15 stretch set to 21 and 23 → 21, 22. In Ans 13 keep only the =CORREL route and delete the pandas clause. In §15.9 change "BI tools (Power BI's map visuals, Chapter 16) or Python are better" to "BI tools such as Power BI (Chapter 16) are better". Change the last "You've got it" bullet to "You can build all of this in Excel or Google Sheets."</t>
  </si>
  <si>
    <t xml:space="preserve">15.4</t>
  </si>
  <si>
    <t xml:space="preserve">§15.5 Box plots "ROUND(PERCENTILE_CONT(0.25) WITHIN GROUP (ORDER BY order_value))"</t>
  </si>
  <si>
    <t xml:space="preserve">This is an ordered-set aggregate that Ch 12–13 never taught. It arrives with three new ideas at once (a percentile argument, the WITHIN GROUP clause, interpolation), and it is PostgreSQL-only. Stretch 21 then asks for the MySQL window-function equivalent. Confirms M.6.</t>
  </si>
  <si>
    <t xml:space="preserve">Preferred (per the map): teach PERCENTILE_CONT in Ch 13 as a short subsection after aggregates. Show the median first (PERCENTILE_CONT(0.5) WITHIN GROUP (ORDER BY x)), then quartiles, then the MySQL window-function median (move Ch 15 Stretch 21 and its answer there as the worked example). Ch 15 then says "Chapter 13, section 13.x, showed PERCENTILE_CONT". Alternative if Ch 13 isn't changed: build the box-plot numbers in the spreadsheet (=QUARTILE.INC, which Ch 11 §11.3 listed) from the order_values_2025 sheet, and give the SQL as an optional box with every part explained.</t>
  </si>
  <si>
    <t xml:space="preserve">15.5</t>
  </si>
  <si>
    <t xml:space="preserve">Before you start "Chapter 4 (averages, spread, percentages…)"; §15.5 "Chapter 4 showed that two sets of numbers with the same mean can look completely different"</t>
  </si>
  <si>
    <t xml:space="preserve">This is false. Ch 4 §4.5 explicitly says "Chapter 21 adds measures of spread, like percentiles and the standard deviation". Ch 4 showed a skewed set whose mean sits above most values (only 70 of 173 orders above the average), not two sets with the same mean.</t>
  </si>
  <si>
    <t xml:space="preserve">Prerequisite line: replace "averages, spread, percentages, and the visual tricks in section 4.7" with "averages (mean vs median), percentages, and the chart checks in section 4.7". In §15.5, replace the sentence with "Chapter 4 showed that only 70 of Riverstone's 173 orders were above the 'average' order: one number hid the shape of the data."</t>
  </si>
  <si>
    <t xml:space="preserve">15.6</t>
  </si>
  <si>
    <t xml:space="preserve">§15.5 "The box spans the first quartile (Q1) to the third quartile (Q3)"</t>
  </si>
  <si>
    <t xml:space="preserve">Quartile, median interpolation, IQR and "1.5 × IQR" are defined in one line each. They are formally taught in Ch 21, and Ch 14 §14.6 also defers the IQR rule to Ch 21. A beginner cannot compute or check a box plot from this.</t>
  </si>
  <si>
    <t xml:space="preserve">Before the box-plot SQL, add a worked box "Quartiles by hand". Take 11 sorted order values (e.g. the first 11 of Jan's key-account lines). Show the median as the 6th value; Q1 as the median of the lower half and Q3 of the upper half; IQR = Q3 − Q1; upper fence = Q3 + 1.5 × IQR, with the arithmetic shown. Then show the same with =QUARTILE.INC(range,1) and =MEDIAN in the spreadsheet, noting Excel's method may differ slightly. Only then give the SQL. Add "Chapter 21 treats percentiles properly" as a pointer.</t>
  </si>
  <si>
    <t xml:space="preserve">15.7</t>
  </si>
  <si>
    <t xml:space="preserve">§15.6 "the correlation between x and y is 0.82"; "a correlation of 0.916"</t>
  </si>
  <si>
    <t xml:space="preserve">Correlation is used as a known number, but it is taught in Ch 21. Ex 13 and Ans 13 need =CORREL, which no earlier chapter teaches (checked Ch 10, 11).</t>
  </si>
  <si>
    <t xml:space="preserve">At the first use in §15.6, add a short paragraph: "Correlation is a number from −1 to +1 that says how closely two measures follow a straight line together: +1 a perfect rising line, 0 no straight-line pattern, −1 a perfect falling line. In a spreadsheet, =CORREL(range1, range2) returns it. Chapter 21 shows how it's calculated and where it misleads." In Ex 13, name the function.</t>
  </si>
  <si>
    <t xml:space="preserve">15.8</t>
  </si>
  <si>
    <t xml:space="preserve">Real world "In Q4 the plan assumed 33% growth; actual growth was about 22%"</t>
  </si>
  <si>
    <t xml:space="preserve">This is wrong. 33% was the *October* target's uplift (196.15 m ÷ 147.22 m = 1.332). The Q4 target of ₹447.5 m against Q4 2024's ₹347.94 m implies 28.6%. Actual Q4 growth was 21.8%.</t>
  </si>
  <si>
    <t xml:space="preserve">Replace the note with: "Attainment compares sales with the plan. October's plan assumed 33% growth and actual growth was 22.7%; across Q4 the plan assumed 29% and actual growth was 21.8%. The shortfall is in the plan, not in demand."</t>
  </si>
  <si>
    <t xml:space="preserve">15.9</t>
  </si>
  <si>
    <t xml:space="preserve">§15.14 "The full figure code for this chapter is figures/make_figs15.py"; Tools "figures/make_figs15.py and make_figs15_diagrams.py"</t>
  </si>
  <si>
    <t xml:space="preserve">Build scripts are named as reader files (drafting leftover).</t>
  </si>
  <si>
    <t xml:space="preserve">Delete both mentions. If the author wants readers to have the figure code, publish it in the Ch 18 companion as ch18/chart_examples.ipynb and reference it from Ch 18.</t>
  </si>
  <si>
    <t xml:space="preserve">15.10</t>
  </si>
  <si>
    <t xml:space="preserve">Practice data "built from the full Riverstone dataset by companion/ch15/build_ch15_data.py"; Tools "build_ch15_data.py : rebuilds them"</t>
  </si>
  <si>
    <t xml:space="preserve">This is a Python build script offered as a reader file in a chapter before Python.</t>
  </si>
  <si>
    <t xml:space="preserve">Replace with "every table can be rebuilt with the SQL in this chapter from riverstone_full". Move the build script to the companion's instructor README.</t>
  </si>
  <si>
    <t xml:space="preserve">15.11</t>
  </si>
  <si>
    <t xml:space="preserve">§15.1 first SQL "SUM(SUM(s.net_revenue)) OVER ()"</t>
  </si>
  <si>
    <t xml:space="preserve">The first code block of the chapter does five things at once: JOIN, date filter, GROUP BY, ROUND, and a window over an aggregate. Only one explanatory sentence follows it. Every piece is from Ch 12–13, but combining them cold breaks the one-idea-per-block rule.</t>
  </si>
  <si>
    <t xml:space="preserve">Line-by-line code</t>
  </si>
  <si>
    <t xml:space="preserve">Build in three cells, each with output: (1) SELECT c.segment, SUM(s.net_revenue) … GROUP BY c.segment (the three totals); (2) add ORDER BY net_revenue DESC and ROUND(…); (3) add the share column, explaining that SUM(SUM(...)) OVER () means "the inner SUM makes each segment's total, the outer SUM … OVER () adds those totals across all rows", with a pointer to Ch 13 §13.x where this was shown (Ch 13 l.330).</t>
  </si>
  <si>
    <t xml:space="preserve">15.12</t>
  </si>
  <si>
    <t xml:space="preserve">§15.4 "SUM(net_revenue) FILTER (WHERE EXTRACT(YEAR FROM order_date) = 2024)"; §15.11 "DATE_TRUNC('month', order_date)::date"; §15.5 PERCENTILE_CONT</t>
  </si>
  <si>
    <t xml:space="preserve">The Tools line says "PostgreSQL or MySQL", and Ch 12 promises a MySQL version of every query. But FILTER, DATE_TRUNC, ::date and PERCENTILE_CONT all fail in MySQL, and only the last gets a dialect note.</t>
  </si>
  <si>
    <t xml:space="preserve">Add a "Running this chapter in MySQL" box (as Ch 14 §14.12 does) with the three rewrites: SUM(CASE WHEN YEAR(order_date)=2024 THEN net_revenue END); DATE_FORMAT(order_date,'%Y-%m-01') or CAST(DATE_FORMAT(...) AS DATE); the window-function median. Confirm that companion/ch15/ ships the MySQL versions.</t>
  </si>
  <si>
    <t xml:space="preserve">15.13</t>
  </si>
  <si>
    <t xml:space="preserve">§15.4 "GROUP BY 1 ORDER BY 1"; §15.5 "GROUP BY 1 ORDER BY 1"</t>
  </si>
  <si>
    <t xml:space="preserve">Positional GROUP BY and ORDER BY are never explained in Ch 12–13 (Ch 14 uses them silently too).</t>
  </si>
  <si>
    <t xml:space="preserve">At first use in §15.4 add: "GROUP BY 1 means 'group by the first column in the SELECT list' (here, the month). It saves retyping a long expression. ORDER BY 1 works the same way." Better still, introduce this in Ch 13 and point back to it.</t>
  </si>
  <si>
    <t xml:space="preserve">15.14</t>
  </si>
  <si>
    <t xml:space="preserve">§15.5 "FLOOR(order_value / 25000) * 25000 AS bin_start"</t>
  </si>
  <si>
    <t xml:space="preserve">SQL FLOOR is not taught (only FLOOR.MATH in the Ch 11 function table). The one-line explanation gives no worked value.</t>
  </si>
  <si>
    <t xml:space="preserve">Add a by-hand line: "An order of ₹37,480: 37,480 ÷ 25,000 = 1.499; FLOOR rounds down to 1; 1 × 25,000 = 25,000, so it falls in the ₹25,000–₹49,999 bin." Mention that FLOOR works like Ch 11's FLOOR.MATH.</t>
  </si>
  <si>
    <t xml:space="preserve">15.15</t>
  </si>
  <si>
    <t xml:space="preserve">§15.5 "Start with a round number that gives roughly 20–40 bins"</t>
  </si>
  <si>
    <t xml:space="preserve">The chapter's own example uses ₹25,000 bins, which give 6 bins. That contradicts the advice given right after it.</t>
  </si>
  <si>
    <t xml:space="preserve">Either present the 6-bin query as "a coarse first look" and add the recommended ₹5,000 bins (about 30 bins over ₹0–₹150,000) as the main histogram, or reword the advice to "start with a round number, look, then try narrower and wider".</t>
  </si>
  <si>
    <t xml:space="preserve">15.16</t>
  </si>
  <si>
    <t xml:space="preserve">§15.5 "Its width is the interquartile range (IQR)"</t>
  </si>
  <si>
    <t xml:space="preserve">In a vertical box plot, the IQR is the box's height, not its width. Width carries no meaning.</t>
  </si>
  <si>
    <t xml:space="preserve">Change to "Its length along the value axis is the interquartile range (IQR)."</t>
  </si>
  <si>
    <t xml:space="preserve">15.17</t>
  </si>
  <si>
    <t xml:space="preserve">§15.11 target query "JOIN (SELECT DATE_TRUNC('month', order_date)::date AS m, SUM(net_revenue) …) a"</t>
  </si>
  <si>
    <t xml:space="preserve">A derived table (subquery in JOIN) plus a date cast plus a ratio, all in one block. Every part was taught in 12–13, but it is given without steps.</t>
  </si>
  <si>
    <t xml:space="preserve">Split into two cells: (1) the monthly revenue subquery alone, showing 3 output rows; (2) the join to sales_targets with the ratio. Or rewrite with a CTE (WITH monthly AS (…)), the form Ch 13 §13.2 taught, which reads top-down.</t>
  </si>
  <si>
    <t xml:space="preserve">15.18</t>
  </si>
  <si>
    <t xml:space="preserve">§15.14 "click a cell that builds the sentence … TEXT(B14,"0.0%")"</t>
  </si>
  <si>
    <t xml:space="preserve">B14 is used before anything defines it. The definition only appears in Answer 20.</t>
  </si>
  <si>
    <t xml:space="preserve">Before the formula, add: "Put the attainment in B14 with =SUM(Revenue)/SUM(Target) (98.3%)." Then show the title formula and its result: "2025 finished at 98.3% of target".</t>
  </si>
  <si>
    <t xml:space="preserve">15.19</t>
  </si>
  <si>
    <t xml:space="preserve">§15.7 waterfall table "Total 903,015,475 … +243,626,176"</t>
  </si>
  <si>
    <t xml:space="preserve">The 2024 rows add up to 903,015,476 and the Change rows to 243,626,175, because each value was rounded separately. Only the Wholesale 2025 rounding is explained.</t>
  </si>
  <si>
    <t xml:space="preserve">Add to the existing parenthesis: "Each figure is rounded on its own, so rows can differ from the total by ₹1."</t>
  </si>
  <si>
    <t xml:space="preserve">15.20</t>
  </si>
  <si>
    <t xml:space="preserve">§15.12 "the clean numbers put Bengaluru ahead by ₹14.7 million"</t>
  </si>
  <si>
    <t xml:space="preserve">This mixes millions into a paragraph that uses crores ("₹10.175 crore"), breaking the chapter's own rule "never mix them".</t>
  </si>
  <si>
    <t xml:space="preserve">Change to "₹1.47 crore". Consider the same fix in Ch 14 l.1329 for consistency.</t>
  </si>
  <si>
    <t xml:space="preserve">15.21</t>
  </si>
  <si>
    <t xml:space="preserve">§15.2 figure text "Two more questions decide the details" vs body "Three more questions sharpen the choice"</t>
  </si>
  <si>
    <t xml:space="preserve">The figure and the body text disagree.</t>
  </si>
  <si>
    <t xml:space="preserve">Make the Figure 15.2 footer read "Three more questions: who reads it, explore or explain, and what should they do next?" or remove the sentence from the figure.</t>
  </si>
  <si>
    <t xml:space="preserve">15.22</t>
  </si>
  <si>
    <t xml:space="preserve">§15.6 rule 3 "customer revenue from ₹5,000 to ₹50 lakh"</t>
  </si>
  <si>
    <t xml:space="preserve">Riverstone's largest 2025 customer is about ₹10.7 lakh (Ch 16 Ans 22), so the example range is not Riverstone's.</t>
  </si>
  <si>
    <t xml:space="preserve">Change to "(customer revenue from about ₹5,000 to ₹10 lakh)", or say "for example".</t>
  </si>
  <si>
    <t xml:space="preserve">15.23</t>
  </si>
  <si>
    <t xml:space="preserve">Part VIII has no Ch 76; the BA bank is 76B (renumbering pending).</t>
  </si>
  <si>
    <t xml:space="preserve">Change to the final number of the Business Analyst Question Bank after Part VIII is renumbered (currently 76B).</t>
  </si>
  <si>
    <t xml:space="preserve">15.24</t>
  </si>
  <si>
    <t xml:space="preserve">Answers "(In the finished book these move to Appendix G.)"</t>
  </si>
  <si>
    <t xml:space="preserve">Drafting leftover.</t>
  </si>
  <si>
    <t xml:space="preserve">Delete the line.</t>
  </si>
  <si>
    <t xml:space="preserve">15.25</t>
  </si>
  <si>
    <t xml:space="preserve">Ans 21 "PostgreSQL's PERCENTILE_CONT returns a floating-point number that ROUND rounds to the nearest even"</t>
  </si>
  <si>
    <t xml:space="preserve">The explanation is accurate (the PostgreSQL docs say tie-breaking for double precision is platform-dependent, usually half-even), but too deep for a Stretch answer in Part II.</t>
  </si>
  <si>
    <t xml:space="preserve">Shorten to: "The exact median is ₹25,762.50. PostgreSQL rounded it down and MySQL rounded it up, because the two databases break ties differently. Round only for display." (Move with M.6 if Stretch 21 moves to Ch 13.)</t>
  </si>
  <si>
    <t xml:space="preserve">V15.1</t>
  </si>
  <si>
    <t xml:space="preserve">p. 37 · Figure 15.16 (five redesigns, in the answers)</t>
  </si>
  <si>
    <t xml:space="preserve">Five charts squeezed into a 3 × 2 grid. Axis and category labels are 4–4.5 pt, heatmap cell values about 4 pt, panel titles about 5.5 pt, and panel D's month letters under 2 pt. The model answer for the project cannot be read.</t>
  </si>
  <si>
    <t xml:space="preserve">Give each redesign its own half-width or full-width panel (spread over two pages if needed) at ≥ 7 pt.</t>
  </si>
  <si>
    <t xml:space="preserve">V15.2</t>
  </si>
  <si>
    <t xml:space="preserve">p. 32 · Figure 15.15 (old management pack)</t>
  </si>
  <si>
    <t xml:space="preserve">Tick labels about 5 pt, pie labels about 4 pt, the Chart D legend about 3 pt, and Chart E's rotated value labels 2–3 pt. The charts are meant to look bad, but readers still need to read them: exercise 16 asks how far Chart C's axis is truncated (it starts at ₹13 crore), and the project redesigns all five.</t>
  </si>
  <si>
    <t xml:space="preserve">Enlarge to ≥ 7 pt for everything readers must read (axes, legends). Keep the "bad design" in the chart choices, not in illegible type.</t>
  </si>
  <si>
    <t xml:space="preserve">V15.3</t>
  </si>
  <si>
    <t xml:space="preserve">p. 35 · Practice exercises 10–25</t>
  </si>
  <si>
    <t xml:space="preserve">The leading digit of two-digit list numbers is clipped at the text-column edge ("l0.", "2" half cut).</t>
  </si>
  <si>
    <t xml:space="preserve">As V13.1.</t>
  </si>
  <si>
    <t xml:space="preserve">V15.4</t>
  </si>
  <si>
    <t xml:space="preserve">p. 7 · Figure 15.2 (chart chooser)</t>
  </si>
  <si>
    <t xml:space="preserve">Question subtitles and "Also consider" text are 5.5–6.4 pt. This is the chapter's key reference figure, and the project points readers back to it.</t>
  </si>
  <si>
    <t xml:space="preserve">Redraw at ≥ 7 pt, or set it as a real table.</t>
  </si>
  <si>
    <t xml:space="preserve">V15.5</t>
  </si>
  <si>
    <t xml:space="preserve">p. 20 · Figure 15.11 (11 colours vs highlight)</t>
  </si>
  <si>
    <t xml:space="preserve">The 11-name legend is about 5 pt, and "10 other reps" is about 5 pt. The legend is the thing the "before" panel asks readers to decode.</t>
  </si>
  <si>
    <t xml:space="preserve">Enlarge the figure to full width, with the legend at ≥ 7 pt.</t>
  </si>
  <si>
    <t xml:space="preserve">V15.6</t>
  </si>
  <si>
    <t xml:space="preserve">p. 24 · Figure 15.13 (truncated axis / dual axis)</t>
  </si>
  <si>
    <t xml:space="preserve">The tick labels that carry the point (10.175–10.183, 20–28 %) are about 5.5 pt, and the right-axis title is about 5 pt in red.</t>
  </si>
  <si>
    <t xml:space="preserve">Enlarge to ≥ 7 pt (three panels per row is too many for this width; use 2 + 1).</t>
  </si>
  <si>
    <t xml:space="preserve">V15.7</t>
  </si>
  <si>
    <t xml:space="preserve">p. 14 · Figure 15.7 (Anscombe's quartet)</t>
  </si>
  <si>
    <t xml:space="preserve">Tick labels about 6.4 pt.</t>
  </si>
  <si>
    <t xml:space="preserve">Scale slightly or reduce to 2 × 2 panels.</t>
  </si>
  <si>
    <t xml:space="preserve">V15.8</t>
  </si>
  <si>
    <t xml:space="preserve">p. 6 · Before Figure 15.2</t>
  </si>
  <si>
    <t xml:space="preserve">"The question decides the chart." ends p. 6 above a ~25% blank. Figure 15.2 is on p. 7.</t>
  </si>
  <si>
    <t xml:space="preserve">Float the figure, or move the following text ("Three more questions…") up before it.</t>
  </si>
  <si>
    <t xml:space="preserve">V15.9</t>
  </si>
  <si>
    <t xml:space="preserve">p. 21 · Before Figure 15.12</t>
  </si>
  <si>
    <t xml:space="preserve">~25% blank after "Titles that state the finding". Figure 15.12 is pushed to p. 22.</t>
  </si>
  <si>
    <t xml:space="preserve">Float the figure, or let text flow past it.</t>
  </si>
  <si>
    <t xml:space="preserve">V15.10</t>
  </si>
  <si>
    <t xml:space="preserve">p. 31 · Project, before Figure 15.15</t>
  </si>
  <si>
    <t xml:space="preserve">~25% blank after "Option B". Figure 15.15 is pushed to p. 32.</t>
  </si>
  <si>
    <t xml:space="preserve">Same fix.</t>
  </si>
  <si>
    <t xml:space="preserve">V15.11</t>
  </si>
  <si>
    <t xml:space="preserve">p. 36 · Answers, "Project (Option B): one set of redesigns."</t>
  </si>
  <si>
    <t xml:space="preserve">The lead line is stranded at the foot of p. 36. Its figure (15.16) is on p. 37.</t>
  </si>
  <si>
    <t xml:space="preserve">V15.12</t>
  </si>
  <si>
    <t xml:space="preserve">p. 18, 37 · Raster heatmaps (Figs 15.10, 15.16 E)</t>
  </si>
  <si>
    <t xml:space="preserve">Cell grids are embedded as 144 ppi and 194 ppi bitmaps. There is no visible defect (flat colours, crisp edges, vector text), but they are the chapter's only raster content.</t>
  </si>
  <si>
    <t xml:space="preserve">Export heatmaps as vector (pcolormesh, or imshow with rasterized=False, via SVG/PDF), or at ≥ 300 ppi.</t>
  </si>
  <si>
    <t xml:space="preserve">V15.13</t>
  </si>
  <si>
    <t xml:space="preserve">"Approved chapter v1.1", "Approved 17 September 2026 · v1.1" and "Every number checked" are visible.</t>
  </si>
  <si>
    <t xml:space="preserve">Remove for print, or standardise across chapters.</t>
  </si>
  <si>
    <t xml:space="preserve">V15.14</t>
  </si>
  <si>
    <t xml:space="preserve">V15.15</t>
  </si>
  <si>
    <t xml:space="preserve">p. 15 · Figure 15.8 "after" legend</t>
  </si>
  <si>
    <t xml:space="preserve">The legend markers inherit the dots' transparency, so the three segment colours in the legend are very pale and hard to match to the dots. The blue, orange and teal also blend where they overlap.</t>
  </si>
  <si>
    <t xml:space="preserve">Draw the legend markers at full opacity (legend_handles alpha = 1).</t>
  </si>
  <si>
    <t xml:space="preserve">V15.16</t>
  </si>
  <si>
    <t xml:space="preserve">p. 18, 26, 37 · Missing-city label</t>
  </si>
  <si>
    <t xml:space="preserve">The same ₹2.3 cr bucket is called "Unknown" in Fig 15.10 and "City missing" in Figs 15.14 and 15.16 (and "Region missing" in Ch16).</t>
  </si>
  <si>
    <t xml:space="preserve">Use one label in all figures.</t>
  </si>
  <si>
    <t xml:space="preserve">V15.17</t>
  </si>
  <si>
    <t xml:space="preserve">16.1</t>
  </si>
  <si>
    <t xml:space="preserve">Tools "Power BI Desktop, free, Windows only" (no install anywhere)</t>
  </si>
  <si>
    <t xml:space="preserve">The chapter never installs Power BI. Under the just-in-time plan (M.3), Ch 16 must open with it. Today the install text lives in Ch 6 (Ch 6 l.68 "Power BI Desktop from the Microsoft Store doesn't need admin rights").</t>
  </si>
  <si>
    <t xml:space="preserve">Add §16.0 "Install Power BI Desktop and make your first report" (45–60 min) as the first section: (a) check Windows 10/11 64-bit; Mac/Linux readers need a Windows VM (Parallels on Apple silicon runs Windows 11 ARM), Windows 365/cloud PC, or a lab machine; (b) install from Microsoft Store (recommended: auto-updates, no admin rights) or the download page, and don't install both; (c) first launch: close the sign-in dialog, since Desktop needs no account; (d) a guided tour of Report / Table / Model views and the Data, Visualizations and Filters panes, with one screenshot; (e) a 5-minute first report: Home → Get data → Text/CSV → companion/full/customers.csv → Load → Table visual with segment and Count of customer_id → expected output Hospitality/Retail/Wholesale counts summing to 5,027 → File → Save as first_report.pbix; (f) troubleshooting table (WebView2 missing, company blocks Store, "Npgsql"/MySQL Connector/NET prompt later in §16.2); (g) a note that the Service needs a work or school account (16.24). Delete the Power BI install text from Ch 6 and point there.</t>
  </si>
  <si>
    <t xml:space="preserve">16.2</t>
  </si>
  <si>
    <t xml:space="preserve">Before you start "The Python block (Chapters 17 and 18) comes before this chapter … pandas is assumed knowledge"</t>
  </si>
  <si>
    <t xml:space="preserve">This contradicts D1 (Power BI before Python) and M.1. In fact the chapter contains no pandas or Python code anywhere. The full list of Python/notebook mentions is 16.2, 16.3 and 16.4.</t>
  </si>
  <si>
    <t xml:space="preserve">Replace the sentence with: "You don't need any programming for this chapter. Python comes next, in Chapters 17 and 18."</t>
  </si>
  <si>
    <t xml:space="preserve">16.3</t>
  </si>
  <si>
    <t xml:space="preserve">§16.1 table "A one-off analysis nobody will repeat — A spreadsheet or a notebook"; "Heavy statistics … Python (Part IV)"</t>
  </si>
  <si>
    <t xml:space="preserve">"Notebook" (a Jupyter notebook) hasn't been introduced; the chapter itself uses "notebook" to mean a paper notebook (In plain English, l.39, l.52). "Python (Part IV)" is also imprecise: statistics is Ch 21–22 and 30–31, ML is Part IV.</t>
  </si>
  <si>
    <t xml:space="preserve">Row 4: "A spreadsheet (or, after Chapter 17, a Python notebook)". Row 5: "Python (Chapters 17–18; statistics in Chapters 21–22; machine learning in Part IV)".</t>
  </si>
  <si>
    <t xml:space="preserve">16.4</t>
  </si>
  <si>
    <t xml:space="preserve">Ans 1 "(a) is a one-off for a spreadsheet or notebook. (d) … SQL or Python (Chapter 14)"</t>
  </si>
  <si>
    <t xml:space="preserve">Python/notebook again. Ch 14's Python section (§14.13) moves to Ch 18 (M.2).</t>
  </si>
  <si>
    <t xml:space="preserve">Change to "(a) is a one-off for a spreadsheet. (d) is a cleaning and reconciliation job for SQL or Power Query (Chapter 14)".</t>
  </si>
  <si>
    <t xml:space="preserve">16.5</t>
  </si>
  <si>
    <t xml:space="preserve">§16.2 "Pick the tables orders, order_items, customers…" vs "use the sales_lines view idea … as the fact table"</t>
  </si>
  <si>
    <t xml:space="preserve">The reader is never told how to build Sales. Raw tables are imported; the text then says "use the view idea" (not imported). Figure 16.2 shows Sales without status or net_revenue, yet §16.5 uses Sales[status] and §16.3 says "net_revenue → don't expose it". Sales is said to have 209,006 rows, which is all lines *including* cancelled (Ch 14 l.106), while sales_lines excludes them. A beginner gets stuck at the first step, and the card totals depend on which path they took.</t>
  </si>
  <si>
    <t xml:space="preserve">Pick one path and give every click. Recommended: in Get data → PostgreSQL, tick sales_lines (the Ch 13 view) plus customers, products, employees, sales_targets; rename sales_lines → Sales; state the resulting row count (non-cancelled lines, all years). CSV alternative: Power Query → order_items → Home → Merge Queries → orders on order_id (Left Outer) → expand order_date, customer_id, sales_rep_id, status → Filter status ≠ "Cancelled" → rename to Sales, with the row count after each step. Update Figure 16.2's column list and the "209,006 rows" in Figure 16.2, the model table, §16.2 and §16.11 to the non-cancelled count. Remove or clearly label Revenue excl. Cancelled as "only if you kept cancelled rows".</t>
  </si>
  <si>
    <t xml:space="preserve">16.6</t>
  </si>
  <si>
    <t xml:space="preserve">§16.2 "add in Power Query only … a region column on customers, and the branch mapping from Chapter 14"</t>
  </si>
  <si>
    <t xml:space="preserve">No steps are given. city_region.csv appears only in the Tools list. The "branch mapping" is never used again.</t>
  </si>
  <si>
    <t xml:space="preserve">Add steps: Get data → Text/CSV → companion/ch16/city_region.csv; select customers → Merge Queries → city_region on city (Left Outer) → expand region → Replace Values null → "Region missing" (also null city → "City missing"). Show the region counts: West 1,506, South 1,289, North 1,127, East 586, missing 91 customers with 2025 orders. This moves Meera's fix from the story into the build. Delete "and the branch mapping from Chapter 14".</t>
  </si>
  <si>
    <t xml:space="preserve">16.7</t>
  </si>
  <si>
    <t xml:space="preserve">§16.3 date table "Date = ADDCOLUMNS ( CALENDAR ( DATE ( 2023, 1, 1 ), …"</t>
  </si>
  <si>
    <t xml:space="preserve">The block does 7 new things at once (calculated table, ADDCOLUMNS, CALENDAR, DATE, YEAR/MONTH, FORMAT codes "Q"/"MMM"/"YYYY-MM", IF with &amp;). It never says where to type it (Modeling → New table) and shows no output.</t>
  </si>
  <si>
    <t xml:space="preserve">Build in 5 steps, each followed by Table view output: (1) Modeling → New table → Date = CALENDAR ( DATE ( 2023, 1, 1 ), DATE ( 2025, 12, 31 ) ) → 1,096 rows, first 01/01/2023, last 31/12/2025 (explain each DATE argument); (2) wrap in ADDCOLUMNS and add "Year", YEAR ( [Date] ); (3) add Month No and Month (with a table of FORMAT codes: "MMM" → Jan, "Q" → 1, "yyyy-MM" → 2025-01); (4) Quarter; (5) Financial Year, worked by hand first: 15 Mar 2025 → month 3 &lt; 4 → FY2025; 15 Apr 2025 → FY2026. Show the first 3 rows of the finished table.</t>
  </si>
  <si>
    <t xml:space="preserve">16.8</t>
  </si>
  <si>
    <t xml:space="preserve">§16.3 step 1 "pointing at Date[Date]"; Figure 16.3 "DATESYTD(Date[date])" vs code "'Date'[Date]"</t>
  </si>
  <si>
    <t xml:space="preserve">Table references are inconsistent. Date is also the name of a DAX function, so the table name should be quoted; Figure 16.3 uses the wrong case and an unquoted name.</t>
  </si>
  <si>
    <t xml:space="preserve">Use 'Date'[Date] everywhere (step 1, Figure 16.3), and add one sentence: "Put a table name in single quotes when it has a space or matches a DAX function name, as Date does." Or rename the table Calendar to match Ch 11 §11.8.</t>
  </si>
  <si>
    <t xml:space="preserve">16.9</t>
  </si>
  <si>
    <t xml:space="preserve">§16.4 base measures "Net Revenue = SUMX ( Sales, … Average Order Value = DIVIDE …"</t>
  </si>
  <si>
    <t xml:space="preserve">Seven measures in one block with no per-measure result. SUMX, RELATED, DIVIDE and CALCULATE are a recap of Ch 11 §11.8, which the text doesn't say. DISTINCTCOUNT is new.</t>
  </si>
  <si>
    <t xml:space="preserve">Open with "You met SUMX, RELATED, CALCULATE and DIVIDE in Chapter 11, section 11.8; here they run on the full dataset." Then one measure per step: create the _Measures table first (move that tip up from "Writing DAX"); write Net Revenue → drop on a card with a Year slicer = 2025 → expect ₹1,146,641,651; Product Cost → card; Gross Margin; Gross Margin % → 27.5%; Orders (introduce DISTINCTCOUNT here, contrasting with COUNTROWS → 83,444 vs 46,356); Customers → 4,599; AOV → ₹24,735.56. Show where to set the ₹ format (Measure tools → Format → Currency → ₹ English (India)).</t>
  </si>
  <si>
    <t xml:space="preserve">16.10</t>
  </si>
  <si>
    <t xml:space="preserve">§16.4 Watch out "209,006 rows for 46,356 orders in 2025"</t>
  </si>
  <si>
    <t xml:space="preserve">This compares all-years rows (including cancelled) with 2025 orders. The right 2025 contrast is 83,444 lines vs 46,356 orders (the chapter's own Ans 5 and §16.11).</t>
  </si>
  <si>
    <t xml:space="preserve">Change to "The fact table is order lines: in 2025, 83,444 rows for 46,356 orders."</t>
  </si>
  <si>
    <t xml:space="preserve">16.11</t>
  </si>
  <si>
    <t xml:space="preserve">§16.4 SQL check "ROUND(SUM(net_revenue) FILTER (WHERE order_date &gt;= '2025-01-01')) AS y2025 …"</t>
  </si>
  <si>
    <t xml:space="preserve">One statement repeats FILTER (WHERE …) seven times, with nested ratios. It's hard to read, and none of it is explained.</t>
  </si>
  <si>
    <t xml:space="preserve">Replace with two simple queries using plain WHERE, as taught in Ch 12: (1) SELECT ROUND(SUM(net_revenue)) AS all_years FROM sales_lines; → 2,663,490,235; (2) SELECT ROUND(SUM(net_revenue)) AS revenue, COUNT(DISTINCT order_id) AS orders, COUNT(DISTINCT customer_id) AS customers, ROUND(SUM(net_revenue)/COUNT(DISTINCT order_id),2) AS aov, ROUND(100*(1-SUM(product_cost)/SUM(net_revenue)),1) AS gm_pct FROM sales_lines WHERE order_date &gt;= '2025-01-01'; with output, then one line per column.</t>
  </si>
  <si>
    <t xml:space="preserve">16.12</t>
  </si>
  <si>
    <t xml:space="preserve">§16.5 "Company Revenue = CALCULATE ( [Net Revenue], REMOVEFILTERS ( Customer ) )"</t>
  </si>
  <si>
    <t xml:space="preserve">The name is misleading. Only Customer filters are removed; Year, Product and the other slicers still apply, so it is not "company revenue".</t>
  </si>
  <si>
    <t xml:space="preserve">Rename to All-Customer Revenue and add the output: "in a matrix with Segment rows and Year = 2025, every row shows ₹1,146,641,651, because the segment filter was removed but the year filter stayed".</t>
  </si>
  <si>
    <t xml:space="preserve">16.13</t>
  </si>
  <si>
    <t xml:space="preserve">§16.5 "Share of Segment = DIVIDE ( …, REMOVEFILTERS ( Customer[customer_name] ) )"; §16.3 "customer_name → Customer"; Ans 22 "Customer[Customer]"</t>
  </si>
  <si>
    <t xml:space="preserve">Column names are inconsistent. §16.3 renames customer_name to Customer, but later code uses the old name, and Ans 22 uses the new one. [region]/Customer[segment] are lowercase while the text says to rename into business language.</t>
  </si>
  <si>
    <t xml:space="preserve">Add a short "Field names used in this chapter" table after the rename advice (e.g. Customer[Customer], Customer[Segment], Customer[Region], Sales[order_id]…) and make every DAX block, the RLS rules and the answers use it. Also explain what Share of Segment returns (a customer's share of its segment when Segment is on rows), with one output row.</t>
  </si>
  <si>
    <t xml:space="preserve">16.14</t>
  </si>
  <si>
    <t xml:space="preserve">§16.5 rule 3 "CALCULATE also turns a row context into a filter context ('context transition')"</t>
  </si>
  <si>
    <t xml:space="preserve">"Row context" is never defined in the text (only the table cell "Sees: The current row" and Key terms). Context transition, the hardest DAX idea, gets one sentence.</t>
  </si>
  <si>
    <t xml:space="preserve">Add a paragraph defining row context with a calculated column example (Line Value = Sales[quantity] * Sales[unit_price] "sees one row at a time"). Then either give a worked context-transition example (Avg Customer Revenue = AVERAGEX ( Customer, [Net Revenue] ), with its 2025 value from SQL), or move rule 3 into a "Going further" box and remove "context transition" from the "You've got it when" list.</t>
  </si>
  <si>
    <t xml:space="preserve">16.15</t>
  </si>
  <si>
    <t xml:space="preserve">§16.5 table "FILTER … ALLSELECTED … VALUES / SELECTEDVALUE … HASONEVALUE … RANKX"</t>
  </si>
  <si>
    <t xml:space="preserve">Eight new functions in a reference table. KEEPFILTERS and ALLSELECTED are never demonstrated; RANKX, FILTER and VALUES are never used in the chapter body.</t>
  </si>
  <si>
    <t xml:space="preserve">Keep in the body only what the chapter uses, each with a mini example and a visible result: KEEPFILTERS (Retail Revenue vs CALCULATE([Net Revenue], KEEPFILTERS(Customer[segment]="Retail")) in a Segment matrix → Wholesale row ₹556,436,454 vs blank); ALLSELECTED (Region slicer = West, "share of selection"); SELECTEDVALUE (used in the §16.8 title); HASONEVALUE. Move RANKX/FILTER to a "Reference" box or to Ch 70.</t>
  </si>
  <si>
    <t xml:space="preserve">16.16</t>
  </si>
  <si>
    <t xml:space="preserve">§16.6 time-intelligence block "Revenue YTD = TOTALYTD … Gap to Target = …"</t>
  </si>
  <si>
    <t xml:space="preserve">Eight measures at once. DATESINPERIOD's arguments (MAX('Date'[Date]), -3, MONTH) are unexplained, and there is no DAX output, only SQL.</t>
  </si>
  <si>
    <t xml:space="preserve">One measure per step with a Month × measure matrix output for Jan–Jun 2025: Net Revenue (85,195,521 …), Revenue YTD reaching 499,203,925 at June, Revenue LY, YTD LY (379,844,027 at June), YoY %. Explain each DATESINPERIOD argument ("end date = last date in context; −3 = go back three; MONTH = unit"). Show the Target / % of Target / Gap rows for 2025 (1,166,950,000; 98.3%; −20,308,349).</t>
  </si>
  <si>
    <t xml:space="preserve">16.17</t>
  </si>
  <si>
    <t xml:space="preserve">§16.6 "Blank isn't zero … Wrap it: IF ( NOT ISBLANK ( [Revenue LY] ), … )"</t>
  </si>
  <si>
    <t xml:space="preserve">The code is incomplete (it ends in an ellipsis). It is also unnecessary for the chapter's YoY Growth %, because DIVIDE already returns blank when [Revenue LY] is blank.</t>
  </si>
  <si>
    <t xml:space="preserve">Say: "YoY Growth % already returns blank for 2023, because DIVIDE returns blank when the denominator is blank." Give the full pattern only where it's needed, e.g. YoY Change = IF ( NOT ISBLANK ( [Revenue LY] ), [Net Revenue] - [Revenue LY] ).</t>
  </si>
  <si>
    <t xml:space="preserve">16.18</t>
  </si>
  <si>
    <t xml:space="preserve">§16.8 Overview Title "FORMAT ( [Net Revenue], "₹#,##0,,, .0 cr" )"</t>
  </si>
  <si>
    <t xml:space="preserve">Broken format string. Each trailing comma divides by 1,000, so three commas divide by 10⁹, and crore (10⁷) can't be produced by comma scaling. The title would not read "₹114.7 cr".</t>
  </si>
  <si>
    <t xml:space="preserve">Replace with FORMAT ( [Net Revenue] / 10000000, "₹#,##0.0" ) &amp; " cr". Show the output with Year = 2025: "Riverstone sales — 2025 — ₹114.7 cr at 98.3% of target"; with no year selected: "… all years — ₹266.3 cr at …". Explain each part (SELECTEDVALUE's default, &amp;, FORMAT codes).</t>
  </si>
  <si>
    <t xml:space="preserve">16.19</t>
  </si>
  <si>
    <t xml:space="preserve">§16.11 "Last Refreshed = "Data refreshed " &amp; FORMAT ( MAX ( 'Date'[Date] ) … NOW () + TIME ( 5, 30, 0 )" (also Ans 17)</t>
  </si>
  <si>
    <t xml:space="preserve">Three bugs. (1) MAX('Date'[Date]) is the end of the date table (always 31 Dec 2025), not the latest data. (2) NOW() in a measure is evaluated when the visual renders, so it shows viewing time, not refresh time; the measure defeats its own purpose ("stale data presented as current"). (3) In Desktop, NOW() is local time, so +5:30 double-shifts IST (Ans 17 notes the clock but keeps the offset).</t>
  </si>
  <si>
    <t xml:space="preserve">Data date: FORMAT ( MAX ( Sales[order_date] ), "d MMM yyyy" ). Refresh time: add a one-row table at refresh, either in Power Query (Blank Query: = #table({"RefreshedIST"}, {{DateTimeZone.SwitchZone(DateTimeZone.UtcNow(), 5, 30)}})) or as a DAX calculated table Refresh = ROW ( "RefreshedIST", UTCNOW () + TIME ( 5, 30, 0 ) ), since calculated tables evaluate at refresh. Then Last Refreshed = "Data to " &amp; … &amp; " · refreshed " &amp; FORMAT ( MAX ( Refresh[RefreshedIST] ), "d MMM yyyy HH:mm" ) &amp; " IST". Fix Ans 17 and the §14.7 pointer sentence the same way.</t>
  </si>
  <si>
    <t xml:space="preserve">16.20</t>
  </si>
  <si>
    <t xml:space="preserve">§16.10 Figure 16.6 "anita@… → (no role: sees all)"; table "Anita Rao (Sales Head, no role) all"</t>
  </si>
  <si>
    <t xml:space="preserve">This contradicts the chapter's own correct rule (l.694–695): once roles exist, a Viewer or app user with no role sees nothing. Anita as a reader would see an empty report, and the test in the table would fail.</t>
  </si>
  <si>
    <t xml:space="preserve">Add a role "All regions" with DAX filter TRUE() on Customer. Map Anita (and other leaders) to it. Update Figure 16.6, the expected-results table ("Anita Rao — role All regions — ₹1,146,641,651"), and the sentence "A user with no role…" to add "so give leaders an 'All regions' role".</t>
  </si>
  <si>
    <t xml:space="preserve">16.21</t>
  </si>
  <si>
    <t xml:space="preserve">§16.10 Figure 16.6 "LOOKUPVALUE( UserRegion[region], UserRegion[email], USERPRINCIPALNAME())"</t>
  </si>
  <si>
    <t xml:space="preserve">The figure's 3-argument version raises "A table of multiple values was supplied" for Pooja, who has two rows (West, East). The body text uses a different 5-argument version and an IN CALCULATETABLE version, and the reader isn't told why the versions differ.</t>
  </si>
  <si>
    <t xml:space="preserve">Put the Customer[region] IN CALCULATETABLE ( VALUES ( UserRegion[region] ), UserRegion[email] = USERPRINCIPALNAME () ) rule in the figure and make it the main rule. Explain each line (what VALUES returns for Pooja: {West, East}; what IN tests). Drop the LOOKUPVALUE versions, or keep one with a note that it works only when each user has one region. Also say to hide the UserRegion table from report view.</t>
  </si>
  <si>
    <t xml:space="preserve">16.22</t>
  </si>
  <si>
    <t xml:space="preserve">§16.10 "Static roles … Role 'South': [region] = "South" on the Customer table"</t>
  </si>
  <si>
    <t xml:space="preserve">The steps are fine, but there is no expected output at the point of use (it comes later in a table), and no "View as" screenshot or description.</t>
  </si>
  <si>
    <t xml:space="preserve">After View as → South, state: "The Net Revenue card now shows ₹318,624,642 and Customers 1,289; the region bar shows only South."</t>
  </si>
  <si>
    <t xml:space="preserve">16.23</t>
  </si>
  <si>
    <t xml:space="preserve">Ans 22 "Top Customer = IF ( HASONEVALUE ( … ), BLANK (), SELECTEDVALUE ( TOPN ( 1, … ) …"</t>
  </si>
  <si>
    <t xml:space="preserve">Broken. SELECTEDVALUE takes a *column*, not a table, so this is a syntax error. The logic is also inverted against the question: the question says blank when *more than one* customer is in context, the answer blanks when exactly one is. And "the biggest customer's revenue is about ₹10.7 lakh" describes revenue, while the measure returns a name.</t>
  </si>
  <si>
    <t xml:space="preserve">Rewrite Ex 22: "Write a measure that returns the name of the highest-revenue customer in the current selection." Answer: Top Customer = MAXX ( TOPN ( 1, VALUES ( Customer[Customer] ), [Net Revenue], DESC ), Customer[Customer] ). Explain TOPN's 4 arguments and why MAXX turns the one-row table into a value, add a note on ties, and give the expected 2025 name and revenue from a SQL check (… ORDER BY revenue DESC LIMIT 1).</t>
  </si>
  <si>
    <t xml:space="preserve">16.24</t>
  </si>
  <si>
    <t xml:space="preserve">Tools "Power BI Service with a Pro licence or trial"; §16.1 "You can learn the whole of this chapter for free"</t>
  </si>
  <si>
    <t xml:space="preserve">Signing in to the Power BI Service (even Free or a Pro trial) needs a work or school account; personal Gmail/Outlook addresses are rejected. Many self-learners cannot do §16.9 (publish, refresh, gateway, app) or the Service half of §16.10, so "the whole chapter for free" overpromises.</t>
  </si>
  <si>
    <t xml:space="preserve">In §16.0 and §16.1, state the account requirement plainly. Give a "no work account" path: do everything in Desktop, test RLS with Modeling → View as, and read §16.9 as a walkthrough (add one screenshot per step). Mark project steps 7–8 and Ex 3, 18–19 (Service parts) as "if you have a work/school account". Reword the claim to "You can learn everything in Desktop for free; publishing needs a work or school account."</t>
  </si>
  <si>
    <t xml:space="preserve">16.25</t>
  </si>
  <si>
    <t xml:space="preserve">§16.13 "dbt's semantic layer (Chapter 31)"; Where this leads "Chapter 31, Analytics Engineering with dbt"; Ans 26 "one definition in the warehouse (Chapter 31)"</t>
  </si>
  <si>
    <t xml:space="preserve">Wrong chapter: dbt is Ch 32. The first is known; the other two are new.</t>
  </si>
  <si>
    <t xml:space="preserve">Change all three to Chapter 32.</t>
  </si>
  <si>
    <t xml:space="preserve">16.26</t>
  </si>
  <si>
    <t xml:space="preserve">Where this leads "Chapter 23, Data Storytelling: turning a page of visuals into a decision"</t>
  </si>
  <si>
    <t xml:space="preserve">Wrong reference (new). Ch 23 is "Business Acumen, KPIs &amp; Metrics"; storytelling is Ch 24 "Requirements, Storytelling &amp; Stakeholders".</t>
  </si>
  <si>
    <t xml:space="preserve">Change to "Chapter 24, Requirements, Storytelling &amp; Stakeholders".</t>
  </si>
  <si>
    <t xml:space="preserve">16.27</t>
  </si>
  <si>
    <t xml:space="preserve">§16.1 "a model is not a substitute for a warehouse (Part III)"; §16.13 "Part III covers the engineering side"</t>
  </si>
  <si>
    <t xml:space="preserve">Warehouses, lakehouses and OneLake-style storage are Part V (Ch 49), not Part III. Part III has Ch 28 (modelling) and Ch 32 (dbt).</t>
  </si>
  <si>
    <t xml:space="preserve">Change both to "(Chapter 28 for modelling; Part V, Chapter 49, for warehouses and lakehouses)".</t>
  </si>
  <si>
    <t xml:space="preserve">16.28</t>
  </si>
  <si>
    <t xml:space="preserve">§16.4 "DIVIDE … Always use it instead of / ."</t>
  </si>
  <si>
    <t xml:space="preserve">This is overstated. Microsoft's guidance is to use DIVIDE when the denominator can be zero or blank; / by a constant is fine.</t>
  </si>
  <si>
    <t xml:space="preserve">Change to "Use it whenever the denominator could be zero or blank, which for a measure is almost always."</t>
  </si>
  <si>
    <t xml:space="preserve">16.29</t>
  </si>
  <si>
    <t xml:space="preserve">§16.4 "DAX formatters (the SHIFT+ENTER line breaks in the formula bar, or the free DAX Formatter…)"</t>
  </si>
  <si>
    <t xml:space="preserve">Shift+Enter only inserts a line break; it isn't a formatter.</t>
  </si>
  <si>
    <t xml:space="preserve">Change to "Press Shift+Enter in the formula bar to start a new line; the free DAX Formatter website (daxformatter.com) lays out a whole measure for you."</t>
  </si>
  <si>
    <t xml:space="preserve">16.30</t>
  </si>
  <si>
    <t xml:space="preserve">Licence table "Free ₹0" under "Price (US list)"</t>
  </si>
  <si>
    <t xml:space="preserve">Mixed currency in a US-dollar column.</t>
  </si>
  <si>
    <t xml:space="preserve">Change to "$0".</t>
  </si>
  <si>
    <t xml:space="preserve">16.31</t>
  </si>
  <si>
    <t xml:space="preserve">§16.3 "Join it to Sales[order_date] and to Targets[target_month]"</t>
  </si>
  <si>
    <t xml:space="preserve">Targets attach to the first day of each month only. A date-range slicer that excludes the 1st loses the target. This is not explained ("at different grains").</t>
  </si>
  <si>
    <t xml:space="preserve">Add: "Targets are stored on the first day of each month, so show % of Target by month, quarter or year, never by a day-level range."</t>
  </si>
  <si>
    <t xml:space="preserve">16.32</t>
  </si>
  <si>
    <t xml:space="preserve">§16.3 "Create it in Power Query (a Blank Query with List.Dates) or in DAX"</t>
  </si>
  <si>
    <t xml:space="preserve">A Power Query method is named but no M is shown.</t>
  </si>
  <si>
    <t xml:space="preserve">Either delete the Power Query option or give it in a box: = List.Dates(#date(2023,1,1), 1096, #duration(1,0,0,0)) → To Table → type Date.</t>
  </si>
  <si>
    <t xml:space="preserve">16.33</t>
  </si>
  <si>
    <t xml:space="preserve">§16.6 quarterly SQL "SELECT 'Q' \</t>
  </si>
  <si>
    <t xml:space="preserve">\ | EXTRACT(QUARTER FROM order_date) AS quarter … GROUP BY 1" | \ | \ |  concatenation, EXTRACT(QUARTER …) and positional GROUP BY 1 are not explained; FILTER repeated. It works as a check query but is a wall of code.</t>
  </si>
  <si>
    <t xml:space="preserve">One line per new piece: "\ | \ |  joins text ('Q' + 1 → 'Q1'); GROUP BY 1 groups by the first SELECT column". Or simplify to EXTRACT(QUARTER FROM order_date) AS q plus two CASE-free queries filtered by year.</t>
  </si>
  <si>
    <t xml:space="preserve">16.34</t>
  </si>
  <si>
    <t xml:space="preserve">Timed challenge Level 7 "revenue with no sales rep in 2025" on a page filtered to Q4</t>
  </si>
  <si>
    <t xml:space="preserve">The question asks for a full-year answer on a Q4-filtered page, and the answer (₹33,630,135) is the full year.</t>
  </si>
  <si>
    <t xml:space="preserve">Say "clear the Q4 page filter for Level 7", or change the question to Q4 and give the Q4 value.</t>
  </si>
  <si>
    <t xml:space="preserve">16.35</t>
  </si>
  <si>
    <t xml:space="preserve">Delete.</t>
  </si>
  <si>
    <t xml:space="preserve">16.36</t>
  </si>
  <si>
    <t xml:space="preserve">§16.1 Figure 16.1 caption repeated in body text "Desktop builds it; the Service runs it…"</t>
  </si>
  <si>
    <t xml:space="preserve">Figure text and caption duplicate each other (extraction shows both).</t>
  </si>
  <si>
    <t xml:space="preserve">Keep the sentence only in the caption.</t>
  </si>
  <si>
    <t xml:space="preserve">V16.1</t>
  </si>
  <si>
    <t xml:space="preserve">p. 30, 31 · Practice exercises 10–27</t>
  </si>
  <si>
    <t xml:space="preserve">The leading digit of two-digit list numbers is clipped at the text-column edge.</t>
  </si>
  <si>
    <t xml:space="preserve">V16.2</t>
  </si>
  <si>
    <t xml:space="preserve">p. 5 · Figure 16.1 (pieces of Power BI)</t>
  </si>
  <si>
    <t xml:space="preserve">Box text is 5.8–6.5 pt. The arrow labels ("publish", "share", "import or query", "scheduled refresh") are the smallest.</t>
  </si>
  <si>
    <t xml:space="preserve">V16.3</t>
  </si>
  <si>
    <t xml:space="preserve">p. 8 · Figure 16.2 (star schema)</t>
  </si>
  <si>
    <t xml:space="preserve">Column lists and "1 → *" cardinality labels are 5.6–6.3 pt.</t>
  </si>
  <si>
    <t xml:space="preserve">Redraw at ≥ 7 pt. The diagram has spare width at the sides.</t>
  </si>
  <si>
    <t xml:space="preserve">V16.4</t>
  </si>
  <si>
    <t xml:space="preserve">p. 12 · Figure 16.3 (filter context / CALCULATE)</t>
  </si>
  <si>
    <t xml:space="preserve">Filter chips and the CALCULATE panel are 5.2–6.4 pt. The grey explanatory lines in the CALCULATE panel are also low-contrast.</t>
  </si>
  <si>
    <t xml:space="preserve">Redraw at ≥ 7 pt, with the explanatory lines in the body grey used elsewhere.</t>
  </si>
  <si>
    <t xml:space="preserve">V16.5</t>
  </si>
  <si>
    <t xml:space="preserve">p. 16 · Figure 16.4 (monthly pack as one page)</t>
  </si>
  <si>
    <t xml:space="preserve">Card captions, chart titles and the drill-through notes are 5.1–5.9 pt.</t>
  </si>
  <si>
    <t xml:space="preserve">Redraw at ≥ 7 pt, or drop the in-mock-up notes into the caption.</t>
  </si>
  <si>
    <t xml:space="preserve">V16.6</t>
  </si>
  <si>
    <t xml:space="preserve">p. 16 · Figure 16.4 details</t>
  </si>
  <si>
    <t xml:space="preserve">The "West" bar label runs past the right border of its panel. The header reads "Riverstone sales — December 2025", while the cards show full-year 2025 figures (₹114.7 cr, 46,356 orders, AOV ₹24,736). The "City missing" row has only a grey chip and no bar.</t>
  </si>
  <si>
    <t xml:space="preserve">Shorten the bars or widen the panel. Title the page "2025" (or show December figures). Draw the small bar.</t>
  </si>
  <si>
    <t xml:space="preserve">V16.7</t>
  </si>
  <si>
    <t xml:space="preserve">p. 20, 21 · Figures 16.5 (publish pipeline) and 16.6 (row-level security)</t>
  </si>
  <si>
    <t xml:space="preserve">Text is 5.2–6.4 pt. In 16.5, the "What breaks most often" sub-labels are about 5 pt grey. In 16.6, the four result rows are about 5 pt.</t>
  </si>
  <si>
    <t xml:space="preserve">V16.8</t>
  </si>
  <si>
    <t xml:space="preserve">p. 11, 14, 15, 24, 34 · SQL check queries, DAX in answers</t>
  </si>
  <si>
    <t xml:space="preserve">Lines wrap to column 0 with no marker: "'2025-01-01')) AS y2025," and "FILTER (WHERE …" (p. 11), "ytd_jun_2025," and "30')/SUM(…" (p. 14), "yoy_pct" (p. 15), "refreshed " &amp; FORMAT…" (p. 24, Last Refreshed measure), "'Date'[Date] &lt;= MAX…" (p. 34).</t>
  </si>
  <si>
    <t xml:space="preserve">Break the lines deliberately with indentation, or add a continuation marker.</t>
  </si>
  <si>
    <t xml:space="preserve">V16.9</t>
  </si>
  <si>
    <t xml:space="preserve">p. 10 · 16.4 "Riverstone's base measures, with their 2025 values:"</t>
  </si>
  <si>
    <t xml:space="preserve">The lead-in ends the page above a ~15% blank. The measures block is on p. 11.</t>
  </si>
  <si>
    <t xml:space="preserve">V16.10</t>
  </si>
  <si>
    <t xml:space="preserve">p. 15 · 16.7 Designing the report page</t>
  </si>
  <si>
    <t xml:space="preserve">~28% blank after the section intro. Figure 16.4 is pushed to p. 16.</t>
  </si>
  <si>
    <t xml:space="preserve">Float the figure, or let the "Layout" text flow before it.</t>
  </si>
  <si>
    <t xml:space="preserve">V16.11</t>
  </si>
  <si>
    <t xml:space="preserve">p. 27→28 · Project "Steps"</t>
  </si>
  <si>
    <t xml:space="preserve">The run-in heading "Steps" is stranded alone at the foot of p. 27. The list starts on p. 28.</t>
  </si>
  <si>
    <t xml:space="preserve">V16.12</t>
  </si>
  <si>
    <t xml:space="preserve">"Approved chapter v1", "Approved 18 September 2026" and "Every number checked against SQL" are visible.</t>
  </si>
  <si>
    <t xml:space="preserve">V16.13</t>
  </si>
  <si>
    <t xml:space="preserve">V16.14</t>
  </si>
  <si>
    <t xml:space="preserve">p. 19 · End of 16.8</t>
  </si>
  <si>
    <t xml:space="preserve">~20% blank after step 9 before 16.9 starts on p. 20. The other H2 sections don't force a new page.</t>
  </si>
  <si>
    <t xml:space="preserve">Let 16.9 start on p. 19, or check for a forced break.</t>
  </si>
  <si>
    <t xml:space="preserve">V16.15</t>
  </si>
  <si>
    <t xml:space="preserve">p. 6, 9, 14 · Lead-ins at page foot</t>
  </si>
  <si>
    <t xml:space="preserve">"…For this chapter:" (p. 6), "…so treat it like one:" (p. 9), "And by quarter, so you can check a matrix of…:" (p. 14).</t>
  </si>
  <si>
    <t xml:space="preserve">V16.16</t>
  </si>
  <si>
    <t xml:space="preserve">p. 2, 12, 13 · Heading "16.5 CALCULATE and filter context"; subheading "CALCULATE"</t>
  </si>
  <si>
    <t xml:space="preserve">The keyword is set as a small inline-code pill inside the Poppins heading (and in the contents). On p. 13 the whole subheading is a tiny monospace pill, much smaller than the other subheadings.</t>
  </si>
  <si>
    <t xml:space="preserve">Set heading keywords in the heading font (or a heading-sized mono), without the pill.</t>
  </si>
  <si>
    <t xml:space="preserve">V16.17</t>
  </si>
  <si>
    <t xml:space="preserve">p. 18, 22 · "The cards must read" table; RLS expected-results table</t>
  </si>
  <si>
    <t xml:space="preserve">Numeric columns (₹ values, customer counts) are left-aligned.</t>
  </si>
  <si>
    <t xml:space="preserve">V16.18</t>
  </si>
  <si>
    <t xml:space="preserve">p. 25, 33 · Mistakes table; answer 5</t>
  </si>
  <si>
    <t xml:space="preserve">Inline DAX splits leaving a lone ")" on the next line: "DISTINCTCOUNT ( Sales[order_id] / )", "COUNTROWS ( Sales / )".</t>
  </si>
  <si>
    <t xml:space="preserve">Non-breaking spaces inside short inline code.</t>
  </si>
  <si>
    <t xml:space="preserve">V16.19</t>
  </si>
  <si>
    <t xml:space="preserve">17.1</t>
  </si>
  <si>
    <t xml:space="preserve">Before you start "Chapter 6 for installing tools"; §17.2 "Chapter 6 set up the toolkit; here's the detail"</t>
  </si>
  <si>
    <t xml:space="preserve">Under S.3/M.3, Ch 6 installs nothing. This is the reader's first programming chapter and must install Python, VS Code, Jupyter and the terminal minimum itself.</t>
  </si>
  <si>
    <t xml:space="preserve">Add §17.0 "Set up: terminal, Python, VS Code, and your first notebook" (about 2 hours) before §17.1, replacing §17.2–17.3's install material (keep §17.3's *why* of venvs). Contents, each step with the exact command and the output the reader should see: (a) Terminal minimum (20 min): open it (Windows Terminal/PowerShell; macOS Terminal; VS Code View → Terminal); read the prompt; pwd (PowerShell Get-Location), ls (dir), cd companion/ch17, cd .., Tab completion, ↑ for history, Ctrl+C to stop, quotes for paths with spaces. Six commands, each with sample output. (b) Install Python per OS (python.org with "Add python.exe to PATH"; macOS python.org/Homebrew; Linux apt) → python --version → Python 3.13.x. (c) Install VS Code + Python + Jupyter extensions; File → Open Folder → companion/ch17. (d) Create the environment in that folder: python -m venv .venv → activate (with the PowerShell fix, 17.3) → prompt shows (.venv) → python -m pip install ipykernel jupyterlab → "Successfully installed …" → Python: Select Interpreter → .venv. (e) First one-cell notebook: File → New File → Jupyter Notebook → Select Kernel → .venv → type print("Hello, Riverstone") → Shift+Enter → output under the cell → save as first_notebook.ipynb. Then a second cell 2 + 2 * 10 → 22, to show that a notebook displays the last expression. (f) check_setup.py (in companion/ch17/, run with python check_setup.py; the reader isn't expected to understand the code yet): prints the Python version and fails if below 3.10; prints sys.executable and whether it is inside .venv (sys.prefix != sys.base_prefix); checks import ipykernel; checks Path("sales_exports").is_dir() and counts 12 CSVs; checks the terminal's current folder; ends with "Setup OK: you're ready for section 17.1" or a numbered list of what to fix, each pointing to the step above. Show both outputs (OK and one failure). (g) Troubleshooting table (move §17.2's table here). Update Before you start to "Chapters 1–16 for the ideas; no programming experience; this chapter installs everything you need."</t>
  </si>
  <si>
    <t xml:space="preserve">17.2</t>
  </si>
  <si>
    <t xml:space="preserve">§17.4 REPL "print("Hello, Riverstone") / 2 + 2 * 10" → output "Hello, Riverstone"</t>
  </si>
  <si>
    <t xml:space="preserve">Wrong output: at the REPL, 2 + 2 * 10 prints 22. The next sentence ("The REPL prints the value of an expression") contradicts the output shown.</t>
  </si>
  <si>
    <t xml:space="preserve">Show it as the REPL really looks: &gt;&gt;&gt; print("Hello, Riverstone") / Hello, Riverstone / &gt;&gt;&gt; 2 + 2 * 10 / 22. Explain &gt;&gt;&gt;, and that * happens before + (Ch 4 order of operations): 2 × 10 = 20, + 2 = 22. In the notebook-first plan this becomes two cells.</t>
  </si>
  <si>
    <t xml:space="preserve">17.3</t>
  </si>
  <si>
    <t xml:space="preserve">§17.3 ".venv\Scripts\activate  # activate: Windows"</t>
  </si>
  <si>
    <t xml:space="preserve">On many Windows machines PowerShell refuses this with "running scripts is disabled on this system" (execution policy). This is the most common first-day blocker, and it isn't mentioned.</t>
  </si>
  <si>
    <t xml:space="preserve">In §17.0(d) add: "If PowerShell says running scripts is disabled, run Set-ExecutionPolicy -Scope CurrentUser -ExecutionPolicy RemoteSigned, answer Y, and try again (or use Command Prompt: .venv\Scripts\activate.bat)." Show the expected prompt (.venv) PS C:\…\companion\ch17&gt;.</t>
  </si>
  <si>
    <t xml:space="preserve">17.4</t>
  </si>
  <si>
    <t xml:space="preserve">§17.3 block "cd path/to/my-project … python -m pip freeze &gt; requirements.txt … deactivate"</t>
  </si>
  <si>
    <t xml:space="preserve">Seven terminal commands in one block. cd, the placeholder path, source, &gt; redirection and deactivate are never explained, and no output is shown (M.4).</t>
  </si>
  <si>
    <t xml:space="preserve">Split into one command per step, each with what appears: (1) cd into the folder → prompt changes; (2) python -m venv .venv → no output; ls shows .venv; (3) activate → (.venv); (4) python -m pip install requests → "Successfully installed requests-2.x …"; (5) python -m pip freeze &gt; requirements.txt → no output; explain &gt; = "send the output into this file"; open the file to show its lines; (6) deactivate → (.venv) disappears. Explain -m ("run a module as a program").</t>
  </si>
  <si>
    <t xml:space="preserve">17.5</t>
  </si>
  <si>
    <t xml:space="preserve">§17.3 "python -m pip install pandas # installs into this project only" vs Tools "this chapter installs nothing except Jupyter. pandas arrives in Chapter 18"</t>
  </si>
  <si>
    <t xml:space="preserve">Contradiction: the example installs pandas.</t>
  </si>
  <si>
    <t xml:space="preserve">Use ipykernel/jupyterlab (needed now) or requests as the example package.</t>
  </si>
  <si>
    <t xml:space="preserve">17.6</t>
  </si>
  <si>
    <t xml:space="preserve">§17.4 hello.py "customer = "Metro Mart" … print(f"{customer} placed {orders} orders, about {orders / 12:.1f}…")"</t>
  </si>
  <si>
    <t xml:space="preserve">Variables and = are used here, but §17.5 defines them afterwards. The block introduces 5 ideas (variables, str vs int, print with several arguments, f-strings, the :.1f format spec). The note "# starts a comment" refers to a comment that isn't in the block.</t>
  </si>
  <si>
    <t xml:space="preserve">Reorder: §17.4 = print() only (text, a number, two values with commas → output with a space). Move hello.py after §17.5's variables, as cells: (1) customer = "Metro Mart" then customer → 'Metro Mart'; (2) print("Customer:", customer); (3) orders / 12 → 1.1666666666666667; (4) f"about {orders / 12:.1f} a month", with : = "format as", .1 = one decimal, f = fixed-point. Then assemble the script. Add # hello.py — my first script as line 1 so the comment note has something to point at.</t>
  </si>
  <si>
    <t xml:space="preserve">17.7</t>
  </si>
  <si>
    <t xml:space="preserve">§17.5 types "name = … print(type(name)…) print(orders * 2, revenue / orders, name.upper(), not is_key_account)"</t>
  </si>
  <si>
    <t xml:space="preserve">Five types, type(), a method call (.upper()), not and float division in one block. "Method" and dot syntax are never defined anywhere in the chapter.</t>
  </si>
  <si>
    <t xml:space="preserve">Cells: one per type with type(x) output (5 short cells or one table-like cell). Then "What a type lets you do" cells: orders * 2 → 28; revenue / orders → 20323.60714285714 (say why it's long); introduce method: "a function that belongs to a value, called with a dot: name.upper() → 'METRO MART'"; not is_key_account → False.</t>
  </si>
  <si>
    <t xml:space="preserve">17.8</t>
  </si>
  <si>
    <t xml:space="preserve">§17.5 Strings "clean = customer.strip().title() … "-".join([...])"</t>
  </si>
  <si>
    <t xml:space="preserve">Nine operations in one block (strip, title, chaining, len, replace, startswith, in, split, join) and a list literal before lists are taught. "strip() is TRIM" is imprecise: Excel TRIM also collapses internal double spaces.</t>
  </si>
  <si>
    <t xml:space="preserve">Four cells: (1) customer.strip() → 'metro mart', then .title(), then chained, explaining that it runs left to right; (2) len(clean) → 10; (3) replace, startswith, "Mart" in clean, one per line with output; (4) split("-") → a list ("you'll meet lists in 17.6"), "-".join(...). Change the analogy to "strip() is like TRIM for the ends (it doesn't collapse spaces in the middle)".</t>
  </si>
  <si>
    <t xml:space="preserve">17.9</t>
  </si>
  <si>
    <t xml:space="preserve">§17.5 Numbers "quantity, unit_price, discount_pct = 45, 430, 5"</t>
  </si>
  <si>
    <t xml:space="preserve">Tuple unpacking (multiple assignment) is used before §17.6 teaches it. The block then does 7 operations (round, //, %, , int, float, str + concatenation).</t>
  </si>
  <si>
    <t xml:space="preserve">Use three assignment lines. Split into (a) arithmetic: net = … → 18382.5; 45 // 10 → 4, worked as "4 full cartons of 10"; 45 % 10 → 5 "left over"; 2  10 → 1024; (b) conversions one per line, introducing + on strings (joins text) before str(net) + " rupees".</t>
  </si>
  <si>
    <t xml:space="preserve">17.10</t>
  </si>
  <si>
    <t xml:space="preserve">§17.6 lists "print(len(cities), cities[0], cities[-1], cities[1:3]) … cities.index("Pune")"</t>
  </si>
  <si>
    <t xml:space="preserve">Nine ideas in one block (len, index, negative index, slice, append, insert, remove, sorted, in, .index), and the list changes three times between prints, so the reader can't track its state.</t>
  </si>
  <si>
    <t xml:space="preserve">Cells: (1) create + cities display; (2) cities[0], cities[-1] (draw index positions 0 1 2 3 / −4 −3 −2 −1); (3) cities[1:3] with a by-hand "start included, end excluded"; (4) append → show the list; (5) insert(0, …) → show; (6) remove → show; (7) sorted(cities) vs cities.sort() returning None (move the "classic bug" demo here, with output None); (8) in, .index.</t>
  </si>
  <si>
    <t xml:space="preserve">17.11</t>
  </si>
  <si>
    <t xml:space="preserve">§17.6 "sorted(line_values, reverse=True)[:3]"</t>
  </si>
  <si>
    <t xml:space="preserve">A keyword argument (reverse=True) is used before §17.10 explains keyword arguments, and indexing into the result of a call ((...)[:3]) is new.</t>
  </si>
  <si>
    <t xml:space="preserve">At first use add: "reverse=True is a named option: it tells sorted() to go largest first. Section 17.10 explains named (keyword) arguments." Split into ranked = sorted(...) then ranked[:3].</t>
  </si>
  <si>
    <t xml:space="preserve">17.12</t>
  </si>
  <si>
    <t xml:space="preserve">§17.7 dict "for city, region in city_region.items(): print(f"{city:&lt;10} {region}")"; counting "for status in statuses:"</t>
  </si>
  <si>
    <t xml:space="preserve">for loops (with tuple unpacking over .items()) are used in §17.7, but loops are taught in §17.9. The f-string alignment spec :&lt;10 is also new.</t>
  </si>
  <si>
    <t xml:space="preserve">Move §17.9 Loops before §17.7 Dictionaries (order: 17.6 lists → loops over lists → 17.7 dicts, which then loop over .items()), or remove the loops from §17.7 and move the "counting with a dictionary" pattern into §17.9. Explain :&lt;10 ("pad to 10 characters, left-aligned") with an output that shows the padding (use a monospace output block that keeps spaces).</t>
  </si>
  <si>
    <t xml:space="preserve">17.13</t>
  </si>
  <si>
    <t xml:space="preserve">§17.9 accumulate "total += value" (also while loop "attempt += 1")</t>
  </si>
  <si>
    <t xml:space="preserve"> += is never explained.</t>
  </si>
  <si>
    <t xml:space="preserve">At first use: "total += value is short for total = total + value." Show a 3-row trace table (value, total after) for the first three items.</t>
  </si>
  <si>
    <t xml:space="preserve">17.14</t>
  </si>
  <si>
    <t xml:space="preserve">§17.9 "for i, month in enumerate(months, start=1): … for month, target in zip(months, targets):"</t>
  </si>
  <si>
    <t xml:space="preserve">One block with a basic for loop, enumerate with a keyword argument, unpacking, zip, and a format spec (/10000000:.2f).</t>
  </si>
  <si>
    <t xml:space="preserve">Three cells: plain for (output 3 lines); enumerate (output); zip (output). Keep the :.2f explanation from 17.6.</t>
  </si>
  <si>
    <t xml:space="preserve">17.15</t>
  </si>
  <si>
    <t xml:space="preserve">§17.9 zip output "Jan: 7.74 crore … Mar: 10.80 crore"</t>
  </si>
  <si>
    <t xml:space="preserve">Correct output, but 7.735 → 7.74 while 10.805 → 10.80, because of binary floats. A careful beginner will think it's a bug.</t>
  </si>
  <si>
    <t xml:space="preserve">Add a note: "10.805 printed as 10.80, not 10.81: 10.805 is stored as 10.80499999…, the float effect from section 17.5." Or use values that don't end in 5.</t>
  </si>
  <si>
    <t xml:space="preserve">17.16</t>
  </si>
  <si>
    <t xml:space="preserve">§17.9 "while attempt &lt; 3: … else: print("never ran, because we broke out")"</t>
  </si>
  <si>
    <t xml:space="preserve">while … else is a rare construct (the text says so) placed in a beginner's first loop lesson. It adds load for no benefit.</t>
  </si>
  <si>
    <t xml:space="preserve">Drop the else: clause from the example. Keep break and continue, and mention loop-else in one line or not at all.</t>
  </si>
  <si>
    <t xml:space="preserve">17.17</t>
  </si>
  <si>
    <t xml:space="preserve">§17.9 comprehension "Read it right to left: for each v in values , keep it if…"</t>
  </si>
  <si>
    <t xml:space="preserve">The reading order is wrong. A comprehension reads middle (for v in values) → right (if v &gt; 10000) → left (v).</t>
  </si>
  <si>
    <t xml:space="preserve">Replace with: "Read the middle first (for each v in values), then the right (keep it if v &gt; 10000), then the left (put v in the new list)." Precede it with the equivalent 4-line loop and the same output, then the one-liner.</t>
  </si>
  <si>
    <t xml:space="preserve">17.18</t>
  </si>
  <si>
    <t xml:space="preserve">§17.8 "print(f"{net_revenue:,.0f} is {status}")" → "284,530"</t>
  </si>
  <si>
    <t xml:space="preserve">Correct (half-to-even rounding of 284,530.5), but a beginner expects 284,531. The , thousands separator spec is also new.</t>
  </si>
  <si>
    <t xml:space="preserve">Use 284,530.75 (→ 284,531), or add one line on rounding ties. Explain , = "thousands separators".</t>
  </si>
  <si>
    <t xml:space="preserve">17.19</t>
  </si>
  <si>
    <t xml:space="preserve">§17.8 second block "segment, orders, city = "Wholesale", 14, None … print("large" if orders &gt; 20 else "small")"</t>
  </si>
  <si>
    <t xml:space="preserve">Four constructs in one block (and, is None, truthiness, conditional expression).</t>
  </si>
  <si>
    <t xml:space="preserve">Split into 3 cells: and; is None vs not city (with a table: "", 0, None, [] → all falsy); the one-line conditional.</t>
  </si>
  <si>
    <t xml:space="preserve">17.20</t>
  </si>
  <si>
    <t xml:space="preserve">§17.11 "folder = Path("sales_exports")"; "Path("products.json")"; "open("broken_export.csv"…)"</t>
  </si>
  <si>
    <t xml:space="preserve">Every relative path assumes the notebook or terminal is running in companion/ch17. This is never stated, so a beginner gets FileNotFoundError on the first file cell.</t>
  </si>
  <si>
    <t xml:space="preserve">At the top of §17.11 (and in §17.0) say: keep your notebooks in companion/ch17, and the folder the notebook sits in is its working folder. Add a first cell Path.cwd() → …/companion/ch17, and explain what "current working folder" means (link to pwd in §17.0).</t>
  </si>
  <si>
    <t xml:space="preserve">17.21</t>
  </si>
  <si>
    <t xml:space="preserve">§17.11 Paths "files = sorted(folder.glob("*.csv")) … files[0].stat().st_size … [f.name for f in files[:3]]"</t>
  </si>
  <si>
    <t xml:space="preserve">Eight ideas: import-from, Path object, exists/is_dir, glob pattern, sorted, attributes (.name, .suffix), chained .stat().st_size, and a list comprehension. "Attribute" (no brackets) vs "method" (brackets) is not explained.</t>
  </si>
  <si>
    <t xml:space="preserve">Cells: (1) from pathlib import Path (explain from … import); (2) folder = Path("sales_exports"), folder.exists(); (3) list(folder.glob("*.csv")) → 12 paths (explain * wildcard); (4) sorted; (5) files[0].name, .suffix, .stem (attributes without brackets); (6) .stat().st_size → bytes; (7) the comprehension. Show folder / "riverstone_2025_01.csv" with its output (the text describes / but never runs it).</t>
  </si>
  <si>
    <t xml:space="preserve">17.22</t>
  </si>
  <si>
    <t xml:space="preserve">§17.11 Text files "with open("scratch.txt", "w", encoding="utf-8") as f:"</t>
  </si>
  <si>
    <t xml:space="preserve">The with context manager, file modes, \n, f.write, iterating a file object and .strip() arrive in one block. The modes list has a stray quote ("newline="" when writing CSV).</t>
  </si>
  <si>
    <t xml:space="preserve">Three cells: (1) read_text + splitlines()[0] (explain \n and splitlines); (2) write with with, then explain each part: open(name, mode, encoding), "w" replaces the file, as f names it, the indented block, the automatic close; open the file in VS Code to show it; (3) read line by line with enumerate (explain .strip() removing \n). Fix the modes list so newline="" is its own item: "newline="" (an argument, not a mode) when writing CSV".</t>
  </si>
  <si>
    <t xml:space="preserve">17.23</t>
  </si>
  <si>
    <t xml:space="preserve">§17.11 CSV "reader = csv.DictReader(f) … print(sorted(rows[0].keys())[:4])"</t>
  </si>
  <si>
    <t xml:space="preserve">Reasonable, but four new things: import csv, DictReader, list(reader), and the dictionary-per-row idea. The keys line is a triple chain.</t>
  </si>
  <si>
    <t xml:space="preserve">Split: (1) open + DictReader + rows = list(reader) + len(rows) → 15; (2) rows[0], showing the whole first dictionary as output (best for seeing the row as a dict); (3) rows[0]["net_revenue"] and type(...) → str. Drop the sorted-keys line.</t>
  </si>
  <si>
    <t xml:space="preserve">17.24</t>
  </si>
  <si>
    <t xml:space="preserve">§17.11 JSON "by_name = {p["name"]: p["unit_price"] for p in products}"; §17.13 "{c: sum(v) for c, v in by_city.items()}"</t>
  </si>
  <si>
    <t xml:space="preserve">Dict comprehensions are used, but §17.9 only mentions them in half a sentence.</t>
  </si>
  <si>
    <t xml:space="preserve">Add a worked dict-comprehension example in §17.9 after list comprehensions (the loop version first, then {k: v for …}, with output). In §17.11, build by_name with the loop first, then the one-liner.</t>
  </si>
  <si>
    <t xml:space="preserve">17.25</t>
  </si>
  <si>
    <t xml:space="preserve">§17.12 broken export "for line_no, row in enumerate(csv.DictReader(f), start=2):"</t>
  </si>
  <si>
    <t xml:space="preserve">start=2 isn't explained (the header is line 1). repr() is used here but only explained later under Debugging. from pathlib import Path is imported and unused. The block also combines continue, a tuple append and r[0] indexing.</t>
  </si>
  <si>
    <t xml:space="preserve">Explain start=2 ("line 1 of the file is the header, so the first data row is line 2, matching what you see in a text editor"). Move the repr() explanation to this point, with a mini cell repr("twenty"), repr("") → "''". Remove the unused import. Split into (1) the loop that builds bad_rows and clean_total, then show bad_rows; (2) the report prints.</t>
  </si>
  <si>
    <t xml:space="preserve">17.26</t>
  </si>
  <si>
    <t xml:space="preserve">§17.14 logging "log.info("starting") … print("(the log lines above go to stderr…)")" → only the print line</t>
  </si>
  <si>
    <t xml:space="preserve">Output doesn't match. The two log lines ("HH:MM:SS INFO starting", "HH:MM:SS WARNING 3 rows could not be read") *are* shown in both a terminal and Jupyter, since stderr is displayed. In Jupyter, basicConfig can also do nothing if the kernel already configured logging.</t>
  </si>
  <si>
    <t xml:space="preserve">Run it as a tiny script from the terminal and show the real output (two timestamped lines plus the print), or in a notebook use logging.basicConfig(..., force=True) and show the red stderr lines. Explain each basicConfig argument (level, format placeholders %(asctime)s, %(levelname)s, %(message)s, datefmt) and getLogger.</t>
  </si>
  <si>
    <t xml:space="preserve">17.27</t>
  </si>
  <si>
    <t xml:space="preserve">§17.14 "summary_script = '''"""Summarize every CSV export in a folder. …''' … subprocess.run([sys.executable, …], capture_output=True, text=True)"</t>
  </si>
  <si>
    <t xml:space="preserve">The chapter's key deliverable, "a script", is shown as a triple-quoted string written by Python and run through subprocess. That is meta-programming a first-time reader cannot follow, and it hides the real workflow (a .py file in VS Code, run in the terminal). It is also where "(also written by the chapter's own code)" in the companion list comes from.</t>
  </si>
  <si>
    <t xml:space="preserve">Delete the summary_script = '''…''' wrapper, the write_text cell and the subprocess cell. Instead: "In VS Code, File → New File → summarize_exports.py", showing the file with line numbers, built in 4 stages, each run in the terminal with output: (1) read_rows + print(len(read_rows(Path("sales_exports/riverstone_2025_01.csv")))) → 15; (2) add summarize → print one dict; (3) add main looping over files → the 12-row table; (4) add if __name__ == "__main__": and sys.argv. Run python summarize_exports.py sales_exports → the table and TOTAL 4,335,471.00. Show the exit code (echo $? on macOS/Linux, $LASTEXITCODE in PowerShell → 0; with an empty folder → 1). Delete "(also written by the chapter's own code)" from the Tools list.</t>
  </si>
  <si>
    <t xml:space="preserve">17.28</t>
  </si>
  <si>
    <t xml:space="preserve">§17.14 script body "raise SystemExit(main(folder))"; "sys.argv[1] if len(sys.argv) &gt; 1 else …"; "f"{s['file']:&lt;28}{s['rows']:&gt;6}{s['net_revenue']:&gt;16,.2f}""</t>
  </si>
  <si>
    <t xml:space="preserve">New constructs arrive without explanation: raise, SystemExit, sys.argv, __name__, a multi-exception except with KeyError, and three alignment specs.</t>
  </si>
  <si>
    <t xml:space="preserve">Before stage 4, a mini script show_args.py containing import sys; print(sys.argv), run as python show_args.py sales_exports → ['show_args.py', 'sales_exports']. Explain raise SystemExit(0/1) as "stop and hand this number to the terminal". Give a table of the format specs (&lt;28 left in 28, &gt;6 right in 6, &gt;16,.2f). Explain why KeyError is caught (a file without the status column).</t>
  </si>
  <si>
    <t xml:space="preserve">17.29</t>
  </si>
  <si>
    <t xml:space="preserve">Real world "36 CSV files, one per branch per month for the last quarter"</t>
  </si>
  <si>
    <t xml:space="preserve">Riverstone has four branches (Ch 14 l.128), so a quarter is 12 files, not 36.</t>
  </si>
  <si>
    <t xml:space="preserve">Change to "12 CSV files, one per branch per month for the last quarter, plus a thirteenth…" (see 17.30), or make it "the last three quarters" (36 = 4 × 9) and adjust the question.</t>
  </si>
  <si>
    <t xml:space="preserve">17.30</t>
  </si>
  <si>
    <t xml:space="preserve">Real world "One file had 1,900 rows … a duplicate export of September … added ₹1.4 crore" vs "₹4.7 crore less … entirely the duplicated file"</t>
  </si>
  <si>
    <t xml:space="preserve">This contradicts itself twice. A duplicate of a ~400-row file would have ~400 rows, not 1,900, and the duplicate's value is ₹1.4 crore in one sentence and ₹4.7 crore in the other.</t>
  </si>
  <si>
    <t xml:space="preserve">Pick one story, e.g. "One file, Mumbai_2025_09 (1).csv, was an exact duplicate of September's 412 rows, saved twice. It would have silently added ₹1.4 crore. The quarter came to ₹1.4 crore less than Finance's first estimate, entirely because of the duplicate."</t>
  </si>
  <si>
    <t xml:space="preserve">17.31</t>
  </si>
  <si>
    <t xml:space="preserve">Where this leads "Chapter 30, Python as Software, Not Scripts"; Stretch "a first taste of Chapter 30's testing"</t>
  </si>
  <si>
    <t xml:space="preserve">Wrong chapter (new finding): Python as Software is Ch 29, and testing is taught there (Ch 30 is Inference &amp; Experiments).</t>
  </si>
  <si>
    <t xml:space="preserve">Change both to Chapter 29.</t>
  </si>
  <si>
    <t xml:space="preserve">17.32</t>
  </si>
  <si>
    <t xml:space="preserve">Why this matters "data-science work in Parts III and IV"; §17.1 table "Statistics, forecasting, machine learning — Parts IV–V"</t>
  </si>
  <si>
    <t xml:space="preserve">Data engineering is Part V and statistics is Ch 21–22 and 30–31; Part V is not statistics/ML.</t>
  </si>
  <si>
    <t xml:space="preserve">"…toward the analytics, data-science and data-engineering work in Parts III–V"; table: "(Chapters 21–22, 30–31, and Part IV)".</t>
  </si>
  <si>
    <t xml:space="preserve">17.33</t>
  </si>
  <si>
    <t xml:space="preserve">Tools "Python 3.13 or 3.14 … the code in this chapter was run and checked on Python 3.12"</t>
  </si>
  <si>
    <t xml:space="preserve">The recommended version is not the tested one (and Ch 15 says 3.12).</t>
  </si>
  <si>
    <t xml:space="preserve">Re-run the chapter on 3.13 (or 3.14) and state that version, keeping "3.10+ works". Align Ch 15/18 Tools lines.</t>
  </si>
  <si>
    <t xml:space="preserve">17.34</t>
  </si>
  <si>
    <t xml:space="preserve">Practice data "built by build_ch17_files.py"; Tools "build_ch17_files.py builds everything below"</t>
  </si>
  <si>
    <t xml:space="preserve">A build script is listed as a reader file (drafting leftover; add to the map's list, which names Ch 8, 9, 14, 15).</t>
  </si>
  <si>
    <t xml:space="preserve">Remove from reader text; keep in the companion's maintainer README.</t>
  </si>
  <si>
    <t xml:space="preserve">17.35</t>
  </si>
  <si>
    <t xml:space="preserve">17.36</t>
  </si>
  <si>
    <t xml:space="preserve">Mistakes table "= where == belongs — SyntaxError, or a condition that's always true"</t>
  </si>
  <si>
    <t xml:space="preserve">In Python, if x = 5: is always a SyntaxError. "Always true" is a C/JavaScript trap and doesn't apply here.</t>
  </si>
  <si>
    <t xml:space="preserve">Change the symptom to "SyntaxError: invalid syntax (Python may suggest 'Maybe you meant ==')".</t>
  </si>
  <si>
    <t xml:space="preserve">17.37</t>
  </si>
  <si>
    <t xml:space="preserve">§17.12 "print(values[5])" → "IndexError: list index out of range"</t>
  </si>
  <si>
    <t xml:space="preserve">Only the last line of the traceback is shown, but the reader's screen shows the full traceback. The next paragraph talks about reading a full traceback the reader hasn't seen.</t>
  </si>
  <si>
    <t xml:space="preserve">Show the full traceback once (Jupyter form: IndexError Traceback (most recent call last) / Cell In[1], line 2 / ----&gt; 2 print(values[5]) / IndexError: list index out of range), then say "from now on only the last line is shown". Do the same for the §17.12 ValueError/KeyError examples.</t>
  </si>
  <si>
    <t xml:space="preserve">17.38</t>
  </si>
  <si>
    <t xml:space="preserve">§17.12 figure "Fix by converting defensively and counting what failed (section 17.12)"</t>
  </si>
  <si>
    <t xml:space="preserve">A self-reference to the section it sits in.</t>
  </si>
  <si>
    <t xml:space="preserve">Change to "(see Handling errors on purpose, below)".</t>
  </si>
  <si>
    <t xml:space="preserve">17.39</t>
  </si>
  <si>
    <t xml:space="preserve">Whole chapter: Key terms (~85), §17.13 "Module For" table, PEP 8/ruff, logging, argparse</t>
  </si>
  <si>
    <t xml:space="preserve">Load. §17.13 adds datetime, Counter, defaultdict, statistics, and a table of 10 modules and 9 packages. §17.14 adds logging, PEP 8, ruff/black and argparse on top of the script. That is too much for one sitting in a first programming chapter.</t>
  </si>
  <si>
    <t xml:space="preserve">Mark §17.13 datetime/Counter/defaultdict/statistics as one sitting with a split into 4 cells each (outputs already correct). Move logging (and argparse, Stretch 23–24) to Ch 20, which already covers "logging properly", keeping one sentence here. Move PEP 8/ruff to a box. Add sitting markers ("Stop here: sitting 1 of 6") after §17.0, 17.5, 17.7, 17.10, 17.12, 17.14.</t>
  </si>
  <si>
    <t xml:space="preserve">17.40</t>
  </si>
  <si>
    <t xml:space="preserve">Timed challenge Level 5 "How many distinct customers appear" → answer "23 customers with non-cancelled revenue"</t>
  </si>
  <si>
    <t xml:space="preserve">The question and answer count different things. The companion is described as "24 key accounts".</t>
  </si>
  <si>
    <t xml:space="preserve">Ask "How many distinct customers have non-cancelled revenue…" (23), or give both counts (all rows vs non-cancelled).</t>
  </si>
  <si>
    <t xml:space="preserve">17.41</t>
  </si>
  <si>
    <t xml:space="preserve">§17.2 VS Code "Ctrl+ to toggle it, and Ctrl+Shift+P for the command palette"</t>
  </si>
  <si>
    <t xml:space="preserve">Mac shortcuts are missing (the chapter says Windows, macOS or Linux).</t>
  </si>
  <si>
    <t xml:space="preserve">Add "(Cmd+Shift+P on macOS; Ctrl+ works on all three)".</t>
  </si>
  <si>
    <t xml:space="preserve">17.42</t>
  </si>
  <si>
    <t xml:space="preserve">Real world code "rows.extend(csv.DictReader(f))"</t>
  </si>
  <si>
    <t xml:space="preserve">.extend is new (only .append was taught).</t>
  </si>
  <si>
    <t xml:space="preserve">Add a clause: "extend adds every item from another collection, where append adds one".</t>
  </si>
  <si>
    <t xml:space="preserve">V17.1</t>
  </si>
  <si>
    <t xml:space="preserve">p. 19 · Figure 17.3 (how to read a traceback)</t>
  </si>
  <si>
    <t xml:space="preserve">The traceback text is 4.0 pt and the numbered call-outs and "What it tells you here" box are 4.3–4.6 pt. The figure's whole content is unreadable in print.</t>
  </si>
  <si>
    <t xml:space="preserve">Redraw at ≥ 7 pt: give the traceback the full text width and put the call-outs below it or in a numbered key.</t>
  </si>
  <si>
    <t xml:space="preserve">V17.2</t>
  </si>
  <si>
    <t xml:space="preserve">p. 12 · Figure 17.2 (which collection should I use?)</t>
  </si>
  <si>
    <t xml:space="preserve">Descriptions and example code are 4.6–4.7 pt, and the type names are 5.3 pt.</t>
  </si>
  <si>
    <t xml:space="preserve">Redraw at ≥ 7 pt, or drop the figure: the table "Which one do I use?" directly below says the same thing.</t>
  </si>
  <si>
    <t xml:space="preserve">V17.3</t>
  </si>
  <si>
    <t xml:space="preserve">p. 5 · Figure 17.1 (three ways to run Python)</t>
  </si>
  <si>
    <t xml:space="preserve">The arrow under the boxes points left, from the notebook back to the REPL. Its label says "when it works, move it into a script" (rightwards), and the caption says "Explore in a notebook, deliver a script".</t>
  </si>
  <si>
    <t xml:space="preserve">Reverse the arrow to run from the notebook box to the script box.</t>
  </si>
  <si>
    <t xml:space="preserve">V17.4</t>
  </si>
  <si>
    <t xml:space="preserve">p. 5 · Figure 17.1</t>
  </si>
  <si>
    <t xml:space="preserve">Box text is 5.3–5.7 pt, below the 7 pt print minimum.</t>
  </si>
  <si>
    <t xml:space="preserve">Redraw at ≥ 7 pt. Three columns fit at full text width.</t>
  </si>
  <si>
    <t xml:space="preserve">V17.5</t>
  </si>
  <si>
    <t xml:space="preserve">p. 32–33 · Practice exercises 10–30</t>
  </si>
  <si>
    <t xml:space="preserve">Two-digit list numbers hang 6 pt into the margin, and the left part of the first digit is clipped ("10." reads "l0.", "27." reads "?7.").</t>
  </si>
  <si>
    <t xml:space="preserve">Widen the list-marker box (e.g. padding-left: 2.2em for ol with ≥ 10 items) or remove the overflow clip on the list container.</t>
  </si>
  <si>
    <t xml:space="preserve">V17.6</t>
  </si>
  <si>
    <t xml:space="preserve">p. 10, 22, 25 · Code blocks (line_values, statistics, subprocess.run, logging.basicConfig)</t>
  </si>
  <si>
    <t xml:space="preserve">Continuation lines start at column 0 ("len(line_values), 2))", "2))", "capture_output=True…", "datefmt=…"), as if they were new statements. On p. 10 the break comes well before the box edge, so the break is in the source or at a too-narrow wrap width.</t>
  </si>
  <si>
    <t xml:space="preserve">Break long calls deliberately with a hanging indent (PEP 8), or add a continuation marker and hanging indent to the code style.</t>
  </si>
  <si>
    <t xml:space="preserve">V17.7</t>
  </si>
  <si>
    <t xml:space="preserve">p. 23 · 17.14 From notebook to script</t>
  </si>
  <si>
    <t xml:space="preserve">The page ends after two short paragraphs, leaving 47% of it blank, because the 52-line script block moves whole to p. 24.</t>
  </si>
  <si>
    <t xml:space="preserve">Allow code blocks to split across pages (with the input rule continuing), or move the paragraphs after the block.</t>
  </si>
  <si>
    <t xml:space="preserve">V17.8</t>
  </si>
  <si>
    <t xml:space="preserve">The cover shows reader-visible production labels: an "Approved chapter v1" badge, "Approved 18 September 2026" and "Every code block run and its output checked".</t>
  </si>
  <si>
    <t xml:space="preserve">Remove for print, or align with the other chapters' labels.</t>
  </si>
  <si>
    <t xml:space="preserve">V17.9</t>
  </si>
  <si>
    <t xml:space="preserve">V17.10</t>
  </si>
  <si>
    <t xml:space="preserve">p. 7–36 (all code) · Code blocks</t>
  </si>
  <si>
    <t xml:space="preserve">Input code and printed output use the same grey box and grey left rule, so a reader can only tell them apart by their order on the page.</t>
  </si>
  <si>
    <t xml:space="preserve">Give output a distinct style (e.g. white background with a dashed border, or an "Output" label). Keep the blue rule for input as in the SQL chapters.</t>
  </si>
  <si>
    <t xml:space="preserve">V17.11</t>
  </si>
  <si>
    <t xml:space="preserve">p. 19 · Figure 17.3</t>
  </si>
  <si>
    <t xml:space="preserve">The traceback is shown without its indentation. Real tracebacks indent the File … and code lines, and that indentation is what the reader is being taught to scan.</t>
  </si>
  <si>
    <t xml:space="preserve">Keep the real two- and four-space indents.</t>
  </si>
  <si>
    <t xml:space="preserve">V17.12</t>
  </si>
  <si>
    <t xml:space="preserve">p. 12 · Figure 17.2 + table below</t>
  </si>
  <si>
    <t xml:space="preserve">The figure and the "Which one do I use?" table repeat the same content back to back.</t>
  </si>
  <si>
    <t xml:space="preserve">Keep one.</t>
  </si>
  <si>
    <t xml:space="preserve">V17.13</t>
  </si>
  <si>
    <t xml:space="preserve">p. 24→25 · "Run it from the folder that holds sales_exports:"</t>
  </si>
  <si>
    <t xml:space="preserve">The lead-in ends p. 24, and its code block starts p. 25.</t>
  </si>
  <si>
    <t xml:space="preserve">V17.14</t>
  </si>
  <si>
    <t xml:space="preserve">p. 4→5, 6→7, 26→27 · Tables "Where Python fits", "When installation fights back", "Common mistakes"</t>
  </si>
  <si>
    <t xml:space="preserve">Each table splits with 1–2 rows on one side of the break. The header does repeat.</t>
  </si>
  <si>
    <t xml:space="preserve">Keep short tables (≤ 6 rows) together.</t>
  </si>
  <si>
    <t xml:space="preserve">V17.15</t>
  </si>
  <si>
    <t xml:space="preserve">p. 30 · "You've got it when…" checklist</t>
  </si>
  <si>
    <t xml:space="preserve">Wrapped lines return under the checkbox instead of aligning with the text.</t>
  </si>
  <si>
    <t xml:space="preserve">Hanging indent for checklist items.</t>
  </si>
  <si>
    <t xml:space="preserve">V17.16</t>
  </si>
  <si>
    <t xml:space="preserve">p. 34 · Answers heading</t>
  </si>
  <si>
    <t xml:space="preserve">The production note "(In the finished book these move to Appendix G.)" is visible to readers.</t>
  </si>
  <si>
    <t xml:space="preserve">V17.17</t>
  </si>
  <si>
    <t xml:space="preserve">p. 35 · Answer 20</t>
  </si>
  <si>
    <t xml:space="preserve">Inline code splits across lines (datetime.strptime(row["order_date"], / "%Y-%m-%d").date()).</t>
  </si>
  <si>
    <t xml:space="preserve">Non-breaking inline code, or set it as a code line.</t>
  </si>
  <si>
    <t xml:space="preserve">V17.18</t>
  </si>
  <si>
    <t xml:space="preserve">p. 6–8, 28–29, 32, 34–36 · "₹" and "→" in body text</t>
  </si>
  <si>
    <t xml:space="preserve">Both fall back to DejaVu Serif, a font change that is faintly visible next to Lora figures.</t>
  </si>
  <si>
    <t xml:space="preserve">Use a body font with U+20B9, or map ₹ to one matched fallback.</t>
  </si>
  <si>
    <t xml:space="preserve">18.1</t>
  </si>
  <si>
    <t xml:space="preserve">§18.8 "pd.pivot_table(sales2025, index="segment", columns=sales2025["order_date"].dt.quarter"</t>
  </si>
  <si>
    <t xml:space="preserve">The printed output is TypeError: unhashable type: 'Series'. The next cell then prints NameError: name 'pivot' is not defined. The whole reshaping section fails as printed, and 18.11's seaborn text and exercise 13 rely on it. Reproduced on pandas 3.0.2.</t>
  </si>
  <si>
    <t xml:space="preserve">Replace with two cells. (1) sales2025 = sales2025.assign(quarter=sales2025["order_date"].dt.quarter), then show sales2025[["order_date","quarter"]].head(3). (2) pivot = pd.pivot_table(sales2025, index="segment", columns="quarter", values="net_revenue", aggfunc="sum", margins=True, margins_name="Total").round(0) with its real 4×5 output (verified to run). Explain each argument on its own line: index=rows, columns=columns (must be a column name, which is why we assign first), values, aggfunc, margins/margins_name. Then run the melt cell with its real output (12 rows) and explain id_vars, var_name, value_name. Also re-run the whole chapter end to end before print (see 18.39).</t>
  </si>
  <si>
    <t xml:space="preserve">18.2</t>
  </si>
  <si>
    <t xml:space="preserve">§18.12 "print(round(check["net_revenue"].sum(), 2) == …" → "KeyError: 'net_revenue'"</t>
  </si>
  <si>
    <t xml:space="preserve">The read-back cell prints a KeyError. The writer overwrote the header row with Title Case names ("Net Revenue"), so check["net_revenue"] doesn't exist. Answer 21 repeats the same bug (read_back["net_revenue"]).</t>
  </si>
  <si>
    <t xml:space="preserve">Change the check to check["Net Revenue"] and show True. Better: add one line explaining that the header cells were rewritten by sheet.write(2, col, name.replace("_"," ").title(), header), which is why the names changed. Fix answer 21 the same way.</t>
  </si>
  <si>
    <t xml:space="preserve">18.3</t>
  </si>
  <si>
    <t xml:space="preserve">§18.11 "region_map = {"Mumbai": "West", … "Patna": "East"}" → "'Other or missing': 58.5"</t>
  </si>
  <si>
    <t xml:space="preserve">The map covers only 10 of 39 cities, so "Other or missing" is the biggest bar (₹58.5 cr of ₹114.6 cr). That breaks Chapter 15's own rules, and it contradicts Chapter 16's check (West 38.4, South 31.9, North 27.9, East 14.2, city missing 2.3 crore).</t>
  </si>
  <si>
    <t xml:space="preserve">Load the same 39-city mapping Chapter 16 used, as a companion file companion/full/city_region.csv: region_map = pd.read_csv(...).set_index("city")["region"]. Fill missing values with "City missing", not "Other". Update the printed dict to {'City missing': 2.3, 'East': 14.2, 'North': 27.9, 'South': 31.9, 'West': 38.4} (from Ch 16's SQL) and the 18.12 region table. Colour the "City missing" bar grey, as Chapter 16 says.</t>
  </si>
  <si>
    <t xml:space="preserve">18.4</t>
  </si>
  <si>
    <t xml:space="preserve">§18.15 by_segment.to_markdown(index=False); Tools pip line</t>
  </si>
  <si>
    <t xml:space="preserve">DataFrame.to_markdown needs the optional package tabulate. The pip line (Tools) and the chapter-opening Tools list leave it out. A reader following the book gets ImportError: Missing optional dependency 'tabulate' and no report.</t>
  </si>
  <si>
    <t xml:space="preserve">Add tabulate to both install lists. In 18.15 add one sentence: "to_markdown uses the small tabulate package; pandas borrows it to draw the table." Also pass floatfmt=",.2f" so the segment table doesn't print 4.22138e+07 (see 18.33).</t>
  </si>
  <si>
    <t xml:space="preserve">18.5</t>
  </si>
  <si>
    <t xml:space="preserve">§18.15 whole script = '''…''' block (125 lines)</t>
  </si>
  <si>
    <t xml:space="preserve">One block introduces argparse details, logging.getLogger, pd.offsets.MonthBegin, .dt.to_period("M").astype(str).eq().all(), (log.info if ok else log.error)(...), all(ok for _, ok, _ in checks), isinstance, to_markdown, "\\n".join inside a triple-quoted string, Path.mkdir(parents=, exist_ok=), raise SystemExit, __doc__ and more. It is shown only as a string written from a notebook, and no function is run or explained on its own. This is the "16-year-old's problem" the brief forbids.</t>
  </si>
  <si>
    <t xml:space="preserve">Rebuild 18.15 as six steps, each in a notebook cell with output. (1) load(): show the query, the half-open date range and why MonthBegin(1); run it for 2025-12 and print lines.shape and target. (2) check(): run it and print the 5 tuples. (3) summarize(): print headlines. (4) write_excel(): open the file. (5) write_markdown(): print the file. (6) main() plus the if __name__ block. Only then show the assembled file, and open it in VS Code rather than writing it from a Python string: the ''' plus \\n trick is confusing, so drop it. Replace (log.info if ok else log.error)(...) with a plain if ok: log.info(...) else: log.error(...). Explain _ as "a name for a value we don't need". Explain the generator in all(...) or replace it with all(ok for name, ok, detail in checks). Run the finished script from the terminal as python monthly_report.py 2025-12 --out reports (terminal minimum from Ch 17 §17.0), not only via subprocess.</t>
  </si>
  <si>
    <t xml:space="preserve">18.6</t>
  </si>
  <si>
    <t xml:space="preserve">§18.15 check() "f"min {int(lines['quantity'].min())}""</t>
  </si>
  <si>
    <t xml:space="preserve">If the month has no rows (e.g. 2026-01), lines['quantity'].min() is NaN and int(NaN) raises ValueError: cannot convert float NaN to integer (verified). The script then crashes with a traceback while it is still building the check list, and never logs "FAIL rows returned". This defeats the design the text praises.</t>
  </si>
  <si>
    <t xml:space="preserve">Guard the details: f"min {lines['quantity'].min()}" if len(lines) else "no rows", or return early after the first check fails (if lines.empty: return [("rows returned", False, "0 lines")]). Add exercise: "run it for 2026-01 and confirm exit code 1 and a FAIL log line." Also rename "no negative quantities" to "all quantities positive", because the test is &gt; 0.</t>
  </si>
  <si>
    <t xml:space="preserve">18.7</t>
  </si>
  <si>
    <t xml:space="preserve">§18.1 "lines = items.merge(orders, on="order_id")"</t>
  </si>
  <si>
    <t xml:space="preserve">merge is used in 18.1 (and with how="left" in 18.5 and 18.6) but taught in 18.7. The first code a reader meets has an untaught join with a hidden default (how="inner").</t>
  </si>
  <si>
    <t xml:space="preserve">In 18.1 add a two-line explanation: "merge is a join (Chapter 12); on= is the shared key; the default keeps only matching rows (inner). Section 18.7 covers it fully." Better still, keep 18.1 on items alone (net revenue needs only the items columns) and do the merge first in 18.7. That removes the forward dependency.</t>
  </si>
  <si>
    <t xml:space="preserve">18.8</t>
  </si>
  <si>
    <t xml:space="preserve">§18.3 "lines.isna().sum().loc[lambda s: s &gt; 0]"; §18.6 "assign(month=lambda d: …)"</t>
  </si>
  <si>
    <t xml:space="preserve">lambda is not taught in Ch 17 (0 occurrences), and .loc is taught in 18.4. Line 158 uses both, before either is explained. lambda then carries 18.6's assign chains and the transform example.</t>
  </si>
  <si>
    <t xml:space="preserve">Add a short "Functions without names: lambda" box in 18.3 before first use: lambda s: s &gt; 0 is def f(s): return s &gt; 0 written inline, with a two-line example. Or in 18.3 write missing = lines.isna().sum(); print(missing[missing &gt; 0]) (mask filtering is already taught in 18.4, so do 18.4 first), and introduce lambda in 18.6 with assign.</t>
  </si>
  <si>
    <t xml:space="preserve">18.9</t>
  </si>
  <si>
    <t xml:space="preserve">§18.5 "np.where(condition, a, b)"; "import numpy as np" (known M.9)</t>
  </si>
  <si>
    <t xml:space="preserve">NumPy is imported mid-section with no introduction. Recommended-list items np.select, np.nan, float("inf") and the .values attribute (18.5) are unexplained. Chapters 21, 22, 30, 31 depend on NumPy.</t>
  </si>
  <si>
    <t xml:space="preserve">Insert the planned one-page "NumPy basics" as §18.2 (after 18.1, before any use), in 5 small cells: (1) import numpy as np; a = np.array([10, 55, 25]); a * 2 → output; (2) dtype and shape; (3) np.nan and why np.nan == np.nan is False; (4) np.where(a &gt; 20, "big", "small") with output; (5) np.select([cond1, cond2], [v1, v2], default=…). Add one sentence: "a pandas Series is a NumPy array with labels; .to_numpy() (or .values) gets the array back". Use np.inf in pd.cut. Renumber the later sections.</t>
  </si>
  <si>
    <t xml:space="preserve">18.10</t>
  </si>
  <si>
    <t xml:space="preserve">§18.10 "Chapter 14 cleaned Riverstone's messy Q4 export in SQL, Power Query, and pandas" (M.2)</t>
  </si>
  <si>
    <t xml:space="preserve">After the approved move, Ch 14 no longer has pandas. §14.13's content (exact-duplicate count 137, status spellings table, price value_counts, customer_code length check, clean_orders_pandas.py, "37 logged issues", dq_order_issues_pandas.csv) must land here.</t>
  </si>
  <si>
    <t xml:space="preserve">Rewrite the intro to "Chapter 14 cleaned it in SQL and Power Query; here is the third tool." Fold §14.13's four profiling cells in before the date parsing, in this order: (a) raw.shape → (25976, 13) with the dtype=str, keep_default_na=False explanation; (b) non-data rows + duplicated().sum() → 25,969 and 137; (c) status value_counts (the 7 spellings); (d) price value_counts (7 list prices) and the zfill(4) length check. Move clean_orders_pandas.py to companion/ch18/, and mention its 37 logged issues and two output files. Remove "Python is taught in its own block… preview" wording.</t>
  </si>
  <si>
    <t xml:space="preserve">18.11</t>
  </si>
  <si>
    <t xml:space="preserve">§18.11 (M.2: Python half of §15.14)</t>
  </si>
  <si>
    <t xml:space="preserve">Chapter 15's code preview (actual vs target line with dashed target, direct labels via ax.text, set_ylim(0, 22) zero baseline, 98.3% attainment, chart_data/monthly_2023_2025.csv) must move here. 18.11's current line chart has no zero baseline, although exercise 19 requires one.</t>
  </si>
  <si>
    <t xml:space="preserve">Add the actual-vs-target chart as the second 18.11 example, after style_axes, using style_axes rather than the inline spines code. Keep the attainment cell (98.3%) and the rounding note (₹85,195,520 vs ₹85,195,521). Add ax.set_ylim(bottom=0) to the first line chart and a sentence on why (Ch 15 §15.12). Do not bring over "The full figure code for this chapter is figures/make_figs15.py" (a build script).</t>
  </si>
  <si>
    <t xml:space="preserve">18.12</t>
  </si>
  <si>
    <t xml:space="preserve">§18.14 "raise_for_status() turns a 4xx or 5xx into an exception" (Ch 2 status codes)</t>
  </si>
  <si>
    <t xml:space="preserve">"4xx/5xx", 429 and the idea of a status code are used without the table promised from Ch 2 (201/400/403 moved here).</t>
  </si>
  <si>
    <t xml:space="preserve">Add a status-code table before the requests.get cell. Columns: Code, Meaning, Whose problem, What the script should do. Rows: 200 OK; 201 Created; 204 No Content; 400 Bad Request (yours, fix the request); 401 Unauthorized (token missing or expired); 403 Forbidden (recognised but not allowed; ask for access, don't retry); 404 Not Found; 429 Too Many Requests (wait and retry); 500/502/503 (theirs, retry with backoff). Then show response.status_code printed, and explain that raise_for_status() raises for 4xx/5xx only.</t>
  </si>
  <si>
    <t xml:space="preserve">18.13</t>
  </si>
  <si>
    <t xml:space="preserve">§18.14 "Page through results until there are no more"</t>
  </si>
  <si>
    <t xml:space="preserve">Paging is advised but never shown, although the sample payload is "1 of 2 pages". Rate limits and retries are also prose only.</t>
  </si>
  <si>
    <t xml:space="preserve">Add a paging cell that runs offline over two saved pages (api_response_p1.json, api_response_p2.json): all_rows = []; loop page from 1 while page &lt;= payload["pages"]; extend; pd.json_normalize(all_rows). Print the counts per page and the total. Show a 6-line retry helper with time.sleep(2  attempt) for 429/5xx.</t>
  </si>
  <si>
    <t xml:space="preserve">18.14</t>
  </si>
  <si>
    <t xml:space="preserve">§18.2 "payload = json.loads(Path("api_response.json")…"; "pd.json_normalize(payload["results"])"</t>
  </si>
  <si>
    <t xml:space="preserve">APIs, payloads and json_normalize appear in 18.2 but are explained only in 18.14.</t>
  </si>
  <si>
    <t xml:space="preserve">Move the JSON cell from 18.2 into 18.14, which already repeats it. Leave 18.2's table row for JSON as a pointer ("section 18.14").</t>
  </si>
  <si>
    <t xml:space="preserve">18.15</t>
  </si>
  <si>
    <t xml:space="preserve">§18.4 "Watch out: chained assignment … pandas 3 … raises an error"; "the SettingWithCopyWarning you'll see"</t>
  </si>
  <si>
    <t xml:space="preserve">Wrong for the pandas the book pins (3.0.2). Chained assignment gives a ChainedAssignmentError *warning* (a warning, not an exception) and never changes the original. SettingWithCopyWarning no longer exists in pandas 3 (verified: pd.errors has no such class). Readers will never see the warning the text describes.</t>
  </si>
  <si>
    <t xml:space="preserve">Rewrite: "In pandas 3, a filtered table always behaves as a copy (Copy-on-Write). df[df["x"] &gt; 5]["y"] = 0 never changes df; pandas prints a ChainedAssignmentError warning. Write df.loc[df["x"] &gt; 5, "y"] = 0." Show the warning text once as output. Remove SettingWithCopyWarning from the text, the common-mistakes table and Key terms, or mark it "pandas 1–2 only".</t>
  </si>
  <si>
    <t xml:space="preserve">18.16</t>
  </si>
  <si>
    <t xml:space="preserve">§18.3 ".describe(include="object") does categorical ones"</t>
  </si>
  <si>
    <t xml:space="preserve">In pandas 3 text columns have dtype str, not object. include="object" still works but raises a Pandas4Warning deprecation (verified).</t>
  </si>
  <si>
    <t xml:space="preserve">Change to .describe(include="str") (verified in 3.0.2), and add a sentence that pandas 3 stores text as str. That also explains the &lt;StringDtype(na_value=nan)&gt; in 18.2's output, which is currently unexplained.</t>
  </si>
  <si>
    <t xml:space="preserve">18.17</t>
  </si>
  <si>
    <t xml:space="preserve">§18.2 "{'customer_id': dtype('int64'), 'customer_name': &lt;StringDtype(na_value=nan)&gt;, … dtype('&lt;M8[us]')}"</t>
  </si>
  <si>
    <t xml:space="preserve">The dtype output shows three unexplained notations (int64, StringDtype(na_value=nan), &lt;M8[us]), and 18.3 adds &lt;M8[ms]. A beginner can't read it.</t>
  </si>
  <si>
    <t xml:space="preserve">After the output add a 4-row table: int64 whole number; float64 decimal (and what a column with blanks becomes); str/StringDtype = text; datetime64[us] (printed &lt;M8[us]) = date-time, and the bracket is just the precision. Consider printing customers.dtypes (a readable column list) instead of .to_dict().</t>
  </si>
  <si>
    <t xml:space="preserve">18.18</t>
  </si>
  <si>
    <t xml:space="preserve">§18.6 "2023 6.138331e+08"</t>
  </si>
  <si>
    <t xml:space="preserve">Scientific notation appears here for the first time (and in 18.13, 18.15) with no explanation. A reader sees "6.138331e+08" and cannot map it to ₹61.4 crore.</t>
  </si>
  <si>
    <t xml:space="preserve">Add one sentence at first appearance: "6.138331e+08 means 6.138331 × 10⁸ = 613,833,100; pandas switches to this when numbers get large." Then show the fix once: pd.set_option("display.float_format", "{:,.2f}".format), and use it from 18.1's options cell onward.</t>
  </si>
  <si>
    <t xml:space="preserve">18.19</t>
  </si>
  <si>
    <t xml:space="preserve">§18.4 "q4_wholesale = lines[(lines["order_date"] &gt;= "2025-10-01") &amp; (lines["status"] != "Cancelled")]"</t>
  </si>
  <si>
    <t xml:space="preserve">The variable is named "wholesale", but the filter has nothing about segment (lines has no segment column yet). It misleads the reader about what the mask does. The comparison of a datetime column to a text date is also unexplained.</t>
  </si>
  <si>
    <t xml:space="preserve">Rename to q4_not_cancelled. Add a sentence: "pandas turns the text '2025-10-01' into a date for the comparison; write dates as YYYY-MM-DD." If a wholesale example is wanted, do it after the customer merge in 18.7.</t>
  </si>
  <si>
    <t xml:space="preserve">18.20</t>
  </si>
  <si>
    <t xml:space="preserve">§18.4 "big = lines[lines["net_revenue"] &gt; 100000]" → "0 0.0"</t>
  </si>
  <si>
    <t xml:space="preserve">The first filter example returns zero rows. That is a poor first example: the reader can't tell whether it worked, and sum() of nothing prints 0.0.</t>
  </si>
  <si>
    <t xml:space="preserve">Use &gt; 50000 (2,080 rows, which matches the "very large" band and the np.where flag later) and print len(big), big["net_revenue"].sum() and big.head(3).</t>
  </si>
  <si>
    <t xml:space="preserve">18.21</t>
  </si>
  <si>
    <t xml:space="preserve">§18.1 loop vs vectorized cell (time.perf_counter, itertuples, row.quantity)</t>
  </si>
  <si>
    <t xml:space="preserve">The text warns about iterrows() but the code uses itertuples(). perf_counter, attribute access (row.quantity) and f"{len(lines):,}" are introduced together. The printed output hides the timings the text then quotes (45 ms, 3 ms).</t>
  </si>
  <si>
    <t xml:space="preserve">Split into 2 cells: (1) the loop, timed, printing loop_seconds; (2) the vectorized version, printing vec_seconds and the per-row ratio. Explain itertuples() (one named tuple per row; row.quantity reads a field) and why it is the least-bad loop. Say that timings vary, and show the actual numbers in the output.</t>
  </si>
  <si>
    <t xml:space="preserve">18.22</t>
  </si>
  <si>
    <t xml:space="preserve">§18.5 "work.merge(products, on="product_id", how="left")["unit_cost"].values"</t>
  </si>
  <si>
    <t xml:space="preserve">This is one line with a merge, a column pick and .values assigned into another frame. It relies silently on the left merge keeping row order and length, a subtle trick in a beginner's first "create columns" section.</t>
  </si>
  <si>
    <t xml:space="preserve">Replace with two clear cells: work = lines.merge(products[["product_id","unit_cost"]], on="product_id", how="left", validate="many_to_one") (and explain validate), then work["line_cost"] = work["quantity"] * work["unit_cost"]. Print len(lines) == len(work) to show that nothing fanned out.</t>
  </si>
  <si>
    <t xml:space="preserve">18.23</t>
  </si>
  <si>
    <t xml:space="preserve">§18.5 pd.cut(... bins=[0, 10000, 25000, 50000, float("inf")], labels=[…])</t>
  </si>
  <si>
    <t xml:space="preserve">The fact that bins include the right edge (25,000 is "medium", 50,000 is "large") is not stated. Ch 19's VBA BandBySize uses the opposite edges (25,000 → "large"), so the "same" band differs between chapters.</t>
  </si>
  <si>
    <t xml:space="preserve">Add: "pd.cut includes the right edge: (10000, 25000] is medium. Add right=False for [10000, 25000)." Pick one convention for Riverstone's size band (recommend right=False, matching "≥ 50,000 is very large") and make Ch 16, 18 and 19 agree. Update the counts if the convention changes.</t>
  </si>
  <si>
    <t xml:space="preserve">18.24</t>
  </si>
  <si>
    <t xml:space="preserve">§18.5 .map({3: "Neha", 4: "Rahul", 5: "Farah"}).fillna("(other or unassigned)") → 149,595</t>
  </si>
  <si>
    <t xml:space="preserve">"Other" silently merges reps 1–2 (Anita, Vikram, per Ch 12) with the 6,213 lines that have no rep. That is the ambiguity Ch 15 and 16 warn about.</t>
  </si>
  <si>
    <t xml:space="preserve">Map all five employees from Ch 12 (1 Anita Rao, 2 Vikram Singh, 3 Neha Kulkarni, 4 Rahul Mehta, 5 Farah Khan) and fill with "(no rep)". Show the full value_counts().</t>
  </si>
  <si>
    <t xml:space="preserve">18.25</t>
  </si>
  <si>
    <t xml:space="preserve">§18.6 by_seg_month block (assign + lambda + groupby two keys + unstack + round) and transform block</t>
  </si>
  <si>
    <t xml:space="preserve">There are five new operations in one chain (assign, lambda, two-key groupby, unstack, sum(axis=1)), then a second chain with transform inside assign. No intermediate output is shown.</t>
  </si>
  <si>
    <t xml:space="preserve">Split into 3 cells: (1) sales2025["month"] = sales2025["order_date"].dt.month; g = sales2025.groupby(["segment","month"])["net_revenue"].sum(); print(g.head(4)) (show the two-level index); (2) g.unstack("month") with output, explaining what unstack moves; (3) .sum(axis=1) with an axis diagram (axis=0 down the rows, axis=1 across). For transform: first sales2025.groupby("segment")["net_revenue"].transform("sum").head(3) alone, then the share column. Introduce assign after the reader has seen plain column assignment.</t>
  </si>
  <si>
    <t xml:space="preserve">18.26</t>
  </si>
  <si>
    <t xml:space="preserve">§18.6 sort_values(ascending=False), as_index=False (18.11), set_index (18.7), pd.DataFrame({...}) (18.7), reset_index(names=…) (18.12)</t>
  </si>
  <si>
    <t xml:space="preserve">These methods and arguments are used without a line of explanation. pd.DataFrame(dict) construction is never taught, but readers must use it for the fan-out demo and the "tests" stretch goal.</t>
  </si>
  <si>
    <t xml:space="preserve">Add a one-line gloss at each first use. In 18.1 add a short cell building a 3-row DataFrame by hand, pd.DataFrame({"product": ["A","B"], "qty": [10, 5]}), and print it. Readers will need that for tests (Ch 29) and toy examples.</t>
  </si>
  <si>
    <t xml:space="preserve">18.27</t>
  </si>
  <si>
    <t xml:space="preserve">§18.10 date-parsing block (NaT Series, regex loop, Excel serial, tz_convert, tz_localize(None), normalize, fillna)</t>
  </si>
  <si>
    <t xml:space="preserve">About 12 new ideas in 10 lines: pd.NaT, dtype string, str.fullmatch regex, the for pattern, fmt in [...] tuple loop, boolean-mask assignment, to_datetime(format=, errors="coerce"), Excel's 1899-12-30 epoch, to_timedelta(unit="D"), utc=True, tz_convert, tz_localize(None), .dt.normalize(). Only the output "9 dates repaired" is shown.</t>
  </si>
  <si>
    <t xml:space="preserve">Split into 5 cells with output after each. (1) Explain regex \d{2}-\d{2}-\d{4} (link Ch 14 §14.7) and count matches per pattern. (2) Parse one format with to_datetime(format="%d-%m-%Y", errors="coerce") and show 3 before/after rows. (3) The loop over the three formats, printing parsed.isna().sum() after each. (4) Excel serials, with one worked example 45940 → 2025-10-10 (Ch 14 answer 10). (5) Repair from entered_at_utc: explain UTC → IST and why tz_localize(None) drops the zone, then print the 9 repaired rows.</t>
  </si>
  <si>
    <t xml:space="preserve">18.28</t>
  </si>
  <si>
    <t xml:space="preserve">§18.10 price/discount/quantity/product/status block</t>
  </si>
  <si>
    <t xml:space="preserve">discount.where(~discount.between(0, 1, inclusive="neither"), discount * 100) uses .where's inverted logic (keep where True, replace where False) with no explanation. replace("", None), carton ×10 via .map().fillna(1) and back-filling product from price are packed into four lines.</t>
  </si>
  <si>
    <t xml:space="preserve">One cell per column (price, discount, quantity, product, status), each with 3 before/after rows. For discount, use np.where(discount.between(0, 1, inclusive="neither"), discount * 100, discount), which reads in the natural direction, or explain .where explicitly. Explain inclusive="neither" (0 and 1 themselves are not fractions).</t>
  </si>
  <si>
    <t xml:space="preserve">18.29</t>
  </si>
  <si>
    <t xml:space="preserve">§18.12 ExcelWriter block (≈20 lines)</t>
  </si>
  <si>
    <t xml:space="preserve">This block introduces a context manager with engine=, startrow=, writer.book, add_format (5 properties), writer.sheets[...], sheet.write(row, col, value, fmt), set_column(first, last, width, fmt), freeze_panes, add_chart, add_series with zero-based [sheet, r1, c1, r2, c2] lists, set_title, set_legend, insert_chart with scale options, all at once. Only True 1146641651.25 is printed.</t>
  </si>
  <si>
    <t xml:space="preserve">Build the workbook in 4 cells, opening the file after each (a screenshot in the book): (1) to_excel two sheets only, explaining index=False and startrow=2; (2) title and header formats (explain add_format keys and zero-based write(row, col)); (3) widths, number format, freeze panes; (4) the chart. Add a note on zero-based rows and columns in xlsxwriter (A1 = (0,0)) and why ["By month", 3, 0, 14, 0] is A4:A15.</t>
  </si>
  <si>
    <t xml:space="preserve">18.30</t>
  </si>
  <si>
    <t xml:space="preserve">§18.13 SQL "DATE_TRUNC('month', s.order_date)::date"</t>
  </si>
  <si>
    <t xml:space="preserve">The query is PostgreSQL-only, but the chapter offers MySQL too (driver, connection string). A MySQL reader's query fails. sales_lines must also exist in riverstone_full, but Ch 13 created it in the one-year database.</t>
  </si>
  <si>
    <t xml:space="preserve">Add the MySQL version: DATE_FORMAT(s.order_date, '%Y-%m-01'). Warn that with text() and mysql-connector a literal % must be written %%. Add a line: "sales_lines is the view from Chapter 13 §13.x; create it in riverstone_full if you haven't." Put the parameterized WHERE s.order_date &gt;= :start explanation (bound parameter) before the code.</t>
  </si>
  <si>
    <t xml:space="preserve">18.31</t>
  </si>
  <si>
    <t xml:space="preserve">§18.13 create_engine("postgresql+psycopg://book:book@localhost…"), then "Never paste credentials into code"</t>
  </si>
  <si>
    <t xml:space="preserve">The first database cell hard-codes a password, and the next paragraph forbids it. How to set an environment variable is never shown, though 18.14 and 18.15 require API_TOKEN and RIVERSTONE_DB. Ch 17 only mentions environment variables.</t>
  </si>
  <si>
    <t xml:space="preserve">Show the safe version first: a .env file with RIVERSTONE_DB=postgresql+psycopg://user:pw@localhost:5432/riverstone_full, then from dotenv import load_dotenv; load_dotenv(); engine = create_engine(os.environ["RIVERSTONE_DB"]). Add a box on setting a variable in the terminal: Windows PowerShell $env:RIVERSTONE_DB = "…", macOS/Linux export RIVERSTONE_DB="…". Replace book:book with "your user and password from Chapter 12 §12.3".</t>
  </si>
  <si>
    <t xml:space="preserve">18.32</t>
  </si>
  <si>
    <t xml:space="preserve">§18.15 runner env = dict(os.environ, RIVERSTONE_DB="postgresql+psycopg://book:book@…")</t>
  </si>
  <si>
    <t xml:space="preserve">This hard-codes credentials again, and uses dict(mapping, key=value) merge syntax that hasn't been taught.</t>
  </si>
  <si>
    <t xml:space="preserve">After 18.31's .env is in place, drop the env= argument (the child process inherits the loaded variables). Or explain the dict(...) merge in one sentence.</t>
  </si>
  <si>
    <t xml:space="preserve">18.33</t>
  </si>
  <si>
    <t xml:space="preserve">§18.15 Markdown output "</t>
  </si>
  <si>
    <t xml:space="preserve">Retail | 4.22138e+07 | 2106 | " | The "human summary" prints revenue in scientific notation, which contradicts 18.12's "files people are glad to receive".</t>
  </si>
  <si>
    <t xml:space="preserve">Use to_markdown(index=False, floatfmt=",.2f") and reprint the output (₹42,213,8xx.xx etc. from the real run).</t>
  </si>
  <si>
    <t xml:space="preserve">18.34</t>
  </si>
  <si>
    <t xml:space="preserve">§18.15 story "the total is within 20% of the same month last year" vs code's five checks</t>
  </si>
  <si>
    <t xml:space="preserve">The story's decisive check (vs last year) is not among the script's checks. The script has "rows returned" instead. A reader who builds the script won't have the check that caught the bug.</t>
  </si>
  <si>
    <t xml:space="preserve">Either add a sixth check to the script (query the same month last year and compare) or reword the story to "she later added a sixth check". Project step 2 already asks for it; add a one-line pointer.</t>
  </si>
  <si>
    <t xml:space="preserve">18.35</t>
  </si>
  <si>
    <t xml:space="preserve">§18.16 "inplace=True everywhere … being removed"</t>
  </si>
  <si>
    <t xml:space="preserve">Overstated. inplace is discouraged, and a deprecation has been proposed, but it has not been removed in pandas 3.</t>
  </si>
  <si>
    <t xml:space="preserve">"discouraged, and likely to be deprecated; it gives no speed benefit".</t>
  </si>
  <si>
    <t xml:space="preserve">18.36</t>
  </si>
  <si>
    <t xml:space="preserve">Timed challenge Level 6 "the 90th percentile across all orders"; answer "₹49,550.00"</t>
  </si>
  <si>
    <t xml:space="preserve">.quantile() is never taught in the chapter, so the reader can't answer Level 6 from what they learned.</t>
  </si>
  <si>
    <t xml:space="preserve">Add quantile to 18.6's list of aggregation functions, with a one-line example order_values["net_revenue"].quantile(0.9). State the interpolation default (linear, same as PERCENTILE_CONT).</t>
  </si>
  <si>
    <t xml:space="preserve">18.37</t>
  </si>
  <si>
    <t xml:space="preserve">§18.11 box plot "ax.set_xlim(0, 150000)"</t>
  </si>
  <si>
    <t xml:space="preserve">This clips the whiskers and outliers silently, which Ch 15 §15.12 treats as misleading unless labelled.</t>
  </si>
  <si>
    <t xml:space="preserve">Add the note "(x axis cut at ₹150,000; N orders above it)" to the title or a caption, and print N.</t>
  </si>
  <si>
    <t xml:space="preserve">18.38</t>
  </si>
  <si>
    <t xml:space="preserve">§18.1 "../full/orders.parquet"; §18.2 "../ch14/…"; api_response.json</t>
  </si>
  <si>
    <t xml:space="preserve">Relative paths assume the notebook is opened from companion/ch18/. That is never stated, and a reader who opens it elsewhere gets FileNotFoundError on the first cell.</t>
  </si>
  <si>
    <t xml:space="preserve">In Practice data or at 18.1 add: "Open this chapter's notebook from companion/ch18/; .. means 'the folder above' (Chapter 17 §17.11)." Show Path.cwd() in the first cell.</t>
  </si>
  <si>
    <t xml:space="preserve">18.39</t>
  </si>
  <si>
    <t xml:space="preserve">Ch 19 "Everything in Chapters 17 and 18 was run and its output checked automatically"</t>
  </si>
  <si>
    <t xml:space="preserve">Ch 18 prints three errors (18.1, 18.2), so the automated check didn't catch printed tracebacks.</t>
  </si>
  <si>
    <t xml:space="preserve">Before print, re-run the chapter notebook top to bottom and fail the build on any cell whose output contains "Error" or "Traceback". Regenerate every output block from that run.</t>
  </si>
  <si>
    <t xml:space="preserve">18.40</t>
  </si>
  <si>
    <t xml:space="preserve">Whole chapter; "Time needed: 30–35 hours, spread over four weeks"</t>
  </si>
  <si>
    <t xml:space="preserve">Load: 16 sections, about 70 new methods and arguments, plus NumPy, the moved §14.13 and §15.14, and status codes. There is no sitting plan. 18.10, 18.12 and 18.15 are each a sitting on their own.</t>
  </si>
  <si>
    <t xml:space="preserve">Add a sitting plan at the top. Week 1: 18.1–18.5 (+NumPy page). Week 2: 18.6–18.9. Week 3: 18.10–18.12. Week 4: 18.13–18.16 + project. Add a "checkpoint" mini-exercise at the end of each week. Raise the estimate to 35–40 hours once the splits are in.</t>
  </si>
  <si>
    <t xml:space="preserve">18.41</t>
  </si>
  <si>
    <t xml:space="preserve">Tools "Python 3.13 or 3.14 … Everything here was run on Python 3.12"</t>
  </si>
  <si>
    <t xml:space="preserve">The reader is told to install a version the book didn't test.</t>
  </si>
  <si>
    <t xml:space="preserve">Re-run on 3.13 (pandas 3.0.2 supports it) and state that. Or recommend 3.12/3.13 to match Ch 17 §17.2.</t>
  </si>
  <si>
    <t xml:space="preserve">18.42</t>
  </si>
  <si>
    <t xml:space="preserve">§18.1 orders.head(3) shows order_id 200001 on 2023-01-01; lines row 0 is order_id 10001 on 2025-01-02; API sample has order 10158 on 2025-12-01</t>
  </si>
  <si>
    <t xml:space="preserve">The ID ranges look inconsistent. The first merged line is a 2025 order although the data starts in 2023, and 10158 can't be both near the first 2025 id and dated December. A careful reader comparing heads will be confused.</t>
  </si>
  <si>
    <t xml:space="preserve">Check the generator (build_ch18_files.py, full dataset). Either explain the ID scheme in one sentence (e.g. "order_ids were renumbered when the ERP changed in 2025"), or sort lines by date before head() and make the API sample use a realistic December id.</t>
  </si>
  <si>
    <t xml:space="preserve">18.43</t>
  </si>
  <si>
    <t xml:space="preserve">§18.11 "Those medians are Chapter 15's figures again"</t>
  </si>
  <si>
    <t xml:space="preserve">After M.6, Ch 15's medians come from PERCENTILE_CONT (PostgreSQL) or a spreadsheet. The pandas median of 19,121.88 vs Ch 15's 19,122 (rounded) is fine, but the reader should know why.</t>
  </si>
  <si>
    <t xml:space="preserve">Add: "(Chapter 15 rounded to the rupee; pandas' median interpolates exactly as PERCENTILE_CONT(0.5) does.)"</t>
  </si>
  <si>
    <t xml:space="preserve">18.44</t>
  </si>
  <si>
    <t xml:space="preserve">§18.15 "summarize() can be run on a DataFrame you build by hand in a test (Chapter 30)"; Where this leads "Chapter 30, Python as Software"</t>
  </si>
  <si>
    <t xml:space="preserve">Wrong cross-reference: "Python as Software" and tests are Chapter 29. Chapter 30 is Inference &amp; Experiments.</t>
  </si>
  <si>
    <t xml:space="preserve">Change both to "Chapter 29".</t>
  </si>
  <si>
    <t xml:space="preserve">18.45</t>
  </si>
  <si>
    <t xml:space="preserve">Answer 17 "the validation rule from Chapter 16 in one line"</t>
  </si>
  <si>
    <t xml:space="preserve">Validation rules are Chapter 14 §14.9 (and the list-price check was §14.13, now here).</t>
  </si>
  <si>
    <t xml:space="preserve">"the validation rule from Chapter 14, section 14.9".</t>
  </si>
  <si>
    <t xml:space="preserve">18.46</t>
  </si>
  <si>
    <t xml:space="preserve">Delete the sentence, or move the answers now.</t>
  </si>
  <si>
    <t xml:space="preserve">18.47</t>
  </si>
  <si>
    <t xml:space="preserve">Tools "Companion files … build_ch18_files.py"</t>
  </si>
  <si>
    <t xml:space="preserve">A build script is presented as a reader file.</t>
  </si>
  <si>
    <t xml:space="preserve">Remove it from the reader-facing list (keep it in the repo only), or describe it as "regenerates the practice files; you don't need to run it".</t>
  </si>
  <si>
    <t xml:space="preserve">18.48</t>
  </si>
  <si>
    <t xml:space="preserve">Answer 26 "The longest average gaps belong to the seasonal customers who buy only in the festive months"</t>
  </si>
  <si>
    <t xml:space="preserve">Not checkable: no customer ids or gap values are given, unlike every other answer.</t>
  </si>
  <si>
    <t xml:space="preserve">Give the top 3 customer_ids with their average gap in days from the real run, plus the filter used (e.g. customers with ≥3 orders).</t>
  </si>
  <si>
    <t xml:space="preserve">18.49</t>
  </si>
  <si>
    <t xml:space="preserve">§18.2 "read_csv has a hundred parameters; six matter most" (table)</t>
  </si>
  <si>
    <t xml:space="preserve">None of the six is run in a cell with visible effect. For example, dtype={"customer_code":"string"} preserving leading zeros is asserted, not shown.</t>
  </si>
  <si>
    <t xml:space="preserve">Add one before/after cell: read Ch 14's messy file without dtype= (customer_code 42) and with dtype=str ("0042").</t>
  </si>
  <si>
    <t xml:space="preserve">V18.1</t>
  </si>
  <si>
    <t xml:space="preserve">p. 13 · 18.8 pivot_table example</t>
  </si>
  <si>
    <t xml:space="preserve">The output block under the code reads TypeError: unhashable type: 'Series'. The reader never sees the pivot the text then describes.</t>
  </si>
  <si>
    <t xml:space="preserve">Fix the call (e.g. build a quarter column first and use columns="quarter"), re-run, and print the real table.</t>
  </si>
  <si>
    <t xml:space="preserve">V18.2</t>
  </si>
  <si>
    <t xml:space="preserve">p. 14 · melt example</t>
  </si>
  <si>
    <t xml:space="preserve">Its output is NameError: name 'pivot' is not defined, a knock-on of V18.1. The wide/long explanation that follows has no result to point at.</t>
  </si>
  <si>
    <t xml:space="preserve">Re-run after fixing V18.1 and show the long table and its shape.</t>
  </si>
  <si>
    <t xml:space="preserve">V18.3</t>
  </si>
  <si>
    <t xml:space="preserve">p. 19 · 18.12 "Read it back" check</t>
  </si>
  <si>
    <t xml:space="preserve">Output: (12, 3) ['Month', 'Net Revenue', 'Orders'] then KeyError: 'net_revenue'. The check fails because the workbook headers were title-cased. The text calls this "how you check an export".</t>
  </si>
  <si>
    <t xml:space="preserve">Compare on check["Net Revenue"], re-run and show True.</t>
  </si>
  <si>
    <t xml:space="preserve">V18.4</t>
  </si>
  <si>
    <t xml:space="preserve">The cover shows "Approved chapter v1", "Approved 18 September 2026" and "Every code block run and its output checked". The last claim is visibly false given V18.1–3.</t>
  </si>
  <si>
    <t xml:space="preserve">Remove the production labels for print. At minimum, don't print the claim.</t>
  </si>
  <si>
    <t xml:space="preserve">V18.5</t>
  </si>
  <si>
    <t xml:space="preserve">V18.6</t>
  </si>
  <si>
    <t xml:space="preserve">p. 22 · 18.15 The whole thing as one script</t>
  </si>
  <si>
    <t xml:space="preserve">The page is 42% blank because the 125-line script block moves to p. 23.</t>
  </si>
  <si>
    <t xml:space="preserve">Let the code block split, or place the lead-in after it.</t>
  </si>
  <si>
    <t xml:space="preserve">V18.7</t>
  </si>
  <si>
    <t xml:space="preserve">p. 23–24 (also 5–26, see scan) · monthly_report.py and other long code</t>
  </si>
  <si>
    <t xml:space="preserve">Wrapped lines restart at column 0 inside indented function bodies (parse_dates=["order_date"]), {int(lines['net_revenue'].isna()…, f"- {k}: {v}", datefmt=…). In Python, indentation is syntax, so these look like errors to a learner.</t>
  </si>
  <si>
    <t xml:space="preserve">Reflow long lines with explicit hanging indents in the source, or add a hanging-indent + ↩ continuation style.</t>
  </si>
  <si>
    <t xml:space="preserve">V18.8</t>
  </si>
  <si>
    <t xml:space="preserve">Two-digit numbers hang into the margin and their first digit is clipped.</t>
  </si>
  <si>
    <t xml:space="preserve">As V17.5.</t>
  </si>
  <si>
    <t xml:space="preserve">V18.9</t>
  </si>
  <si>
    <t xml:space="preserve">p. all code · Input vs output blocks</t>
  </si>
  <si>
    <t xml:space="preserve">They use an identical grey box and rule, so pandas output tables are indistinguishable from code by style.</t>
  </si>
  <si>
    <t xml:space="preserve">Distinct output style (as V17.10).</t>
  </si>
  <si>
    <t xml:space="preserve">V18.10</t>
  </si>
  <si>
    <t xml:space="preserve">p. 25 (also 11, 12, 21) · Markdown summary output; groupby outputs</t>
  </si>
  <si>
    <t xml:space="preserve">The "report" the chapter builds prints net revenue in scientific notation (4.22138e+07, 2.35846e+07). The groupby outputs also show 6.138331e+08, 5.564365e+08. This undercuts the section's message about number formatting.</t>
  </si>
  <si>
    <t xml:space="preserve">Set pd.options.display.float_format or format in to_markdown(floatfmt=",.0f") and re-run.</t>
  </si>
  <si>
    <t xml:space="preserve">V18.11</t>
  </si>
  <si>
    <t xml:space="preserve">p. 17–18 · 18.11 Charts with matplotlib and seaborn</t>
  </si>
  <si>
    <t xml:space="preserve">Two charts are saved (revenue_2025.png, order_values.png) but not shown, so the style function's result is never visible.</t>
  </si>
  <si>
    <t xml:space="preserve">Include the two PNGs as figures.</t>
  </si>
  <si>
    <t xml:space="preserve">V18.12</t>
  </si>
  <si>
    <t xml:space="preserve">p. 6 · read_csv parameter table</t>
  </si>
  <si>
    <t xml:space="preserve">The code cell wraps mid-token: date_format="%d-%m- / %Y".</t>
  </si>
  <si>
    <t xml:space="preserve">Widen column 1 or no-wrap on code cells.</t>
  </si>
  <si>
    <t xml:space="preserve">V18.13</t>
  </si>
  <si>
    <t xml:space="preserve">p. 3 · Chapter at a glance</t>
  </si>
  <si>
    <t xml:space="preserve">Inline code breaks at a hyphen: mysql- / connector-python.</t>
  </si>
  <si>
    <t xml:space="preserve">Non-breaking hyphen in code spans.</t>
  </si>
  <si>
    <t xml:space="preserve">V18.14</t>
  </si>
  <si>
    <t xml:space="preserve">p. 26→27, 27→28 · "When pandas isn't the answer"; "Common mistakes"</t>
  </si>
  <si>
    <t xml:space="preserve">Short tables split with 2–4 rows on one side. The header repeats.</t>
  </si>
  <si>
    <t xml:space="preserve">Keep short tables together.</t>
  </si>
  <si>
    <t xml:space="preserve">V18.15</t>
  </si>
  <si>
    <t xml:space="preserve">p. 30–31 · "You've got it when…" checklist</t>
  </si>
  <si>
    <t xml:space="preserve">Wrapped lines return under the checkbox.</t>
  </si>
  <si>
    <t xml:space="preserve">Hanging indent.</t>
  </si>
  <si>
    <t xml:space="preserve">V18.16</t>
  </si>
  <si>
    <t xml:space="preserve">The production note "(In the finished book these move to Appendix G.)" is visible.</t>
  </si>
  <si>
    <t xml:space="preserve">Remove.</t>
  </si>
  <si>
    <t xml:space="preserve">V18.17</t>
  </si>
  <si>
    <t xml:space="preserve">p. 9, 12 · Headings "loc and iloc", "18.6 groupby: split…", "18.7 … merge and concat", "18.8 … pivot_table, melt"</t>
  </si>
  <si>
    <t xml:space="preserve">Code pills in headings drop to a much smaller mono size (about 60% of the heading). They look like subscript.</t>
  </si>
  <si>
    <t xml:space="preserve">Scale code in headings to about 90% of the heading size, or set it in the heading font.</t>
  </si>
  <si>
    <t xml:space="preserve">V18.18</t>
  </si>
  <si>
    <t xml:space="preserve">p. 11, 16, 18, 30–36 · "₹" / "→"</t>
  </si>
  <si>
    <t xml:space="preserve">As V17.18.</t>
  </si>
  <si>
    <t xml:space="preserve">19.1</t>
  </si>
  <si>
    <t xml:space="preserve">Before you start "No programming experience is assumed… stands on its own before the Python block"</t>
  </si>
  <si>
    <t xml:space="preserve">Claim check. In the approved order the reader arrives from Ch 17–18, so the framing is wrong ("before the Python block"). For a true zero reader 19.4 does *not* teach from zero. (a) No block shows its output. (b) Parameters appear (CheckTarget(actual As Double, …)) before "Procedures with arguments". (c) LoopDemo uses the object model (ThisWorkbook.Worksheets, Cells, UsedRange) before 19.5. (d) It leans on Ch 17 ("like Chapter 17's break", "Chapter 17's dict"). (e) Much VBA syntax is never explained: # suffix, : separator, _ continuation, := named arguments, Is in Case Is, Like, vbCrLf/vbInformation, Timer, FreeFile/Open … For Append. For a Ch 17 reader the concepts carry over, but the chapter gives no Python→VBA map, which would be the fastest route.</t>
  </si>
  <si>
    <t xml:space="preserve">Rewrite the prerequisite line: "Before you start: Chapters 17–18 (Python); Chapters 10, 11, 14, 15. Section 19.4 teaches VBA as a second language: every idea is one you met in Chapter 17, and the section shows how VBA spells it." Open 19.4 with a Python → VBA table (≈15 rows): x = 5 → Dim x As Long: x = 5; # comment → '; indentation → End If/Next/End Sub; "a" + "b" → "a" &amp; "b"; print() → Debug.Print; if/elif/else → If/ElseIf/Else/End If; for i in range(1, 6) → For i = 1 To 5 … Next i; for x in items → For Each … Next; while → Do While … Loop; break → Exit For; list → Array() (0-based) and sheet arrays (1-based!); dict → Scripting.Dictionary; def f(a, b=0): return → Function f(a, Optional b = 0) + assign to name; object variable → Set; True/False same; None → Nothing/Empty. Then keep the examples, each with output (19.2). Keep a short "if you skipped Chapter 17" pointer.</t>
  </si>
  <si>
    <t xml:space="preserve">19.2</t>
  </si>
  <si>
    <t xml:space="preserve">§19.4–19.10 every VBA block (e.g. VariableDemo, ArrayDemo, UseIt)</t>
  </si>
  <si>
    <t xml:space="preserve">No output is shown anywhere. The Immediate window results, message boxes and sheet changes are left to the imagination, except the comment ' 18382.5. This fails the Jupyter-style test for the whole chapter.</t>
  </si>
  <si>
    <t xml:space="preserve">After each runnable procedure, show the Immediate window text. VariableDemo: Mumbai HO: 25,832 rows, 423,872,808.00 / Final? True; period ends 31 Dec 2025. ArrayDemo: 0: Mumbai HO … 3: Kolkata / 120000000     False. LoopDemo: 5 "row n" lines, the sheet list, the total. CheckTarget/BandBySize: calls with 3 test values each. For ConsolidateBranchFiles, CleanMaster, BuildSummaryPivot, SaveSummaryAsPdf and EmailSummary, show a screenshot or a text description of the result (message box text "12 files consolidated, 25,832 data rows."; the pivot's first rows; the PDF file name; the email draft). Run every block in Excel before print (19.24).</t>
  </si>
  <si>
    <t xml:space="preserve">19.3</t>
  </si>
  <si>
    <t xml:space="preserve">§19.4 Sub CheckTarget(actual As Double, target As Double); also BandBySize, FormatSalesSheet(ws), FormatHeader, EmailSummary</t>
  </si>
  <si>
    <t xml:space="preserve">A Sub with arguments can't be run with F5 or Alt+F8, which the text says is how you run code, so a beginner can't run these at all. The text never shows how to call them.</t>
  </si>
  <si>
    <t xml:space="preserve">Right after CheckTarget, add: "A Sub that takes arguments doesn't appear in Alt+F8. Call it from the Immediate window: CheckTarget 95, 100 (no brackets), or from a test Sub." Add Sub TestCheckTarget() calling it with 105/95/80, and show the three outputs. Do the same for FormatSalesSheet (FormatSalesSheet ThisWorkbook.Worksheets("Master")). Explain once the VBA rule: no brackets when calling a Sub; brackets when using a Function's result.</t>
  </si>
  <si>
    <t xml:space="preserve">19.4</t>
  </si>
  <si>
    <t xml:space="preserve">§19.4 LoopDemo "Do While … Cells(i, 1).Value &lt;&gt; "" … total = total + … Cells(i, 11).Value" with i = 1</t>
  </si>
  <si>
    <t xml:space="preserve">The Do loop starts at row 1, the header. Adding the text "net_revenue" to a Double raises run-time error 13, Type mismatch, so the demo crashes. It also uses Worksheets(1), whatever sheet happens to be first.</t>
  </si>
  <si>
    <t xml:space="preserve">Start at i = 2 (with the comment ' row 1 is the header) and use ThisWorkbook.Worksheets("Master"). State that column 11 (K) is net_revenue (see 19.11 on listing the columns). Show the printed total.</t>
  </si>
  <si>
    <t xml:space="preserve">19.5</t>
  </si>
  <si>
    <t xml:space="preserve">§19.6 CleanMaster "ws.Cells(r, 4).Value = Format(ws.Cells(r, 4).Value, "0000") ' customer_code keeps its zeros"</t>
  </si>
  <si>
    <t xml:space="preserve">Writing the string "0042" into a General-format cell makes Excel convert it back to the number 42, so the zeros are lost. The line does the opposite of its comment and of the project requirement (step 3).</t>
  </si>
  <si>
    <t xml:space="preserve">Set the column to text first, ws.Columns(4).NumberFormat = "@", before the loop, then write the formatted value. Or keep the value and apply ws.Columns(4).NumberFormat = "0000" (display only). Explain the difference: value vs format, the Ch 10 idea. Apply the same fix to 19.10's array version if customer_code is handled there.</t>
  </si>
  <si>
    <t xml:space="preserve">19.6</t>
  </si>
  <si>
    <t xml:space="preserve">§19.6 BuildSummaryPivot "ThisWorkbook.Worksheets("Summary").Delete ' start clean; DisplayAlerts already off"</t>
  </si>
  <si>
    <t xml:space="preserve">The comment is wrong. ConsolidateBranchFiles switches DisplayAlerts back to True at its end, and RunConsolidation never turns it off. So in the chapter's own run order Excel asks "delete this sheet?" and waits for a click.</t>
  </si>
  <si>
    <t xml:space="preserve">Inside BuildSummaryPivot wrap the delete: Application.DisplayAlerts = False / delete / Application.DisplayAlerts = True, and fix the comment. Explain On Error Resume Next … On Error GoTo 0 here, at first use, rather than in 19.9.</t>
  </si>
  <si>
    <t xml:space="preserve">19.7</t>
  </si>
  <si>
    <t xml:space="preserve">§19.4 BandBySize "Case 25000 To 49999.99 … Case 10000 To 24999.99 … Case Else "small""</t>
  </si>
  <si>
    <t xml:space="preserve">There are gaps. A value of 49,999.995 or 24,999.995 falls through to "small". The edges also differ from Ch 18's pd.cut (25,000 is "medium" there and "large" here; 50,000 is "large" there and "very large" here).</t>
  </si>
  <si>
    <t xml:space="preserve">Use Case Is &gt;= 50000 / Case Is &gt;= 25000 / Case Is &gt;= 10000 / Case Else, in descending order, which is gap-free. Agree one Riverstone size-band rule across Ch 16, 18 and 19 (see Ch 18 issue 18.23). Show 4 test calls with their output.</t>
  </si>
  <si>
    <t xml:space="preserve">19.8</t>
  </si>
  <si>
    <t xml:space="preserve">§19.7 Format(netRevenue, "₹#,##0.00")</t>
  </si>
  <si>
    <t xml:space="preserve">The VBA editor is ANSI and can't hold "₹". It turns into "?" when typed or imported from a .bas file, so the email shows "?423,872,808.00".</t>
  </si>
  <si>
    <t xml:space="preserve">Use ChrW(8377) &amp; Format(netRevenue, "#,##0.00") and explain ChrW in one line (the Unicode character number, Ch 2). Note that Western grouping (423,872,808) differs from Indian lakh grouping (42,38,72,808), and pick one for Riverstone.</t>
  </si>
  <si>
    <t xml:space="preserve">19.9</t>
  </si>
  <si>
    <t xml:space="preserve">§19.7 first use of HTML: bodyHtml = "&lt;p&gt;Good morning,&lt;/p&gt;" &amp; "&lt;table style=…&gt;"</t>
  </si>
  <si>
    <t xml:space="preserve">This is the first HTML in the book (no earlier chapter teaches it; Ch 11 only has IMPORTHTML). Tags, attributes, table/tr/td, inline style and quote nesting (' inside ") are all used unexplained here, and again in 19.13 and throughout Ch 20.</t>
  </si>
  <si>
    <t xml:space="preserve">Add a box "HTML in ten minutes" in 19.7 before the code. Cover: a tag pair &lt;p&gt;…&lt;/p&gt;; attributes style='…'; a 2×2 &lt;table&gt;&lt;tr&gt;&lt;td&gt; example with a rendered picture; &lt;b&gt;, &lt;h3&gt;, 
. Explain why single quotes sit inside a VBA double-quoted string. Then build the body in 3 steps: greeting paragraph; the table; the footer. Ch 20 §20.5 then points back here.</t>
  </si>
  <si>
    <t xml:space="preserve">19.10</t>
  </si>
  <si>
    <t xml:space="preserve">§19.11 Office Scripts; §19.12–19.13 Apps Script (~150 lines TS/JS)</t>
  </si>
  <si>
    <t xml:space="preserve">TypeScript and JavaScript are never taught. The code uses function main(workbook: ExcelScript.Workbook), const/let, type annotations, { [key: string]: string }, for (let r = 1; …; r++), ++, ===/!==, 0-based values[r][8], template literals ${…}, arrow functions r =&gt; …, .filter/.forEach/.map/.join, Object.keys, \ | \ |  as default, the ternary ? :, nested template literals, new Date(), setDate(getDate() - 1), JSDoc / @customfunction */, throw new Error, JSON.parse, method chaining. A Python+VBA reader can guess some but not all.</t>
  </si>
  <si>
    <t xml:space="preserve">Add a one-page "JavaScript and TypeScript for a Python reader" table at the start of 19.11. Rows: blocks {} vs indentation; ;; // comments; const (can't reassign) vs let; ===; for (let r = 0; r &lt; n; r++) ≈ for r in range(n); arrays 0-based; objects {k: v} ≈ dict; template literal  ${x}  ≈ f-string; arrow function x =&gt; x * 2 ≈ lambda x: x * 2; .map/.filter ≈ list comprehension; a \ | \ | 0 ≈ a or 0; c ? a : b ≈ a if c else b; : string = TypeScript's type label. Then annotate each TS/JS block line by line. Where there's no output, show console.log/Logger.log output (e.g. formatted 25833 rows, 13 columns; 25832 rows, 0 unmapped statuses).</t>
  </si>
  <si>
    <t xml:space="preserve">19.11</t>
  </si>
  <si>
    <t xml:space="preserve">§19.6 and after: column positions (status = 9/I, customer_code = 4/D, net_revenue = 11/K, "A1:K1")</t>
  </si>
  <si>
    <t xml:space="preserve">The branch files' columns are never listed, yet the code hard-codes positions and names (source_file, status, net_revenue). The reader can't check that column 9 is status.</t>
  </si>
  <si>
    <t xml:space="preserve">In 19.6 (or Practice data) print the header row of one branch file as a numbered list (1 order_item_id … 11 net_revenue, then 12 = source_file after consolidation) and the 12 file names (e.g. Riverstone_Mumbai-HO_2025-10.xlsx). Say that project step 5 derives the branch from these names.</t>
  </si>
  <si>
    <t xml:space="preserve">19.12</t>
  </si>
  <si>
    <t xml:space="preserve">§19.5 ObjectBasics writes "order_item_id" and 184000 into Master A1/A2; RangeToolkit inserts/deletes row 1 and "ws.Range("L:L").ClearContents"</t>
  </si>
  <si>
    <t xml:space="preserve">These demos run against the real Master sheet and change it. After consolidation, column L is source_file (11 data columns + 1), so RangeToolkit wipes the traceability column the chapter calls essential. CurrentRegion.Select also contradicts "Avoid Select" a few lines later.</t>
  </si>
  <si>
    <t xml:space="preserve">Run the object-model demos on a scratch sheet: Set ws = ThisWorkbook.Worksheets("Scratch"), with a line telling the reader to add one. Replace .Select with Debug.Print ws.Range("A1").CurrentRegion.Address. Show the output.</t>
  </si>
  <si>
    <t xml:space="preserve">19.13</t>
  </si>
  <si>
    <t xml:space="preserve">§19.6 ConsolidateBranchFiles fileName = Dir(SOURCE_FOLDER &amp; "*.xlsx")</t>
  </si>
  <si>
    <t xml:space="preserve">Excel leaves lock files named ~$Riverstone_….xlsx while someone has a branch file open, which is the very case ReadOnly:=True is meant for. Dir returns them, and Workbooks.Open fails on them.</t>
  </si>
  <si>
    <t xml:space="preserve">Inside the loop: If Left(fileName, 2) &lt;&gt; "~$" Then … End If, with a one-line explanation of lock files. Add it to the common-mistakes table.</t>
  </si>
  <si>
    <t xml:space="preserve">19.14</t>
  </si>
  <si>
    <t xml:space="preserve">§19.6 ConsolidateBranchFiles (the in-text version) vs story "Three checks run before anything is emailed"</t>
  </si>
  <si>
    <t xml:space="preserve">The macro the chapter teaches has none of the checks the story and 19.9 call essential. It doesn't check that 12 files were read, doesn't log per-file row counts and doesn't check duplicate names, so it would have repeated the story's "(2).xlsx" error. The check appears only in the Bonus answer.</t>
  </si>
  <si>
    <t xml:space="preserve">Add to the taught macro: a Const EXPECTED_FILES As Long = 12; a per-file Debug.Print fileName, lastRow - 1; after the loop, If filesRead &lt;&gt; EXPECTED_FILES Then Err.Raise vbObjectError + 1, , "Expected 12 files, read " &amp; filesRead. Show the output of a run with a 13th file added.</t>
  </si>
  <si>
    <t xml:space="preserve">19.15</t>
  </si>
  <si>
    <t xml:space="preserve">Practice data "built from Chapter 14's clean Q4 data"; §19.6 "₹423,872,808.00, the same figure as Chapter 14's clean data"</t>
  </si>
  <si>
    <t xml:space="preserve">Wrong reference. Ch 14's *clean* figure is ₹423,561,010.50 (20 lines quarantined). ₹423,872,808.00 is Ch 14 §14.10's "ERP's true Q4 2025 net revenue". A reader reconciling to Ch 14 finds a ₹311,797.50 gap.</t>
  </si>
  <si>
    <t xml:space="preserve">Change both to "built from the ERP's true Q4 2025 data (Chapter 14, section 14.10): ₹423,872,808.00, which is Chapter 14's clean total ₹423,561,010.50 plus the ₹311,797.50 of quarantined lines".</t>
  </si>
  <si>
    <t xml:space="preserve">19.16</t>
  </si>
  <si>
    <t xml:space="preserve">Project "by month, October ₹180,620,103.00 · November ₹155,985,902.00 · December ₹87,266,803.75" (also answers 12, Timed L6)</t>
  </si>
  <si>
    <t xml:space="preserve">The three months sum to ₹423,872,808.75, not the stated ₹423,872,808.00. October and November are shown with ".00" but are rounded values (Ch 18 prints them with round(0)). A reader who reconciles to the paisa gets a 75-paisa mismatch.</t>
  </si>
  <si>
    <t xml:space="preserve">Print the unrounded month totals from expected_results.md (two decimals each) so they add to ₹423,872,808.00. Or state "rounded to the rupee".</t>
  </si>
  <si>
    <t xml:space="preserve">19.17</t>
  </si>
  <si>
    <t xml:space="preserve">§19.11 first Office Script "The same header formatting as section 19.2" → sheet.getRange("A2").getFormat().setRowHeight(18);</t>
  </si>
  <si>
    <t xml:space="preserve">19.2 freezes the top row, but this line sets a row height, so the "same" script doesn't freeze anything.</t>
  </si>
  <si>
    <t xml:space="preserve">Replace with sheet.getFreezePanes().freezeRows(1); and explain it. Add a guard if (!sheet) { console.log("No Master sheet"); return; }, because getWorksheet can return undefined, a TypeScript idea worth one sentence.</t>
  </si>
  <si>
    <t xml:space="preserve">19.18</t>
  </si>
  <si>
    <t xml:space="preserve">§19.11/19.12 cleaning scripts range.setValues(values) over the whole used/data range</t>
  </si>
  <si>
    <t xml:space="preserve">Writing the whole sheet back re-types every cell. The text "0042" in customer_code becomes 42 in both Excel (Office Scripts) and Sheets unless the column is formatted as text, and any formulas in the range become values.</t>
  </si>
  <si>
    <t xml:space="preserve">Read and write only the status column: Office Scripts sheet.getRangeByIndexes(1, 8, rowCount - 1, 1); Apps Script sheet.getRange(2, 9, lastRow - 1, 1). Explain the 0-based vs 1-based index difference between the two APIs. Add one sentence on why writing less is safer.</t>
  </si>
  <si>
    <t xml:space="preserve">19.19</t>
  </si>
  <si>
    <t xml:space="preserve">§19.13 sendDailySummary (≈25 lines)</t>
  </si>
  <si>
    <t xml:space="preserve">The block chains about 12 new JS ideas: slice(1), date arithmetic, an arrow-function predicate, filter, forEach with the \ | \ |  accumulator, Object.keys().sort().map().join(), toLocaleString('en-IN'), a nested template literal with a ternary, MailApp.sendEmail options. No output is shown.</t>
  </si>
  <si>
    <t xml:space="preserve">Split into 4 steps, each ending in Logger.log: (1) read rows and drop the header (log the count); (2) keep yesterday's rows (log the count and one row); (3) total units by product into an object (log the object); (4) build the HTML and send, starting with Logger.log(html) instead of sending. Show the log output from enquiries_sample.csv.</t>
  </si>
  <si>
    <t xml:space="preserve">19.20</t>
  </si>
  <si>
    <t xml:space="preserve">Project Part 2 step 4 "At 9 a.m. every weekday: email … yesterday's enquiries"; answer 22 everyDays(1)</t>
  </si>
  <si>
    <t xml:space="preserve">The logic has a gap. On Monday "yesterday" is Sunday, so Friday-after-9 a.m. and Saturday enquiries are never reported if the trigger runs weekdays only. With everyDays(1) it also sends on weekends, contradicting "every weekday".</t>
  </si>
  <si>
    <t xml:space="preserve">Change the rule to "since the last summary was sent": store the last-run timestamp in PropertiesService and select rows after it. Or on Mondays include Friday–Sunday. Make answer 22 skip weekends (if ([0,6].includes(new Date().getDay())) return;) and explain it. Note that the Apps Script project time zone must be Asia/Kolkata (File → Project settings).</t>
  </si>
  <si>
    <t xml:space="preserve">19.21</t>
  </si>
  <si>
    <t xml:space="preserve">§19.4 ArrayDemo Array("Mumbai HO", …); §19.10 values = ….Value2, UBound(values, 1), values(r, 1)</t>
  </si>
  <si>
    <t xml:space="preserve">Two array bases are never explained. Array() is 0-based (the output would print 0–3), while an array read from a range is 2-D and 1-based. UBound(values, 1), the second argument (dimension), is unexplained. This is the most common VBA array bug.</t>
  </si>
  <si>
    <t xml:space="preserve">In 19.4, show the output 0: Mumbai HO and say "Array() starts at 0, like Python." In 19.10, add a small diagram: the range B2:B6 becomes values(1 To 5, 1 To 1), with rows first and columns second, both starting at 1. Explain UBound(values, 1) = number of rows. Add the edge case: a single-cell range returns a value, not an array (If lastRow = 2 …).</t>
  </si>
  <si>
    <t xml:space="preserve">19.22</t>
  </si>
  <si>
    <t xml:space="preserve">§19.4 "Arguments are passed by reference by default… write ByVal … which is most of the time"</t>
  </si>
  <si>
    <t xml:space="preserve">Not one procedure in the chapter uses ByVal, so the habit is stated but never modelled. NetLine(quantity As Long…) by reference also causes "ByRef argument type mismatch" when called with a Variant or Integer variable.</t>
  </si>
  <si>
    <t xml:space="preserve">Write ByVal in NetLine, CheckTarget, BandBySize and REBATEPCT, and show one short ByRef demo (a Sub that doubles its argument) with before/after output.</t>
  </si>
  <si>
    <t xml:space="preserve">19.23</t>
  </si>
  <si>
    <t xml:space="preserve">§19.4 table "Long … there are more than 32,767 rows in most files"</t>
  </si>
  <si>
    <t xml:space="preserve">Overstated. This chapter's own consolidated sheet has 25,833 rows (answer 4 admits it).</t>
  </si>
  <si>
    <t xml:space="preserve">"Integer stops at 32,767; many files pass that, and Long costs nothing extra."</t>
  </si>
  <si>
    <t xml:space="preserve">19.24</t>
  </si>
  <si>
    <t xml:space="preserve">"Note on this chapter's code… written and reviewed by hand"</t>
  </si>
  <si>
    <t xml:space="preserve">This production note admits the VBA, Office Scripts and Apps Script were never run. Issues 19.4–19.8, 19.13, 19.17 and 19.18 show the cost.</t>
  </si>
  <si>
    <t xml:space="preserve">Before print, run every VBA module in Excel for Windows against companion/ch19/branch_files/, every Office Script in Excel on the web, and every Apps Script in a test Sheet. Capture the outputs for 19.2. Then replace the note with a reader-facing sentence ("Every macro here was run in Excel 365 on the companion files; expected_results.md has the numbers you should see").</t>
  </si>
  <si>
    <t xml:space="preserve">19.25</t>
  </si>
  <si>
    <t xml:space="preserve">§19.10 FastWrapper and §19.9 RunConsolidation: Application.Calculation = xlCalculationAutomatic in CleanUp</t>
  </si>
  <si>
    <t xml:space="preserve">RunConsolidation forces Automatic even if the user had Manual, while FastWrapper correctly saves and restores calcMode. The two teach opposite habits.</t>
  </si>
  <si>
    <t xml:space="preserve">Save and restore calcMode in RunConsolidation too.</t>
  </si>
  <si>
    <t xml:space="preserve">19.26</t>
  </si>
  <si>
    <t xml:space="preserve">§19.9 RunConsolidation "MsgBox errorLog &amp; … "Nothing was emailed.""</t>
  </si>
  <si>
    <t xml:space="preserve">The procedure never emails, so the message states something irrelevant, and the macro doesn't call SaveSummaryAsPdf/EmailSummary although the project says one procedure does it all.</t>
  </si>
  <si>
    <t xml:space="preserve">Add the PDF and email calls after the three steps (guarded by the check from 19.14), or change the message to "Nothing was sent." Show the full orchestration Sub once.</t>
  </si>
  <si>
    <t xml:space="preserve">19.27</t>
  </si>
  <si>
    <t xml:space="preserve">§19.8 AskForMonth If Not answer Like "####-##"; vbExclamation, vbInformation, vbCritical, vbCrLf; §19.8 .Show = -1, msoFileDialogFolderPicker</t>
  </si>
  <si>
    <t xml:space="preserve">These operators and constants are not explained. Like with # meaning "any digit" is new, and so are named constants.</t>
  </si>
  <si>
    <t xml:space="preserve">One-line glosses: "Like matches a pattern; # is any digit, ? any character, * anything." "vbExclamation etc. choose the icon; vbCrLf is a line break." ".Show returns -1 when the user clicks OK."</t>
  </si>
  <si>
    <t xml:space="preserve">19.28</t>
  </si>
  <si>
    <t xml:space="preserve">§19.8 REBATEPCT "Case Is &gt;= 400000: REBATEPCT = 2"; §19.10 "statusMap("delivered") = "Delivered": statusMap("dlvd") = …"</t>
  </si>
  <si>
    <t xml:space="preserve">The : statement separator is used without explanation. To a reader it looks like part of Case.</t>
  </si>
  <si>
    <t xml:space="preserve">Explain once ("a colon puts two statements on one line"), or write each statement on its own line in teaching code.</t>
  </si>
  <si>
    <t xml:space="preserve">19.29</t>
  </si>
  <si>
    <t xml:space="preserve">§19.9 LogLine f = FreeFile / Open … For Append As #f / Print #f / Close #f</t>
  </si>
  <si>
    <t xml:space="preserve">This is file I/O syntax from 1990s BASIC and none of it is explained.</t>
  </si>
  <si>
    <t xml:space="preserve">Explain each of the 4 lines: FreeFile gives an unused file number; Open … For Append creates or extends the file; Print # writes a line; Close releases it. Show the resulting macro_log.txt line.</t>
  </si>
  <si>
    <t xml:space="preserve">19.30</t>
  </si>
  <si>
    <t xml:space="preserve">Exercises 20, Timed L7 "time both versions with Timer"</t>
  </si>
  <si>
    <t xml:space="preserve">Timer is never introduced in the chapter.</t>
  </si>
  <si>
    <t xml:space="preserve">Add to 19.10: Dim t0 As Double: t0 = Timer … Debug.Print Format(Timer - t0, "0.00") &amp; " seconds" with an example output.</t>
  </si>
  <si>
    <t xml:space="preserve">19.31</t>
  </si>
  <si>
    <t xml:space="preserve">§19.13 onFormSubmit e.namedValues, row['Email address'][0] vs Practice data fields "email, company, city, product…"</t>
  </si>
  <si>
    <t xml:space="preserve">The keys must match the Form's question titles exactly, and each value is a one-element array (hence [0]). Neither point is explained, and the sample CSV's field names differ in wording and case. The function name suggests a simple trigger, but it must be installed.</t>
  </si>
  <si>
    <t xml:space="preserve">Add: "namedValues maps each question title to an array of answers; [0] takes the first. Your form's titles must match these keys." Make enquiries_sample.csv headers match ('Email address', 'Company', …). Add: "Install it: Triggers → Add Trigger → From spreadsheet → On form submit."</t>
  </si>
  <si>
    <t xml:space="preserve">19.32</t>
  </si>
  <si>
    <t xml:space="preserve">§19.13 fetchOpenEnquiries "sheet.getRange(2, 1, rows.length, rows[0].length)"</t>
  </si>
  <si>
    <t xml:space="preserve">With zero open enquiries rows[0] is undefined, so the script throws. Old rows below the new ones are never cleared. The API's paging (Ch 18 §18.14) is ignored.</t>
  </si>
  <si>
    <t xml:space="preserve">Add if (rows.length === 0) { Logger.log('no open enquiries'); return; }, sheet.getRange(2, 1, sheet.getMaxRows() - 1, 5).clearContent() before writing, and a note on paging with a pointer to Ch 18 §18.14.</t>
  </si>
  <si>
    <t xml:space="preserve">19.33</t>
  </si>
  <si>
    <t xml:space="preserve">§19.13 HTML acknowledgement &lt;p&gt;Dear ${company},&lt;/p&gt;</t>
  </si>
  <si>
    <t xml:space="preserve">Form input is inserted into HTML unescaped. A company name with &lt; or &amp; breaks the email, and a malicious one can inject links.</t>
  </si>
  <si>
    <t xml:space="preserve">Add a 3-line escapeHtml() helper and use it for every form value. Mention it in one sentence ("never trust form input").</t>
  </si>
  <si>
    <t xml:space="preserve">19.34</t>
  </si>
  <si>
    <t xml:space="preserve">§19.14 table "Schedule \</t>
  </si>
  <si>
    <t xml:space="preserve">VBA \ | Windows Task Scheduler" | Not taught anywhere. Ch 20's Task Scheduler section runs Python, and 19.11 says VBA runs unattended "only with the machine on and Excel open". Scheduling a macro needs a launcher (PowerShell/VBScript opening Excel and calling Application.Run).</t>
  </si>
  <si>
    <t xml:space="preserve">Change the cell to "Task Scheduler + a launcher script (fragile; see Chapter 20's laptop trap)", or add a 6-line PowerShell launcher example in 19.15 or Ch 20.</t>
  </si>
  <si>
    <t xml:space="preserve">19.35</t>
  </si>
  <si>
    <t xml:space="preserve">Chapter at a glance / Why this matters "the bigger things in Chapters 18 and 20"; Where this leads "Chapter 18, Python for Analysts: the same automations when…"</t>
  </si>
  <si>
    <t xml:space="preserve">Chapter 18 is listed as a forward destination but it comes *before* this chapter in the reading order.</t>
  </si>
  <si>
    <t xml:space="preserve">Rewrite as back-references: "…the bigger things you started in Chapter 18 and finish in Chapter 20"; Where this leads: "Chapter 20 …; and back to Chapter 18 when the data comes from a database or an API."</t>
  </si>
  <si>
    <t xml:space="preserve">19.36</t>
  </si>
  <si>
    <t xml:space="preserve">Answer 9 "If you get 25,844, you copied a header row from each file"</t>
  </si>
  <si>
    <t xml:space="preserve">This mixes "data rows" and "total rows". Copying every file's header gives 25,844 rows including row 1, i.e. 25,843 rows below the header, with 11 header rows scattered in the data.</t>
  </si>
  <si>
    <t xml:space="preserve">"If Master has 25,844 used rows (11 more than expected), you copied every file's header row."</t>
  </si>
  <si>
    <t xml:space="preserve">19.37</t>
  </si>
  <si>
    <t xml:space="preserve">Story "₹18.8 million too high"; "₹18.8 million of a branch's November sales"</t>
  </si>
  <si>
    <t xml:space="preserve">Unit style: the rest of the book uses crore (₹5.71 crore, ₹61.4 crore) or full rupees.</t>
  </si>
  <si>
    <t xml:space="preserve">"₹1.88 crore" (and check against expected_results.md: Kolkata's November file total).</t>
  </si>
  <si>
    <t xml:space="preserve">19.38</t>
  </si>
  <si>
    <t xml:space="preserve">19.39</t>
  </si>
  <si>
    <t xml:space="preserve">Companion files "build_ch19_files.py builds everything below."</t>
  </si>
  <si>
    <t xml:space="preserve">Remove from the reader list, or mark "(regenerates the files; not needed for the exercises)".</t>
  </si>
  <si>
    <t xml:space="preserve">19.40</t>
  </si>
  <si>
    <t xml:space="preserve">Whole chapter: three languages + HTML + Power Automate in one chapter</t>
  </si>
  <si>
    <t xml:space="preserve">Load: VBA from zero (≈20 new syntax items) plus the object model, TypeScript, JavaScript, HTML and Apps Script triggers, all in one chapter.</t>
  </si>
  <si>
    <t xml:space="preserve">Mark 19.11–19.14 as a separate sitting ("Week 3: Office Scripts and Apps Script"). Say readers who don't use Microsoft 365 business can skip 19.11 on a first pass. Add the time split: VBA 12–15 h, OS + Apps Script 6–8 h, projects 6 h.</t>
  </si>
  <si>
    <t xml:space="preserve">V19.1</t>
  </si>
  <si>
    <t xml:space="preserve">p. 2–27 (whole chapter) · Body, code, tables</t>
  </si>
  <si>
    <t xml:space="preserve">The content is rendered at about 77% of the book's scale: body 8.0 pt, code 6.1 pt, tables 6.3 pt, inline code 5.4 pt. VBA listings such as pp. 10–12 and 15 fall below comfortable print size. It is also visibly inconsistent with every neighbouring chapter.</t>
  </si>
  <si>
    <t xml:space="preserve">Re-render at the standard scale. Find the element forcing shrink-to-fit (probably an unwrappable code line or the 4-column "same job in three languages" table, p. 19), and allow code to wrap (as in Ch17/18) or hard-wrap the long HTML-string lines.</t>
  </si>
  <si>
    <t xml:space="preserve">V19.2</t>
  </si>
  <si>
    <t xml:space="preserve">p. 9 · 19.6 The everyday toolkit</t>
  </si>
  <si>
    <t xml:space="preserve">The page is 54% blank after a two-line intro, because the "Consolidate every file in a folder" listing moves whole to p. 10.</t>
  </si>
  <si>
    <t xml:space="preserve">Let the code block split, or pull the heading and intro to p. 10.</t>
  </si>
  <si>
    <t xml:space="preserve">V19.3</t>
  </si>
  <si>
    <t xml:space="preserve">p. 19→20 · 19.15, run-in heading "Write it so someone else can read it"</t>
  </si>
  <si>
    <t xml:space="preserve">The bold run-in heading is the last line on p. 19, and its bullets start on p. 20.</t>
  </si>
  <si>
    <t xml:space="preserve">V19.4</t>
  </si>
  <si>
    <t xml:space="preserve">p. 24–25 · Practice exercises 10–28</t>
  </si>
  <si>
    <t xml:space="preserve">The first digit of two-digit numbers is clipped at the left.</t>
  </si>
  <si>
    <t xml:space="preserve">V19.5</t>
  </si>
  <si>
    <t xml:space="preserve">The cover shows "Approved chapter v1", "Approved 18 September 2026" and "Data and expected results checked with Python". This third line differs from the other chapters'.</t>
  </si>
  <si>
    <t xml:space="preserve">V19.6</t>
  </si>
  <si>
    <t xml:space="preserve">No page numbers. Entries are also at the reduced scale (about 6.4 pt).</t>
  </si>
  <si>
    <t xml:space="preserve">Add page numbers (and fix with V19.1).</t>
  </si>
  <si>
    <t xml:space="preserve">V19.7</t>
  </si>
  <si>
    <t xml:space="preserve">p. 1, 2–3, footers · Chapter title</t>
  </si>
  <si>
    <t xml:space="preserve">The cover and running footer say "…Office Scripts &amp; Apps Script". The contents and chapter heading say "…Office Scripts &amp; Google Apps Script".</t>
  </si>
  <si>
    <t xml:space="preserve">Use one title everywhere.</t>
  </si>
  <si>
    <t xml:space="preserve">V19.8</t>
  </si>
  <si>
    <t xml:space="preserve">p. 15→16 · "The same header formatting as section 19.2:"</t>
  </si>
  <si>
    <t xml:space="preserve">The lead-in is the last line of p. 15, and its Office Script is on p. 16.</t>
  </si>
  <si>
    <t xml:space="preserve">V19.9</t>
  </si>
  <si>
    <t xml:space="preserve">p. 19 · Table "The same job in three languages"</t>
  </si>
  <si>
    <t xml:space="preserve">Code cells wrap mid-statement (Set ws = / ThisWorkbook.Worksheets("Master"), ws.Cells(ws.Rows.Count, / "A").End(xlUp).Row). Pill padding also varies, with some cells starting with a space.</t>
  </si>
  <si>
    <t xml:space="preserve">Widen the Task column less and the code columns more, or shorten the examples. Trim the pills.</t>
  </si>
  <si>
    <t xml:space="preserve">V19.10</t>
  </si>
  <si>
    <t xml:space="preserve">p. 4, 8, 9 · Headings with code ("…what .xlsm means", "Avoid Select and Activate", "With, for readability")</t>
  </si>
  <si>
    <t xml:space="preserve">The code in these headings is set much smaller than the heading text.</t>
  </si>
  <si>
    <t xml:space="preserve">As V18.17.</t>
  </si>
  <si>
    <t xml:space="preserve">V19.11</t>
  </si>
  <si>
    <t xml:space="preserve">p. 20→21 · "Common mistakes" table</t>
  </si>
  <si>
    <t xml:space="preserve">It splits across pages. The header repeats.</t>
  </si>
  <si>
    <t xml:space="preserve">Acceptable. Keep together if space allows after V19.1.</t>
  </si>
  <si>
    <t xml:space="preserve">V19.12</t>
  </si>
  <si>
    <t xml:space="preserve">p. 25 · Answers heading</t>
  </si>
  <si>
    <t xml:space="preserve">V19.13</t>
  </si>
  <si>
    <t xml:space="preserve">p. 22, 23 · "You've got it when…" checklist</t>
  </si>
  <si>
    <t xml:space="preserve">V19.14</t>
  </si>
  <si>
    <t xml:space="preserve">p. see fonts · "₹" / "→"</t>
  </si>
  <si>
    <t xml:space="preserve">20.1</t>
  </si>
  <si>
    <t xml:space="preserve">§20.5 chart: img_tag = f'&lt;img src="data:image/png;base64,{encoded}" …'; at a glance "renders in Outlook and Gmail"</t>
  </si>
  <si>
    <t xml:space="preserve">The only chart code shown is the data-URI route, which the text itself says Outlook desktop refuses. Gmail also doesn't display base64 data-URI images. So the demonstrated technique fails in both clients the chapter promises. CID, which is called "the reliable route", is described but has no code.</t>
  </si>
  <si>
    <t xml:space="preserve">Make CID the main route, with code: msg.add_alternative(html, subtype="html"), then msg.get_payload()[1].add_related(png_bytes, maintype="image", subtype="png", cid="&lt;chart&gt;"), and in the HTML &lt;img src="cid:chart" width="620" alt="…"&gt;. Explain cid: in one sentence. Keep the data-URI cell only as a "preview in a browser" technique, labelled as such. Show print(msg) (truncated) so the reader sees the multipart/related structure.</t>
  </si>
  <si>
    <t xml:space="preserve">20.2</t>
  </si>
  <si>
    <t xml:space="preserve">§20.7 Task Scheduler step 4 "arguments daily_flash.py 2025-12-18 --send"</t>
  </si>
  <si>
    <t xml:space="preserve">A fixed date in a scheduled task: every morning it sends the 18 December 2025 report (or, with the run key, silently does nothing). Answer 17's %date% is also wrong. Task Scheduler doesn't expand it, and in cmd it is locale-formatted ("Thu 18/12/2025").</t>
  </si>
  <si>
    <t xml:space="preserve">Make the script default to "today in Asia/Kolkata" when no date is given (show the 3-line argparse default: ap.add_argument("day", nargs="?", default=None) then day = date.fromisoformat(args.day) if args.day else datetime.now(ZoneInfo("Asia/Kolkata")).date()). Change the Task Scheduler arguments to daily_flash.py --send. Fix answer 17 the same way.</t>
  </si>
  <si>
    <t xml:space="preserve">20.3</t>
  </si>
  <si>
    <t xml:space="preserve">§20.7 cron "0 7 * * 1-5 …"; "Set the schedule in the business's time zone"</t>
  </si>
  <si>
    <t xml:space="preserve">The rule is stated, but the chapter never shows how. Cron runs in the server's time zone (usually UTC on cloud VMs), so 0 7 = 12:30 IST. $(date +\%F) is also the server's date.</t>
  </si>
  <si>
    <t xml:space="preserve">Add CRON_TZ=Asia/Kolkata (cronie) or TZ=Asia/Kolkata on the command, plus a note to check with timedatectl. For Task Scheduler: "times are the machine's local time; check the VM's time zone". Recommend the script compute the date itself (20.2) rather than $(date …).</t>
  </si>
  <si>
    <t xml:space="preserve">20.4</t>
  </si>
  <si>
    <t xml:space="preserve">§20.7 time-zone cell utc_now = datetime(2025, 12, 18, 2, 30, …) → "same calendar date? True"</t>
  </si>
  <si>
    <t xml:space="preserve">The example is meant to show "the quiet bug" but prints True, so no bug is visible. The UTC offset is also hand-built with timedelta(hours=5, minutes=30), when the standard zoneinfo exists.</t>
  </si>
  <si>
    <t xml:space="preserve">Use two cells. (1) 02:30 UTC → 08:00 IST, same date (as now). (2) datetime(2025, 12, 17, 20, 0, tzinfo=timezone.utc) → 01:30 IST on 18 Dec: prints False, and "yesterday" differs. Use from zoneinfo import ZoneInfo; ist = utc_now.astimezone(ZoneInfo("Asia/Kolkata")), and explain tzinfo, astimezone and strftime codes (point back to Ch 17 §17.13).</t>
  </si>
  <si>
    <t xml:space="preserve">20.5</t>
  </si>
  <si>
    <t xml:space="preserve">§20.11 "Failure alert: wrap the job in try/except… then exit non-zero"; Tools "daily_flash.py — the complete Daily Sales Flash"</t>
  </si>
  <si>
    <t xml:space="preserve">The central pattern of the chapter, the main function with try/except, a failure email, the "no data" branch, --send off by default and exit codes, is described only in prose. daily_flash.py is never shown, although project Option B says "build it yourself before reading the companion version". A first-time reader can't assemble the pieces.</t>
  </si>
  <si>
    <t xml:space="preserve">Add §20.11a "The Flash, assembled": a ~45-line main() skeleton with each block explained. Blocks: argparse (day, --send); load_status wait loop; lines = load(day); if lines.empty: send(no_data_email); return 0; results = checks(...); if not all(...): alert(...); return 1; build HTML; if args.send: send_email(...) else: write out/…html; record run key; except Exception: log.exception(...); send_failure_alert(traceback.format_exc()); return 2. Run it without --send and show the log lines and the path of the HTML file written.</t>
  </si>
  <si>
    <t xml:space="preserve">20.6</t>
  </si>
  <si>
    <t xml:space="preserve">§20.5 first HTML in this chapter: tile()</t>
  </si>
  <si>
    <t xml:space="preserve">HTML is used as if known: nested tables, role, cellpadding, style with font: shorthand. (Ch 19 is the first use; see Ch 19 issue 19.9.) The Python is also dense: adjacent f-strings joined implicitly inside parentheses, ' inside " inside f-strings, \ line continuation. None of these is taught in Ch 17.</t>
  </si>
  <si>
    <t xml:space="preserve">Point back to Ch 19's "HTML in ten minutes" box. In 20.5, show the tile first as plain HTML (6 lines) with a rendered screenshot, then as the Python function. Add one sentence each: "Python joins string literals written next to each other"; "a \ at the end of a line continues it; brackets are the cleaner way". Print the full row HTML once (1,035 characters is fine) rather than only the first 120.</t>
  </si>
  <si>
    <t xml:space="preserve">20.7</t>
  </si>
  <si>
    <t xml:space="preserve">§20.5 chart cell ax.plot([1, 2, 3, 4, 5], [30.6, 33.5, 36.0, 25.1, 26.4] …), alt "Daily net revenue, last 14 days"</t>
  </si>
  <si>
    <t xml:space="preserve">These are made-up 5 points, while the alt text claims 14 days. The values don't match the real series (Level 4: 7 Dec ₹37.8 lakh high, 9 Dec ₹24.9 lakh low, 18 Dec ₹25.1 lakh). io.BytesIO, base64.b64encode(...).decode("ascii") and format="png" are unexplained.</t>
  </si>
  <si>
    <t xml:space="preserve">Plot the real 14-day series from the previous query plus the day itself (in ₹ lakh), with style_axes from Ch 18 and an action title. Explain BytesIO ("a file that lives in memory"), and why base64 turns bytes into text. Keep alt text that states the finding ("Revenue on 18 Dec, ₹25.1 lakh, was near the fortnight's low").</t>
  </si>
  <si>
    <t xml:space="preserve">20.8</t>
  </si>
  <si>
    <t xml:space="preserve">§20.6 send_email(...) SMTP block</t>
  </si>
  <si>
    <t xml:space="preserve">The block can't be run, and no output is shown. SMTP, port, TLS/STARTTLS and MIME are never defined (the first use in the book). EmailMessage, add_alternative, add_attachment(maintype=, subtype=) and smtplib.SMTP(...) as a context manager are all new at once. open(path,"rb").read() without with also contradicts Ch 17's file habit.</t>
  </si>
  <si>
    <t xml:space="preserve">Before the code, define in 4 sentences: SMTP (the protocol mail servers speak), host and port (587 = submission with STARTTLS; 465 = TLS from the start), STARTTLS (upgrade to encryption before the password is sent), multipart message (plain + HTML + attachments). Split into two cells. (1) Build the message and print(message) truncated, showing the headers and parts, which runs anywhere. (2) Send, tested against a local debug server: pip install aiosmtpd, then python -m aiosmtpd -n -l localhost:8025 in a second terminal (note that smtpd was removed in Python 3.12). Show what that terminal prints. Use with open(path, "rb") as f: data = f.read(). Explain maintype/subtype (the MIME type; use mimetypes.guess_type).</t>
  </si>
  <si>
    <t xml:space="preserve">20.9</t>
  </si>
  <si>
    <t xml:space="preserve">§20.6 "Credentials come from the environment, loaded from a .env file"; Tools "python-dotenv"</t>
  </si>
  <si>
    <t xml:space="preserve">python-dotenv is installed and named in Ch 17's package table as "Chapter 20", but its code is never shown here, and neither is the .env file format. The reader can't make os.environ["SMTP_USER"] work.</t>
  </si>
  <si>
    <t xml:space="preserve">Add a cell: show a .env file (SMTP_HOST=smtp.office365.com, SMTP_PORT=587, SMTP_USER=…, SMTP_PASSWORD=…, RIVERSTONE_DB=…), then from dotenv import load_dotenv; load_dotenv(); print(sorted(k for k in os.environ if k.startswith("SMTP_"))) (print names, never values), and add .env to .gitignore (pointer to Ch 26). If Ch 18 adopts issue 18.31, point back to it instead.</t>
  </si>
  <si>
    <t xml:space="preserve">20.10</t>
  </si>
  <si>
    <t xml:space="preserve">§20.7 cron block cd /opt/riverstone &amp;&amp; … "$(date +\%F)" --send &gt;&gt; logs/flash.log 2&gt;&amp;1; set -a; . /opt/riverstone/.env; set +a; "crontab -e"</t>
  </si>
  <si>
    <t xml:space="preserve">This uses shell syntax beyond Ch 17's terminal minimum (M.4: essentials come in Ch 26 §26.0 / Ch 34): &amp;&amp;, $( ) command substitution, &gt;&gt; append, 2&gt;&amp;1, set -a, . (source). Also, crontab -e opens a text editor (often vi) that a beginner can't exit.</t>
  </si>
  <si>
    <t xml:space="preserve">Add a 6-row "shell pieces in this line" table: cd DIR &amp;&amp; run the next only if cd worked; "$(date +%F)" insert today's date; &gt;&gt; file append output; 2&gt;&amp;1 send errors to the same place; set -a; . .env; set +a load a .env into the environment; \% because cron treats % as newline. Add: "crontab -e opens an editor; set EDITOR=nano first (export EDITOR=nano)." Point forward to Ch 26 §26.0 for more.</t>
  </si>
  <si>
    <t xml:space="preserve">20.11</t>
  </si>
  <si>
    <t xml:space="preserve">§20.8 "Storage Box 25L sold 345 units (below 500). Check stock at Bhiwandi…"</t>
  </si>
  <si>
    <t xml:space="preserve">The numbers contradict the output just above: 345 units is Industrial Crate, and Storage Box 25L sold 575.</t>
  </si>
  <si>
    <t xml:space="preserve">"Industrial Crate sold 345 units (below 500). Check stock at Bhiwandi and confirm the Mumbai dispatch."</t>
  </si>
  <si>
    <t xml:space="preserve">20.12</t>
  </si>
  <si>
    <t xml:space="preserve">Why this matters "A report that takes ninety minutes a day is 30 working days a year"</t>
  </si>
  <si>
    <t xml:space="preserve">Arithmetic is off: 90 min × 250 days = 375 hours ≈ 47 eight-hour days (≈ 45 at 240 days).</t>
  </si>
  <si>
    <t xml:space="preserve">"…is about 47 working days a year; automating it buys back two months." Or keep "a month" with "sixty minutes a day (≈31 days)".</t>
  </si>
  <si>
    <t xml:space="preserve">20.13</t>
  </si>
  <si>
    <t xml:space="preserve">§20.14 output "about 41 working days" vs Answer 20 and Bonus "about 40 working days"</t>
  </si>
  <si>
    <t xml:space="preserve">The same calculation gives two answers (325 / 8 = 40.6).</t>
  </si>
  <si>
    <t xml:space="preserve">Use "about 41" everywhere, or print hours_saved/8:.1f → 40.6 and say "about 40½".</t>
  </si>
  <si>
    <t xml:space="preserve">20.14</t>
  </si>
  <si>
    <t xml:space="preserve">Story "On 4 March, three of the four would have failed"</t>
  </si>
  <si>
    <t xml:space="preserve">With zero rows: "rows returned" fails; "all rows are today's" passes (.all() of nothing is True); "no missing revenue" passes (also vacuous); the median check fails (0 vs median). That is two of four, not three. Timed Level 7 says only "the first check fails" for 1 Jan 2026, but the median check fails too.</t>
  </si>
  <si>
    <t xml:space="preserve">Change to "two of the four would have failed, and the first alone is enough." Add one teaching sentence: ".all() on an empty column is True, which is why 'rows returned' must come first." In Level 7 say "the row check and the median check fail".</t>
  </si>
  <si>
    <t xml:space="preserve">20.15</t>
  </si>
  <si>
    <t xml:space="preserve">§20.11 logging cell → only "(log lines go to stderr; …)"</t>
  </si>
  <si>
    <t xml:space="preserve">The output shows a sentence about the log instead of the log lines. It repeats Ch 17's cell word for word and teaches nothing new. log.warning("1 product below threshold") is hard-coded.</t>
  </si>
  <si>
    <t xml:space="preserve">Show the stderr lines in the output (08:00:01 INFO loaded 213 lines for 2025-12-18 / 08:00:01 WARNING 1 product below threshold). Build the warning from len(low). Add logging.FileHandler("logs/flash.log") to show logging to a file, which is new relative to Ch 17.</t>
  </si>
  <si>
    <t xml:space="preserve">20.16</t>
  </si>
  <si>
    <t xml:space="preserve">§20.9 post_to_webhook "Slack and Teams both accept a simple text payload"</t>
  </si>
  <si>
    <t xml:space="preserve">Microsoft is retiring Office 365 Connectors (incoming webhooks) in Teams in favour of Workflows (Power Automate) webhooks, whose default template expects an Adaptive Card payload, not {"text": …}. The claim is likely out of date by publication.</t>
  </si>
  <si>
    <t xml:space="preserve">Verify at time of print. Rewrite: "Slack incoming webhooks accept {"text": …}. In Teams, create a Workflow 'Post to a channel when a webhook request is received'; it expects an Adaptive Card", and show the minimal card JSON (≈10 lines). Show a sample response (200) and what raise_for_status() does on 400/403 (Ch 18 §18.14 table).</t>
  </si>
  <si>
    <t xml:space="preserve">20.17</t>
  </si>
  <si>
    <t xml:space="preserve">§20.7 Task Scheduler step 3 "repeat every 15 minutes for 1 hour" for retries</t>
  </si>
  <si>
    <t xml:space="preserve">Repeating the task re-runs it after a *successful* run too, which means up to 5 emails a day. Idempotency comes three pages later.</t>
  </si>
  <si>
    <t xml:space="preserve">Replace with the step 5 setting ("If the task fails, restart every 10 minutes, up to 3 times") and add "retries are safe only once the job is idempotent (20.11)".</t>
  </si>
  <si>
    <t xml:space="preserve">20.18</t>
  </si>
  <si>
    <t xml:space="preserve">§20.8 "below the 10th percentile of the last 90 days for that product"; Exercise 14 and answer 14</t>
  </si>
  <si>
    <t xml:space="preserve">Per-product rolling percentiles (groupby + quantile) aren't taught in Ch 18 (see Ch 18 issue 18.36). Answer 14 names no products, so it can't be checked.</t>
  </si>
  <si>
    <t xml:space="preserve">Add a 4-line pandas cell in 20.8: hist.groupby("product_name")["quantity"].quantile(0.10), then merge and compare, and show which products would be flagged on 18 Dec 2025. Put that concrete list (and the thresholds) in answer 14.</t>
  </si>
  <si>
    <t xml:space="preserve">20.19</t>
  </si>
  <si>
    <t xml:space="preserve">§20.11 checks cell: params={"start": "2025-12-04", "end": "2025-12-17"}</t>
  </si>
  <si>
    <t xml:space="preserve">The 14-day window is hard-coded, so the cell only works for one date. It also teaches the MTD slip the Timed answer warns about (a 14-day window reused as month-to-date).</t>
  </si>
  <si>
    <t xml:space="preserve">Compute from day: start = day - timedelta(days=14); end = day - timedelta(days=1). Show a separate month-to-date query WHERE order_date &gt;= DATE_TRUNC('month', :day) AND order_date &lt;= :day (+ MySQL equivalent) with its result ₹57,069,985.</t>
  </si>
  <si>
    <t xml:space="preserve">20.20</t>
  </si>
  <si>
    <t xml:space="preserve">§20.8 SQL WHERE s.order_date = :day; §20.11 queries</t>
  </si>
  <si>
    <t xml:space="preserve">These are PostgreSQL-only engine strings, and credentials are hard-coded (book:book) again, right after 20.6 says credentials come from the environment.</t>
  </si>
  <si>
    <t xml:space="preserve">Use create_engine(os.environ["RIVERSTONE_DB"]) after load_dotenv() (20.9). Note the MySQL date-truncation equivalent where one is used.</t>
  </si>
  <si>
    <t xml:space="preserve">20.21</t>
  </si>
  <si>
    <t xml:space="preserve">Where this leads "Chapter 23, Data Storytelling"</t>
  </si>
  <si>
    <t xml:space="preserve">Wrong cross-reference. Storytelling is Chapter 24 (Requirements, Storytelling &amp; Stakeholders); Chapter 23 is Business Acumen, KPIs &amp; Metrics.</t>
  </si>
  <si>
    <t xml:space="preserve">"Chapter 24, Requirements, Storytelling &amp; Stakeholders".</t>
  </si>
  <si>
    <t xml:space="preserve">20.22</t>
  </si>
  <si>
    <t xml:space="preserve">Where this leads "Chapter 30, Python as Software"</t>
  </si>
  <si>
    <t xml:space="preserve">Wrong cross-reference. That chapter is 29; 30 is Inference &amp; Experiments.</t>
  </si>
  <si>
    <t xml:space="preserve">"Chapter 29".</t>
  </si>
  <si>
    <t xml:space="preserve">20.23</t>
  </si>
  <si>
    <t xml:space="preserve">There is no Ch 76 (the chapters are 76A/76B). The automation and delivery questions are in Chapter 78, the Automation &amp; Integration Question Bank.</t>
  </si>
  <si>
    <t xml:space="preserve">"the Automation &amp; Integration Question Bank (Chapter 78) and the Business Analyst bank (Chapter 76B)". Update after Part VIII is renumbered.</t>
  </si>
  <si>
    <t xml:space="preserve">20.24</t>
  </si>
  <si>
    <t xml:space="preserve">Answers "(In the finished book these move to Appendix G.)"; "Note on what was run"</t>
  </si>
  <si>
    <t xml:space="preserve">Drafting leftover, and a production note written for a reviewer.</t>
  </si>
  <si>
    <t xml:space="preserve">Delete the Appendix G sentence. Rewrite the note for readers: "Sending mail, webhooks and schedulers need accounts you control; test them with the local SMTP server in 20.6 and a channel you own."</t>
  </si>
  <si>
    <t xml:space="preserve">20.25</t>
  </si>
  <si>
    <t xml:space="preserve">§20.5 "Outlook on Windows renders HTML with Microsoft Word's engine"</t>
  </si>
  <si>
    <t xml:space="preserve">True of classic Outlook for Windows. The "new Outlook" for Windows renders with a browser engine, so the audience will be mixed during the transition.</t>
  </si>
  <si>
    <t xml:space="preserve">Add "(classic Outlook; the new Outlook uses a browser engine, but design for the older one while both are in use)". Note that border-radius in tile() is ignored by classic Outlook (harmless).</t>
  </si>
  <si>
    <t xml:space="preserve">20.26</t>
  </si>
  <si>
    <t xml:space="preserve">Before you start lists Chapters 13–19</t>
  </si>
  <si>
    <t xml:space="preserve">There is no mention of the terminal minimum (Ch 17 §17.0), which the scheduling section needs, or that Ch 26 comes later.</t>
  </si>
  <si>
    <t xml:space="preserve">Add "the terminal basics from Chapter 17, section 17.0" to Before you start.</t>
  </si>
  <si>
    <t xml:space="preserve">V20.1</t>
  </si>
  <si>
    <t xml:space="preserve">p. 4 · Figure 20.1 (automation ladder)</t>
  </si>
  <si>
    <t xml:space="preserve">Rung descriptions and right-hand notes are 4.7–4.8 pt, and rung names 5.5 pt. This is the chapter's organising diagram and it cannot be read in print.</t>
  </si>
  <si>
    <t xml:space="preserve">Redraw at ≥ 7 pt. The staircase can be narrower, with the notes inside each bar.</t>
  </si>
  <si>
    <t xml:space="preserve">V20.2</t>
  </si>
  <si>
    <t xml:space="preserve">p. 5 · Figure 20.2 (map the flow)</t>
  </si>
  <si>
    <t xml:space="preserve">Step sub-labels (times, "in a workbook") are 4.5 pt, the step names and chips 4.9 pt, and the "What the map tells you" box 4.8 pt.</t>
  </si>
  <si>
    <t xml:space="preserve">Redraw at ≥ 7 pt: two rows of three steps, or a vertical flow.</t>
  </si>
  <si>
    <t xml:space="preserve">V20.3</t>
  </si>
  <si>
    <t xml:space="preserve">p. 16 · Figure 20.4 (six properties)</t>
  </si>
  <si>
    <t xml:space="preserve">Descriptions are 4.9 pt, pills 4.4 pt and the footer 5.0 pt.</t>
  </si>
  <si>
    <t xml:space="preserve">Redraw at ≥ 7 pt, with a 2 × 3 grid sized to the text block.</t>
  </si>
  <si>
    <t xml:space="preserve">V20.4</t>
  </si>
  <si>
    <t xml:space="preserve">p. 10 · Figure 20.3 (Daily Sales Flash screenshot, raster)</t>
  </si>
  <si>
    <t xml:space="preserve">Resolution is 187 ppi at placed size (1280 px across 6.8 in), below the 300 ppi print norm, so small text (axis dates, footer) will print soft. The image is otherwise clean: no compression artefacts, no stretch, and legible at screen size.</t>
  </si>
  <si>
    <t xml:space="preserve">Re-capture at 2× device pixel ratio (≥ 2560 px wide), or set it at ≤ 4.3 in wide. The better option is an HTML-to-PDF/SVG render so the text is vector.</t>
  </si>
  <si>
    <t xml:space="preserve">V20.5</t>
  </si>
  <si>
    <t xml:space="preserve">p. 9 · "What it looks like"</t>
  </si>
  <si>
    <t xml:space="preserve">The heading and lead-in "…rendered here exactly as the recipients see it:" are stranded, and 55% of the page is blank. The screenshot is on p. 10.</t>
  </si>
  <si>
    <t xml:space="preserve">Move the heading and lead-in to p. 10, or shrink the image slightly so it fits on p. 9.</t>
  </si>
  <si>
    <t xml:space="preserve">V20.6</t>
  </si>
  <si>
    <t xml:space="preserve">p. 12 (also 22) · cron block; Task Scheduler step 4</t>
  </si>
  <si>
    <t xml:space="preserve">In the cron line the --send option breaks as "-" / "-send", which reads as - -send when copied. In the step 4 inline code "2025-12-18 --" / "send" the flag is also split. The same break happens in the p. 22 project step 7 --send.</t>
  </si>
  <si>
    <t xml:space="preserve">Hard-wrap the cron line with \ before --send, and set inline code to no-wrap (or break before the whole flag).</t>
  </si>
  <si>
    <t xml:space="preserve">V20.7</t>
  </si>
  <si>
    <t xml:space="preserve">Shows "Approved chapter v1", "Approved 18 September 2026" and "Data, HTML and checks run against the live database".</t>
  </si>
  <si>
    <t xml:space="preserve">V20.8</t>
  </si>
  <si>
    <t xml:space="preserve">V20.9</t>
  </si>
  <si>
    <t xml:space="preserve">p. 22, 25 · Project step 10; Practice exercises 10–27</t>
  </si>
  <si>
    <t xml:space="preserve">Two-digit list numbers hang into the margin with the first digit clipped.</t>
  </si>
  <si>
    <t xml:space="preserve">V20.10</t>
  </si>
  <si>
    <t xml:space="preserve">p. 16, 17 (all code) · checks(), logging code; input/output styling</t>
  </si>
  <si>
    <t xml:space="preserve">Continuation lines start at column 0 ({int(lines['net_revenue'].isna()…, datefmt=…, separately)")). Input and output blocks share one style.</t>
  </si>
  <si>
    <t xml:space="preserve">As V17.6 / V17.10.</t>
  </si>
  <si>
    <t xml:space="preserve">V20.11</t>
  </si>
  <si>
    <t xml:space="preserve">p. 10 · Figure 20.3 framing</t>
  </si>
  <si>
    <t xml:space="preserve">The screenshot has no border or drop shadow. Its own title, "Riverstone Daily Sales Flash — 18 Dec 2025" (Arial Bold), reads as a book heading, and the screenshot's footer line runs straight into the figure caption.</t>
  </si>
  <si>
    <t xml:space="preserve">Add a thin frame or email-window chrome around the image, and add space above the caption.</t>
  </si>
  <si>
    <t xml:space="preserve">V20.12</t>
  </si>
  <si>
    <t xml:space="preserve">p. 4, 5, 16 · Figure titles vs captions</t>
  </si>
  <si>
    <t xml:space="preserve">Each diagram carries an in-figure title and subtitle that repeat the caption (e.g. "Each rung removes a different kind of work. Most reports should stop at 3" in both).</t>
  </si>
  <si>
    <t xml:space="preserve">Keep one (the caption), and use the space for larger figure text.</t>
  </si>
  <si>
    <t xml:space="preserve">V20.13</t>
  </si>
  <si>
    <t xml:space="preserve">p. 8 · End of "The chart"</t>
  </si>
  <si>
    <t xml:space="preserve">28% of the page is blank because the base64 code block moves to p. 9.</t>
  </si>
  <si>
    <t xml:space="preserve">Allow split, or accept.</t>
  </si>
  <si>
    <t xml:space="preserve">V20.14</t>
  </si>
  <si>
    <t xml:space="preserve">p. 5 · Automation-ladder table</t>
  </si>
  <si>
    <t xml:space="preserve">The rung column wraps "2 / Refreshable" and "5 Self-serve" unevenly.</t>
  </si>
  <si>
    <t xml:space="preserve">Widen col 1 to fit "2 Refreshable".</t>
  </si>
  <si>
    <t xml:space="preserve">V20.15</t>
  </si>
  <si>
    <t xml:space="preserve">p. 23, 24 · "You've got it when…" checklist</t>
  </si>
  <si>
    <t xml:space="preserve">V20.16</t>
  </si>
  <si>
    <t xml:space="preserve">p. 26 · Answers heading</t>
  </si>
  <si>
    <t xml:space="preserve">V20.17</t>
  </si>
  <si>
    <t xml:space="preserve">p. see fonts · "₹" / "→" in body</t>
  </si>
  <si>
    <t xml:space="preserve">21.1</t>
  </si>
  <si>
    <t xml:space="preserve">Before you start: "every formula here is explained twice, once in symbols and once in English"</t>
  </si>
  <si>
    <t xml:space="preserve">False promise. No formula is ever written in symbols: no mean x̄ = Σxᵢ/n, no variance/SD, no z = (x − x̄)/s, no CV, no SE = s/√n, no binomial/Poisson formula, no law of total probability. Σ notation has never been taught (Ch 4 does arithmetic only). A beginner cannot check or hand-compute anything.</t>
  </si>
  <si>
    <t xml:space="preserve">Add a boxed "Formula" panel for each measure, each followed by a symbol-by-symbol legend. (1) Before the first formula, add "Reading Σ": Σxᵢ means "add up every value"; i counts rows 1…n; n is the number of values. (2) Mean: x̄ = Σxᵢ / n (x̄ = "x-bar", the sample mean). (3) Variance: s² = Σ(xᵢ − x̄)² / (n − 1), with a line on why the deviations are squared (so they don't cancel) and why n − 1 (a sample slightly under-estimates spread; the sample mean is fitted to the same data). (4) SD: s = √s². (5) IQR = Q3 − Q1, defining Q1/Q3 as the 25th/75th percentiles. (6) CV = s / x̄. (7) z = (x − x̄) / s. (8) SE = s / √n in §21.8. (9) Binomial: P(X = k) = C(n,k)·pᵏ·(1−p)ⁿ⁻ᵏ, explaining C(n,k) as "the number of ways to choose which k of the n are late". (10) Poisson: P(X = k) = λᵏe^(−λ)/k!, explaining e ≈ 2.718 and k!. (11) Bayes' denominator (see 21.21). If the author chooses not to show the binomial/Poisson formulas, delete "every formula here is explained twice" and say instead "the binomial and Poisson formulas are shown for reference; you will use the functions".</t>
  </si>
  <si>
    <t xml:space="preserve">21.2</t>
  </si>
  <si>
    <t xml:space="preserve">§21.1 opens with pd.read_csv("delivery_times_2025.csv", …) on 45,040 rows</t>
  </si>
  <si>
    <t xml:space="preserve">No by-hand step and no spreadsheet step. The book's principle is idea → by hand → known tool → new tool. Here the reader never computes a mean, median, variance or quartile on numbers they can see.</t>
  </si>
  <si>
    <t xml:space="preserve">First-time reader / Flow</t>
  </si>
  <si>
    <t xml:space="preserve">Insert a new opening subsection "21.0 Seven deliveries, by hand" before the pandas code. Use 7 delivery times: 2, 3, 3, 4, 5, 6, 19 days. Work through: mean = 42/7 = 6.0; median = 4 (4th of 7 sorted); mode = 3; range = 17. Then a deviations table with columns x, x − x̄ (−4, −3, −3, −2, −1, 0, 13) and (x − x̄)² (16, 9, 9, 4, 1, 0, 169; sum 208). Sample variance = 208/6 = 34.67 days²; SD = 5.89 days; population SD = √(208/7) = 5.45. Q1 = 3.0, Q3 = 5.5 (pandas/PERCENTILE.INC interpolation), IQR = 2.5. Point out that one slow delivery (19) moves the mean from 3.8 (without it) to 6.0 and leaves the median almost unchanged. Then repeat in the spreadsheet from Ch 10–11 (A1:A7; =AVERAGE, =MEDIAN, =MODE.SNGL, =MAX−MIN, =VAR.S, =STDEV.S, =STDEV.P, =QUARTILE.INC(A1:A7,1) and 3), showing each result. Then move to pandas on the same 7 numbers (pd.Series([2,3,3,4,5,6,19])) before loading the 45,040-row file.</t>
  </si>
  <si>
    <t xml:space="preserve">21.3</t>
  </si>
  <si>
    <t xml:space="preserve">§21.1 first code block (load + mean/median/mode)</t>
  </si>
  <si>
    <t xml:space="preserve">Too many new things in one block: pd.set_option("display.width",…), parse_dates=, .shape, .head(3), f-string format spec :,.2f, .mode().iloc[0] (why .iloc[0]: mode can return several values), and (values == …).sum() (counting Trues). None is explained line by line.</t>
  </si>
  <si>
    <t xml:space="preserve">Split into 4 cells, each with its output and a line-by-line explanation. (1) import pandas as pd, import numpy as np, pd.set_option(...): explain that display.width only widens printing. (2) read_csv(..., parse_dates=["order_date"]), then print(deliveries.shape) and print(deliveries.dtypes), showing all 8 columns (fixes 21.4). (3) values = deliveries["order_value"], values.mean(), values.median(): explain :,.2f (comma thousands separator, 2 decimals; point back to Ch 17's f-string section). (4) Mode: show values.mode() first (a Series, possibly several values), then .iloc[0] to take the first, then (values == m).sum(), explaining that a comparison gives True/False per row and .sum() counts the Trues. Add one sentence on why the mode is ₹1,725 (a common single-item order value), since the text says the mode is "usually meaningless" for continuous data.</t>
  </si>
  <si>
    <t xml:space="preserve">21.4</t>
  </si>
  <si>
    <t xml:space="preserve">§21.1 output: "order_id order_date branch ... promised_days delivery_days on_time"</t>
  </si>
  <si>
    <t xml:space="preserve">The ... hides columns. The file has 8 columns but the reader is only ever told about 7 (value, branch, promised days, actual days, on-time). customer_id is never named, yet Ch 22 §22.5 groups by it.</t>
  </si>
  <si>
    <t xml:space="preserve">Add a data-dictionary table under "Practice data" listing all 8 columns (order_id, order_date, customer_id, branch, order_value, promised_days, delivery_days, on_time) with type and meaning, and define on_time exactly (delivery_days ≤ promised_days). Replace print(deliveries.head(3)) with print(deliveries.head(3).to_string()) so no column is elided.</t>
  </si>
  <si>
    <t xml:space="preserve">21.5</t>
  </si>
  <si>
    <t xml:space="preserve">§21.1 Watch out: average of averages, output ₹24,794.42 vs ₹24,839.53</t>
  </si>
  <si>
    <t xml:space="preserve">Correct (I recomputed the weighted mean: ₹24,839.53 ✓, naive ₹24,794.42 ✓), but a weak demonstration: a ₹45 gap looks harmless, which undercuts "this mistake appears … constantly".</t>
  </si>
  <si>
    <t xml:space="preserve">Add the delivery-days version, where the gap is visible: the unweighted average of the four branch means (4.17, 4.82, 6.33, 3.51) is 4.71 days, against the true 4.37. Or use on-time rates: the unweighted mean of 78.0/80.0/68.1/90.8 is 79.2%, against the true 81.8%. Show the weighted calculation by hand (Σ countᵢ × meanᵢ / Σ countᵢ) before the pandas line.</t>
  </si>
  <si>
    <t xml:space="preserve">21.6</t>
  </si>
  <si>
    <t xml:space="preserve">§21.2 "Sample or population? … with thousands of rows … invisible; with twelve it isn't"</t>
  </si>
  <si>
    <t xml:space="preserve">The demo prints 2.2823 three times, so the reader never sees the difference the text warns about. np.std(days) on a pandas Series also silently passes ddof=0, and that is never explained.</t>
  </si>
  <si>
    <t xml:space="preserve">Keep the 45,040-row cell, then add a second cell on the 7-value series from 21.2: s.std() → 5.89, np.std(s) → 5.45, np.std(s, ddof=1) → 5.89. Explain ddof ("delta degrees of freedom": the divisor is n − ddof) and state the n − 1 formula. Link to Excel STDEV.S/STDEV.P.</t>
  </si>
  <si>
    <t xml:space="preserve">21.7</t>
  </si>
  <si>
    <t xml:space="preserve">§21.2 "mean ± 1 sd 2.1 to 6.6 days" and the bullet "it assumes a roughly symmetric distribution"</t>
  </si>
  <si>
    <t xml:space="preserve">"sd" is used as an abbreviation throughout without being introduced. mu, sigma appear in §21.5 code comments without the Greek letters μ, σ ever being introduced.</t>
  </si>
  <si>
    <t xml:space="preserve">At the first use write "standard deviation (sd, written s for a sample and σ, 'sigma', for a population)". At the first formula write "mean (x̄ for a sample, μ, 'mu', for a population)". Add μ, σ, λ, Σ to a short notation box at the start of §21.1.</t>
  </si>
  <si>
    <t xml:space="preserve">21.8</t>
  </si>
  <si>
    <t xml:space="preserve">§21.2 "Two branches can have the same average and completely different customer experiences."</t>
  </si>
  <si>
    <t xml:space="preserve">Not shown by the table beneath it: the branch mean delivery times differ (3.51 vs 6.33). The claim is true for order value (branch means ₹24.6k–25.0k) but not for the data being discussed.</t>
  </si>
  <si>
    <t xml:space="preserve">Rewrite: "Branch averages differ by under a day and a half, but their spreads differ far more: Mumbai HO's middle half spans 1.4 days; Kolkata's spans 3.5." Or move the "same average" point to order value, where the branch means are nearly identical.</t>
  </si>
  <si>
    <t xml:space="preserve">21.9</t>
  </si>
  <si>
    <t xml:space="preserve">§21.2 summary = (deliveries.groupby("branch")["delivery_days"].agg(orders="count", …, q1=lambda s: …</t>
  </si>
  <si>
    <t xml:space="preserve">One statement with named aggregation, three lambdas, .assign(iqr=lambda d: …) and .round(2). lambda is used in Ch 18 but never explained there or here.</t>
  </si>
  <si>
    <t xml:space="preserve">Build it in 3 cells. (1) groupby("branch")["delivery_days"].agg(["count","median","mean","std"]) with output. (2) Explain lambda s: s.quantile(0.25) as "a one-line function: given the branch's column s, return its 25th percentile", show it working on one branch first (deliveries.loc[deliveries.branch=="Kolkata","delivery_days"].quantile(0.25)), then add q1, q3, p95 as named aggregations. (3) .assign(iqr=…) and .round(2). If Ch 18 is given a lambda explanation, point to it.</t>
  </si>
  <si>
    <t xml:space="preserve">21.10</t>
  </si>
  <si>
    <t xml:space="preserve">§21.2 "A coefficient of variation above about 0.5 says 'this measure is volatile'"</t>
  </si>
  <si>
    <t xml:space="preserve">The 0.5 threshold is presented as a rule, but it is a context-dependent heuristic. The CV is only meaningful for ratio-scale, positive measures, and the text says CV compares "rupees and days", which invites misuse.</t>
  </si>
  <si>
    <t xml:space="preserve">Add: "0.5 is a rough rule of thumb, not a standard; CV only makes sense for measures with a true zero (money, days, counts), never for temperatures or scores that can be negative." Show the formula CV = s / x̄ with the recomputed values (18,220.98/24,839.53 = 0.73 ✓; 2.28/4.37 = 0.52 ✓).</t>
  </si>
  <si>
    <t xml:space="preserve">21.11</t>
  </si>
  <si>
    <t xml:space="preserve">§21.3 Tool note: "SQL has PERCENTILE_CONT … and PERCENTILE_DISC"; Tools: "SQL: AVG, STDDEV_SAMP, PERCENTILE_CONT, PERCENTILE_DISC, NTILE (Chapter 13)"</t>
  </si>
  <si>
    <t xml:space="preserve">Wrong cross-reference. NTILE, STDDEV_SAMP and PERCENTILE_DISC do not appear in Ch 12 or 13. PERCENTILE_CONT first appears in Ch 15 (M.6: to be taught in Ch 13).</t>
  </si>
  <si>
    <t xml:space="preserve">Sequence / Consistency</t>
  </si>
  <si>
    <t xml:space="preserve">Change "(Chapter 13)" to name what each chapter teaches. If M.6 is implemented (percentiles taught in Ch 13), say "PERCENTILE_CONT (Chapter 13)"; otherwise "(Chapter 15)". For STDDEV_SAMP, NTILE and PERCENTILE_DISC, either add one line each with an example query on delivery_times (e.g., SELECT branch, STDDEV_SAMP(delivery_days) FROM deliveries GROUP BY branch;) or mark them "not covered in this book's SQL chapters; see your database's docs".</t>
  </si>
  <si>
    <t xml:space="preserve">21.12</t>
  </si>
  <si>
    <t xml:space="preserve">§21.4 from scipy import stats (also §21.5)</t>
  </si>
  <si>
    <t xml:space="preserve">scipy is used for the first time and never installed. Ch 18's install line (pip install pandas pyarrow matplotlib seaborn …) does not include scipy, so a beginner gets ModuleNotFoundError: No module named 'scipy'.</t>
  </si>
  <si>
    <t xml:space="preserve">In "Tools", add a setup cell: "Activate the project environment from Chapter 17 and run python -m pip install scipy". Explain what scipy is (a library of scientific functions; scipy.stats holds distributions and tests) and show import scipy; print(scipy.__version__) → 1.17.1. Move the from scipy import stats import to that setup cell and remove the duplicate import in §21.5.</t>
  </si>
  <si>
    <t xml:space="preserve">21.13</t>
  </si>
  <si>
    <t xml:space="preserve">§21.4 "skew +1.27, excess kurtosis +2.03"</t>
  </si>
  <si>
    <t xml:space="preserve">Skew and kurtosis get no formula, no picture and no small example. "Excess" (relative to the normal's kurtosis of 3) is undefined. The code mixes estimators: pandas .skew() is bias-adjusted, stats.kurtosis() defaults to the biased estimator (bias=True), and pandas .kurt() gives the adjusted one, so Excel's SKEW/KURT will not match the kurtosis figure.</t>
  </si>
  <si>
    <t xml:space="preserve">First-time reader / Correctness</t>
  </si>
  <si>
    <t xml:space="preserve">(1) Define skew in words and with a sketch reference to Fig 21.1; give the idea "the average cubed z-score" without requiring the formula. (2) Define excess kurtosis = kurtosis − 3, so a normal distribution scores 0. (3) Use series.kurt() (pandas, matches Excel KURT) instead of stats.kurtosis(series), or pass bias=False, and rerun to update the printed +2.03/+18.45. (4) Add a sentence: "Excel's SKEW and KURT use the same adjusted formulas as pandas."</t>
  </si>
  <si>
    <t xml:space="preserve">21.14</t>
  </si>
  <si>
    <t xml:space="preserve">§21.4 z-score rule: "On skewed data it flags too few small values and too many large ones"</t>
  </si>
  <si>
    <t xml:space="preserve">Contradicts the output just printed: the z-rule flags 772 orders (1.7%) against the IQR rule's 2,220 (4.9%), i.e. fewer large values. The next clause ("extreme values inflate the standard deviation") argues the opposite of "too many".</t>
  </si>
  <si>
    <t xml:space="preserve">Replace with: "On right-skewed data the z-rule flags no small values at all (mean − 3 sd is below zero) and, because the long tail inflates the standard deviation, it flags fewer large values than the IQR rule: here 772 against 2,220."</t>
  </si>
  <si>
    <t xml:space="preserve">21.15</t>
  </si>
  <si>
    <t xml:space="preserve">§21.4 outlier code: upper_fence = q3 + 1.5 * iqr only</t>
  </si>
  <si>
    <t xml:space="preserve">The text states both fences (below Q1 − 1.5 × IQR or above Q3 + 1.5 × IQR), but the code checks only the upper one, and the reader is not told why.</t>
  </si>
  <si>
    <t xml:space="preserve">Add lower_fence = q1 - 1.5 * iqr and print it (3.0 − 3.15 = −0.15 days), then explain that no delivery can be below it, which is itself a sign of right skew.</t>
  </si>
  <si>
    <t xml:space="preserve">21.16</t>
  </si>
  <si>
    <t xml:space="preserve">§21.5 Normal/Binomial/Poisson code: stats.norm.cdf(494, mu, sigma), stats.binom.pmf, stats.poisson.ppf</t>
  </si>
  <si>
    <t xml:space="preserve">Core functions cdf, pmf, ppf are never explained. Neither is the positional argument order (x, loc = mean, scale = sd), nor why "P(10 or more)" is written 1 - cdf(9). The key terms "probability density" and "probability mass" are listed but never defined in the text.</t>
  </si>
  <si>
    <t xml:space="preserve">First-time reader / Line-by-line code</t>
  </si>
  <si>
    <t xml:space="preserve">Before the Normal code, add a box "Four questions, four functions". pmf(k): P(X = k), for counts. pdf: the height of a smooth curve; not a probability by itself, only areas under it are. cdf(x): P(X ≤ x). ppf(q): the inverse of cdf, "which value has share q below it". sf(x) = 1 − cdf(x). Then show stats.norm.cdf(494, loc=500, scale=4) with keyword arguments first, and the positional form second. Work one binomial case by hand: P(exactly 1 late out of 3 deliveries, p = 0.182) = 3 × 0.182 × 0.818² = 0.365; check it with stats.binom.pmf(1, 3, 0.182). Explain "10 or more = 1 − P(9 or fewer)" with a number-line sketch. Give the spreadsheet equivalent for each call (NORM.DIST(494,500,4,TRUE), NORM.INV(0.01,500,4), BINOM.DIST(7,40,0.182,FALSE), 1−BINOM.DIST(9,40,0.182,TRUE), POISSON.DIST(0,9.4,FALSE)).</t>
  </si>
  <si>
    <t xml:space="preserve">21.17</t>
  </si>
  <si>
    <t xml:space="preserve">§21.5 Binomial prose: "seeing 10 late is not alarming (it happens about 12% of the time)"</t>
  </si>
  <si>
    <t xml:space="preserve">Wrong number. The code output directly above says P(10 or more late) = 0.1791; I recomputed 0.1791.</t>
  </si>
  <si>
    <t xml:space="preserve">Replace "(it happens about 12% of the time)" with "(it happens about 18% of the time: roughly one day in five or six)".</t>
  </si>
  <si>
    <t xml:space="preserve">21.18</t>
  </si>
  <si>
    <t xml:space="preserve">§21.5 Poisson: "the count exceeded in only 5% of weeks: 15" printed right after "P(15 or more) = 0.0559"</t>
  </si>
  <si>
    <t xml:space="preserve">Looks like a contradiction: 15 or more happens 5.6% of weeks. ppf(0.95) = 15 means P(X ≤ 15) ≥ 0.95, so *more than* 15 happens 3.1% of weeks (recomputed).</t>
  </si>
  <si>
    <t xml:space="preserve">Change the label to "the smallest count with at least 95% of weeks at or below it" and add a line: 1 - stats.poisson.cdf(15, lam) → 0.0309 ("more than 15 happens in about 3% of weeks"). Explain that for counts, "at or below" and "below" differ by one.</t>
  </si>
  <si>
    <t xml:space="preserve">21.19</t>
  </si>
  <si>
    <t xml:space="preserve">§21.5 Uniform: "A random sample; a die … min, max"</t>
  </si>
  <si>
    <t xml:space="preserve">The only distribution with no code or example. df.sample(n=…, random_state=…) is mentioned in passing, and the table row "Key numbers: min, max" is never used.</t>
  </si>
  <si>
    <t xml:space="preserve">Load / Line-by-line code</t>
  </si>
  <si>
    <t xml:space="preserve">Add a 3-line cell: rng = np.random.default_rng(21), rolls = rng.integers(1, 7, size=6000), pd.Series(rolls).value_counts().sort_index() (each face about 1,000). Explain integers(low, high) excludes high. Then show deliveries.sample(n=5, random_state=42) twice, to show that the same seed gives the same rows.</t>
  </si>
  <si>
    <t xml:space="preserve">21.20</t>
  </si>
  <si>
    <t xml:space="preserve">§21.6 probability code: late = ~deliveries["on_time"], (late &amp; kolkata).mean()</t>
  </si>
  <si>
    <t xml:space="preserve">Goes straight to Boolean-Series algebra. ~ and &amp;, and why .mean() of True/False is a proportion, are not explained, and there is no count table a beginner could check by hand.</t>
  </si>
  <si>
    <t xml:space="preserve">Before the code, show the 2×2 table of counts: Kolkata late ≈ 1,792 of 5,626; all late ≈ 8,215 of 45,040; plus the other two cells. Derive every probability from the counts by hand (e.g., P(late ∣ Kolkata) = 1,792/5,626 = 0.319). Then show pd.crosstab(deliveries["branch"]=="Kolkata", ~deliveries["on_time"], margins=True) with its output. Then explain ~ (NOT), &amp; (AND, needing brackets) and "the mean of True/False is the share of Trues".</t>
  </si>
  <si>
    <t xml:space="preserve">21.21</t>
  </si>
  <si>
    <t xml:space="preserve">§21.6 "Confusing them is called the base rate fallacy"</t>
  </si>
  <si>
    <t xml:space="preserve">Terminology error. Treating P(A ∣ B) as P(B ∣ A) is the *confusion of the inverse* (the "prosecutor's fallacy"). The *base rate fallacy* is ignoring P(A), which is what §21.7 illustrates.</t>
  </si>
  <si>
    <t xml:space="preserve">Rewrite: "Confusing them is called the confusion of the inverse (in law, the prosecutor's fallacy). Its close cousin, ignoring how common something is in the first place, is the base rate fallacy, and it is the engine of the next section." Update the Key terms and the Common-mistakes row.</t>
  </si>
  <si>
    <t xml:space="preserve">21.22</t>
  </si>
  <si>
    <t xml:space="preserve">§21.7 "P(A \</t>
  </si>
  <si>
    <t xml:space="preserve">B) = P(B \ | A) × P(A) ÷ P(B)" and p_flag = p_flag_given_defect * p_defect + p_flag_given_good * (1 - p_defect) | The formula is given but not explained symbol by symbol. The code's denominator uses the law of total probability, which is not among the "four rules" just taught. "Prior", "likelihood" and "posterior" are Key terms but only "prior" is named in the text. The counts explanation comes after the formula instead of before it.</t>
  </si>
  <si>
    <t xml:space="preserve">Reorder to counts → tree → formula → code. (1) Start with 10,000 crates: 200 defective, 9,800 good; 180 of the 200 flagged, 490 of the 9,800 flagged; 670 flags in total; 180/670 = 26.9%. Draw it as a two-level tree (Figure). (2) Then name the parts: prior P(A) = 0.02; likelihood P(B ∣ A) = 0.90 (sensitivity); false-positive rate P(B ∣ not A) = 0.05; evidence P(B) = 0.067; posterior P(A ∣ B) = 0.269. (3) Add rule 5, "total probability: P(B) = P(B ∣ A)P(A) + P(B ∣ not A)P(not A)", pointing to the two branches of the tree. (4) Then the code, with each line mapped to one symbol. I verified 0.0670, 0.2687, 180 and 490.</t>
  </si>
  <si>
    <t xml:space="preserve">21.23</t>
  </si>
  <si>
    <t xml:space="preserve">§21.7 "why an alert on a rare event needs a much lower false-positive rate … (Chapter 20, section 20.8)"</t>
  </si>
  <si>
    <t xml:space="preserve">§20.8 covers alerts and exception reports but does not discuss false-positive rates, so the cross-reference promises something that isn't there.</t>
  </si>
  <si>
    <t xml:space="preserve">Change to "(the alerts in Chapter 20, section 20.8, are exactly this situation)", or add one sentence about false alarms to §20.8 when Ch 20 is revised.</t>
  </si>
  <si>
    <t xml:space="preserve">21.24</t>
  </si>
  <si>
    <t xml:space="preserve">§21.8 sample_means = [rng.choice(population, size=n, replace=False).mean() for _ in range(2000)]</t>
  </si>
  <si>
    <t xml:space="preserve">Five new ideas in one line: np.random.default_rng(21) (seeded generator), rng.choice on a Series, replace=False, a list comprehension, and _ as a throwaway loop variable. Then pd.Series(...), .quantile(0.05/0.95) and the three-line f-string. This is NumPy randomness before M.9's NumPy basics.</t>
  </si>
  <si>
    <t xml:space="preserve">Line-by-line code / Sequence</t>
  </si>
  <si>
    <t xml:space="preserve">Split into 3 cells. (1) rng = np.random.default_rng(21); one = rng.choice(population, size=30, replace=False); print(one.mean()): explain the seed, "choose 30 values without putting any back", and show one sample mean. (2) Repeat 5 times in a plain for loop, printing each mean, so the variation is visible. (3) Only then the list comprehension for 2,000 repeats, explaining _ as "a loop counter we don't use". Point to the NumPy basics page in Ch 18 (M.9) for default_rng and choice.</t>
  </si>
  <si>
    <t xml:space="preserve">21.25</t>
  </si>
  <si>
    <t xml:space="preserve">§21.8 standard_error = population.std() / np.sqrt(n)</t>
  </si>
  <si>
    <t xml:space="preserve">Consistent with the formula, but it uses the sample SD (n − 1) on what the text calls "the population", after §21.2 said to use the population version when you have everything. The difference is negligible here but reads as contradictory.</t>
  </si>
  <si>
    <t xml:space="preserve">Add a comment: "# with 45,040 rows, .std() and np.std() agree to 4 decimals (section 21.2)". Recomputed: 18,220.98/√200 = ₹1,288.42 ✓; 1.96 × SE = ₹2,525 ✓.</t>
  </si>
  <si>
    <t xml:space="preserve">21.26</t>
  </si>
  <si>
    <t xml:space="preserve">§21.8 output "samples of 30: … sd of means ₹3,245"</t>
  </si>
  <si>
    <t xml:space="preserve">Not wrong, but a reader comparing it with the formula (18,221/√30 = ₹3,327) will think something broke. The ~2.5% gap is simulation noise (the SE of an SD estimated from 2,000 draws is about ₹53).</t>
  </si>
  <si>
    <t xml:space="preserve">Add a column or line printing the formula value next to each simulated SD (₹3,327 / ₹1,288 / ₹570 with the finite-population correction), and one sentence: "Simulated and formula values agree within a few percent; the gap is itself sampling noise."</t>
  </si>
  <si>
    <t xml:space="preserve">21.27</t>
  </si>
  <si>
    <t xml:space="preserve">§21.8 "If Kolkata is 12% of orders"</t>
  </si>
  <si>
    <t xml:space="preserve">Kolkata is 12.5% of orders (5,626/45,040).</t>
  </si>
  <si>
    <t xml:space="preserve">Change to "about one order in eight (12.5%)".</t>
  </si>
  <si>
    <t xml:space="preserve">21.28</t>
  </si>
  <si>
    <t xml:space="preserve">§21.9 paragraph ends "six numbers, chosen deliberately"</t>
  </si>
  <si>
    <t xml:space="preserve">The paragraph contains about a dozen numbers (45,040; ₹20,700; ₹24,840; ₹49,800; 3.8; 4.4; 8.2; 38; 5.7; 2.5×; 68%; 7-day).</t>
  </si>
  <si>
    <t xml:space="preserve">Change to "a handful of numbers, chosen deliberately".</t>
  </si>
  <si>
    <t xml:space="preserve">21.29</t>
  </si>
  <si>
    <t xml:space="preserve">§21.9 profiles = pd.DataFrame([profile(...), profile(...), profile(...)]), print(profiles.to_string(index=False))</t>
  </si>
  <si>
    <t xml:space="preserve">Building a DataFrame from a list of dicts and to_string(index=False) are new, and round(s.mean(), 2) inside the dict is not explained.</t>
  </si>
  <si>
    <t xml:space="preserve">After the def, run profile(deliveries["delivery_days"], "delivery days") alone and show the dict it returns. Then explain "a list of dicts becomes one row per dict", and that index=False hides the 0, 1, 2 row labels.</t>
  </si>
  <si>
    <t xml:space="preserve">21.30</t>
  </si>
  <si>
    <t xml:space="preserve">"In the real world: the seven-day promise"</t>
  </si>
  <si>
    <t xml:space="preserve">The title doesn't match the story, which is about a proposed single *five*-day promise (seven days is only Kolkata's existing promise).</t>
  </si>
  <si>
    <t xml:space="preserve">Reader-facing polish</t>
  </si>
  <si>
    <t xml:space="preserve">Retitle "In the real world: one promise, four branches".</t>
  </si>
  <si>
    <t xml:space="preserve">21.31</t>
  </si>
  <si>
    <t xml:space="preserve">Before you start: "Chapter 18 (pandas), and ideally Chapter 17"; Tools: "Python 3.13 or 3.14 … The examples were run on Python 3.12"</t>
  </si>
  <si>
    <t xml:space="preserve">Ch 17 is required, not "ideal": every example is Python. Recommending 3.13/3.14 while running on 3.12 invites version questions.</t>
  </si>
  <si>
    <t xml:space="preserve">First-time reader / Consistency</t>
  </si>
  <si>
    <t xml:space="preserve">"Before you start: Chapters 17 and 18 (Python and pandas), Chapter 15 (histograms and box plots), Chapter 4." Align the Python version statement with Ch 17's install instructions (one recommended version, e.g., "3.12 or later; examples run on 3.12").</t>
  </si>
  <si>
    <t xml:space="preserve">21.32</t>
  </si>
  <si>
    <t xml:space="preserve">Practice data: "build_ch21_files.py generates them from a documented, seeded model"; Companion files list build_ch21_files.py</t>
  </si>
  <si>
    <t xml:space="preserve">Build script named as a reader file (sequence map, drafting leftovers).</t>
  </si>
  <si>
    <t xml:space="preserve">Say "The delivery times are simulated from a documented model (see the companion README)" and remove the script name from reader-facing text, or keep it but say clearly the reader never needs to run it.</t>
  </si>
  <si>
    <t xml:space="preserve">21.33</t>
  </si>
  <si>
    <t xml:space="preserve">Where this leads: "Chapter 24, Forecasting: trend, seasonality, and prediction intervals"</t>
  </si>
  <si>
    <t xml:space="preserve">Broken cross-reference: Ch 24 is Requirements, Storytelling &amp; Stakeholders. Forecasting is Ch 40.</t>
  </si>
  <si>
    <t xml:space="preserve">Consistency (cross-ref)</t>
  </si>
  <si>
    <t xml:space="preserve">Change to "Chapter 40, Time Series &amp; Forecasting".</t>
  </si>
  <si>
    <t xml:space="preserve">21.34</t>
  </si>
  <si>
    <t xml:space="preserve">Where this leads / Why this matters: "Parts IV and V assumes the ideas here"; "Statistics &amp; Analytics Question Bank (Chapter 73)"</t>
  </si>
  <si>
    <t xml:space="preserve">Part V is data engineering; the ML/AI parts are IV and VI. Ch 73's actual title is "Statistics, Probability &amp; Experimentation Bank". Also "assumes" should be "assume".</t>
  </si>
  <si>
    <t xml:space="preserve">"Every forecasting, experimentation and machine-learning chapter in Parts III, IV and VI assumes…"; use Ch 73's real title.</t>
  </si>
  <si>
    <t xml:space="preserve">21.35</t>
  </si>
  <si>
    <t xml:space="preserve">Answers: "(In the finished book these move to Appendix G.)"</t>
  </si>
  <si>
    <t xml:space="preserve">Delete the sentence (global fix per sequence map).</t>
  </si>
  <si>
    <t xml:space="preserve">21.36</t>
  </si>
  <si>
    <t xml:space="preserve">Answers 11, 17, 23: "Kolkata contributes the largest share…", "lateness is higher in the festive months", "slower at every point"</t>
  </si>
  <si>
    <t xml:space="preserve">Answers give no numbers, so the reader cannot check their work.</t>
  </si>
  <si>
    <t xml:space="preserve">Add the computed figures: per-branch outlier counts and shares for 11; P(late), P(late ∣ festive), P(festive ∣ late) for 17; festive vs non-festive median and p95 for 23.</t>
  </si>
  <si>
    <t xml:space="preserve">21.37</t>
  </si>
  <si>
    <t xml:space="preserve">Answer 10: "By construction about 90% per branch, which is higher than today's 90.8 / 78.0 / 80.0 / 68.1"</t>
  </si>
  <si>
    <t xml:space="preserve">Mumbai HO's p90 is 5.0 days, the same as its current promise, so its share stays 90.8%. The answer implies every branch changes.</t>
  </si>
  <si>
    <t xml:space="preserve">"Mumbai HO's promise stays at 5 days (90.8% kept); Bengaluru moves 5→6, Delhi 6→8, Kolkata 7→11 days, each then kept for roughly 90% of orders."</t>
  </si>
  <si>
    <t xml:space="preserve">21.38</t>
  </si>
  <si>
    <t xml:space="preserve">Chapter structure (§21.1–21.9 in one run)</t>
  </si>
  <si>
    <t xml:space="preserve">Load: descriptive statistics, shape, four distributions, probability rules, Bayes and sampling/CLT are six distinct topics with no checkpoint. After the by-hand and spreadsheet additions (21.2, 21.16, 21.20, 21.22) the chapter grows by ~3 hours.</t>
  </si>
  <si>
    <t xml:space="preserve">Mark two parts with a checkpoint between them. Part A "Describing data" (§21.0–21.4, ~8 h), with a 10-minute check after §21.4 (compute the mean, median, SD and IQR of a 9-value list by hand). Part B "Probability and sampling" (§21.5–21.9, ~10 h), with a check after §21.7. Update "Time needed" to "18–21 hours in two parts".</t>
  </si>
  <si>
    <t xml:space="preserve">21.39</t>
  </si>
  <si>
    <t xml:space="preserve">Stretch goal: "estimate the mean order value within ±₹500 with 95% confidence" vs Exercise 20 "standard error … under ₹500"</t>
  </si>
  <si>
    <t xml:space="preserve">Two different ₹500 targets (half-width vs SE) with answers 5,102 and 1,329 orders. A beginner will conflate them.</t>
  </si>
  <si>
    <t xml:space="preserve">In answer 20 add: "Note this is SE &lt; ₹500. For a 95% interval of ±₹500 (the stretch goal), n ≥ (1.96 × 18,221 ÷ 500)² ≈ 5,102."</t>
  </si>
  <si>
    <t xml:space="preserve">21.40</t>
  </si>
  <si>
    <t xml:space="preserve">Answer 26: "a Kolkata customer's two orders are each late about 31.9% … ≈ 10.2%"</t>
  </si>
  <si>
    <t xml:space="preserve">0.3185² = 10.1%. The answer compares one branch with the company-wide independent figure. The like-for-like company number conditioning on branch is 3.9% vs 3.3% (recomputed from branch late rates 22.0/20.0/31.9/9.2%).</t>
  </si>
  <si>
    <t xml:space="preserve">"≈ 10.1% for a Kolkata customer; across all customers, conditioning on branch gives 3.9% against 3.3% under independence — higher, because lateness clusters by branch."</t>
  </si>
  <si>
    <t xml:space="preserve">V21.1</t>
  </si>
  <si>
    <t xml:space="preserve">p. 16 · 21.9 profiles.to_string() output</t>
  </si>
  <si>
    <t xml:space="preserve">The printed table is wider than the code box: the headers "skew cv" and each row's last two values ("1.27 0.73", "3.13 0.52", "1.70 0.49") wrap to column 0 under the row. It reads as six broken rows.</t>
  </si>
  <si>
    <t xml:space="preserve">Set pd.set_option("display.width", 200) and a smaller font for this block, or print it transposed (.T) / in two parts.</t>
  </si>
  <si>
    <t xml:space="preserve">V21.2</t>
  </si>
  <si>
    <t xml:space="preserve">Shows "Approved chapter v1", "Approved 18 September 2026" and "Every code block run and its output checked".</t>
  </si>
  <si>
    <t xml:space="preserve">V21.3</t>
  </si>
  <si>
    <t xml:space="preserve">V21.4</t>
  </si>
  <si>
    <t xml:space="preserve">p. 21–22 · Practice exercises 10–21</t>
  </si>
  <si>
    <t xml:space="preserve">Two-digit numbers hang into the margin with the first digit clipped.</t>
  </si>
  <si>
    <t xml:space="preserve">V21.5</t>
  </si>
  <si>
    <t xml:space="preserve">p. 10, 16 (all code) · Normal-distribution code; profile() call</t>
  </si>
  <si>
    <t xml:space="preserve">Continuation lines at column 0 (sigma):.4f}"), "delivery days, Kolkata")])). Input and output blocks share one style.</t>
  </si>
  <si>
    <t xml:space="preserve">V21.6</t>
  </si>
  <si>
    <t xml:space="preserve">p. 5 · Figure 21.1</t>
  </si>
  <si>
    <t xml:space="preserve">In both panels the green "median" label starts right of the orange mean line and is struck through by it ("m" of "median 3.8 days" sits on the mean line), so the median's label sits on the mean's side.</t>
  </si>
  <si>
    <t xml:space="preserve">Place the median label left of its line (right-aligned), or offset both labels above the plot.</t>
  </si>
  <si>
    <t xml:space="preserve">V21.7</t>
  </si>
  <si>
    <t xml:space="preserve">p. 7 · Figure 21.2</t>
  </si>
  <si>
    <t xml:space="preserve">The "IQR … · p95 …" annotations are printed over the grey outlier dots, which run through the text.</t>
  </si>
  <si>
    <t xml:space="preserve">Put the annotations in a right-hand margin column beyond the x-limit, or give them a white background.</t>
  </si>
  <si>
    <t xml:space="preserve">V21.8</t>
  </si>
  <si>
    <t xml:space="preserve">p. 5, 7, 10, 15 · All figures</t>
  </si>
  <si>
    <t xml:space="preserve">Tick and annotation text is about 6.3–6.9 pt, slightly under the 7 pt print minimum.</t>
  </si>
  <si>
    <t xml:space="preserve">Bump the matplotlib base font by 1 pt.</t>
  </si>
  <si>
    <t xml:space="preserve">V21.9</t>
  </si>
  <si>
    <t xml:space="preserve">p. 5 · First code output</t>
  </si>
  <si>
    <t xml:space="preserve">deliveries.head(3) is truncated by pandas ("…" columns, "[3 rows x 8 columns]"), so the columns the text discusses (order_value) are hidden.</t>
  </si>
  <si>
    <t xml:space="preserve">Widen display.width further, or select the columns shown.</t>
  </si>
  <si>
    <t xml:space="preserve">V21.10</t>
  </si>
  <si>
    <t xml:space="preserve">p. 13→14 · "What to do with it as an analyst:"</t>
  </si>
  <si>
    <t xml:space="preserve">The lead-in ends p. 13, and its bullets are on p. 14.</t>
  </si>
  <si>
    <t xml:space="preserve">V21.11</t>
  </si>
  <si>
    <t xml:space="preserve">p. 15→16 · "A repeatable routine … the project in miniature:"</t>
  </si>
  <si>
    <t xml:space="preserve">The lead-in ends p. 15, and its code is on p. 16.</t>
  </si>
  <si>
    <t xml:space="preserve">V21.12</t>
  </si>
  <si>
    <t xml:space="preserve">p. 20 · "You've got it when…" checklist</t>
  </si>
  <si>
    <t xml:space="preserve">V21.13</t>
  </si>
  <si>
    <t xml:space="preserve">p. 23 · Answers heading</t>
  </si>
  <si>
    <t xml:space="preserve">V21.14</t>
  </si>
  <si>
    <t xml:space="preserve">p. see fonts · "₹", "≈", "≠", "→"</t>
  </si>
  <si>
    <t xml:space="preserve">22.1</t>
  </si>
  <si>
    <t xml:space="preserve">§22.1 "The recipe: estimate ± (a multiplier × the standard error)"</t>
  </si>
  <si>
    <t xml:space="preserve">The only formula is given in words. The t-distribution is never explained (what it is, why not 1.96, what df = n − 1 means). The proportion SE np.sqrt(p_hat*(1-p_hat)/n) appears only in code, and p̂ ("p-hat") is undefined. The Wilson interval is named and recommended in the Recap ("Use Wilson intervals for proportions") but never explained.</t>
  </si>
  <si>
    <t xml:space="preserve">Add formula boxes with symbol legends. (1) Mean CI: x̄ ± t* × s/√n, where t* is the multiplier from the t-distribution with n − 1 degrees of freedom; show t* = 1.972 for n = 200 (vs 1.960 for a huge n) and explain that the t-distribution is a slightly wider bell curve that accounts for estimating s from the sample. (2) Proportion CI: p̂ ± 1.96 × √(p̂(1 − p̂)/n), where p̂ = successes/n. (3) Difference of two proportions: (p̂_B − p̂_A) ± 1.96 × √(p̂_A(1−p̂_A)/n_A + p̂_B(1−p̂_B)/n_B). (4) One paragraph on Wilson: "a corrected interval that behaves better when p is near 0 or 1 or n is small; with 45,040 rows it agrees with the simple one to 0.01 points".</t>
  </si>
  <si>
    <t xml:space="preserve">22.2</t>
  </si>
  <si>
    <t xml:space="preserve">§22.1 first worked example is rng.choice(population, size=200…) in Python</t>
  </si>
  <si>
    <t xml:space="preserve">No by-hand and no spreadsheet step. The easiest by-hand case (Exercise 2: 400 customers, 62% satisfied) is left to the exercises.</t>
  </si>
  <si>
    <t xml:space="preserve">Open §22.1 with the survey example worked by hand: SE = √(0.62 × 0.38/400) = 0.0243; margin = 1.96 × 0.0243 = 0.0476; interval 57.2% to 66.8%. Then in the spreadsheet: =SQRT(0.62*0.38/400), =NORM.S.INV(0.975) → 1.96, and =CONFIDENCE.NORM(0.05, SD, n) for a mean, with =CONFIDENCE.T for the t version. Then the Python cell. Replace Exercise 2 with a different survey (e.g., 250 customers, 71%).</t>
  </si>
  <si>
    <t xml:space="preserve">22.3</t>
  </si>
  <si>
    <t xml:space="preserve">§22.1 first code block (stats.t.interval(0.95, df=len(sample)-1, loc=mean, scale=standard_error))</t>
  </si>
  <si>
    <t xml:space="preserve">Five new things at once: default_rng(22) + choice wrapped in pd.Series, sample.std(ddof=1), np.sqrt, stats.t.interval with four arguments, and a chained comparison lo &lt;= x &lt;= hi.</t>
  </si>
  <si>
    <t xml:space="preserve">Split into 3 cells. (1) Draw the sample and print its mean and SD (pointing back to §21.8). (2) Compute the SE and the margin by hand: t_star = stats.t.ppf(0.975, df=199) → 1.972; lo = mean - t_star*se. (3) Show that stats.t.interval(0.95, df=…, loc=…, scale=…) returns the same pair, explaining each argument (confidence, degrees of freedom, centre, SE). Explain lo &lt;= x &lt;= hi as "is x between lo and hi".</t>
  </si>
  <si>
    <t xml:space="preserve">22.4</t>
  </si>
  <si>
    <t xml:space="preserve">§22.1 stats.binomtest(successes, n).proportion_ci(confidence_level=0.95, method="wilson")</t>
  </si>
  <si>
    <t xml:space="preserve">Method-chaining on a test object, and the Kolkata call omits confidence_level, silently relying on the default. binomtest is a hypothesis test used here only for its CI, which is not explained.</t>
  </si>
  <si>
    <t xml:space="preserve">Add: "binomtest(k, n) builds a test object for k successes in n trials; its .proportion_ci() method returns the interval; confidence_level defaults to 0.95; method='wilson' chooses Wilson". Pass confidence_level=0.95 in both calls for consistency.</t>
  </si>
  <si>
    <t xml:space="preserve">22.5</t>
  </si>
  <si>
    <t xml:space="preserve">§22.2 hypothesis test → chi2_contingency(opens, correction=False)</t>
  </si>
  <si>
    <t xml:space="preserve">The chi-square test is used without being explained: what the statistic measures (observed vs expected counts), where expected counts come from, degrees of freedom, and what correction=False (Yates) does. expected is returned and never shown. There is also no intuition for "if the null were true" before the formula.</t>
  </si>
  <si>
    <t xml:space="preserve">Before the scipy call, add a by-hand 2×2 table. Observed: A 987 opened / 3,213 not; B 1,132 / 3,068. Pooled open rate 2,119/8,400 = 25.23%, so expected opens per arm = 1,059.5. Compute χ² = Σ(O − E)²/E = 13.27 by hand in a four-row table. Then show chi2, p, dof, expected = chi2_contingency(...) and print expected so it matches the hand table. Explain correction=False: "turn off Yates' continuity correction so the result equals the two-proportion z-test (z² = χ²)". Optionally add a 10-line permutation cell (shuffle variant labels 2,000 times and count how often the gap ≥ 3.45 points) to make the p-value tangible before the formula.</t>
  </si>
  <si>
    <t xml:space="preserve">22.6</t>
  </si>
  <si>
    <t xml:space="preserve">§22.2 A/B summary output "sent opens orders ... open_rate order_rate revenue_per_recipient"</t>
  </si>
  <si>
    <t xml:space="preserve">Output truncated with ..., so the revenue column is hidden. sent=("opened","size") counts rows by naming a column, which is a trick that is not explained.</t>
  </si>
  <si>
    <t xml:space="preserve">Print with summary.to_string(). Explain that "size counts rows in each group, whatever column you name". Show ab.head() and ab.columns first so the reader knows the file's grain (one row per recipient: variant, opened, ordered, order_value).</t>
  </si>
  <si>
    <t xml:space="preserve">22.7</t>
  </si>
  <si>
    <t xml:space="preserve">§22.2 opens = np.array([[int(summary.loc["A","opens"]), int(summary.loc["A","sent"] - … and se_diff = np.sqrt(sum(… for v in "AB"))</t>
  </si>
  <si>
    <t xml:space="preserve">Hard to read: a nested array of eight int(summary.loc[…]) calls; a generator expression iterating over the string "AB"; percentage points and proportions mixed (diff/100).</t>
  </si>
  <si>
    <t xml:space="preserve">Replace the table construction with table = pd.crosstab(ab["variant"], ab["opened"]) and print it. Compute p_a, p_b as named variables, then se_diff = np.sqrt(p_a*(1-p_a)/n_a + p_b*(1-p_b)/n_b), one line per quantity. Keep everything in proportions and convert to points only when printing.</t>
  </si>
  <si>
    <t xml:space="preserve">22.8</t>
  </si>
  <si>
    <t xml:space="preserve">§22.2 print(f"revenue per recipient: A ₹{…:,.2f}, B ₹ / {summary.loc['B',…]:,.2f}")</t>
  </si>
  <si>
    <t xml:space="preserve">As printed, the f-string breaks across two lines inside a single-quoted string. A reader copying it gets SyntaxError: unterminated string literal.</t>
  </si>
  <si>
    <t xml:space="preserve">Consistency (code bug)</t>
  </si>
  <si>
    <t xml:space="preserve">Reflow so no line exceeds the page width: split into two print calls, or build rev_a = … / rev_b = … first and print f"… A ₹{rev_a:,.2f}, B ₹{rev_b:,.2f}". Check every code block in Chs 21–23 for page-width wrapping inside strings.</t>
  </si>
  <si>
    <t xml:space="preserve">22.9</t>
  </si>
  <si>
    <t xml:space="preserve">§22.9 "Primary metric: revenue per recipient, decided before the test."; "revenue per recipient were not distinguishable"</t>
  </si>
  <si>
    <t xml:space="preserve">Inconsistent and untested. (a) §22.3 says the email test "should have named revenue per recipient if the goal was sales", implying no primary metric was named. (b) No test on revenue per recipient is ever run; only opens and orders are tested. (c) The recommendation "Adopt B for reach" follows from open rate, not from the stated primary metric.</t>
  </si>
  <si>
    <t xml:space="preserve">Pick one version. Option A (recommended): make the pre-registered primary metric *open rate* ("the goal was reach"); list order rate and revenue per recipient as secondary; keep the recommendation. Option B: keep revenue as primary and add a cell testing it — Welch stats.ttest_ind(rev_A, rev_B, equal_var=False) plus a bootstrap interval, explaining that revenue per recipient is mostly zeros (≈98% non-buyers), so the bootstrap is the safer interval — and print the p-value. Then rewrite the recommendation to follow the primary metric. Align §22.3 point 1, §22.9, the project's "What good looks like" and answer 21.</t>
  </si>
  <si>
    <t xml:space="preserve">22.10</t>
  </si>
  <si>
    <t xml:space="preserve">§22.2 test table "statsmodels.proportions_ztest"; Tools "statsmodels … is worth installing"</t>
  </si>
  <si>
    <t xml:space="preserve">Wrong import path (it is from statsmodels.stats.proportion import proportions_ztest), statsmodels is never installed, and Exercise 8 requires this z-test.</t>
  </si>
  <si>
    <t xml:space="preserve">Either add the install line python -m pip install statsmodels and a 4-line cell: from statsmodels.stats.proportion import proportions_ztest; z, p = proportions_ztest([1132, 987], [4200, 4200]); print z (3.64) and p (0.0003), showing z² = χ² = 13.27. Or drop the statsmodels mention and have Exercise 8 compute z by hand: z = diff / pooled SE.</t>
  </si>
  <si>
    <t xml:space="preserve">22.11</t>
  </si>
  <si>
    <t xml:space="preserve">§22.2 Welch/Mann-Whitney block: "Welch t-test p = 1.93e-197"; "Mann-Whitney p = 0"</t>
  </si>
  <si>
    <t xml:space="preserve">Scientific notation (e-197) is not explained, and "p = 0" is floating-point underflow, not a true zero. Neither test is explained (what equal_var=False means; that Mann-Whitney tests whether one group tends to have larger values, not medians).</t>
  </si>
  <si>
    <t xml:space="preserve">Add: "1.93e-197 means 1.93 × 10⁻¹⁹⁷, a number with 196 zeros after the decimal point; the computer prints 0 when a value is smaller than it can store. Report both as 'p &lt; 0.001'." Add one sentence per test: Welch compares means without assuming equal spreads (equal_var=False); Mann-Whitney ranks all values together and asks whether one group's ranks are systematically higher. Change the printed format to p &lt; 0.001 when p &lt; 0.001.</t>
  </si>
  <si>
    <t xml:space="preserve">22.12</t>
  </si>
  <si>
    <t xml:space="preserve">§22.3 def sample_size_for_proportion(...): z_alpha = stats.norm.ppf(1 - alpha/2), z_beta = stats.norm.ppf(power), numerator = (…)2</t>
  </si>
  <si>
    <t xml:space="preserve">The power formula is dropped in as code with no symbolic version and no explanation of z_{α/2} (1.96), z_β (0.84), p̄, why 1 − α/2 (two-sided), or np.ceil. The claims "can detect about a 2.7-point difference … 0.95 points in orders" come from inverting the function, which is not shown.</t>
  </si>
  <si>
    <t xml:space="preserve">(1) Show the formula n = [z_{α/2}√(2p̄(1−p̄)) + z_β√(p₁(1−p₁)+p₂(1−p₂))]² / (p₂ − p₁)², with each symbol explained. (2) Work one case by hand: 24% → 27%, z's 1.960 and 0.842, n = 3,313. (3) Then the function, line by line. (4) Add a cell that finds the minimum detectable effect by looping over lifts until sample_size_for_proportion(0.24, lift) &lt;= 4200 (→ 2.66 points; orders → 0.95 points), so the prose numbers are reproduced on the page. (5) Spreadsheet: =NORM.S.INV(0.975), =NORM.S.INV(0.8).</t>
  </si>
  <si>
    <t xml:space="preserve">22.13</t>
  </si>
  <si>
    <t xml:space="preserve">§22.9 "If order rate is the goal, run a test of at least 25,000 per variant"</t>
  </si>
  <si>
    <t xml:space="preserve">25,000 is not derived anywhere. The table gives 13,809 for a 0.5-point lift, and detecting the observed 0.33-point lift needs ~30,500 per variant (recomputed).</t>
  </si>
  <si>
    <t xml:space="preserve">Replace with "about 14,000 per variant to detect a 0.5-point lift, or about 30,000 to detect a lift as small as the one observed (0.33 points)". Also update answer 21 if it inherits the figure.</t>
  </si>
  <si>
    <t xml:space="preserve">22.14</t>
  </si>
  <si>
    <t xml:space="preserve">Why this matters: "it runs 3,000 tests and counts"; Figure 22.3 "Three thousand simulated tests"</t>
  </si>
  <si>
    <t xml:space="preserve">The code runs 1,500 trials for each of 3 peeking schedules = 4,500 simulated tests.</t>
  </si>
  <si>
    <t xml:space="preserve">Change both to "4,500 simulated tests (1,500 for each schedule)", or set trials=1000.</t>
  </si>
  <si>
    <t xml:space="preserve">22.15</t>
  </si>
  <si>
    <t xml:space="preserve">§22.4 peeking_false_positive_rate function</t>
  </si>
  <si>
    <t xml:space="preserve">Nested loops, np.linspace(...).astype(int), rng.random(n_max) &lt; p (a Boolean array as simulated opens), slicing a[:c], break out of the inner loop, and a rng defined outside the function. That is six ideas in one block.</t>
  </si>
  <si>
    <t xml:space="preserve">Build it up in 3 cells. (1) Simulate ONE pair of identical variants: a = rng.random(4000) &lt; 0.25 and print a[:10] and a.mean(), explaining "each True is an open". (2) Test once at 4,000 with the z formula from 22.1 and print the z value. (3) Wrap it in the function, explaining np.linspace(800, 4000, 5) → checkpoints 800…4,000 and break ("stop at the first 'win'"). Pass rng as a parameter rather than using a global.</t>
  </si>
  <si>
    <t xml:space="preserve">22.16</t>
  </si>
  <si>
    <t xml:space="preserve">§22.4 "Benjamini-Hochberg controls the false discovery rate and is kinder"</t>
  </si>
  <si>
    <t xml:space="preserve">BH is named but not shown, yet Exercise 23 asks the reader to implement it.</t>
  </si>
  <si>
    <t xml:space="preserve">Add a by-hand BH table on the same 7 p-values. Sort them; the thresholds are i/m × 0.05 = 0.0071, 0.0143, 0.0214, 0.0286, 0.0357, 0.0429, 0.05. 0.001 and 0.012 pass; 0.030 fails. So BH keeps 2 findings where Bonferroni keeps 1. Follow with a 4-line list-comprehension version.</t>
  </si>
  <si>
    <t xml:space="preserve">22.17</t>
  </si>
  <si>
    <t xml:space="preserve">§22.5 correlation block</t>
  </si>
  <si>
    <t xml:space="preserve">No definition of r beyond "from −1 to +1": no formula, no scatter plot, no by-hand example. stats.pearsonr(...)[0] indexing is unexplained. The example (orders vs revenue) is mechanically related, and the text's causal questions are about *delivery days vs ordering*, whose r = −0.086 the prose never mentions.</t>
  </si>
  <si>
    <t xml:space="preserve">(1) Show a scatter plot of orders vs revenue (Ch 15's matplotlib). (2) Give r = Σ(x−x̄)(y−ȳ) / √[Σ(x−x̄)² Σ(y−ȳ)²] and compute it on the same six customers used in the new §22.10 (r = 0.992), so the two sections share one worked table. (3) Explain pearsonr returns (r, p-value), hence [0], or use .statistic. (4) Add a sentence reading the avg_days row: "r = −0.09 between orders and average delivery days: almost no linear relationship, which neither proves nor disproves that slow delivery costs orders." (5) Explain Spearman as "Pearson on the ranks".</t>
  </si>
  <si>
    <t xml:space="preserve">22.18</t>
  </si>
  <si>
    <t xml:space="preserve">§22.5 "a U-shape can have r ≈ 0"</t>
  </si>
  <si>
    <t xml:space="preserve">Asserted, not shown.</t>
  </si>
  <si>
    <t xml:space="preserve">Add a 3-line demo: x = np.arange(-5, 6); y = x2; stats.pearsonr(x, y) → r = 0.00, with a tiny scatter.</t>
  </si>
  <si>
    <t xml:space="preserve">22.19</t>
  </si>
  <si>
    <t xml:space="preserve">§22.6 adjusted = (by_route.pivot(…).mul(weights * 100 / 100, axis=1).sum(axis=1).round(1))</t>
  </si>
  <si>
    <t xml:space="preserve">weights * 100 / 100 is a no-op that will puzzle readers. pivot, .mul(axis=1) and .sum(axis=1) are new and unexplained. No by-hand standardization precedes the code.</t>
  </si>
  <si>
    <t xml:space="preserve">Line-by-line code / First-time reader</t>
  </si>
  <si>
    <t xml:space="preserve">First do it by hand. The company mix is 6,300 metro / 5,300 upcountry = 54.3% / 45.7%. BlueCart: 0.543 × 95.3 + 0.457 × 75.8 = 86.4%. SwiftLine: 0.543 × 94.1 + 0.457 × 74.2 = 85.0%. Then the code in 2 cells: (1) rates = by_route.pivot(index="transporter", columns="route", values="on_time_pct") with output; (2) (rates * weights).sum(axis=1), explaining that axis=1 means "across the columns of each row". Delete * 100 / 100. Also explain the lambda in the by_route aggregation.</t>
  </si>
  <si>
    <t xml:space="preserve">22.20</t>
  </si>
  <si>
    <t xml:space="preserve">§22.7 regression-to-the-mean code: customers = by_customer[by_customer["orders"] &gt;= 8].copy() then rng.normal(0, 1, len(customers))</t>
  </si>
  <si>
    <t xml:space="preserve">The customer table is used only for its length: the "measure" is pure random noise, which the reader will not realise. rng.normal, np.argsort(...)[:50] and fancy indexing first_half[worst] are unexplained. Exercise 20 asks for the real-data version with no model to follow.</t>
  </si>
  <si>
    <t xml:space="preserve">Say explicitly: "we generate a pure-noise score for each of these N customers, so any 'improvement' can only be chance". Print N. Explain rng.normal(mean, sd, size), argsort ("positions that would sort the array"), and [:50] ("first 50 = lowest 50"). Add a second cell doing it on real data: average delivery days H1 vs H2 2025 for the 100 fastest customers in H1 (this is Exercise 20, so move that exercise's answer numbers into the text or keep the exercise but give numbers in the answer). Add one sentence: "the word 'regression' here is historical (Galton); §22.10's 'regression' is the line-fitting method that grew out of it."</t>
  </si>
  <si>
    <t xml:space="preserve">22.21</t>
  </si>
  <si>
    <t xml:space="preserve">Recap: "With half a million rows, a 0.36-point difference has p ≈ 10⁻⁸"</t>
  </si>
  <si>
    <t xml:space="preserve">Wrong number. §22.8's output (recomputed) is p = 2.62 × 10⁻⁵.</t>
  </si>
  <si>
    <t xml:space="preserve">Change to "p ≈ 0.00003 (2.6 × 10⁻⁵)".</t>
  </si>
  <si>
    <t xml:space="preserve">22.22</t>
  </si>
  <si>
    <t xml:space="preserve">Real world postscript: "the 95% interval on the change (±1.1 points) excluded zero"</t>
  </si>
  <si>
    <t xml:space="preserve">Implausibly narrow. With ~5,300 upcountry deliveries a quarter (4,400 + 900) and rates near 75–79%, the 95% half-width for a quarter-on-quarter change is about ±1.6 points.</t>
  </si>
  <si>
    <t xml:space="preserve">Change to "±1.6 points" or state the larger base it was computed on (e.g., "pooled over three months and both transporters, n ≈ 12,000 per period").</t>
  </si>
  <si>
    <t xml:space="preserve">22.23</t>
  </si>
  <si>
    <t xml:space="preserve">Key terms: "type I and type II error · family-wise error rate · pre-registration · non-response bias · bootstrap · effect size"</t>
  </si>
  <si>
    <t xml:space="preserve">These are listed as learned but never defined in the text. The bootstrap is required for Exercise 19 and a stretch goal but never demonstrated.</t>
  </si>
  <si>
    <t xml:space="preserve">Add one line each in the relevant section: type I error = false positive (α), type II = false negative (1 − power), both in §22.3; family-wise error rate in §22.4; pre-registration = writing the plan in §22.3 point 6; non-response bias in §22.7; effect size in §22.2. Add a bootstrap cell in §22.2: rng.choice(x, size=len(x), replace=True) 10,000 times, collect medians, np.percentile(diffs, [2.5, 97.5]), explaining "resample with replacement" and why it works on skewed data.</t>
  </si>
  <si>
    <t xml:space="preserve">22.24</t>
  </si>
  <si>
    <t xml:space="preserve">Where this leads: "Chapter 23, Data Storytelling"; "Chapter 24, Forecasting"; "Chapter 25: experimentation in practice"; "Chapter 27: the ethics of analysis"</t>
  </si>
  <si>
    <t xml:space="preserve">All four cross-references are wrong. Ch 23 = Business Acumen/KPIs; storytelling is Ch 24; forecasting is Ch 40; experimentation is Ch 30 (Inference &amp; Experiments) and Ch 31 (causal inference); Ch 27 is the portfolio capstone; ethics/responsible data is Ch 64. The Ch 73 bank title is also wrong ("Statistics, Probability &amp; Experimentation Bank").</t>
  </si>
  <si>
    <t xml:space="preserve">Replace the list with: "Chapter 23, Business Acumen, KPIs &amp; Metrics: confirming a KPI move is real before diagnosing it"; "Chapter 24, Requirements, Storytelling &amp; Stakeholders: presenting an uncertain result"; "Chapter 30, Inference &amp; Experiments, and Chapter 31, Causal Inference: this chapter's ideas at full depth, including regression for inference (building on §22.10)"; "Chapter 37: regression for prediction"; "Chapter 40, Time Series &amp; Forecasting: prediction intervals"; "Chapter 64: responsible and ethical use of data". Fix the Ch 73 title.</t>
  </si>
  <si>
    <t xml:space="preserve">22.25</t>
  </si>
  <si>
    <t xml:space="preserve">Answer 1(a): "between 81.4% and 82.2%"; Warm-up 1(a) same</t>
  </si>
  <si>
    <t xml:space="preserve">The §22.1 output is 81.41% to 82.12%, so 82.1, not 82.2.</t>
  </si>
  <si>
    <t xml:space="preserve">Use "81.4% and 82.1%" in both places.</t>
  </si>
  <si>
    <t xml:space="preserve">22.26</t>
  </si>
  <si>
    <t xml:space="preserve">Answer 10: "what's the largest effect you could have ruled out?" answered with the MDE</t>
  </si>
  <si>
    <t xml:space="preserve">Two different concepts. The question asks what the CI rules out; the answer gives the minimum detectable effect. Here both happen to be ≈ 0.95 points (95% CI for the difference: −0.29 to +0.95 points, recomputed).</t>
  </si>
  <si>
    <t xml:space="preserve">Answer: "The 95% interval for the difference is −0.29 to +0.95 points, so effects larger than about +0.95 points are ruled out; separately, the MDE at 80% power is also about 0.95 points."</t>
  </si>
  <si>
    <t xml:space="preserve">22.27</t>
  </si>
  <si>
    <t xml:space="preserve">Answer 13: "Every pair is non-overlapping except Delhi and Bengaluru, which are close but still separated"</t>
  </si>
  <si>
    <t xml:space="preserve">Self-contradictory. Recomputed Wilson intervals: Delhi 79.2–80.7, Bengaluru 77.3–78.7, so they do not overlap and every pair is separated. Delhi's upper bound is 80.7, not 80.8.</t>
  </si>
  <si>
    <t xml:space="preserve">"No pair overlaps; Delhi (79.2–80.7) and Bengaluru (77.3–78.7) come closest, separated by about half a point."</t>
  </si>
  <si>
    <t xml:space="preserve">22.28</t>
  </si>
  <si>
    <t xml:space="preserve">Practice data / Companion files: "generated by a seeded script"; "build_ch22_files.py (seed 202201)"; Answers "(In the finished book these move to Appendix G.)"</t>
  </si>
  <si>
    <t xml:space="preserve">Build-script and drafting leftovers.</t>
  </si>
  <si>
    <t xml:space="preserve">Remove the script name from reader-facing text (or say "you never need to run it"); delete the Appendix G sentence.</t>
  </si>
  <si>
    <t xml:space="preserve">22.29</t>
  </si>
  <si>
    <t xml:space="preserve">Tools: "Python 3.13 or 3.14 … (run here on Python 3.12…)"; data path "../ch21/delivery_times_2025.csv"</t>
  </si>
  <si>
    <t xml:space="preserve">Version inconsistency (same as Ch 21). The relative ../ch21/ path assumes a folder layout never shown in this chapter.</t>
  </si>
  <si>
    <t xml:space="preserve">Align the version wording with Ch 17. Add one line: "Run this chapter's notebook from companion/ch22/; ../ch21/ means 'up one folder, then into ch21'."</t>
  </si>
  <si>
    <t xml:space="preserve">22.30</t>
  </si>
  <si>
    <t xml:space="preserve">NEW §22.10 (Decision D3): regression basics at the end of Ch 22</t>
  </si>
  <si>
    <t xml:space="preserve">The book never teaches regression before Ch 30 §30.11 uses smf.ols (coef, std err, P&gt;\ | t\ | , CIs, R², categorical C()), Ch 31 uses OLS for difference-in-differences, and Ch 37 uses LinearRegression with R². Ch 30 wrongly says "Chapter 19 used regression to predict" (M.5).</t>
  </si>
  <si>
    <t xml:space="preserve">Add §22.10 "Fitting a line: regression basics" as the chapter's final teaching section (after §22.9, before "Common mistakes"). End §22.5 with the bridge sentence "Correlation says how tightly two measures move together; section 22.10 turns that into a line that says how much." Contents, in this order (~6 pages, ~4 hours):
(a) The idea, in plain English. Continue §22.5's by_customer table: "for each extra order a customer places in a year, how much more revenue do they bring?" Define the outcome y (response/dependent variable), the explanatory x (predictor/independent variable), the fitted value ŷ ("y-hat"), and the residual e = y − ŷ. Show the scatter plot with a line through it.
(b) The equation, symbol by symbol. ŷ = a + b·x. a = intercept (ŷ when x = 0, in the units of y); b = slope (change in ŷ for one more unit of x, in "units of y per unit of x"). Add a mapping table for later chapters: Excel INTERCEPT/SLOPE; scipy intercept/slope; statsmodels Intercept/coef (Ch 30); scikit-learn intercept_/coef_; Ch 37's "b + w·x".
(c) Least squares. Choose a and b to make Σeᵢ² as small as possible. Say why squares (same reason as variance in §21.2: misses don't cancel, big misses cost more, and there is one best answer). Formulas: b = Σ(x−x̄)(y−ȳ) / Σ(x−x̄)², a = ȳ − b·x̄. Note b = r × (s_y / s_x), linking it to §22.5.
(d) By hand, six customers (x = orders in the year: 2, 4, 5, 7, 9, 12; y = revenue in ₹ thousand: 55, 90, 140, 160, 230, 290). Table columns: x, y, x−x̄, y−ȳ, (x−x̄)(y−ȳ), (x−x̄)². x̄ = 6.5; ȳ = 160.83; Σ(x−x̄)(y−ȳ) = 1,567.5; Σ(x−x̄)² = 65.5. So b = 23.93 (₹23,930 per extra order, close to Riverstone's ₹24.7k AOV, which is a sanity check), and a = 160.83 − 23.93 × 6.5 = 5.28. Then a second table: ŷ = 53.14, 101.01, 124.94, 172.80, 220.66, 292.46; e = 1.86, −11.01, 15.06, −12.80, 9.34, −2.46. Point out that the residuals sum to 0.
(e) R², by hand. SS_tot = Σ(y−ȳ)² = 38,120.8; SS_res = Σe² = 608.5; R² = 1 − SS_res/SS_tot = 0.984, read as "the line accounts for 98.4% of the variation in revenue among these six". For one x, R² = r² (0.992² = 0.984). Say plainly that a high R² does not mean causation or good predictions outside the data, and a low R² is normal for behaviour (previewing Ch 30's R² = 0.045).
(f) In the spreadsheet (same six rows in A2:B7): =SLOPE(B2:B7,A2:A7) → 23.93; =INTERCEPT(B2:B7,A2:A7) → 5.28; =RSQ(B2:B7,A2:A7) → 0.984; =CORREL → 0.992; =FORECAST.LINEAR(10,B2:B7,A2:A7) → 244.6 (Google Sheets: FORECAST). Add a residual column =B2-($E$2+$E$1*A2). Warn that the y-range comes first in SLOPE/INTERCEPT/RSQ. Chart: scatter → Trendline → "Display Equation on chart" and "Display R-squared value" (pointing back to Ch 15's trendline instructions).
(g) In Python, one cell at a time, each with output. (1) x = np.array([2,4,5,7,9,12]), y = np.array([55,90,140,160,230,290]). (2) The hand formulas in NumPy (x_bar = x.mean(), b = ((x-x_bar)*(y-y_bar)).sum() / ((x-x_bar)2).sum(), a = y_bar - b*x_bar) → 23.93, 5.28. (3) from scipy import stats; fit = stats.linregress(x, y); print(fit). Explain every field: slope 23.93; intercept 5.28; rvalue 0.992; pvalue 9.6e-05, the test of H₀ "slope = 0" (link to §22.2); stderr 1.524, the standard error of the slope (link to §22.1); intercept_stderr 11.11. (4) Slope CI by the §22.1 recipe with df = n − 2 = 4: t* = 2.776; 23.93 ± 2.776 × 1.524 → 19.70 to 28.16. Explain why n − 2 (two numbers, a and b, were estimated). (5) fitted = fit.intercept + fit.slope * x; residuals = y - fitted; print(residuals.round(2), residuals.sum().round(6)); R² from residuals equals fit.rvalue2. (6) matplotlib: scatter + fitted line, plus a residual plot (residuals vs x with a zero line), explaining what a pattern or fan shape would mean. (7) The real data: fit_all = stats.linregress(by_customer["orders"], by_customer["revenue"]); print the slope (expected near the AOV, about ₹24–25k per order), the intercept, and R² (≈ 0.915² ≈ 0.84 given §22.5's r). Interpret each number in a sentence.
(h) Reading it honestly. Association, not cause (§22.5's four questions apply). Don't extrapolate outside the range of x: the intercept at 0 orders is not a real customer. One huge customer can tilt the line: rerun without the top 1% of revenue and compare slopes (links to §21.4). Regressing y on x is not the same as x on y. Check the residual plot.
(i) A 0/1 explanatory variable. Regress delivery_days on is_kolkata = (branch == "Kolkata").astype(int). The slope equals Kolkata's mean minus everyone else's (≈ 6.33 − 4.09 = 2.2 days) and its p-value matches a t-test. This is the bridge to categorical terms C(...) in Ch 30.
(j) More than one x (idea only, no code). ŷ = a + b₁x₁ + b₂x₂, where each b is "the change in ŷ for one more unit of that x, holding the others fixed". Say that this is what Ch 30 and Ch 37 do.
(k) Where it goes next (one paragraph each). Ch 30 §30.11: statsmodels smf.ols("y ~ x", data=…); its summary columns coef / std err / t / P&gt;\ | t\ | / [0.025 0.975] are exactly this section's slope, stderr, t = slope/stderr (23.93/1.524 = 15.7), pvalue and CI; it adds several x's, C() categories and logistic regression. Ch 31 §31.3: difference-in-differences as a regression with an interaction term. Ch 37 §37.1: the same least-squares line used to *predict* unseen accounts with scikit-learn (LinearRegression().fit/.predict, intercept_, coef_), R² measured on test data, a log transform, many features and the residual-assumptions table. Ch 40: trend lines in forecasting.
(l) Chapter apparatus. Add to Chapter at a glance: "fit and read a straight-line regression by hand, in a spreadsheet and in Python". Add Key terms: regression, simple linear regression, response/dependent variable, explanatory/independent variable, intercept, slope, fitted value, residual, least squares, R² (coefficient of determination), extrapolation, dummy (0/1) variable. Add a Recap bullet and a "You've got it when" bullet ("you can compute a slope and intercept by hand and say what each means in rupees"). Add 4 Common-mistakes rows: extrapolating beyond the data; reading a slope as a cause; swapping x and y (and the spreadsheet argument order); trusting R² without a residual plot. Add exercises with answers: Warm-up, interpret slope 23.93 and intercept 5.28 in words; Core, by hand on 5 new points, then SLOPE/INTERCEPT/RSQ, then linregress on by_customer, then the top-5 residual customers, then the Kolkata dummy regression (slope ≈ 2.2 days); Stretch, regress delivery_days on order_value and explain an R² near 0. Add a timed-challenge Level 8 (slope, intercept, R² for orders→revenue).
(m) Consequential fixes in other chapters. Ch 30 §30.11 "Chapter 19 used regression to predict" → "Section 22.10 fitted a line with one x; here the same method explains an outcome with several". Ch 31 prerequisites "Chapter 19's regression mechanics" → "Chapter 22 §22.10 and Chapter 30 §30.11". Ch 53 prerequisites "Chapter 19 (regression)" → "Chapters 22 §22.10 and 37". Ch 37 §37.1: add a back-pointer "You fitted the one-feature version by hand in §22.10, where R² was also defined."</t>
  </si>
  <si>
    <t xml:space="preserve">22.31</t>
  </si>
  <si>
    <t xml:space="preserve">Chapter at a glance / Time needed "15–18 hours"</t>
  </si>
  <si>
    <t xml:space="preserve">Load. With the by-hand, spreadsheet and bootstrap additions (22.2, 22.5, 22.12, 22.16, 22.19, 22.23) and the new §22.10, the chapter grows by about 5–6 hours and covers eight distinct techniques.</t>
  </si>
  <si>
    <t xml:space="preserve">Split into Part A "Uncertainty and tests" (§22.1–22.4, ~11 h) and Part B "Traps and relationships" (§22.5–22.10, ~10 h), with a checkpoint after §22.4 (a CI and a chi-square by hand on a new 2×2 table). Restate Time needed as "20–23 hours over two and a half weeks".</t>
  </si>
  <si>
    <t xml:space="preserve">22.32</t>
  </si>
  <si>
    <t xml:space="preserve">§22.2 "Significance level (α), usually 0.05"; Tools "check what they assume about one- versus two-sided tests"</t>
  </si>
  <si>
    <t xml:space="preserve">One- vs two-sided tests are mentioned only in Tools and never explained, although 1 - alpha/2 in §22.3 depends on it.</t>
  </si>
  <si>
    <t xml:space="preserve">Add two sentences in §22.2: "A two-sided test asks 'is there any difference?'; a one-sided test asks only 'is B better?'. This book uses two-sided tests, which is why the multiplier is 1.96 (2.5% in each tail)."</t>
  </si>
  <si>
    <t xml:space="preserve">V22.1</t>
  </si>
  <si>
    <t xml:space="preserve">p. 5 · Figure 22.1 (sixty confidence intervals)</t>
  </si>
  <si>
    <t xml:space="preserve">The label "the true mean, ₹24,840" is drawn over the top interval lines, so the lines strike through the text. It is the key reference label.</t>
  </si>
  <si>
    <t xml:space="preserve">Move the label above the plot area (add top margin) with a short leader, or give it a white background box.</t>
  </si>
  <si>
    <t xml:space="preserve">V22.2</t>
  </si>
  <si>
    <t xml:space="preserve">p. 14 · Figure 22.4 (Simpson's paradox, three panels)</t>
  </si>
  <si>
    <t xml:space="preserve">The legend and bar-value labels (95.3 / 94.1 / 75.8 / 74.2) are about 4.7 pt. Panel 3's legend ("Metro / Upcountry") sits on top of the SwiftLine bar, and its y-axis label is squeezed against panel 2's legend.</t>
  </si>
  <si>
    <t xml:space="preserve">Make the figure taller at a larger font (≥ 7 pt). Put a shared legend below the panels, and label panel 3's segments directly (e.g. "20% metro").</t>
  </si>
  <si>
    <t xml:space="preserve">V22.3</t>
  </si>
  <si>
    <t xml:space="preserve">p. 10 · Figure 22.3 (peeking)</t>
  </si>
  <si>
    <t xml:space="preserve">The chart title touches the "23.7%" value label on the tallest bar. The "4.8%" label sits on the dashed 5% line, which strikes through it, and "the 5% you signed up for" runs outside the plot frame.</t>
  </si>
  <si>
    <t xml:space="preserve">Raise the y-limit to about 28% (or add title padding), nudge "4.8%" above the line, and move the reference-line label inside the plot.</t>
  </si>
  <si>
    <t xml:space="preserve">V22.4</t>
  </si>
  <si>
    <t xml:space="preserve">p. 4 · 22.1 Confidence intervals</t>
  </si>
  <si>
    <t xml:space="preserve">The heading and a two-line intro end the page, leaving 31% blank. The first code block (p. 5) did not fit.</t>
  </si>
  <si>
    <t xml:space="preserve">Allow the code block to split, or move the heading to p. 5.</t>
  </si>
  <si>
    <t xml:space="preserve">V22.5</t>
  </si>
  <si>
    <t xml:space="preserve">p. 16→17 · 22.9 Writing up a result</t>
  </si>
  <si>
    <t xml:space="preserve">The heading and "A template that survives scrutiny:" are stranded at the page foot. The template is on p. 17.</t>
  </si>
  <si>
    <t xml:space="preserve">Keep the heading and lead-in with the template.</t>
  </si>
  <si>
    <t xml:space="preserve">V22.6</t>
  </si>
  <si>
    <t xml:space="preserve">p. 8→9 · Table "Choosing a test"</t>
  </si>
  <si>
    <t xml:space="preserve">One row ("Categories against categories / Chi-square") falls onto p. 9 with a repeated header, so it is a lone row.</t>
  </si>
  <si>
    <t xml:space="preserve">Keep the 6-row table together.</t>
  </si>
  <si>
    <t xml:space="preserve">V22.7</t>
  </si>
  <si>
    <t xml:space="preserve">p. 7 (also 6, 15, 16) · A/B test code (chi-square, se_diff, prints)</t>
  </si>
  <si>
    <t xml:space="preserve">About 10 continuation lines start at column 0 ("opens"])],, for v in "AB")), +{diff:.2f} points")), so the nested structure of the arrays is unreadable.</t>
  </si>
  <si>
    <t xml:space="preserve">Reflow the source with explicit hanging indents (the arrays especially), or add the continuation-marker style (V17.6).</t>
  </si>
  <si>
    <t xml:space="preserve">V22.8</t>
  </si>
  <si>
    <t xml:space="preserve">Shows "Approved chapter v1", "Approved 18 September 2026" and "Every claim simulated or computed from the data".</t>
  </si>
  <si>
    <t xml:space="preserve">V22.9</t>
  </si>
  <si>
    <t xml:space="preserve">V22.10</t>
  </si>
  <si>
    <t xml:space="preserve">p. 22–23 · Practice exercises 10–21</t>
  </si>
  <si>
    <t xml:space="preserve">V22.11</t>
  </si>
  <si>
    <t xml:space="preserve">p. 7 · A/B summary output</t>
  </si>
  <si>
    <t xml:space="preserve">pandas truncates the summary ("…", "[2 rows x 7 columns]"), hiding the revenue column that is discussed later.</t>
  </si>
  <si>
    <t xml:space="preserve">Widen display.width, or print the needed columns.</t>
  </si>
  <si>
    <t xml:space="preserve">V22.12</t>
  </si>
  <si>
    <t xml:space="preserve">p. 5, 8, 10, 14 · Chart tick labels</t>
  </si>
  <si>
    <t xml:space="preserve">About 6.3–6.6 pt, slightly under 7 pt.</t>
  </si>
  <si>
    <t xml:space="preserve"> +1 pt matplotlib base size.</t>
  </si>
  <si>
    <t xml:space="preserve">V22.13</t>
  </si>
  <si>
    <t xml:space="preserve">p. 8 · Figure 22.2</t>
  </si>
  <si>
    <t xml:space="preserve">The "observed +3.5 points" label sits right of its line at the panel edge and nearly touches the right panel's y-axis.</t>
  </si>
  <si>
    <t xml:space="preserve">Put the label left of the line, or add inter-panel space.</t>
  </si>
  <si>
    <t xml:space="preserve">V22.14</t>
  </si>
  <si>
    <t xml:space="preserve">They share one style.</t>
  </si>
  <si>
    <t xml:space="preserve">As V17.10 (counted once per chapter; see Ch17).</t>
  </si>
  <si>
    <t xml:space="preserve">V22.15</t>
  </si>
  <si>
    <t xml:space="preserve">p. 21 · "You've got it when…" checklist</t>
  </si>
  <si>
    <t xml:space="preserve">V22.16</t>
  </si>
  <si>
    <t xml:space="preserve">p. 24 · Answers heading</t>
  </si>
  <si>
    <t xml:space="preserve">V22.17</t>
  </si>
  <si>
    <t xml:space="preserve">p. see fonts · "₹", "≈", "α", "→"</t>
  </si>
  <si>
    <t xml:space="preserve">23.1</t>
  </si>
  <si>
    <t xml:space="preserve">§23.1 "DIO … Riverstone: 55 days. DSO … 42 days. DPO … 38 days."</t>
  </si>
  <si>
    <t xml:space="preserve">No formulas. The reader is told the three numbers and CCC = 55 + 42 − 38 = 59, but never how DIO/DSO/DPO are computed. They are derivable exactly from the chapter's own figures, and the chapter never shows it.</t>
  </si>
  <si>
    <t xml:space="preserve">Add formula boxes with symbol legends. DIO = Inventory ÷ COGS × 365. DSO = Receivables ÷ Revenue × 365. DPO = Payables ÷ COGS × 365. CCC = DIO + DSO − DPO. Work them by hand after the balance sheet (see 23.2): DIO = 125,340,178 ÷ 831,803,000 × 365 = 55.0; DSO = 131,942,327 ÷ 1,146,641,651 × 365 = 42.0; DPO = 86,598,668 ÷ 831,803,000 × 365 = 38.0. Explain why DIO and DPO use COGS (stock and supplier bills are at cost) and DSO uses revenue (invoices are at selling price). Explain that 365 turns "fraction of a year's flow" into days, and that year-end balances stand in for averages. Add a 4-line Python cell computing the three ratios from the balance-sheet variables, and replace the hard-coded ccc = 55 + 42 - 38 in §23.7 with it. Spreadsheet: =B_inventory/B_COGS*365 etc.</t>
  </si>
  <si>
    <t xml:space="preserve">23.2</t>
  </si>
  <si>
    <t xml:space="preserve">§23.1 placed before §23.2 P&amp;L and §23.3 balance sheet</t>
  </si>
  <si>
    <t xml:space="preserve">Flow. The ratios in §23.1 depend on COGS, revenue, inventory, receivables and payables, which are introduced only in §23.2–23.3.</t>
  </si>
  <si>
    <t xml:space="preserve">Keep §23.1 as the words-and-picture idea of the cycle (Figure 23.1, without numbers, or with "we'll compute these in §23.3"). Add a new subsection at the end of §23.3, "Putting days on the cycle", with the formulas and calculations from 23.1, and move "Riverstone: 55/42/38 days" there.</t>
  </si>
  <si>
    <t xml:space="preserve">23.3</t>
  </si>
  <si>
    <t xml:space="preserve">§23.1 "The operating cycle: how cash becomes stock becomes cash again … CCC"</t>
  </si>
  <si>
    <t xml:space="preserve">Terminology. In finance the *operating cycle* is DIO + DSO (97 days here); the *cash conversion cycle* is operating cycle − DPO (59). The chapter uses "operating cycle" for the whole loop, and Key terms lists both.</t>
  </si>
  <si>
    <t xml:space="preserve">Add one sentence: "Strictly, the operating cycle is DIO + DSO (97 days: stock bought to cash collected); subtract the 38 days suppliers give you and you get the cash conversion cycle, 59 days: how long *your own* cash is tied up."</t>
  </si>
  <si>
    <t xml:space="preserve">23.4</t>
  </si>
  <si>
    <t xml:space="preserve">§23.2 code REVENUE, COGS = 1_146_641_651, 831_803_000 …</t>
  </si>
  <si>
    <t xml:space="preserve">The numbers are hard-coded with no source table: the reader never sees financials_fy2025.md. Also unexplained: underscores in numeric literals (not in Ch 17), the format spec {value:&gt;15,}, the 25% tax rate in round(pbt * 0.25), and import pandas/set_option, which are never used in the block.</t>
  </si>
  <si>
    <t xml:space="preserve">(1) Show the P&amp;L as a plain table first (the one after Figure 23.2 already exists; move it before the code) and walk it top to bottom by hand for three lines (Revenue − COGS = Gross profit 314,838,651). (2) Say "Python lets you write 1_146_641_651 for 1,146,641,651; the underscores are ignored". (3) Explain &gt;15, as "right-align in 15 characters, with thousands commas". (4) Comment the tax line: "# modelled at a flat 25% corporate tax rate". (5) Remove the unused pandas import from this block. (6) Offer the spreadsheet version, a two-column sheet with =B1-B2 formulas, since Tools says "Every calculation … simple enough for a spreadsheet".</t>
  </si>
  <si>
    <t xml:space="preserve">23.5</t>
  </si>
  <si>
    <t xml:space="preserve">§23.2–23.4: "depreciation", "amortisation", "accrual accounting", "leveraged", ppe, "capex", "dividend", "equity"</t>
  </si>
  <si>
    <t xml:space="preserve">Terms used before definition, or never defined, in a chapter that promises "Nothing here assumes an accounting or finance background". Depreciation appears in the P&amp;L code and table with no definition. ppe (property, plant &amp; equipment) and other_nca are cryptic variable names. "Capex" first appears in the §23.4 code. "Leveraged" appears in §23.2 before debt is explained in §23.3.</t>
  </si>
  <si>
    <t xml:space="preserve">Add a "Ten words Finance will use" box at the start of §23.2, with one-line plain definitions and a Riverstone example each: revenue, COGS, expense, depreciation (spreading a long-lived asset's cost over its useful years), amortisation, accrual (recording a sale when made, not when paid), asset, liability, equity, capex (spending on long-lived assets), dividend, leverage (using borrowed money). Rename variables to readable names (property_plant_equipment, other_non_current_assets, other_current_liabilities) or comment each.</t>
  </si>
  <si>
    <t xml:space="preserve">23.6</t>
  </si>
  <si>
    <t xml:space="preserve">§23.3 "debt-to-equity = total liabilities ÷ equity = 0.91"</t>
  </si>
  <si>
    <t xml:space="preserve">Mislabelled ratio. Debt-to-equity is usually interest-bearing debt ÷ equity: (97,464,540 + 126,130,582) ÷ 378,225,976 = 0.59. Total liabilities ÷ equity (0.91) is "liabilities-to-equity". A reader who quotes 0.91 as D/E to Finance will be corrected.</t>
  </si>
  <si>
    <t xml:space="preserve">Either rename it "total liabilities to equity (0.91)" throughout (code, table, Recap, answers 8 and Level 2), or add a line computing true debt-to-equity = 0.59 and explain the difference ("payables are owed but are not borrowing"). Update answer 8's reading ("debt roughly equal to equity" → "borrowings about 0.6× equity").</t>
  </si>
  <si>
    <t xml:space="preserve">23.7</t>
  </si>
  <si>
    <t xml:space="preserve">§23.4 cfo = pat + depreciation - receivables_change - inventory_change + payables_change</t>
  </si>
  <si>
    <t xml:space="preserve">The signs are the heart of "profit isn't cash", but they are explained only afterwards and in one clause. The link between the cash-flow statement and the balance sheet (net change in cash → closing cash) is never shown.</t>
  </si>
  <si>
    <t xml:space="preserve">Before the code, add a by-hand bridge table with one row per line and a "why this sign" column. Start from PAT ₹12.09 cr; add back depreciation, because it cost no cash this year; subtract the increase in receivables (₹0.46 cr), because sales were booked but not collected; subtract the increase in inventory (₹0.69 cr), because cash went into stock; add the increase in payables (₹0.34 cr), because suppliers are funding us. Result: CFO ₹12.89 cr. Then add one line tying to the balance sheet: "opening cash ₹2.12 cr + net change ₹4.88 cr = closing cash ₹6.99 cr (the balance-sheet figure)".</t>
  </si>
  <si>
    <t xml:space="preserve">23.8</t>
  </si>
  <si>
    <t xml:space="preserve">Real world: "Days sales outstanding had crept from 36 days … to 42"; "cash conversion cycle had gone from 51 days to 59"</t>
  </si>
  <si>
    <t xml:space="preserve">Inconsistent with the chapter's own figures. §23.4 says receivables rose by only ₹45.9 lakh. Opening receivables were therefore ₹12.74 cr, which on Ch 16's prior-year revenue (₹90.3 cr) is an opening DSO of about 51 days, not 36: DSO *fell*. Even assuming flat revenue, the §23.4 movements give an opening DSO of ≈ 40.5, DIO ≈ 52, DPO ≈ 36.5 and CCC ≈ 56, not 51.</t>
  </si>
  <si>
    <t xml:space="preserve">Pick one: (a) change the story to quarterly DSO/CCC and add a small quarterly table (Q1–Q4 DSO 36/38/40/42, DIO, DPO, CCC) computed on quarterly revenue, stating that the year-end snapshot hid it; or (b) change §23.4's receivables_change and inventory_change so the year-on-year ratios match (for DSO 36→42 at FY2025 revenue, receivables must rise by about ₹1.9 cr), then recompute CFO, net cash change, Figure 23.2 notes, answers 4 and Level 4. Option (a) changes less.</t>
  </si>
  <si>
    <t xml:space="preserve">23.9</t>
  </si>
  <si>
    <t xml:space="preserve">§23.5 reached = {stage: hist.groupby("lead_id")["stage"].apply(lambda s: stage in set(s)).sum() for stage in [...]}</t>
  </si>
  <si>
    <t xml:space="preserve">A dict comprehension around groupby + apply + lambda + set membership + sum: five ideas in one expression. The output prints np.int64(43) (NumPy 2's repr), which will confuse a beginner. The cycle merge chains two filtered frames, two renames, a merge and .dt.days in one statement.</t>
  </si>
  <si>
    <t xml:space="preserve">Replace with 3 cells. (1) hist.head() and hist["stage"].value_counts() so the reader sees the table. (2) reached = hist.groupby("stage")["lead_id"].nunique() (the number of distinct leads that ever reached each stage), printed as a Series in the stage order .reindex(["New","Contacted","Quoted","Won","Lost"]), which gives plain integers. (3) Build won and created as two small DataFrames on separate lines, show each head(), then merge, then days = (won_at - created).dt.days, explaining .dt.days (turns a time difference into whole days).</t>
  </si>
  <si>
    <t xml:space="preserve">23.10</t>
  </si>
  <si>
    <t xml:space="preserve">§23.5 sales-cycle table: "Days from first contact to close … Skewed by a few very slow deals; report the median too"</t>
  </si>
  <si>
    <t xml:space="preserve">The code measures New→Won, not "first contact", and reports only the mean, of 6 won deals, to one decimal (25.5). The advice ("report the median too") isn't followed, and with n = 6 the uncertainty (Ch 22) is large.</t>
  </si>
  <si>
    <t xml:space="preserve">Change the formula to "days from lead created (New) to Won". Print cycle.days.median() and len(cycle) beside the mean, and add: "with only 6 won deals, treat 25.5 days as indicative".</t>
  </si>
  <si>
    <t xml:space="preserve">23.11</t>
  </si>
  <si>
    <t xml:space="preserve">§23.5 "Two-thirds of Riverstone's 43 leads came through the website"</t>
  </si>
  <si>
    <t xml:space="preserve">27/43 = 63%.</t>
  </si>
  <si>
    <t xml:space="preserve">"Nearly two-thirds (27 of 43)".</t>
  </si>
  <si>
    <t xml:space="preserve">23.12</t>
  </si>
  <si>
    <t xml:space="preserve">§23.5 AOV "₹24,735.56 (Chapter 16) … Mean is pulled up by large Wholesale orders (Chapter 21)"</t>
  </si>
  <si>
    <t xml:space="preserve">Two unexplained inconsistencies. (a) Ch 21's mean order value is ₹24,839.53 on 45,040 delivered orders; here AOV is ₹24,735.56 on 46,356 orders. The reader will think one is wrong. (b) Ch 21 never discusses Wholesale; Ch 15 does.</t>
  </si>
  <si>
    <t xml:space="preserve">Add a note: "Chapter 16's AOV counts all 46,356 non-cancelled 2025 orders (₹24,735.56); Chapter 21's delivery file keeps only the 45,040 delivered ones (mean ₹24,839.53). Same business, different populations: state which you use." Change "(Chapter 21)" to "(Chapters 15 and 21)".</t>
  </si>
  <si>
    <t xml:space="preserve">23.13</t>
  </si>
  <si>
    <t xml:space="preserve">§23.6 marketing table "5,650 leads → 767 new customers"</t>
  </si>
  <si>
    <t xml:space="preserve">Contradicts §23.5, where "Riverstone's CRM has real (if small) pipeline data": 43 leads for 2025. The leads column of marketing_2025.csv is never printed, so 5,650 appears from nowhere (answer 10 also cites March's 470 leads).</t>
  </si>
  <si>
    <t xml:space="preserve">Print the leads column in the §23.6 output and add a sentence reconciling the sources: "marketing's 'leads' are enquiries captured by campaigns (invented for this chapter); only 43 of 2025's leads were entered into the sales CRM. The gap between the two systems is itself a finding: most enquiries never reach a sales stage." Or change the marketing file's column name to "enquiries".</t>
  </si>
  <si>
    <t xml:space="preserve">23.14</t>
  </si>
  <si>
    <t xml:space="preserve">§23.6 row "Payback period … See section 23.9"</t>
  </si>
  <si>
    <t xml:space="preserve">§23.9 does not compute payback. Only Exercise 24's answer does, and with ₹157,720 where the §23.9 code printed ₹157,617.</t>
  </si>
  <si>
    <t xml:space="preserve">Either compute payback in §23.9 (CAC ₹8,194 ÷ (₹157,617 × 27.5% ÷ 12 = ₹3,612) = 2.3 months) or change the reference to "Exercise 24". Fix answer 24's ₹157,720 → ₹157,617 and ₹3,615 → ₹3,612.</t>
  </si>
  <si>
    <t xml:space="preserve">23.15</t>
  </si>
  <si>
    <t xml:space="preserve">§23.7 contribution_margin_pct = 0.31 # illustrative: gross margin plus variable selling costs</t>
  </si>
  <si>
    <t xml:space="preserve">Wrong in principle, and dead code. Contribution margin = (revenue − all variable costs) ÷ revenue, so adding more variable costs lowers it: it should be gross margin *minus* variable selling costs, i.e. below 27.5% if COGS is all variable. The variable is assigned and never printed or used.</t>
  </si>
  <si>
    <t xml:space="preserve">Delete the line, or compute it properly: e.g., "if ₹3.0 cr of selling &amp; distribution is variable (freight, commission), contribution margin = (314,838,651 − 30,000,000) ÷ 1,146,641,651 = 24.8%", labelled as illustrative, and printed. Then keep the paragraph explaining when contribution margin exceeds gross margin (COGS that includes allocated fixed plant overhead).</t>
  </si>
  <si>
    <t xml:space="preserve">23.16</t>
  </si>
  <si>
    <t xml:space="preserve">Figure 23.2 caption "a plausible mid-size distributor"; §23.8 OEE "not applicable to a distributor"; Real world "a respectable result for a distributor"</t>
  </si>
  <si>
    <t xml:space="preserve">Contradicts Ch 3, which says Riverstone has two plants (Taloja; Chakan, which makes industrial crates and furniture) and is "a mid-sized manufacturer". Ch 21 has a crate-moulding quality check. OEE applies to its plants. §23.7's own example ("one more crate") assumes manufacturing.</t>
  </si>
  <si>
    <t xml:space="preserve">Replace "distributor" with "manufacturer and distributor". Change the OEE row to "— (plant data not in this dataset; applies to the Taloja and Chakan plants)". Adjust the real-world line to "a respectable result for a mid-sized manufacturer".</t>
  </si>
  <si>
    <t xml:space="preserve">23.17</t>
  </si>
  <si>
    <t xml:space="preserve">Intro: "every operational number in this chapter come directly from the real order and delivery data"; §23.8 "Chapter 21's delivery data is Riverstone's real operational record"</t>
  </si>
  <si>
    <t xml:space="preserve">False. Ch 21 says the delivery times are invented by a seeded model because "the ERP data has no delivery dates". This breaks the chapter's own promise to label real vs invented, and misleads the reader about data provenance.</t>
  </si>
  <si>
    <t xml:space="preserve">Intro: "Revenue, COGS and retention come from the real order data; delivery times come from Chapter 21's simulated delivery file." §23.8: "Chapter 21's delivery file (simulated from a documented model, since the ERP has no delivery dates) already contains the standard logistics metrics." Also fix "and match every earlier chapter exactly" (see 23.12).</t>
  </si>
  <si>
    <t xml:space="preserve">23.18</t>
  </si>
  <si>
    <t xml:space="preserve">§23.8 "Inventory turns … COGS ÷ average inventory … ₹12.53 cr"</t>
  </si>
  <si>
    <t xml:space="preserve">₹12.53 cr is the year-end inventory, not an average (Exercise 15 admits it's a proxy).</t>
  </si>
  <si>
    <t xml:space="preserve">Change the formula cell to "COGS ÷ inventory (year-end, as a proxy for the average)". Add "Turns and DIO are the same idea: 365 ÷ 6.6 = 55 days".</t>
  </si>
  <si>
    <t xml:space="preserve">23.19</t>
  </si>
  <si>
    <t xml:space="preserve">§23.9 customer code (customers_2024 = set(pd.read_parquet(...).merge(...).query(...)["customer_id"]) … new_customer_revenue = sales_2025[~…isin(customers_2024)].groupby(...)…mean())</t>
  </si>
  <si>
    <t xml:space="preserve">One 17-line block that reads the same two Parquet files twice, mixes .query() strings with Boolean masks, has no upper date bound on 2025 (order_date &gt;= "2025-01-01" would silently include any 2026 rows), and ends in a one-line chain of five operations.</t>
  </si>
  <si>
    <t xml:space="preserve">Split into 4 cells. (1) Read and merge lines once and show its date range (lines.order_date.min(), .max()). (2) Define sales_2024 and sales_2025 with both bounds (&gt;= "2025-01-01" and &lt; "2026-01-01") and the Cancelled filter, using one style (masks). (3) Build the sets and show retained, churned, new = customers_2025 - customers_2024 with their len()s, explaining &amp; and - on sets (Ch 17 §17.7). (4) Compute new customers' revenue in two steps (filter, then groupby().sum(), then .mean()), printing the intermediate.</t>
  </si>
  <si>
    <t xml:space="preserve">23.20</t>
  </si>
  <si>
    <t xml:space="preserve">§23.9 output "retained: 3,827 churned: 277" vs §23.6 "767 new customers" and Answer 21 "retained (3,832)"</t>
  </si>
  <si>
    <t xml:space="preserve">Numbers disagree. From the §23.9 code, new 2025 customers = 4,599 − 3,827 = 772. The invented marketing file says 767. Answer 21 changes retained to 3,832 to force 767 + 3,832 = 4,599.</t>
  </si>
  <si>
    <t xml:space="preserve">Print len(new) = 772 in §23.9. Either regenerate marketing_2025.csv so new_customers sums to 772, or state "marketing attributes 767 of the 772 new customers to campaigns; 5 arrived unprompted". Rewrite answer 21 (see 23.26).</t>
  </si>
  <si>
    <t xml:space="preserve">23.21</t>
  </si>
  <si>
    <t xml:space="preserve">§23.9 output "LTV (5-year horizon, 28% margin)"</t>
  </si>
  <si>
    <t xml:space="preserve">f"{gross_margin*100:.0f}" rounds 27.5 to 28, so the output contradicts the 27.5% used everywhere else.</t>
  </si>
  <si>
    <t xml:space="preserve">Use :.1f → "27.5% margin".</t>
  </si>
  <si>
    <t xml:space="preserve">23.22</t>
  </si>
  <si>
    <t xml:space="preserve">§23.9 table "LTV … Annual revenue × gross margin × customer lifetime" using "average first-year revenue, new customers"</t>
  </si>
  <si>
    <t xml:space="preserve">New customers were acquired throughout 2025, so their "first-year" revenue covers on average about six months. Using it as annual revenue understates LTV, and the reader isn't told.</t>
  </si>
  <si>
    <t xml:space="preserve">Add a caveat: "customers acquired mid-year have less than a full year of revenue, so this understates annual value; a cohort view (Exercise 22) fixes it." Or annualize by months active.</t>
  </si>
  <si>
    <t xml:space="preserve">23.23</t>
  </si>
  <si>
    <t xml:space="preserve">§23.9 "6.7% a year is a third of the base gone in five years"</t>
  </si>
  <si>
    <t xml:space="preserve">1 − 0.933⁵ = 29%.</t>
  </si>
  <si>
    <t xml:space="preserve">"nearly a third (29%)". Show the calculation.</t>
  </si>
  <si>
    <t xml:space="preserve">23.24</t>
  </si>
  <si>
    <t xml:space="preserve">§23.10 "The identity … holds exactly"; output "₹1,146,641,619.36" vs actual "₹1,146,641,651.25"; project "reconstructs ₹1,146,641,651 exactly"</t>
  </si>
  <si>
    <t xml:space="preserve">The printed output is ₹31.89 short because aov = 24735.56 is hard-coded and rounded. The reader sees two different numbers directly under "holds exactly".</t>
  </si>
  <si>
    <t xml:space="preserve">Consistency / Line-by-line code</t>
  </si>
  <si>
    <t xml:space="preserve">Compute AOV from the totals: revenue_2025 = 1_146_641_651.25; orders_2025 = 46_356; aov = revenue_2025 / orders_2025. Rerun so the two lines match. Add one sentence: "the identity is exact because orders/customers and revenue/orders cancel: C × (O/C) × (R/O) = R".</t>
  </si>
  <si>
    <t xml:space="preserve">23.25</t>
  </si>
  <si>
    <t xml:space="preserve">Figure 23.3 KPI tree: first-level "Gross margin 27.5%" under "Net revenue"; "Active customers … new + retained − churned"</t>
  </si>
  <si>
    <t xml:space="preserve">Two errors in the tree. (a) Gross margin is not a factor of revenue. It belongs in a *gross profit* tree (GP = Revenue × GM%), so the figure mixes two trees. (b) Active customers ≠ new + retained − churned. The 2025 active count = retained from 2024 + new (3,827 + 772 = 4,599). Churned (277) is already excluded from "retained"; subtracting it double-counts. The text repeats (b) in §23.10 and project step 2.</t>
  </si>
  <si>
    <t xml:space="preserve">Redraw the figure. Put "Gross profit" at the top = Revenue × Gross margin, with Revenue = Active customers × Orders/customer × AOV beneath. Active customers(2025) = Retained (3,827) + New (772). Retained = Active 2024 (4,104) − Churned (277). Fix the §23.10 sentence and project step 2 to match.</t>
  </si>
  <si>
    <t xml:space="preserve">23.26</t>
  </si>
  <si>
    <t xml:space="preserve">Answer 21: "New customers (767) + retained (3,832) − churned (277) reconciles … minus the double-count adjustment"</t>
  </si>
  <si>
    <t xml:space="preserve">Garbled, and uses numbers that don't appear in the chapter's output (3,832).</t>
  </si>
  <si>
    <t xml:space="preserve">Rewrite: "Active 2025 = retained 3,827 + new 772 = 4,599 ✓. Churned 277 = active 2024 (4,104) − retained (3,827). Units per order × average net price per unit = AOV ₹24,735.56 (compute both from order_items)."</t>
  </si>
  <si>
    <t xml:space="preserve">23.27</t>
  </si>
  <si>
    <t xml:space="preserve">§23.11 chain-linked code</t>
  </si>
  <si>
    <t xml:space="preserve">The decomposition formula is shown only as code. No symbolic version, and no by-hand check on one effect. "The order you substitute in changes each individual effect slightly" is asserted but not shown.</t>
  </si>
  <si>
    <t xml:space="preserve">Add the formulas with symbols: C = customers, F = orders per customer, A = AOV, and subscripts 0 = May, 1 = June. Customer effect = (C₁ − C₀)F₀A₀; frequency effect = C₁(F₁ − F₀)A₀; AOV effect = C₁F₁(A₁ − A₀). Work the customer effect by hand: (2,723 − 2,885) × 1.268 × ₹23,851.71 = −₹4.90 M. Add a 3-line cell with the reverse order (AOV first) to show the effects shift but the total doesn't. Spreadsheet version: a 3-row bridge with the same formulas.</t>
  </si>
  <si>
    <t xml:space="preserve">23.28</t>
  </si>
  <si>
    <t xml:space="preserve">§23.11 "Checking the segment mix (Retail, Wholesale, and Hospitality each kept almost exactly their May share…)"</t>
  </si>
  <si>
    <t xml:space="preserve">The mix check is asserted with no code and no numbers for May→June, although step 3 of the method says to always do it. Only answer 14 (Nov→Dec) shows mix numbers.</t>
  </si>
  <si>
    <t xml:space="preserve">Add a cell: filter May and June 2025 orders, pd.crosstab(month, segment, normalize="index"), printed as percentages, and one sentence reading it. Explain normalize="index" ("each row sums to 100%").</t>
  </si>
  <si>
    <t xml:space="preserve">23.29</t>
  </si>
  <si>
    <t xml:space="preserve">§23.12 messy status output: "delivered 21857 … status 6 … (blank) 1"</t>
  </si>
  <si>
    <t xml:space="preserve">(a) These are order *lines* from Ch 14's Q4 export (25,976 lines), not orders, but the text reasons about "orders delivered". (b) The rows "status 6" (repeated header rows) and a blank value are not explained.</t>
  </si>
  <si>
    <t xml:space="preserve">Add: "these are order lines, not orders (Chapter 14's export has one row per line); the 6 'status' rows are repeated header rows and the blank is a missing value, both cleaned in Chapter 14."</t>
  </si>
  <si>
    <t xml:space="preserve">23.30</t>
  </si>
  <si>
    <t xml:space="preserve">§23.13 SQL WHERE o.status &lt;&gt; 'Cancelled' AND o.order_date BETWEEN '2025-01-01' AND '2025-12-31'</t>
  </si>
  <si>
    <t xml:space="preserve">(a) No output shown (it should return 4,599 and be checked against §23.9). (b) BETWEEN … '2025-12-31' excludes 31 December after midnight if order_date is a timestamp, yet the section stresses boundary inclusivity. (c) The JOIN to customers is unnecessary for a count.</t>
  </si>
  <si>
    <t xml:space="preserve">Line-by-line code / Correctness</t>
  </si>
  <si>
    <t xml:space="preserve">Rewrite as SELECT COUNT(DISTINCT customer_id) AS active_customers_2025 FROM orders WHERE status &lt;&gt; 'Cancelled' AND order_date &gt;= '2025-01-01' AND order_date &lt; '2026-01-01'; and show the result (4,599). Explain the half-open window (&gt;= start, &lt; next start) as the safe pattern for dates and timestamps. Name the dialect (PostgreSQL, as in Ch 12).</t>
  </si>
  <si>
    <t xml:space="preserve">23.31</t>
  </si>
  <si>
    <t xml:space="preserve">Answer 18: WHERE order_date &gt; '2024-12-31'::date - INTERVAL '365 days' "measured from 31 December 2025 (trailing twelve months) will generally differ"</t>
  </si>
  <si>
    <t xml:space="preserve">Wrong twice. (a) The expression is 31 Dec 2024 − 365 days = 31 Dec 2023, so it selects two years. (b) Trailing 12 months measured from 31 Dec 2025 is the same window as calendar 2025, so the two definitions cannot differ, contradicting the answer.</t>
  </si>
  <si>
    <t xml:space="preserve">Use an as-of date that isn't year-end: "trailing 12 months to 30 Sep 2025: WHERE order_date &gt; DATE '2025-09-30' - INTERVAL '12 months' AND order_date &lt;= DATE '2025-09-30'", and say the count differs from calendar 2025 by customers who ordered only in Oct–Dec 2025 or only in Oct–Dec 2024. Change Exercise 18's wording to the same as-of date.</t>
  </si>
  <si>
    <t xml:space="preserve">23.32</t>
  </si>
  <si>
    <t xml:space="preserve">§23.2 "EBITDA … strips out the effect of how assets are financed and aged"</t>
  </si>
  <si>
    <t xml:space="preserve">Imprecise. EBIT already excludes interest (financing); EBITDA additionally adds back depreciation and amortisation (asset age/accounting). The sentence attributes both to the add-back.</t>
  </si>
  <si>
    <t xml:space="preserve">"EBITDA = EBIT + depreciation + amortisation. It ignores interest and tax (like EBIT) and also how fast assets are written down, which makes it popular for comparing companies with different asset bases." Show EBITDA = ₹18.76 cr (16.4%) in the text, not only in answer 7.</t>
  </si>
  <si>
    <t xml:space="preserve">23.33</t>
  </si>
  <si>
    <t xml:space="preserve">Where this leads: "Business Analyst bank (Chapter 76)"; "Case Study &amp; Guesstimate bank (Chapter 74)"; lists Chapters 16 and 22 as "leads"</t>
  </si>
  <si>
    <t xml:space="preserve">Ch 76 is split; the BA bank is Ch 76B. Case studies and guesstimates are Ch 75 (Ch 74 is the ML bank). Chapters 16 and 22 come earlier, so they are not "where this leads".</t>
  </si>
  <si>
    <t xml:space="preserve">"Chapter 76B, Business Analyst Question Bank" and "Chapter 75, Product Sense, Metrics, Case Studies &amp; Guesstimates". Move Ch 16 and Ch 22 into a "Looking back" line.</t>
  </si>
  <si>
    <t xml:space="preserve">23.34</t>
  </si>
  <si>
    <t xml:space="preserve">Exercise 6: "as Chapter 23 would use it"</t>
  </si>
  <si>
    <t xml:space="preserve">Self-reference inside Chapter 23.</t>
  </si>
  <si>
    <t xml:space="preserve">"as section 23.13 does".</t>
  </si>
  <si>
    <t xml:space="preserve">23.35</t>
  </si>
  <si>
    <t xml:space="preserve">Practice data / Tools: "build_ch23_files.py (seed 202301) builds everything below"; Answers: "(In the finished book these move to Appendix G.)"</t>
  </si>
  <si>
    <t xml:space="preserve">Remove the script name from reader-facing text, or say the reader never runs it. Delete the Appendix G line.</t>
  </si>
  <si>
    <t xml:space="preserve">23.36</t>
  </si>
  <si>
    <t xml:space="preserve">§23.5 leads = pd.read_parquet("../full/leads.parquet"); §23.2 import pandas as pd then §23.5 import pandas as pd again</t>
  </si>
  <si>
    <t xml:space="preserve">Repeated imports across cells and relative paths (../full/, ../ch21/, ../ch14/) without saying where the notebook runs.</t>
  </si>
  <si>
    <t xml:space="preserve">One setup cell at the top of the chapter (imports and BASE = Path("../")), plus a line: "run this chapter's notebook from companion/ch23/".</t>
  </si>
  <si>
    <t xml:space="preserve">23.37</t>
  </si>
  <si>
    <t xml:space="preserve">Chapter structure / Time needed "15–18 hours"</t>
  </si>
  <si>
    <t xml:space="preserve">Load. The three statements plus about 35 named metrics across five functions plus KPI trees plus gaming plus definitions. With the formula, vocabulary and by-hand additions above, ~2 more hours.</t>
  </si>
  <si>
    <t xml:space="preserve">Mark Part A "Money: statements and the cash cycle" (§23.1–23.4 + the finance metrics of 23.7, ~8 h) and Part B "Metrics that run a business" (§23.5–23.13, ~10 h), with a checkpoint after Part A (compute DIO/DSO/DPO/CCC and CFO by hand from a small invented shop's statements). Restate Time needed as 17–20 hours.</t>
  </si>
  <si>
    <t xml:space="preserve">V23.1</t>
  </si>
  <si>
    <t xml:space="preserve">p. 6 · Figure 23.2 (FY2025 P&amp;L waterfall)</t>
  </si>
  <si>
    <t xml:space="preserve">Bar values and category labels are 4.6–5.0 pt, and the footnote line is 4.6 pt. Unreadable in print. Negative values use a hyphen ("-83.2"), while Fig 23.4 uses a true minus ("−₹0.49").</t>
  </si>
  <si>
    <t xml:space="preserve">Redraw at 7 pt or more (fewer, wider bars, or rotate to horizontal bars). Use U+2212 minus throughout.</t>
  </si>
  <si>
    <t xml:space="preserve">V23.2</t>
  </si>
  <si>
    <t xml:space="preserve">p. 5 · Figure 23.1 (operating cycle)</t>
  </si>
  <si>
    <t xml:space="preserve">Box body text 5.1–5.5 pt, callout body 5.1 pt, box titles 6.3 pt. The six boxes are drawn across the full width and scaled down.</t>
  </si>
  <si>
    <t xml:space="preserve">Set text at 7 pt or more, using two rows of three boxes if needed.</t>
  </si>
  <si>
    <t xml:space="preserve">V23.3</t>
  </si>
  <si>
    <t xml:space="preserve">p. 15 · Figure 23.3 (KPI tree)</t>
  </si>
  <si>
    <t xml:space="preserve">Box text 5.0–5.6 pt. The "Net revenue" root box has an empty white body. "Gross margin" is drawn as a fourth first-level factor of revenue, but the text's identity is Revenue = Active customers × Orders per customer × AOV, so the figure does not match the identity it illustrates.</t>
  </si>
  <si>
    <t xml:space="preserve">Raise text to 7 pt or more. Put the identity in the root box. Move Gross margin out (or retitle the figure "profit tree").</t>
  </si>
  <si>
    <t xml:space="preserve">V23.4</t>
  </si>
  <si>
    <t xml:space="preserve">p. 17 · Figure 23.4 (May→June bridge)</t>
  </si>
  <si>
    <t xml:space="preserve">Value and category labels 5.9–6.2 pt, below the print minimum. There is plenty of empty vertical space in the frame.</t>
  </si>
  <si>
    <t xml:space="preserve">Scale the text to 7 pt or more. The frame can be shorter.</t>
  </si>
  <si>
    <t xml:space="preserve">V23.5</t>
  </si>
  <si>
    <t xml:space="preserve">p. 7, 9, 12, 13, 16 · Code blocks</t>
  </si>
  <si>
    <t xml:space="preserve">Long lines wrap back to column 0 with no continuation marker. Examples: p. 7 "current_liabilities:,}\")" and "{current_assets/current_liabilities:.2f}\")"; p. 9 "\"won_at\"})" and "\"created\"}),"; p. 13 "lines =" followed by the whole expression at column 0; p. 16 "AOV = ₹{may['revenue']:,}\")".</t>
  </si>
  <si>
    <t xml:space="preserve">Hard-wrap the source with a hanging indent inside the brackets, or add a ↩ marker and hanging indent to the code style.</t>
  </si>
  <si>
    <t xml:space="preserve">V23.6</t>
  </si>
  <si>
    <t xml:space="preserve">p. 12 · OTIF code</t>
  </si>
  <si>
    <t xml:space="preserve">The trailing comment "# \"in full\" is assumed here: no partial-shipment" wraps, and the word "data" lands at column 0 as if it were a Python statement.</t>
  </si>
  <si>
    <t xml:space="preserve">Move the comment onto its own line above the statement.</t>
  </si>
  <si>
    <t xml:space="preserve">V23.7</t>
  </si>
  <si>
    <t xml:space="preserve">p. 25–26 · Practice exercises</t>
  </si>
  <si>
    <t xml:space="preserve">Two-digit numbers start at x = 47.7 pt, and the left part of the first digit is clipped: "14." to "19." render as "l4."–"l9." (the Lora "1" loses its flag).</t>
  </si>
  <si>
    <t xml:space="preserve">Widen the list-number box or right-align the numbers inside the margin, so that no glyph is clipped.</t>
  </si>
  <si>
    <t xml:space="preserve">V23.8</t>
  </si>
  <si>
    <t xml:space="preserve">Shows the "Approved chapter v1" badge, "Approved 18 September 2026", and the note "Real revenue and delivery data; modelled financial statements clearly labelled". These are visible to readers, and the wording differs from other chapters' "Draft …" labels.</t>
  </si>
  <si>
    <t xml:space="preserve">V23.9</t>
  </si>
  <si>
    <t xml:space="preserve">V23.10</t>
  </si>
  <si>
    <t xml:space="preserve">p. 7→8, 9→10, 10→11, 11→12, 12→13 · Metric tables</t>
  </si>
  <si>
    <t xml:space="preserve">Almost every table breaks after only 1–2 rows: balance sheet (1 row on p. 7), sales (2 on p. 9), marketing ("The funnel" alone on p. 10), finance (1 on p. 11), operations (2 on p. 12). The header repeats correctly, but readers meet a stub table at every page foot.</t>
  </si>
  <si>
    <t xml:space="preserve">Keep tables of 6 rows or fewer together (break-inside: avoid), or require at least 3 rows before a break.</t>
  </si>
  <si>
    <t xml:space="preserve">V23.11</t>
  </si>
  <si>
    <t xml:space="preserve">p. 6, 7–14 · Tables, "Riverstone"/"Riverstone 2025" column</t>
  </si>
  <si>
    <t xml:space="preserve">Figures are left-aligned. "₹31.48 crore, 27.5%" splits over two lines with the % in bold on the second line (p. 6).</t>
  </si>
  <si>
    <t xml:space="preserve">Right-align the money column. Put the % in its own column, or keep it on one line.</t>
  </si>
  <si>
    <t xml:space="preserve">V23.12</t>
  </si>
  <si>
    <t xml:space="preserve">p. 3, 22 · Inline code</t>
  </si>
  <si>
    <t xml:space="preserve">The code-pill padding leaves a gap before punctuation: "companion/ch23/ :" (p. 3), "( companion/ch23/ ):" (p. 22).</t>
  </si>
  <si>
    <t xml:space="preserve">Remove the outer pill margin next to punctuation.</t>
  </si>
  <si>
    <t xml:space="preserve">V23.13</t>
  </si>
  <si>
    <t xml:space="preserve">p. 28 · Answer 6</t>
  </si>
  <si>
    <t xml:space="preserve">Inline code splits across lines: "status &lt;&gt;" / "'Cancelled'".</t>
  </si>
  <si>
    <t xml:space="preserve">Non-breaking spaces inside inline code.</t>
  </si>
  <si>
    <t xml:space="preserve">V23.14</t>
  </si>
  <si>
    <t xml:space="preserve">p. 9 · Funnel output block</t>
  </si>
  <si>
    <t xml:space="preserve">Printed output shows NumPy 2 reprs ("{'New': np.int64(43), …}"), which look like noise to a reader.</t>
  </si>
  <si>
    <t xml:space="preserve">Convert to int before printing, or show a cleaner dict.</t>
  </si>
  <si>
    <t xml:space="preserve">V23.15</t>
  </si>
  <si>
    <t xml:space="preserve">p. 24 · "You've got it when…" checklist</t>
  </si>
  <si>
    <t xml:space="preserve">Wrapped lines return under the checkbox ("customer teams.", "first.", "owner.") with no hanging indent.</t>
  </si>
  <si>
    <t xml:space="preserve">Hang the wrapped text under the first word.</t>
  </si>
  <si>
    <t xml:space="preserve">V23.16</t>
  </si>
  <si>
    <t xml:space="preserve">p. 27 · Answers heading</t>
  </si>
  <si>
    <t xml:space="preserve">The production note "(In the finished book these move to Appendix G.)" is printed.</t>
  </si>
  <si>
    <t xml:space="preserve">Remove it before print.</t>
  </si>
  <si>
    <t xml:space="preserve">V23.17</t>
  </si>
  <si>
    <t xml:space="preserve">p. 1, 3 · Chapter title</t>
  </si>
  <si>
    <t xml:space="preserve">The cover breaks the title "Chapter 23. Business / Acumen, / KPIs &amp; Metrics", and on p. 3 "Metrics" sits alone on line 2.</t>
  </si>
  <si>
    <t xml:space="preserve">Break the title manually ("Business Acumen, / KPIs &amp; Metrics").</t>
  </si>
  <si>
    <t xml:space="preserve">V23.18</t>
  </si>
  <si>
    <t xml:space="preserve">p. 20 · Page foot</t>
  </si>
  <si>
    <t xml:space="preserve">About 18% blank below the "Common mistakes" table, because "In the real world" starts a new page.</t>
  </si>
  <si>
    <t xml:space="preserve">Acceptable if the page break is deliberate. Otherwise allow the heading to follow.</t>
  </si>
  <si>
    <t xml:space="preserve">24.1</t>
  </si>
  <si>
    <t xml:space="preserve">Tools: "Every example … uses real numbers from Chapter 23's December 2025 revenue diagnosis"; §24.1 "Chapter 23's own worked example began exactly this way"</t>
  </si>
  <si>
    <t xml:space="preserve">Wrong dependency and a false statement. Ch 23's worked diagnosis (§23.11) is May→June 2025 (₹8.72 → ₹5.20 cr). The November→December figures (₹15.60 → ₹8.73 cr; −₹1.26 / −₹1.06 / −₹4.55 cr; segment shares) appear only in Ch 23's answers to Exercise 13/14 and the timed challenge. Ch 23 never "began" with "why is revenue down?". "Before you start" sends the reader to §23.11, which has none of these numbers, and Ch 24 gives away Ch 23's answer key.</t>
  </si>
  <si>
    <t xml:space="preserve">Recommended: add a short worked example to Ch 23, "§23.11 (continued): the December dip". Show the Nov→Dec bridge code and output (reusing the §23.11 code with November/December inputs), the mix table (Hospitality 27.5→26.8%, Retail 50.5→52.0%, Wholesale 22.0→21.1%), and open it with the vague ask "Why is revenue down?" being clarified. Change Ch 23 Exercise 13/Level 5–6 to a different month pair (e.g., Sep→Oct peak, already Exercise 20) so the answer key isn't duplicated. Then fix Ch 24's Before-you-start line to "Chapter 23, section 23.11, including the December dip". Alternative (smaller change): rewrite Ch 24's running example in May→June numbers (−40.4%, −₹0.49 / −₹0.51 / −₹2.53 cr, AOV 72%) and every memo/slide/answer that quotes December. Either way, reword §24.1's "Chapter 23's own worked example began exactly this way" to something true.</t>
  </si>
  <si>
    <t xml:space="preserve">24.2</t>
  </si>
  <si>
    <t xml:space="preserve">Before you start: "Chapter 15's chart-design rules apply directly to the slides in section 24.6"</t>
  </si>
  <si>
    <t xml:space="preserve">Wrong section: slides are §24.5; §24.6 is the memo.</t>
  </si>
  <si>
    <t xml:space="preserve">Change "section 24.6" to "section 24.5".</t>
  </si>
  <si>
    <t xml:space="preserve">24.3</t>
  </si>
  <si>
    <t xml:space="preserve">§24.6 memo "Why": "smaller per order, not fewer in number"; §24.4 BLUF: "no other explanation (fewer customers, a mix shift) held up"</t>
  </si>
  <si>
    <t xml:space="preserve">Contradicts the memo's own "What we found". Fewer customers (−₹1.26 cr) and fewer orders per customer (−₹1.06 cr) together account for about a third (₹2.32 of ₹6.87 cr) of the fall. The model answer teaches the reader to overstate a finding.</t>
  </si>
  <si>
    <t xml:space="preserve">Memo "Why": "…December's order book reverts to routine reordering: mostly smaller orders (two-thirds of the fall), with somewhat fewer customers and orders (one-third)." BLUF: "…average order value drove two-thirds of it, fewer customers and orders the remaining third, and the segment mix didn't shift." Update the "After" slide subtitle if it repeats the claim.</t>
  </si>
  <si>
    <t xml:space="preserve">24.4</t>
  </si>
  <si>
    <t xml:space="preserve">§24.6 memo "The same mechanism explains both dips this year, which is itself evidence this is structural seasonality"</t>
  </si>
  <si>
    <t xml:space="preserve">Logic slip. "Post-festive normalisation" (festive bulk orders falling away) cannot explain the May→June dip, which has no festive season before it. The two dips share a *pattern* (AOV-led, mix-stable), not a mechanism. The memo also says the pattern "repeated the May-to-June dip earlier in the year", which reverses the order.</t>
  </si>
  <si>
    <t xml:space="preserve">Rewrite: "Both of this year's dips (May→June and Nov→Dec) have the same shape: led by smaller orders, with the segment mix unchanged. That repeated shape is evidence of seasonality rather than a customer or competitive problem, though the causes differ (the June trough; the post-festive fall in December)." Change "repeated the May-to-June dip" to "mirrors the May-to-June dip".</t>
  </si>
  <si>
    <t xml:space="preserve">24.5</t>
  </si>
  <si>
    <t xml:space="preserve">§24.9 "Anita Rao (manage closely — she asked…)"; memo "To: Anita Rao"; Real world "Vikram Singh had asked for it … The message that actually went to Vikram"</t>
  </si>
  <si>
    <t xml:space="preserve">The requester is inconsistent: the worked arc and memo say Anita asked; the real-world story says Vikram asked and received the reply. Answer 9 lists both.</t>
  </si>
  <si>
    <t xml:space="preserve">Choose one. Recommended: Vikram Singh (Sales Manager, per Ch 3) raised the ask; the memo goes to Vikram, copied to Anita Rao (Sales Head, the decision-maker). Update §24.9 step 3 ("Vikram — manage closely: he asked; Anita — manage closely: she decides on action"), the memo header, and Figure 24.2's "How it's told to Anita Rao".</t>
  </si>
  <si>
    <t xml:space="preserve">24.6</t>
  </si>
  <si>
    <t xml:space="preserve">Real world: "asked for it on 3 January"; "finished by the 8th"; "went to Vikram, two days before the meeting" (a Monday)</t>
  </si>
  <si>
    <t xml:space="preserve">Calendar slip: in 2026, 3 January is a Saturday, and "two days before" Monday 12 January is Saturday the 10th.</t>
  </si>
  <si>
    <t xml:space="preserve">"asked for it on Friday 2 January … finished by Thursday the 8th … sent on Friday the 9th, the working day before Monday's meeting".</t>
  </si>
  <si>
    <t xml:space="preserve">24.7</t>
  </si>
  <si>
    <t xml:space="preserve">Answer 3: Sales Head "likely manage closely or keep informed"</t>
  </si>
  <si>
    <t xml:space="preserve">"Keep informed" is the low-power quadrant, but the answer has just called the Sales Head high power. The alternative must be "keep satisfied".</t>
  </si>
  <si>
    <t xml:space="preserve">"…high power, moderate-to-high interest: manage closely, or keep satisfied if this branch is immaterial to the whole."</t>
  </si>
  <si>
    <t xml:space="preserve">24.8</t>
  </si>
  <si>
    <t xml:space="preserve">Answer 15: "CAC held steady at ₹8,194 while lead volume grew 15%"</t>
  </si>
  <si>
    <t xml:space="preserve">Contradicts Ch 23's data. ₹8,194 is the annual blended CAC; monthly CAC ranged from ₹7,012 to ₹10,590 (Ch 23 §23.6 output), and no "15% lead growth" is computed anywhere. The model answer invents a finding.</t>
  </si>
  <si>
    <t xml:space="preserve">Replace with a finding the Ch 23 table supports, e.g. "March was marketing's most efficient month: ROAS 7.4x and CAC ₹7,012, against a year-average ₹8,194", with one chart (CAC by month, March highlighted). Add a sentence: "the slide's finding must be one you computed, not one that sounds good."</t>
  </si>
  <si>
    <t xml:space="preserve">24.9</t>
  </si>
  <si>
    <t xml:space="preserve">Answer 11: "What we found: [the section 21's branch comparison numbers]. Why: [route length / logistics explanation]."</t>
  </si>
  <si>
    <t xml:space="preserve">A model answer with unfilled placeholders. The "route length" cause contradicts Ch 21's real-world finding (the Kolkata tail was "dominated by consignments routed through a single transporter during the festive weeks").</t>
  </si>
  <si>
    <t xml:space="preserve">Consistency / Reader-facing polish</t>
  </si>
  <si>
    <t xml:space="preserve">Write the full memo: "What we found: median 5.7 days vs Mumbai HO 3.2; IQR 3.5 vs 1.4 days; p95 12.0 vs 5.7; 68.1% inside the 7-day promise. Why: the tail is dominated by consignments routed through one transporter in the festive weeks (Chapter 21)…". Keep the recommendation.</t>
  </si>
  <si>
    <t xml:space="preserve">24.10</t>
  </si>
  <si>
    <t xml:space="preserve">Answer 10: "The festive season adds 1–2 days to delivery times across every branch"</t>
  </si>
  <si>
    <t xml:space="preserve">No chapter computes this figure (Ch 21's answer 23 gives no numbers), so the model slide title is unsupported.</t>
  </si>
  <si>
    <t xml:space="preserve">Replace it with a finding printed in Ch 21 (e.g., "95% of orders arrive within 8.2 days, but Kolkata's 95th percentile is 12 days"), or compute the festive effect in Ch 21's answer 23 and quote it here.</t>
  </si>
  <si>
    <t xml:space="preserve">24.11</t>
  </si>
  <si>
    <t xml:space="preserve">§24.3 RACI paragraph</t>
  </si>
  <si>
    <t xml:space="preserve">RACI is defined but never shown, and no exercise uses it, although the Recap and Common mistakes treat it as learned.</t>
  </si>
  <si>
    <t xml:space="preserve">Add a 4-row RACI table for the December analysis: pull data (R Meera, A Meera), decomposition (R Meera, A Analytics lead, C Finance), recommendation (R Meera, A Anita, C Vikram, I Regional managers), plan change (R Finance, A Finance Controller, I Sales). Add one exercise: "Build the RACI for your project's memo."</t>
  </si>
  <si>
    <t xml:space="preserve">24.12</t>
  </si>
  <si>
    <t xml:space="preserve">Figure 24.1: "POWER / POWER / INTEREST →"; "Board / owning fam"</t>
  </si>
  <si>
    <t xml:space="preserve">Figure polish: a duplicated axis label and a truncated label ("owning family").</t>
  </si>
  <si>
    <t xml:space="preserve">Label the y-axis once ("POWER ↑"), un-truncate "Board / owning family", and confirm each named stakeholder sits in the quadrant the table and §24.9 assign (Finance Controller: keep satisfied; Regional Sales Managers: keep informed).</t>
  </si>
  <si>
    <t xml:space="preserve">24.13</t>
  </si>
  <si>
    <t xml:space="preserve">Throughout: "stakeholder", "board pack", "run rate", "FY2026", "Slack"</t>
  </si>
  <si>
    <t xml:space="preserve">A few business terms are used without a plain definition. "Stakeholder" itself is never defined (only "stakeholder mapping").</t>
  </si>
  <si>
    <t xml:space="preserve">Define at first use: "stakeholder: anyone who affects, or is affected by, the decision your analysis informs"; "run rate: this month's figure × 12, used as a naive forecast"; "board pack: the documents the board reads before its meeting"; "FY2026: the financial year 2026".</t>
  </si>
  <si>
    <t xml:space="preserve">24.14</t>
  </si>
  <si>
    <t xml:space="preserve">§24.4 "The fix, known widely as BLUF (bottom line up front) or the pyramid principle"</t>
  </si>
  <si>
    <t xml:space="preserve">Slight conflation. BLUF is a (US military) writing convention: state the conclusion first. The pyramid principle (Minto) is the fuller structure: conclusion, then grouped supporting reasons, then evidence.</t>
  </si>
  <si>
    <t xml:space="preserve">"The fix has two common names: BLUF (bottom line up front), a writing convention, and Barbara Minto's pyramid principle, which adds the structure beneath the bottom line: two or three grouped reasons, each with its evidence."</t>
  </si>
  <si>
    <t xml:space="preserve">24.15</t>
  </si>
  <si>
    <t xml:space="preserve">Where this leads: "Business Analyst bank (Chapter 76)"; "Behavioral &amp; Case Interview bank (Chapter 75)"</t>
  </si>
  <si>
    <t xml:space="preserve">Wrong numbers and titles. The BA bank is Ch 76B. Behavioral questions are Ch 81 (Behavioral, HR &amp; Offer Conversations); case interviews are Ch 75 (Product Sense, Metrics, Case Studies &amp; Guesstimates).</t>
  </si>
  <si>
    <t xml:space="preserve">"the Business Analyst Question Bank (Chapter 76B), the product-sense and case bank (Chapter 75), and Behavioral, HR &amp; Offer Conversations (Chapter 81)". Also list Chapters 23 and 15 under "Looking back" rather than "Where this leads".</t>
  </si>
  <si>
    <t xml:space="preserve">24.16</t>
  </si>
  <si>
    <t xml:space="preserve">§24.2 "active customer = placed a non-cancelled order in the trailing 90 days, refreshed daily"</t>
  </si>
  <si>
    <t xml:space="preserve">Could confuse: Ch 23 §23.13's documented "active customer" is calendar-year 2025, and a beginner may think one of the two is wrong.</t>
  </si>
  <si>
    <t xml:space="preserve">Add "(a different, operational definition from Chapter 23's annual one, which is exactly why the definition must be written down and named)".</t>
  </si>
  <si>
    <t xml:space="preserve">24.17</t>
  </si>
  <si>
    <t xml:space="preserve">Answer 8: "Exclusions: leads still at 'New' with no contact recorded"</t>
  </si>
  <si>
    <t xml:space="preserve">Redundant: the formula (reached at least "Quoted") already excludes them. It models a weak exclusion field.</t>
  </si>
  <si>
    <t xml:space="preserve">Use a real exclusion: "test/duplicate leads; leads created by internal staff". Keep the ambiguity note (14 vs 22 qualified).</t>
  </si>
  <si>
    <t xml:space="preserve">24.18</t>
  </si>
  <si>
    <t xml:space="preserve">24.19</t>
  </si>
  <si>
    <t xml:space="preserve">Practice data: "companion/ch24/ … built from Chapter 23's real analysis"</t>
  </si>
  <si>
    <t xml:space="preserve">Depends on 24.1's resolution. If Ch 23 does not gain a December worked example, the companion memo example_memo_dec_dip.md is built from Ch 23's exercise answers.</t>
  </si>
  <si>
    <t xml:space="preserve">After fixing 24.1, reword to "built from the December analysis in Chapter 23, section 23.11".</t>
  </si>
  <si>
    <t xml:space="preserve">V24.1</t>
  </si>
  <si>
    <t xml:space="preserve">p. 6 · Figure 24.1 (power–interest grid)</t>
  </si>
  <si>
    <t xml:space="preserve">Several drawing and placement defects: (a) "POWER" is drawn twice, horizontally and rotated, so the two copies overprint as a smudge. (b) "INTEREST →" overprints the footnote line ("…share findings, don't ask for time…"). (c) The label "Board / owning fam" is truncated at the frame. (d) "Anita Rao (Sales Head)" collides with the quadrant subtitle "(high power, high interest)". (e) Placements contradict the text: Board / owning family and Finance Controller sit in low-power "Keep informed", while p. 13 says Finance Controller is "keep satisfied" and Regional Sales Managers "keep informed" (the figure has them under "Manage closely"). (f) Text is 5.0–6.0 pt.</t>
  </si>
  <si>
    <t xml:space="preserve">Redraw: one rotated axis label, the axis title clear of the footnote, full label text, points moved to match section 24.9, text at 7 pt or more.</t>
  </si>
  <si>
    <t xml:space="preserve">V24.2</t>
  </si>
  <si>
    <t xml:space="preserve">p. 7 · Figure 24.2 (pyramid principle)</t>
  </si>
  <si>
    <t xml:space="preserve">The pyramid tier text is clipped by the shapes: "ecember's fall is seasonal — no action neede" and "ove 66% of it, mix didn't shift, sam". The bottom tier's "Detail: the decomposition, the segment table, the appendix" spills past both sides of its trapezoid. The widest tier is at the top and the detail tier is the narrowest, the reverse of the usual pyramid. Text 5.1–6.6 pt.</t>
  </si>
  <si>
    <t xml:space="preserve">Size the tiers to their text (or put the text beside the shapes). Consider an upright pyramid with the answer at the apex. Text at 7 pt or more.</t>
  </si>
  <si>
    <t xml:space="preserve">V24.3</t>
  </si>
  <si>
    <t xml:space="preserve">p. 12 · Figure 24.4 (decision flow)</t>
  </si>
  <si>
    <t xml:space="preserve">The footnote "The test is always the same…" runs through the bottom row of boxes: box borders strike through the text. A stray arrow leaves the "Ask" box to the left and ends at the frame edge, pointing at nothing. The top-right 40% of the frame is empty. Text 5.2–6.0 pt.</t>
  </si>
  <si>
    <t xml:space="preserve">Move the footnote below the boxes and delete the orphan arrow. Tighten the frame and raise text to 7 pt or more.</t>
  </si>
  <si>
    <t xml:space="preserve">V24.4</t>
  </si>
  <si>
    <t xml:space="preserve">p. 8 · Figure 24.3 (before/after slide)</t>
  </si>
  <si>
    <t xml:space="preserve">The "AOV" axis label is hidden behind the −4.55 bar. Minus signs are hyphens ("-1.26"). Text 5.0–6.0 pt. Before and after are coded red and green only, though the headers also say "Before"/"After".</t>
  </si>
  <si>
    <t xml:space="preserve">Move the category labels below the bars' lowest point, use U+2212, set text at 7 pt or more.</t>
  </si>
  <si>
    <t xml:space="preserve">V24.5</t>
  </si>
  <si>
    <t xml:space="preserve">p. 9→10 · Section 24.6</t>
  </si>
  <si>
    <t xml:space="preserve">"…written as the memo a reader could act on without ever opening a workbook:" ends p. 9 above a blank of about 20%, and the memo starts at the top of p. 10.</t>
  </si>
  <si>
    <t xml:space="preserve">Allow the memo box to split, or keep the lead-in with it.</t>
  </si>
  <si>
    <t xml:space="preserve">V24.6</t>
  </si>
  <si>
    <t xml:space="preserve">p. 11 · Page</t>
  </si>
  <si>
    <t xml:space="preserve">The page is half empty (text ends at 52%): the 24.8 opening sits alone, and Figure 24.4 is pushed to p. 12.</t>
  </si>
  <si>
    <t xml:space="preserve">Scale Fig 24.4 down (it has spare white space; see V24.3) so it fits on p. 11, or let the text after it flow back.</t>
  </si>
  <si>
    <t xml:space="preserve">V24.7</t>
  </si>
  <si>
    <t xml:space="preserve">p. 10 · Model memo header</t>
  </si>
  <si>
    <t xml:space="preserve">"To: … From: … Re: …" runs on as one wrapped paragraph, and there is no Date, although section 24.6's six-part list says "to, from, date, and the question". Same pattern as Ch27 V27.9.</t>
  </si>
  <si>
    <t xml:space="preserve">Put To / From / Date / Re on separate lines and add the date.</t>
  </si>
  <si>
    <t xml:space="preserve">V24.8</t>
  </si>
  <si>
    <t xml:space="preserve">p. 21 · Answer 11</t>
  </si>
  <si>
    <t xml:space="preserve">Bracketed placeholders are printed: "What we found: [the section 21's branch comparison numbers]. Why: [route length / logistics explanation]". To a reader these look like an unfinished answer.</t>
  </si>
  <si>
    <t xml:space="preserve">Replace with the actual numbers, or mark them clearly as fill-ins (italic, "e.g.").</t>
  </si>
  <si>
    <t xml:space="preserve">V24.9</t>
  </si>
  <si>
    <t xml:space="preserve">p. 18–19 · Practice exercises</t>
  </si>
  <si>
    <t xml:space="preserve">The first digit of two-digit numbers is clipped: "10."–"19." render as "l0."–"l9." (x = 47.7 pt).</t>
  </si>
  <si>
    <t xml:space="preserve">As V23.7: widen the list-number box.</t>
  </si>
  <si>
    <t xml:space="preserve">V24.10</t>
  </si>
  <si>
    <t xml:space="preserve">p. 16→17 · "You've got it when…"</t>
  </si>
  <si>
    <t xml:space="preserve">The heading and the first checkbox sit at the foot of p. 16, and the other eight items are on p. 17.</t>
  </si>
  <si>
    <t xml:space="preserve">Keep the heading with at least three items.</t>
  </si>
  <si>
    <t xml:space="preserve">V24.11</t>
  </si>
  <si>
    <t xml:space="preserve">"Approved chapter v1", "Approved 18 September 2026", "Worked example uses Chapter 23's real diagnosis": production labels visible to readers.</t>
  </si>
  <si>
    <t xml:space="preserve">Remove for print or standardise.</t>
  </si>
  <si>
    <t xml:space="preserve">V24.12</t>
  </si>
  <si>
    <t xml:space="preserve">V24.13</t>
  </si>
  <si>
    <t xml:space="preserve">p. 13→14 · "Common mistakes" table</t>
  </si>
  <si>
    <t xml:space="preserve">Two rows on p. 13, eleven on p. 14 (the header repeats).</t>
  </si>
  <si>
    <t xml:space="preserve">Keep with the next page, or require at least 3 rows before a break.</t>
  </si>
  <si>
    <t xml:space="preserve">V24.14</t>
  </si>
  <si>
    <t xml:space="preserve">p. 20 · Answers heading</t>
  </si>
  <si>
    <t xml:space="preserve">V24.15</t>
  </si>
  <si>
    <t xml:space="preserve">p. 10, 15 · Inline code</t>
  </si>
  <si>
    <t xml:space="preserve">The pill padding leaves gaps: "example_memo_dec_dip.md ; memo_template.md", "( companion/ch24/ ):", "clarifying_questions_bank.md :".</t>
  </si>
  <si>
    <t xml:space="preserve">V24.16</t>
  </si>
  <si>
    <t xml:space="preserve">p. 6 · Section rule</t>
  </si>
  <si>
    <t xml:space="preserve">The horizontal divider sits at the very top of the page above the 24.3 heading.</t>
  </si>
  <si>
    <t xml:space="preserve">Suppress the divider at a page top.</t>
  </si>
  <si>
    <t xml:space="preserve">V24.17</t>
  </si>
  <si>
    <t xml:space="preserve">p. 16–17 · Checklist</t>
  </si>
  <si>
    <t xml:space="preserve">Wrapped lines return under the checkbox with no hanging indent.</t>
  </si>
  <si>
    <t xml:space="preserve">Hang the wrapped lines.</t>
  </si>
  <si>
    <t xml:space="preserve">25.1</t>
  </si>
  <si>
    <t xml:space="preserve">§25.5 "the current one to two day delay adds directly…"; §25.9 as-is "Finance raises the invoice after the warehouse emails…"</t>
  </si>
  <si>
    <t xml:space="preserve">Contradicts Chapter 3, which the chapter promises to follow exactly ("Every figure and date here is the one that chapter established"). Ch 3 step 6–7: "The ERP marks the order Shipped. When goods ship, the ERP raises invoice 9001" — same day (6 Jan), automatically. Ch 25 builds BR (invoice within one working day), FR "When an order's status changes to Shipped, the system shall generate the invoice" (already true in Ch 3), a gap-analysis row, and the ranked gap "Invoice on shipment status" on a manual delay that Ch 3 says does not exist. A reader who did Ch 3's exercises will notice.</t>
  </si>
  <si>
    <t xml:space="preserve">Pick one of two fixes and apply everywhere (§25.5 BR example, §25.5 FR example, §25.9 figure 25.5 and prose, ranking table row 1, warm-up exercise 4(b)/(c), answer 4): (A) keep Ch 3 and move the gap analysis to a step Ch 3 really marks as manual — step 8 (POD scanned and emailed; "Delivered" status updated by hand, so delivery dates are missing) or step 9 (bank line matched by eye). Step 8 is best: as-is = paper POD scanned and emailed to finance; to-be = driver records delivery on a handheld / the ERP status set at delivery; root cause = no device at the customer site, not "finance is slow"; requirement = "delivery status and date shall be recorded in the ERP within one hour of the POD being signed". Rewrite §25.5's BR/FR examples to a different step (e.g., "Riverstone needs delivery dates recorded for every order, because DSO and on-time delivery cannot be measured without them"). (B) Or change Chapter 3 so that invoicing is manual (finance raises it after the warehouse emails), and then 9001's date and "order to invoice 1 day" must still hold — i.e., say "on order 5001 finance happened to invoice the same day; typically it takes 1–2 days". Option A is recommended because Ch 3's figures are reused in Ch 12–13.</t>
  </si>
  <si>
    <t xml:space="preserve">25.2</t>
  </si>
  <si>
    <t xml:space="preserve">§25.9 figure 25.5 "FR-11 … NFR-04" vs prose "FR-14 … NFR-09"</t>
  </si>
  <si>
    <t xml:space="preserve">Requirement numbering collides and disagrees in the very section that says "Requirements get numbers, and the numbers matter". FR-11 is already the monthly-revenue definition (§25.6) and NFR-04 is already the pipeline's 07:00 deadline; the figure uses FR-11/NFR-04 while the prose under it uses FR-14/NFR-09. Answer 7 uses "FR-09", which is already the model's output table. FR-16 cites "the tolerance in BR-06", but no BR-06 exists anywhere.</t>
  </si>
  <si>
    <t xml:space="preserve">Keep one running register across the chapter: BR-01..BR-05, FR-01..FR-17, NFR-01..NFR-10. Change figure 25.5 to "FR-14" and "NFR-09" to match the prose. Add the missing requirement after BR-05 in §25.12: "BR-06. A payment shall be matched automatically only when it equals an open invoice for the same customer to within ₹1 (rounding); any other difference is an exception." (and keep FR-16 citing BR-06; strictly a tolerance is an NFR/business rule, so alternatively rename it BR-06 → "Business rule R-01" and cite that). In answer 7 change "FR-09" to "FR-18" (or say "a new FR"). Add one sentence to §25.7: "In a real project the numbers are unique across the whole document; this chapter keeps one running list so you can see it done."</t>
  </si>
  <si>
    <t xml:space="preserve">25.3</t>
  </si>
  <si>
    <t xml:space="preserve">§25.12 "right 88% of the time was still not safe… what the other 12% did quietly"; exercise 15 and answer 15</t>
  </si>
  <si>
    <t xml:space="preserve">Misquotes Chapter 58. There, 88% is the straight-through rate (53 of 60 emails loaded without a human) and the 12% are the emails handed to a person "with clear reasons" — the loud, safe part. The quiet problem is that 10 of the 53 loaded orders (19%) were silently wrong. The chapter teaches the opposite of Ch 58's lesson and an exercise is built on the misreading.</t>
  </si>
  <si>
    <t xml:space="preserve">Replace the sentence with: "Chapter 58 makes this case with real numbers: an email-intake pipeline loaded 88% of orders without a human touching them, which looked like success, but 19% of those automatically loaded orders were quietly wrong." Rewrite exercise 15: "Chapter 58's email-intake pipeline loads 88% of emails straight through, and 19% of those loaded orders turn out to be wrong without anyone noticing. What would you need to know before agreeing to run it unattended?" Rewrite answer 15 accordingly (keep the loud-vs-quiet distinction; it is the right idea, now attached to the right numbers: the 12% handed over are the manageable exception route; the 19% silent errors are the problem). Better still, since Ch 58 is 33 chapters away, state the numbers as a self-contained illustration and put "(Chapter 58 builds this pipeline)" in brackets.</t>
  </si>
  <si>
    <t xml:space="preserve">25.4</t>
  </si>
  <si>
    <t xml:space="preserve">§25.2 table "Test: QA checks the system behaves as specified"; §25.3 "cheaper here than in UAT"</t>
  </si>
  <si>
    <t xml:space="preserve">QA and UAT used in §25.2–25.3 but defined only in §25.10. A first-time reader meets two acronyms in the SDLC table with no gloss.</t>
  </si>
  <si>
    <t xml:space="preserve">At first use in §25.2 add: "QA (quality assurance): testers who check the system does what the specification says" and "UAT (user acceptance testing): the business users themselves checking that what was built meets their need; section 25.10 covers it in full."</t>
  </si>
  <si>
    <t xml:space="preserve">25.5</t>
  </si>
  <si>
    <t xml:space="preserve">§25.6 "A model": "the three features that contributed most"; "accounts held back from training"; "false positives and false negatives"</t>
  </si>
  <si>
    <t xml:space="preserve">Machine-learning vocabulary (feature, training, held-out data, false positive/negative, model version, probability score) appears 10+ chapters before Part IV teaches it; Ch 22 only uses "false positive" for hypothesis tests. The reader cannot judge FR-08–FR-10 or NFR-07.</t>
  </si>
  <si>
    <t xml:space="preserve">Keep the model example (it is valuable) but gloss each term in plain words inside the requirement or a one-paragraph box: "feature = one input column the model uses, e.g., days since last order"; "held back from training = accounts the model never saw while being built, kept aside to test it fairly (Chapter 36)"; "false positive = the model flags an account that would have kept ordering; false negative = it misses one that stops". Change NFR-07's wording to "…measured on accounts set aside and not used to build the model".</t>
  </si>
  <si>
    <t xml:space="preserve">25.6</t>
  </si>
  <si>
    <t xml:space="preserve">§25.6 BR-02 "needs order data in the warehouse each morning"</t>
  </si>
  <si>
    <t xml:space="preserve">"Warehouse" here means a data warehouse, but two pages earlier "warehouse" is Bhiwandi Main's physical warehouse and a swimlane. A beginner will read BR-02 as the physical warehouse.</t>
  </si>
  <si>
    <t xml:space="preserve">Change to "needs yesterday's orders loaded into the data warehouse (the analytics database the reports read from) by each morning". Use "data warehouse" consistently in §25.6 pipeline FR/NFRs.</t>
  </si>
  <si>
    <t xml:space="preserve">25.7</t>
  </si>
  <si>
    <t xml:space="preserve">§25.6 FR-01 / §25.8 AC-2 "more than 1.5 times their own average gap"; AC-3 "no orders at all"</t>
  </si>
  <si>
    <t xml:space="preserve">The chapter's own edge case is incomplete: an account with exactly one order also has no "average gap between orders" (a gap needs two orders), so FR-01 is undefined for it, and AC-3 (zero orders) is the less realistic case. Since the text says "a story with no edge case has not been thought about", the model answer should get the obvious one.</t>
  </si>
  <si>
    <t xml:space="preserve">Change AC-3 to: "Given an account with fewer than two orders, when the list is generated, then it does not appear on the at-risk list and is shown in a separate 'too new to judge' count, because there is no gap to compare against." Mirror it in FR-01 ("…for accounts with at least two orders") and in figure 25.4.</t>
  </si>
  <si>
    <t xml:space="preserve">25.8</t>
  </si>
  <si>
    <t xml:space="preserve">§25.9 ranking table "Order re-keyed from email … ~17 hours … Rank 3"</t>
  </si>
  <si>
    <t xml:space="preserve">The gap saving the most hours (17 h/month, 4 people) is ranked last with no explanation, and "Score each on what it saves and what it costs" gives no scoring method. The reader cannot reproduce the ranking in project step 4.</t>
  </si>
  <si>
    <t xml:space="preserve">Add a score column and one sentence of method, e.g., "Score = hours saved per month × error weight (high 3, medium 2) ÷ effort (medium 2, large 3)" and show the numbers, or explain the judgment: "Re-keying ranks third despite saving most hours because it needs the customer to change how they send orders (EDI/portal), which Riverstone does not control." Also label the source of 17 h: "(Chapter 3's 4 hours a week ≈ 17 a month)".</t>
  </si>
  <si>
    <t xml:space="preserve">25.9</t>
  </si>
  <si>
    <t xml:space="preserve">"Where this leads": "Chapter 14 cleans the data…", "Chapter 16 builds the dashboard…"; §25.4 "data you will later clean in Chapter 14"; §25.12 "waiting to be found in Chapter 14"</t>
  </si>
  <si>
    <t xml:space="preserve">Chapters 14 and 16 come before Chapter 25; they are presented as future chapters.</t>
  </si>
  <si>
    <t xml:space="preserve">Move both lines out of "Where this leads" into a "Looking back" line: "You have already met these handoffs as dirty columns in Chapter 14 and built dashboards like this in Chapter 16." Change "you will later clean in Chapter 14" → "you cleaned in Chapter 14"; "waiting to be found in Chapter 14" → "of the kind Chapter 14 taught you to find".</t>
  </si>
  <si>
    <t xml:space="preserve">25.10</t>
  </si>
  <si>
    <t xml:space="preserve">§25.2 figure "Most of the damage … happens in phases 2 to 6" vs Recap "Most of the damage happens in the three phases after sign-off"; You've-got-it "including the three after sign-off"</t>
  </si>
  <si>
    <t xml:space="preserve">Internal contradiction: sign-off is at the end of phase 1, so five phases follow it, not three.</t>
  </si>
  <si>
    <t xml:space="preserve">Recap: "Most of the damage happens in the five phases after sign-off…". Checklist: "…and say what the BA does in each, including the phases after sign-off."</t>
  </si>
  <si>
    <t xml:space="preserve">25.11</t>
  </si>
  <si>
    <t xml:space="preserve">§25.4 "The long waits are on the customer's side … The delays a project can fix are almost always at the crossings"</t>
  </si>
  <si>
    <t xml:space="preserve">The worked numbers show the longest waits (13, 48, 14, 27 days) are customer-side, while the internal crossings take 0–2 days, so "delays a project can fix are at the crossings" is asserted, not shown by this example. Slightly muddled for a beginner.</t>
  </si>
  <si>
    <t xml:space="preserve">Add one sentence: "On this order the internal crossings were fast; on the orders Chapter 3's simplification note mentions (5004 cancelled, 9002 paid in instalments) the crossings are where things stalled." Or soften to "…are usually at the crossings between lanes, and on a clean order like 5001 they happen to be quick."</t>
  </si>
  <si>
    <t xml:space="preserve">25.12</t>
  </si>
  <si>
    <t xml:space="preserve">Why this matters "Chapter 8's skills matrix marks requirements work as a 'hidden skill'"</t>
  </si>
  <si>
    <t xml:space="preserve">Chapter 8's matrix marks "Requirements and process mapping" as core for BA and useful for DA; "hidden skill" comes from §8.5's JD decoding, and Ch 8 attributes the hidden skills to Ch 23–24.</t>
  </si>
  <si>
    <t xml:space="preserve">"Chapter 8 showed requirements and process mapping as a core BA skill, and its job-description decoding (section 8.5) showed that for analyst roles it is a 'hidden skill': expected, rarely listed."</t>
  </si>
  <si>
    <t xml:space="preserve">25.13</t>
  </si>
  <si>
    <t xml:space="preserve">"In the real world": "Coastal went quiet in January … their kitchen is being rebuilt"</t>
  </si>
  <si>
    <t xml:space="preserve">Coastal Foods is a wholesaler in Ch 3 ("wholesalers (like Coastal Foods in…)"); a kitchen rebuild fits a hotel/caterer.</t>
  </si>
  <si>
    <t xml:space="preserve">Use a hospitality customer, e.g., "Green Leaf Hotels went quiet in January, I know why, their kitchen is being rebuilt."</t>
  </si>
  <si>
    <t xml:space="preserve">25.14</t>
  </si>
  <si>
    <t xml:space="preserve">"In the real world": "The fix took nine days and was mostly subtraction. The dashboard kept its list and added two columns"</t>
  </si>
  <si>
    <t xml:space="preserve">"Mostly subtraction" then only additions are described.</t>
  </si>
  <si>
    <t xml:space="preserve">Say what was removed, e.g., "…mostly subtraction: the account-detail page and three filters went; the list stayed and gained two columns…".</t>
  </si>
  <si>
    <t xml:space="preserve">25.15</t>
  </si>
  <si>
    <t xml:space="preserve">Exercise 9 "forty-eight weeks a year" vs §25.12 "roughly two hundred hours a year" (Ch 3: 50-week year)</t>
  </si>
  <si>
    <t xml:space="preserve">Two different working-year assumptions in one chapter.</t>
  </si>
  <si>
    <t xml:space="preserve">Use 50 weeks (Ch 3's convention) → 200 min/week × 50 = 10,000 min ≈ 167 hours; or keep 48 and add "(allowing for leave)". Update answer 9 if changed.</t>
  </si>
  <si>
    <t xml:space="preserve">25.16</t>
  </si>
  <si>
    <t xml:space="preserve">Figures 25.4 and 25.5 then identical prose</t>
  </si>
  <si>
    <t xml:space="preserve">The user story + AC-1..4 and the gap-analysis row are printed twice in full (figure, then paragraph). Adds a page without adding information.</t>
  </si>
  <si>
    <t xml:space="preserve">Keep the figures and cut the duplicated paragraph text to one line each ("Figure 25.4 shows the story and its four criteria. Three things to copy…"); or keep the prose and make the figures annotation-only.</t>
  </si>
  <si>
    <t xml:space="preserve">25.17</t>
  </si>
  <si>
    <t xml:space="preserve">Key terms "access control", "data product", "baseline", "handoff"</t>
  </si>
  <si>
    <t xml:space="preserve">"data product" is never defined in the text (used in §25.10 heading and project step 5); "baseline" appears only as "a model with no baseline".</t>
  </si>
  <si>
    <t xml:space="preserve">Define at first use: "data product: anything a data team delivers for others to use — a report, a pipeline, a model, a metric definition" (§25.6 intro); "baseline: the simple rule a model must beat, here 'no order in ninety days'" (§25.6 model).</t>
  </si>
  <si>
    <t xml:space="preserve">25.18</t>
  </si>
  <si>
    <t xml:space="preserve">Before you start / Tools</t>
  </si>
  <si>
    <t xml:space="preserve">No problems with tools; but the chapter mentions Jira (§25.2, Tools) before Ch 26 teaches it — fine as a pointer. Vikram is "key accounts sales manager" here, "Sales Manager" in Ch 3/24.</t>
  </si>
  <si>
    <t xml:space="preserve">Standardise Vikram's title across Ch 3, 24, 25, 27 (Ch 27 uses "Sales Manager (Key Accounts)" — use that everywhere).</t>
  </si>
  <si>
    <t xml:space="preserve">V25.1</t>
  </si>
  <si>
    <t xml:space="preserve">p. 16 · Figure 25.5 (gap-analysis row)</t>
  </si>
  <si>
    <t xml:space="preserve">The figure's REQUIREMENT and DEPENDS ON rows read "FR-11" and "NFR-04". The boxed text directly below reads "FR-14" and "NFR-09". FR-11 is already used on p. 11 (monthly revenue definition) and NFR-04 on p. 10 (pipeline load by 07:00), so the figure points readers at the wrong requirements.</t>
  </si>
  <si>
    <t xml:space="preserve">Relabel the figure FR-14 / NFR-09 to match the text, or renumber both consistently.</t>
  </si>
  <si>
    <t xml:space="preserve">V25.2</t>
  </si>
  <si>
    <t xml:space="preserve">p. 8 · Figure 25.2 (swimlane)</t>
  </si>
  <si>
    <t xml:space="preserve">Smallest text in the four chapters: 3.1–4.4 pt. Step labels, dates and the legend line cannot be read in print. The ten step boxes fill only about a third of the drawing area.</t>
  </si>
  <si>
    <t xml:space="preserve">Re-export at full text width with 7 pt minimum labels, and enlarge the step boxes. Or drop the dates into the lane table that follows.</t>
  </si>
  <si>
    <t xml:space="preserve">V25.3</t>
  </si>
  <si>
    <t xml:space="preserve">p. 6 · Figure 25.1 (SDLC phases)</t>
  </si>
  <si>
    <t xml:space="preserve">Card text is 4.3 pt and titles 5–5.6 pt. The six phase descriptions are unreadable at print size.</t>
  </si>
  <si>
    <t xml:space="preserve">Set at 7–8 pt minimum. Stack as 2 × 3 cards if six across will not fit.</t>
  </si>
  <si>
    <t xml:space="preserve">V25.4</t>
  </si>
  <si>
    <t xml:space="preserve">p. 10 · Figure 25.3 (four data products)</t>
  </si>
  <si>
    <t xml:space="preserve">Question bullets are 4.3–4.5 pt; "HOW IT FAILS" labels are 3.9 pt, grey on pale grey.</t>
  </si>
  <si>
    <t xml:space="preserve">7 pt minimum; darken the "How it fails" text. Use a 2 × 2 grid if needed.</t>
  </si>
  <si>
    <t xml:space="preserve">V25.5</t>
  </si>
  <si>
    <t xml:space="preserve">p. 14 · Figure 25.4 (user story + AC cards)</t>
  </si>
  <si>
    <t xml:space="preserve">Text is 5.6–6.7 pt. The italic note "The 'so that' clause is the one people drop…" is jammed against the "so that" row and the box's bottom border, with no gap.</t>
  </si>
  <si>
    <t xml:space="preserve">Enlarge to 7 pt or more; give the note its own line with padding, or move it into the caption.</t>
  </si>
  <si>
    <t xml:space="preserve">V25.6</t>
  </si>
  <si>
    <t xml:space="preserve">p. 16 · Figure 25.5</t>
  </si>
  <si>
    <t xml:space="preserve">Body text is 6.2–6.8 pt, just under the minimum. The connector arrows between ROOT CAUSE → REQUIREMENT → DEPENDS ON are almost hidden by the box borders. Box text wraps at about two-thirds width, leaving empty space.</t>
  </si>
  <si>
    <t xml:space="preserve">Scale up about 15%, lengthen the arrows, and let the text use the full box width.</t>
  </si>
  <si>
    <t xml:space="preserve">V25.7</t>
  </si>
  <si>
    <t xml:space="preserve">Reader-visible "Draft chapter · v2" badge and "21 September 2026" date. The other three chapters say "v1", so the set is inconsistent as well.</t>
  </si>
  <si>
    <t xml:space="preserve">Remove the draft badge, version and date for print. If kept for review copies, use the same version scheme across chapters.</t>
  </si>
  <si>
    <t xml:space="preserve">V25.8</t>
  </si>
  <si>
    <t xml:space="preserve">Section list has no page numbers, so it cannot be used for navigation in print.</t>
  </si>
  <si>
    <t xml:space="preserve">Add right-aligned page numbers with dot leaders.</t>
  </si>
  <si>
    <t xml:space="preserve">V25.9</t>
  </si>
  <si>
    <t xml:space="preserve">p. 14 (also 28) · Use-case boxes UC-04, UC-07</t>
  </si>
  <si>
    <t xml:space="preserve">Use-case fields run together as prose: "UC-04: Match a payment to an invoice Actor: finance assistant Precondition: …". "Alternative flow A/B" and "Postcondition" are appended to main-flow step 4. UC-07 (p. 28) inlines its main flow as "1. … 2. … 3." while UC-04 uses a real list, so the two are inconsistent.</t>
  </si>
  <si>
    <t xml:space="preserve">Set each use case as a labelled template: Name / Actor / Precondition / Main flow (list) / Alternative flows (list) / Postcondition.</t>
  </si>
  <si>
    <t xml:space="preserve">V25.10</t>
  </si>
  <si>
    <t xml:space="preserve">p. 19 · Page break before BR-05…NFR-10 box</t>
  </si>
  <si>
    <t xml:space="preserve">The last 19% of the page is blank. The lead-in "Take Riverstone's invoice matching…" ends the page and the requirement box it introduces starts p. 20.</t>
  </si>
  <si>
    <t xml:space="preserve">Allow the box to split, or keep the lead-in paragraph with the box.</t>
  </si>
  <si>
    <t xml:space="preserve">V25.11</t>
  </si>
  <si>
    <t xml:space="preserve">p. 27→28 · Answers, exercise 7</t>
  </si>
  <si>
    <t xml:space="preserve">"7. For example:" is stranded at the foot of p. 27 under about 15% blank space. The whole answer box is on p. 28.</t>
  </si>
  <si>
    <t xml:space="preserve">Keep the answer label with the following box, or move it into the box.</t>
  </si>
  <si>
    <t xml:space="preserve">V25.12</t>
  </si>
  <si>
    <t xml:space="preserve">p. 15 · AC-1…AC-4 callout</t>
  </si>
  <si>
    <t xml:space="preserve">"AC-" / "3" breaks across lines, splitting an identifier.</t>
  </si>
  <si>
    <t xml:space="preserve">Non-breaking hyphen in requirement IDs (AC‑3, FR‑01, NFR‑03); set one criterion per paragraph.</t>
  </si>
  <si>
    <t xml:space="preserve">V25.13</t>
  </si>
  <si>
    <t xml:space="preserve">p. 10, 11, 15 · Requirement boxes</t>
  </si>
  <si>
    <t xml:space="preserve">FR-01, FR-02 and FR-03 (and AC-1 to AC-4) run together in one paragraph, so the IDs are hard to scan. The box on p. 20 puts each requirement in its own paragraph.</t>
  </si>
  <si>
    <t xml:space="preserve">Use one requirement per line or paragraph everywhere, as on p. 20.</t>
  </si>
  <si>
    <t xml:space="preserve">V25.14</t>
  </si>
  <si>
    <t xml:space="preserve">p. 10 (pattern) · Figure 25.3 caption</t>
  </si>
  <si>
    <t xml:space="preserve">The caption repeats the figure's subtitle word for word ("Ask the wrong set of questions and you will build something that works and nobody uses").</t>
  </si>
  <si>
    <t xml:space="preserve">Give the caption different wording, or drop the in-figure subtitle.</t>
  </si>
  <si>
    <t xml:space="preserve">V25.15</t>
  </si>
  <si>
    <t xml:space="preserve">p. 6 · Figure 25.1 plus the table after it</t>
  </si>
  <si>
    <t xml:space="preserve">The figure and the table directly below show the same six phases and the same BA duties.</t>
  </si>
  <si>
    <t xml:space="preserve">Keep one, or cut the figure down to effort bars only.</t>
  </si>
  <si>
    <t xml:space="preserve">V25.16</t>
  </si>
  <si>
    <t xml:space="preserve">p. 8 · Figure 25.2</t>
  </si>
  <si>
    <t xml:space="preserve">Sales and Finance lane shading runs past the right end of the lane rules.</t>
  </si>
  <si>
    <t xml:space="preserve">Clip the lane fills to the rule width.</t>
  </si>
  <si>
    <t xml:space="preserve">V25.17</t>
  </si>
  <si>
    <t xml:space="preserve">p. 16 · Gap-ranking table</t>
  </si>
  <si>
    <t xml:space="preserve">Number columns ("~8 hours", "Rank") are left-aligned.</t>
  </si>
  <si>
    <t xml:space="preserve">Right-align (or centre) the numeric columns.</t>
  </si>
  <si>
    <t xml:space="preserve">V25.18</t>
  </si>
  <si>
    <t xml:space="preserve">Two-digit list numbers (10.–15.) are clipped at the left edge ("18." reads as "l8."), confirmed book-wide by the full visual review; readers cannot tell which exercise is which</t>
  </si>
  <si>
    <t xml:space="preserve">Widen the list-number box or right-align the numbers.</t>
  </si>
  <si>
    <t xml:space="preserve">V25.19</t>
  </si>
  <si>
    <t xml:space="preserve">p. 12 · Page end after "How metrics fail"</t>
  </si>
  <si>
    <t xml:space="preserve">About 15% blank before 25.7 starts on p. 13.</t>
  </si>
  <si>
    <t xml:space="preserve">Acceptable. Tighten if pages are being rebalanced anyway.</t>
  </si>
  <si>
    <t xml:space="preserve">26.1</t>
  </si>
  <si>
    <t xml:space="preserve">Whole chapter; Where this leads "the terminal that this chapter used without explaining"</t>
  </si>
  <si>
    <t xml:space="preserve">Known (M.4/D2): 32 $ command lines (all git …) plus implied shell work (make a folder, cd into it, create dotfiles, create .github/workflows/, move files into sql/ scripts/ docs/, clone into another folder) and answer 10's cd, &amp;&amp;, source, cp, before Ch 34 teaches the terminal.</t>
  </si>
  <si>
    <t xml:space="preserve">Add new §26.0 "The terminal in 20 minutes" before §26.1, exactly as specified in Sequence notes below (it covers every command and shell idea the chapter actually uses, and nothing more). Retitle honestly ("The terminal in under an hour" or keep "20 minutes" of reading + a 20-minute drill). Change "Where this leads" to: "Chapter 34 goes further with the command line: pipes and text tools, permissions, PATH, shell scripts, SSH, and networking."</t>
  </si>
  <si>
    <t xml:space="preserve">26.2</t>
  </si>
  <si>
    <t xml:space="preserve">Before you start "Chapter 6 set up the tools, including Git"; Tools table "Chapter 6 installed it"; Tools line "Git 2.43 or later"</t>
  </si>
  <si>
    <t xml:space="preserve">Known (just-in-time decision): Git is now installed in this chapter. Also: macOS's xcode-select --install (Ch 6's recommended route) gives Apple Git 2.39, which fails the stated "2.43 or later" although every command here works on it (switch/restore need ≥ 2.23). And on Windows, Git Bash (the terminal §26.0 needs) arrives with Git — so the install must happen before §26.0's drill, not in §26.2.</t>
  </si>
  <si>
    <t xml:space="preserve">(1) Before you start: replace the Ch 6 sentence with "Chapter 17 section 17.0 (you have opened a terminal and run python in it). This chapter installs Git." and add "Chapter 25 (user stories and business rules, which §26.9–26.10 refer to)". (2) Put the install as the first step of §26.0 ("Step 0: install Git — on Windows this also gives you Git Bash, the terminal this chapter uses") and keep §26.2 for first-time configuration (26.3–26.5). Installer detail: Windows — Git for Windows; on "Adjusting the name of the initial branch" choose "Override… main"; on "Choosing the default editor" pick Nano or VS Code (not Vim); keep Git Credential Manager ticked. macOS — xcode-select --install (Apple Git 2.39 is fine) or brew install git. Linux — sudo apt install git. Check: git --version. (3) Tools line: "Git 2.23 or later (switch/restore); tested on 2.43.0." (4) Tools table: "Installed in section 26.0".</t>
  </si>
  <si>
    <t xml:space="preserve">26.3</t>
  </si>
  <si>
    <t xml:space="preserve">§26.2 first git commit -m "Add monthly revenue query"</t>
  </si>
  <si>
    <t xml:space="preserve">No git config --global user.name / user.email. On a fresh install the first commit stops with "Author identity unknown * Please tell me who you are" (or silently uses user@hostname). The book's own output later shows Author: Meera Iyer &lt;meera@riverstone.example&gt;, so the author configured it off-page.</t>
  </si>
  <si>
    <t xml:space="preserve">Add "One-time setup" at the start of §26.2, run and shown: git config --global user.name "Meera Iyer", git config --global user.email "meera@riverstone.example", then git config --global --list with its output. Explain: config = settings; --global = for every repository on this computer; name/email are stamped on every commit, are public once pushed, and should match (or be the no-reply address of) the GitHub account.</t>
  </si>
  <si>
    <t xml:space="preserve">26.4</t>
  </si>
  <si>
    <t xml:space="preserve">§26.2 git init output then "On branch main"</t>
  </si>
  <si>
    <t xml:space="preserve">Git 2.43 with no configuration names the first branch master (and prints a multi-line hint), so the reader sees "On branch master", and §26.7's git push -u origin main then fails with "src refspec main does not match any".</t>
  </si>
  <si>
    <t xml:space="preserve">In the one-time setup add git config --global init.defaultBranch main and explain it ("new repositories start on a branch called main, the name GitHub uses"). Alternatively use git init -b main and explain -b. Mention: if you already created the repo on master, git branch -m master main renames it.</t>
  </si>
  <si>
    <t xml:space="preserve">26.5</t>
  </si>
  <si>
    <t xml:space="preserve">§26.2 "Without -m, Git opens a text editor and waits… a terminal they cannot leave"</t>
  </si>
  <si>
    <t xml:space="preserve">Names the trap but gives no way out, and later commands (git revert without --no-edit, git merge of diverged branches, git commit --amend without -m) open the same editor.</t>
  </si>
  <si>
    <t xml:space="preserve">In one-time setup add git config --global core.editor "code --wait" (VS Code, installed in Ch 17) or nano, and explain --wait. In §26.0 teach the escape: in Vim press Esc, type :q! Enter to abandon or :wq Enter to save and quit; in nano Ctrl+O, Enter, Ctrl+X.</t>
  </si>
  <si>
    <t xml:space="preserve">26.6</t>
  </si>
  <si>
    <t xml:space="preserve">§26.2 "Start in a folder with one file in it, monthly_revenue.sql, the query from Chapter 13."</t>
  </si>
  <si>
    <t xml:space="preserve">The file's contents are never shown; Chapter 13 has no monthly_revenue.sql or monthly query by that name (it has the sales_lines view and other queries). The reader cannot produce a file whose diff matches §26.3 (6 lines, date_trunc, FROM sales_lines, GROUP BY mon), and line 1 is never shown anywhere.</t>
  </si>
  <si>
    <t xml:space="preserve">Show the file in full before git init, created in §26.0's drill, e.g. line 1 -- Monthly net revenue (sales_lines excludes cancelled orders), then the five lines seen in the diff. Show cat monthly_revenue.sql with output. Say "built on Chapter 13's sales_lines view (section 13.2)". Note it is PostgreSQL (date_trunc); MySQL readers change line 2 to DATE_FORMAT(order_date, '%Y-%m-01') (Ch 13 §13.8).</t>
  </si>
  <si>
    <t xml:space="preserve">26.7</t>
  </si>
  <si>
    <t xml:space="preserve">§26.3 "A measured what-if: --oneline" git log -n 2 shows 6489661 "Split…" and 1bed4f9 "Revert…"</t>
  </si>
  <si>
    <t xml:space="preserve">Sequence break inside the chapter: these commits are created in §26.5 (revert) and §26.6 (branch merge). At this point the reader's history has exactly one commit, so git log -n 2 prints one commit and --stat output cannot match.</t>
  </si>
  <si>
    <t xml:space="preserve">Move the whole "measured what-if" block (both log commands + settings table) to the end of §26.6, after the merge, where five commits exist, and say "now that the history has five commits, here is what the settings do". In §26.3 keep only git log --oneline on the one commit. Also fix the line "Section 26.2's git log --oneline is a setting" → it is first used in §26.3.</t>
  </si>
  <si>
    <t xml:space="preserve">26.8</t>
  </si>
  <si>
    <t xml:space="preserve">§26.3 diff "Add a line restricting the query to 2025 onward" … §26.5 log shows 97d9490, dbdb993</t>
  </si>
  <si>
    <t xml:space="preserve">Two commits are never made on the page: (a) the WHERE-filter change shown in git diff is never staged/committed, yet 97d9490 "Limit the revenue query to 2025 onward" appears in §26.5; (b) §26.4 ends "should be committed" without the command, and §26.5 case 3 amends a commit whose original (wrong) message is never shown. A reader typing along has a different history and git revert 97d9490 fails ("bad revision").</t>
  </si>
  <si>
    <t xml:space="preserve">End of §26.3: show git add monthly_revenue.sql, git diff (now empty) and git diff --staged (shows the change — a perfect demo of the two diffs), git commit -m "Limit the revenue query to 2025 onward" with output. End of §26.4: show git add .gitignore and git commit -m "Add gitignore" with output, then in §26.5 case 3 explain "that message is vague; amend it". Add a sentence: "Your hashes will differ from 97d9490 etc.; always copy the hash from your own git log --oneline."</t>
  </si>
  <si>
    <t xml:space="preserve">26.9</t>
  </si>
  <si>
    <t xml:space="preserve">§26.5 case 1 git status --short → "M monthly_revenue.sql"</t>
  </si>
  <si>
    <t xml:space="preserve">The edit being discarded is never specified, and the two-column --short codes are explained only in case 2, after being used here (and in §26.4's ??). The real output is  M with a leading space (column 1 = staging, blank).</t>
  </si>
  <si>
    <t xml:space="preserve">Before the block: "Make a throwaway edit: add a line -- test at the end of the file and save." Show git diff output first (as the text advises). Move the "How to read those two-letter codes" paragraph to §26.4, where --short first appears, with a 4-row mini table: ?? untracked;  M modified, not staged; M  modified and staged; A  new file staged; MM both. Keep the leading space visible in the typeset output.</t>
  </si>
  <si>
    <t xml:space="preserve">26.10</t>
  </si>
  <si>
    <t xml:space="preserve">§26.5 case 2 git add -f secrets.txt then "?? secrets.txt"; "forces Git to add a file that .gitignore would normally skip"</t>
  </si>
  <si>
    <t xml:space="preserve">Internally contradictory and a jump: secrets.txt does not exist (never created) and is not matched by the .gitignore shown (.env, exports/, *.xlsx, …), so -f is unnecessary; and the final ?? secrets.txt proves it is not ignored (ignored files do not show as ??). Teaching -f in the undo example also shows beginners the command that defeats .gitignore.</t>
  </si>
  <si>
    <t xml:space="preserve">Correctness / Line-by-line</t>
  </si>
  <si>
    <t xml:space="preserve">Use a realistic, un-ignored file: "You meant to stage only the query but typed git add . and also staged notes.txt." Show echo "scratch" &gt; notes.txt (taught in §26.0) or create it in the editor, git add ., git status --short → A  notes.txt / M  monthly_revenue.sql, then git restore --staged notes.txt, git status --short → ?? notes.txt. Move the -f note to §26.4's trap paragraph as a warning only.</t>
  </si>
  <si>
    <t xml:space="preserve">26.11</t>
  </si>
  <si>
    <t xml:space="preserve">§26.5 case 4 "A commit is already shared and is wrong" — git revert --no-edit 97d9490</t>
  </si>
  <si>
    <t xml:space="preserve">Nothing has been pushed yet (push is §26.7), so the "shared" situation is simulated without saying so; the output also prints a "Date: Mon Mar 2 10:02:00 2026" line, which Git shows only because the author's build set a fixed author date — a reader will not see it, and every commit shows the identical timestamp.</t>
  </si>
  <si>
    <t xml:space="preserve">Consistency / Polish</t>
  </si>
  <si>
    <t xml:space="preserve">Add "Pretend this commit had already been pushed; revert works the same on a private commit." Remove the Date: line from the revert output and vary the timestamps in git log -n 2 (or add a note "your dates will be today's").</t>
  </si>
  <si>
    <t xml:space="preserve">26.12</t>
  </si>
  <si>
    <t xml:space="preserve">§26.6 "Now change the file and commit on this branch."</t>
  </si>
  <si>
    <t xml:space="preserve">The change (the category split: +3/−2 lines) and the commit are not shown, yet the merge output ("Updating 1bed4f9..6489661 … 3 insertions(+), 2 deletions(-)") depends on them. git branch (to see which branch you are on) is never shown. The reader cannot reproduce the section.</t>
  </si>
  <si>
    <t xml:space="preserve">Insert, between git switch -c and git switch main: the edited 7-line query (add category, to SELECT and GROUP BY; show the full file), git diff output, git add monthly_revenue.sql, git commit -m "Split monthly revenue by product category" with output, then git branch with output (* add-category-split /   main) and explain the *. After git switch main, show cat monthly_revenue.sql to prove the file on disk changed back — that is the moment branches click.</t>
  </si>
  <si>
    <t xml:space="preserve">26.13</t>
  </si>
  <si>
    <t xml:space="preserve">§26.6 "if the same lines changed on both sides you get a conflict, which Git marks in the file"</t>
  </si>
  <si>
    <t xml:space="preserve">Merge conflicts are listed as a key term and will happen in the project (step 5) and at work, but are never shown: no markers, no resolution steps.</t>
  </si>
  <si>
    <t xml:space="preserve">Add a short worked conflict (8–10 lines): on a branch change the WHERE date; on main change the same line differently; git merge → "CONFLICT (content): Merge conflict in monthly_revenue.sql"; show the file with &lt;&lt;&lt;&lt;&lt;&lt;&lt; HEAD, =======, &gt;&gt;&gt;&gt;&gt;&gt;&gt; branch; explain each marker; edit to the wanted version; git add monthly_revenue.sql; git commit (editor opens — note from 26.5) or git commit --no-edit. Mention git merge --abort as the safe exit.</t>
  </si>
  <si>
    <t xml:space="preserve">26.14</t>
  </si>
  <si>
    <t xml:space="preserve">§26.7 "# terminal, after creating an empty repository on github.com"</t>
  </si>
  <si>
    <t xml:space="preserve">Creating the GitHub account and the empty repository is one clause. Beginners routinely tick "Add a README", which makes the first push fail ("rejected… fetch first"). GitHub also requires two-factor authentication for accounts that push code.</t>
  </si>
  <si>
    <t xml:space="preserve">Add a numbered click-path: sign up, verify email, set up 2FA (authenticator app), New repository → name riverstone-analysis → Private → leave "Add a README", ".gitignore" and "license" unticked → Create; copy the HTTPS URL. Explain why the repo must be empty.</t>
  </si>
  <si>
    <t xml:space="preserve">26.15</t>
  </si>
  <si>
    <t xml:space="preserve">§26.7 git push -u origin main output; "shown rather than run"</t>
  </si>
  <si>
    <t xml:space="preserve">GitHub stopped accepting account passwords for Git over HTTPS in 2021. On macOS/Linux the reader is prompted for a username and password and every attempt fails; the chapter never mentions authentication. (On Windows, Git Credential Manager opens a browser sign-in.)</t>
  </si>
  <si>
    <t xml:space="preserve">Add "Signing in the first time": Windows — a browser window opens (Git Credential Manager), sign in, done. macOS/Linux — install GitHub CLI and run gh auth login (choose HTTPS, "Login with a web browser"), after which git push just works; or create a fine-grained personal access token (Settings → Developer settings) and paste it when asked for a password. Show the prompt and what success looks like. Replace "(shown rather than run, because this chapter's examples run without a GitHub account)" with an honest note that the project requires the account.</t>
  </si>
  <si>
    <t xml:space="preserve">26.16</t>
  </si>
  <si>
    <t xml:space="preserve">§26.7 "If someone else pushed while you were working, your push is rejected, and the fix is git pull then push again."</t>
  </si>
  <si>
    <t xml:space="preserve">On Git ≥ 2.33 (the chapter uses 2.43), git pull on diverged branches with no configuration stops with "fatal: Need to specify how to reconcile divergent branches". The exact scenario described fails.</t>
  </si>
  <si>
    <t xml:space="preserve">Add to the one-time setup in §26.2: git config --global pull.rebase false ("when pulling, merge others' work into yours"). Show the rejected push message (! [rejected] main -&gt; main (fetch first)), then git pull → merge (editor may open: see 26.5), then git push.</t>
  </si>
  <si>
    <t xml:space="preserve">26.17</t>
  </si>
  <si>
    <t xml:space="preserve">§26.7 "3. Open a pull request. On GitHub, propose merging…" / "4. Review, then merge."</t>
  </si>
  <si>
    <t xml:space="preserve">How to open and merge a PR is not shown, and the local follow-up is missing: after merging on GitHub, local main is behind until git switch main and git pull; the merged branch should be deleted (git branch -d). Project step 5 depends on this loop.</t>
  </si>
  <si>
    <t xml:space="preserve">Add the click-path (Compare &amp; pull request → base: main, compare: your branch → title/description → Create; Files changed tab for review; Merge pull request → Confirm → Delete branch) and the local commands after merge: git switch main, git pull, git branch -d fix-cancelled-orders, each with output. Also show git push -u origin fix-cancelled-orders in the text (it is only in Figure 26.3).</t>
  </si>
  <si>
    <t xml:space="preserve">26.18</t>
  </si>
  <si>
    <t xml:space="preserve">§26.8 "Create a file at .github/workflows/checks.yml"</t>
  </si>
  <si>
    <t xml:space="preserve">YAML is never introduced (the only mention is "YAML reads 3.10 as the number 3.1"). The reader is not told that indentation is meaningful and must be spaces, what key: value is, what a -  list item is, or why with: is indented under a step. The extracted listing even loses the indentation. Creating a folder whose name starts with a dot is not explained.</t>
  </si>
  <si>
    <t xml:space="preserve">Before the file, add a 10-line "YAML in two minutes": key: value; nesting by indentation (2 spaces, never tabs); -  starts a list item; [a, b] is a one-line list; quotes keep text as text. Print the workflow with visible indentation (monospace, guides). Show creating it: mkdir -p .github/workflows (from §26.0) then open the file in VS Code. Then walk each line as now.</t>
  </si>
  <si>
    <t xml:space="preserve">26.19</t>
  </si>
  <si>
    <t xml:space="preserve">§26.8 - run: python -m pytest -q; "-q is quiet mode, which prints a dot per test instead of a line"; project step 6 "Push a deliberate failure"</t>
  </si>
  <si>
    <t xml:space="preserve">Known M.8: pytest before Ch 29. Worse than a forward reference: (a) pytest is not in a Part II requirements.txt, so the step fails "No module named pytest"; (b) the project repo has no tests, and pytest exits with code 5 ("no tests ran"), which fails the check — the reader's first CI run is red for reasons the chapter never explains; (c) the -q description is wrong (pytest prints dots by default; -q trims the header/summary; -v gives a line per test). Step 6 gives no way to "push a deliberate failure".</t>
  </si>
  <si>
    <t xml:space="preserve">Sequence / Correctness</t>
  </si>
  <si>
    <t xml:space="preserve">Replace the last step with checks the reader already understands: - run: python -m compileall -q scripts ("compile every .py file; fails on a syntax error") and - run: python scripts/monthly_report.py --help ("the script's arguments are parsed before any database connection, so this proves it imports and starts without needing a password" — confirm Ch 20's script parses args before connecting, else drop this line). Explain compileall, -q, and exit codes ("a command that ends with a non-zero exit code turns the check red"). Project step 6: "Delete a closing bracket in scripts/monthly_report.py, commit, push, watch it go red; restore it, push, watch it go green." Add in "Where this leads": "Chapter 29 adds python -m pytest -q to this workflow once you have tests." Change the job name test: to check:.</t>
  </si>
  <si>
    <t xml:space="preserve">26.20</t>
  </si>
  <si>
    <t xml:space="preserve">§26.8 - run: pip install -r requirements.txt</t>
  </si>
  <si>
    <t xml:space="preserve">Ch 17 §17.3 creates requirements.txt with pip freeze. On Windows, an environment with Jupyter includes pywin32 (a Windows-only dependency of jupyter_core), so the Linux runner fails "No matching distribution found for pywin32" — a red check for most Windows readers. Also the file may be missing from the repo.</t>
  </si>
  <si>
    <t xml:space="preserve">Add: "Keep requirements.txt to the packages your scripts import (pandas, sqlalchemy, psycopg[binary], python-dotenv…), written by hand, rather than the full pip freeze list — a frozen Windows environment includes Windows-only packages such as pywin32 that cannot install on the Linux machine." Use python -m pip install -r requirements.txt for consistency with Ch 17.</t>
  </si>
  <si>
    <t xml:space="preserve">26.21</t>
  </si>
  <si>
    <t xml:space="preserve">§26.8 python-version: "3.12"; settings table "set it to the version you actually develop on"; answer 10 "Python 3.11 or later"</t>
  </si>
  <si>
    <t xml:space="preserve">Ch 17 installs 3.13/3.14 and Ch 20 requires 3.13 or 3.14; the chapter's own advice therefore contradicts its example. Ch 27 says 3.11.</t>
  </si>
  <si>
    <t xml:space="preserve">Use "3.13" in the workflow and "Python 3.13 or later" in answer 10; align Ch 27's "Python 3.11" to the version actually used to produce its outputs. Keep the "3.10 reads as 3.1" explanation.</t>
  </si>
  <si>
    <t xml:space="preserve">26.22</t>
  </si>
  <si>
    <t xml:space="preserve">§26.8 actions/checkout@v4, actions/setup-python@v5</t>
  </si>
  <si>
    <t xml:space="preserve">Newer major versions exist (checkout v5, setup-python v6 were released in 2025), and GitHub is retiring the Node 20 runtime older actions use. Pinning to an old major is fine but should be a conscious choice.</t>
  </si>
  <si>
    <t xml:space="preserve">At print time, update to the current majors and add a one-line note: "Pin a major version; update it about once a year when GitHub announces a deprecation."</t>
  </si>
  <si>
    <t xml:space="preserve">26.23</t>
  </si>
  <si>
    <t xml:space="preserve">§26.4 "The .env file is loaded into them, by your shell or by a small library, before the script runs." password = os.environ["DB_PASSWORD"]</t>
  </si>
  <si>
    <t xml:space="preserve">The step that makes the code work is vague: a reader who writes .env and runs the script gets a KeyError. Chapters 18 and 20 already used python-dotenv and set -a; . ./.env; set +a. Also the variable names don't match earlier chapters: Ch 18 reads RIVERSTONE_DB (a full connection URL) and Ch 20 reads SMTP_HOST/SMTP_USER/SMTP_PASSWORD; "Chapter 20's report script needs a database password" is not how Ch 20 was written.</t>
  </si>
  <si>
    <t xml:space="preserve">Show both loading routes, each run: (1) in Python — from dotenv import load_dotenv / load_dotenv() above the os.environ line, explaining that load_dotenv() reads .env in the current folder into the environment (python-dotenv was installed in Ch 18); (2) in bash — set -a; . ./.env; set +a (Ch 20) with a one-line explanation of each part (taught in §26.0). Make the example variables match the scripts: .env.example with RIVERSTONE_DB= and SMTP_HOST=, SMTP_USER=, SMTP_PASSWORD=; change the sentence to "Chapter 18's report script reads the database URL, and Chapter 20's email step reads a mail password".</t>
  </si>
  <si>
    <t xml:space="preserve">26.24</t>
  </si>
  <si>
    <t xml:space="preserve">§26.4 .gitignore; answer 7</t>
  </si>
  <si>
    <t xml:space="preserve">Omits .venv/, although Ch 17 §17.3 says "never commit the .venv folder itself" and the reader has one in every project folder. Project step 2 ("move the work in") plus git add . would commit thousands of files.</t>
  </si>
  <si>
    <t xml:space="preserve">Add under "# Local noise": .venv/ with the comment "the virtual environment: rebuilt from requirements.txt". Add it to answer 7 and to exercise 4's list.</t>
  </si>
  <si>
    <t xml:space="preserve">26.25</t>
  </si>
  <si>
    <t xml:space="preserve">§26.4 ".env.example instead, with the names and no values" then DB_HOST=localhost</t>
  </si>
  <si>
    <t xml:space="preserve">Says "no values" and then gives one.</t>
  </si>
  <si>
    <t xml:space="preserve">"…with the names, and a value only where it is safe and the same for everyone (like localhost)".</t>
  </si>
  <si>
    <t xml:space="preserve">26.26</t>
  </si>
  <si>
    <t xml:space="preserve">§26.7 PR description "January drops from ₹115,400 to ₹104,210"; story &amp; answer 3 "Exclude cancelled orders from monthly revenue"</t>
  </si>
  <si>
    <t xml:space="preserve">(a) Chapter 3 and Ch 12 give January as ₹116,210 booked including cancelled order 5004 (₹12,000), ₹104,210 excluding it — ₹115,400 is wrong. (b) The chapter's monthly_revenue.sql reads sales_lines, which Ch 13 §13.2 defined as already excluding cancelled orders, so a commit "Exclude cancelled orders from monthly revenue" to this query makes no sense to a reader who remembers the view.</t>
  </si>
  <si>
    <t xml:space="preserve">(a) Change to "January drops from ₹116,210 to ₹104,210 — the ₹12,000 is cancelled order 5004 — which now matches the finance figure." (b) Either say the report script in the story queried orders/order_items directly (so the exclusion was needed), or change the rule in the story to one the view does not already apply (e.g., "Exclude internal test customer from monthly revenue"). Keep answer 3's message but tie it to the right file.</t>
  </si>
  <si>
    <t xml:space="preserve">26.27</t>
  </si>
  <si>
    <t xml:space="preserve">"In the real world": "lower than he expected by a little under two lakh rupees"</t>
  </si>
  <si>
    <t xml:space="preserve">Not tied to any figure in the book; the only January cancelled-order effect the reader knows is ₹12,000 (mini database).</t>
  </si>
  <si>
    <t xml:space="preserve">Either state that the story uses the full company data and give the actual difference, or use the known ₹12,000 ("lower than his notes by ₹12,000").</t>
  </si>
  <si>
    <t xml:space="preserve">26.28</t>
  </si>
  <si>
    <t xml:space="preserve">Story "The repository she set up the following Monday" (February) and git log -n 3 including 6489661, 1bed4f9</t>
  </si>
  <si>
    <t xml:space="preserve">The story's repository contains the tutorial's commits, which the tutorial dated 2 March 2026, after the story's February setup; and "She could not prove" the January date, yet her commit message asserts "agreed with finance, 8 Jan".</t>
  </si>
  <si>
    <t xml:space="preserve">Give the story its own commit list (e.g., "a3f9c1e Exclude cancelled orders… (agreed with finance, 8 Jan; confirmed by email 9 Feb)", plus two story-specific commits), or say explicitly "the same repository you built in this chapter".</t>
  </si>
  <si>
    <t xml:space="preserve">26.29</t>
  </si>
  <si>
    <t xml:space="preserve">§26.2 "Section 26.5 explains branches"; §26.2 settings table "section 26.4 explains why" (amend); §26.3 "Section 26.2's git log --oneline"</t>
  </si>
  <si>
    <t xml:space="preserve">Three wrong in-chapter cross-references: branches are §26.6; amend-after-push is §26.5; --oneline is first used in §26.3.</t>
  </si>
  <si>
    <t xml:space="preserve">Fix to "Section 26.6", "section 26.5", and delete/replace the §26.3 reference (see 26.7).</t>
  </si>
  <si>
    <t xml:space="preserve">26.30</t>
  </si>
  <si>
    <t xml:space="preserve">§26.9 "The README … Six headings"; Tools "Markdown … An hour to learn"</t>
  </si>
  <si>
    <t xml:space="preserve">README.md, metrics.md, CHANGELOG.md and FINDINGS.md (Ch 27) must be written in Markdown, but its syntax is never taught; Ch 17/18 only generated Markdown from code.</t>
  </si>
  <si>
    <t xml:space="preserve">Add a 10-line Markdown box in §26.9: #/## headings, blank line between paragraphs, - bullets, 1. numbered steps, backticks for inline code, triple-backtick fenced blocks for commands, [text](url) links, a two-row table; and "GitHub renders README.md on the repository's front page". Show a 12-line README skeleton with the six headings.</t>
  </si>
  <si>
    <t xml:space="preserve">26.31</t>
  </si>
  <si>
    <t xml:space="preserve">§26.9 "The test for the setup section: delete the folder, clone it fresh"</t>
  </si>
  <si>
    <t xml:space="preserve">If the reader has not pushed (or has uncommitted work), deleting the folder destroys it — a dangerous instruction for a beginner. Project step 4 wisely says "clone into a new folder somewhere else".</t>
  </si>
  <si>
    <t xml:space="preserve">Replace with "push first, then clone into a different folder (cd ~ then git clone &lt;url&gt; readme-test) and follow your instructions there; delete that test folder afterwards".</t>
  </si>
  <si>
    <t xml:space="preserve">26.32</t>
  </si>
  <si>
    <t xml:space="preserve">§26.2 settings table "--noverify … skip any checks configured to run before committing"; mistakes table "git log -p"; §26.3 "alias to something short"; commit output "create mode 100644"</t>
  </si>
  <si>
    <t xml:space="preserve">Items shown but not explained: hooks (pre-commit appears only in Tools), -p, how to make an alias, the mode line. --noverify should read --no-verify (check the typeset, the hyphen may be lost at the line break).</t>
  </si>
  <si>
    <t xml:space="preserve">Line-by-line / Polish</t>
  </si>
  <si>
    <t xml:space="preserve">Drop --no-verify from the table (it refers to hooks the reader has not met) or add "(checks called hooks, which the pre-commit tool in Tools sets up)". Add "git log -p shows each commit's diff" where it is used. Add the alias command: git config --global alias.lg "log --oneline --graph --stat -n 20" then git lg. One clause for "create mode 100644: a normal, non-executable file".</t>
  </si>
  <si>
    <t xml:space="preserve">26.33</t>
  </si>
  <si>
    <t xml:space="preserve">Why this matters "cleaning scripts in Chapter 14"; Practice data "scripts from Chapters 17, 18, and 20"</t>
  </si>
  <si>
    <t xml:space="preserve">After M.2, Ch 14's pandas section moves to Ch 18, so Ch 14 produces SQL and spreadsheet cleaning, not scripts.</t>
  </si>
  <si>
    <t xml:space="preserve">"cleaning queries and workbooks in Chapter 14, cleaning code in Chapter 18".</t>
  </si>
  <si>
    <t xml:space="preserve">26.34</t>
  </si>
  <si>
    <t xml:space="preserve">§26.10 "Scrum has sprints and four ceremonies"</t>
  </si>
  <si>
    <t xml:space="preserve">The Scrum Guide calls them events and counts five (the sprint itself plus planning, daily scrum, review, retrospective). "Ceremony" is common industry slang.</t>
  </si>
  <si>
    <t xml:space="preserve">"Scrum runs in sprints and has four meetings, which Scrum calls events (many teams say 'ceremonies')".</t>
  </si>
  <si>
    <t xml:space="preserve">26.35</t>
  </si>
  <si>
    <t xml:space="preserve">§26.11 "personal data sent to a third-party service is a disclosure, and it is your employer's obligation"</t>
  </si>
  <si>
    <t xml:space="preserve">Slightly overstated: under the DPDP Act 2023 an employer (the data fiduciary) may share personal data with a processor under a valid contract; the problem with pasting into an unapproved tool is that no such contract exists. The chapter's later "approved assistant with a data-processing agreement" sentence already hints at this.</t>
  </si>
  <si>
    <t xml:space="preserve">"…personal data pasted into a tool your employer has no contract with is a disclosure your employer is responsible for; an approved tool with a data-processing agreement is a different case (below)."</t>
  </si>
  <si>
    <t xml:space="preserve">26.36</t>
  </si>
  <si>
    <t xml:space="preserve">Why this matters "Twenty-one chapters of this book point here"</t>
  </si>
  <si>
    <t xml:space="preserve">A precise count that is already off (19 of the extracted chapters plus Part I) and will drift with renumbering.</t>
  </si>
  <si>
    <t xml:space="preserve">"Nearly twenty chapters point here…" or drop the count.</t>
  </si>
  <si>
    <t xml:space="preserve">26.37</t>
  </si>
  <si>
    <t xml:space="preserve">Answer 10: .venv\Scripts\activate for Windows; (see sql/setup/)</t>
  </si>
  <si>
    <t xml:space="preserve">In Git Bash (the terminal this chapter uses on Windows) the command is source .venv/Scripts/activate; the backslash form is for cmd/PowerShell. sql/setup/ is not in §26.9's structure.</t>
  </si>
  <si>
    <t xml:space="preserve">"(Windows, Git Bash: source .venv/Scripts/activate; PowerShell: .venv\Scripts\Activate.ps1)". Add setup/ under sql/ in the §26.9 tree or point to "Appendix E's load script".</t>
  </si>
  <si>
    <t xml:space="preserve">26.38</t>
  </si>
  <si>
    <t xml:space="preserve">Whole chapter; Time needed "6–8 hours"</t>
  </si>
  <si>
    <t xml:space="preserve">Load: §26.0 + ~30 Git commands + GitHub account/auth + CI/YAML + README/Markdown + Scrum/Kanban/Jira + AI policy + 15 exercises + a 2-hour project in one chapter.</t>
  </si>
  <si>
    <t xml:space="preserve">State three sittings in the chapter opener: (1) §26.0–26.6 local Git (3–4 h with typing along), (2) §26.7–26.9 GitHub, CI, README (2–3 h), (3) §26.10–26.11 + project (3–4 h). Time needed: 9–11 hours.</t>
  </si>
  <si>
    <t xml:space="preserve">V26.1</t>
  </si>
  <si>
    <t xml:space="preserve">p. 5 · Figure 26.1 (three places)</t>
  </si>
  <si>
    <t xml:space="preserve">Confirmed too small: box text 5.1–5.3 pt, file-chip text in mono 4.4 pt, arrow labels about 5 pt. The key "choose / record" labels and the example chips cannot be read in print.</t>
  </si>
  <si>
    <t xml:space="preserve">Redraw at column width with a 7 pt minimum; the chips can go to 6.5 pt mono at the smallest.</t>
  </si>
  <si>
    <t xml:space="preserve">V26.2</t>
  </si>
  <si>
    <t xml:space="preserve">p. 17 · Figure 26.3 (branch → PR loop)</t>
  </si>
  <si>
    <t xml:space="preserve">Branch and command labels are 4.3 pt and the PR card text 4.3–4.9 pt. "git push -u origin &lt;branch&gt;" and the PR checklist are unreadable.</t>
  </si>
  <si>
    <t xml:space="preserve">Enlarge to 7 pt minimum; the figure can take the full column height it already reserves.</t>
  </si>
  <si>
    <t xml:space="preserve">V26.3</t>
  </si>
  <si>
    <t xml:space="preserve">p. 11 (folio 10) · Page before Figure 26.2</t>
  </si>
  <si>
    <t xml:space="preserve">Confirmed: after the 26.5 intro paragraph the bottom 34% of the page is blank, because Figure 26.2 (about 55% of a page) moved to p. 12.</t>
  </si>
  <si>
    <t xml:space="preserve">Let the ".env.example" code block and the 26.5 intro flow around the figure (float to top of p. 12 with text back-filling p. 11), or shrink the figure.</t>
  </si>
  <si>
    <t xml:space="preserve">V26.4</t>
  </si>
  <si>
    <t xml:space="preserve">p. 4 (folio 3) · 26.1 opening</t>
  </si>
  <si>
    <t xml:space="preserve">Heading 26.1 plus one sentence ("Before any commands, the mental model…"), then 20% blank. Figure 26.1 starts p. 5.</t>
  </si>
  <si>
    <t xml:space="preserve">Keep the heading and intro with the figure, or let the text that follows the figure back-fill.</t>
  </si>
  <si>
    <t xml:space="preserve">V26.5</t>
  </si>
  <si>
    <t xml:space="preserve">p. 16 (folio 15) · Before Figure 26.3</t>
  </si>
  <si>
    <t xml:space="preserve">"The flow is the same four steps everywhere:" ends the page above 28% blank. The figure and the numbered steps are on p. 17.</t>
  </si>
  <si>
    <t xml:space="preserve">Keep the lead-in with the figure, or place the figure after the steps.</t>
  </si>
  <si>
    <t xml:space="preserve">V26.6</t>
  </si>
  <si>
    <t xml:space="preserve">p. 7, 9, 18 · Flag / setting tables</t>
  </si>
  <si>
    <t xml:space="preserve">Mid-token wraps in the narrow first column: "--no-" / "verify" (p. 7), "--" / "oneline" (p. 9), "python-" / "version:" (p. 18).</t>
  </si>
  <si>
    <t xml:space="preserve">Widen col 1 to about 30 mm (tighten "Value used here" instead), or set code cells to white-space: nowrap.</t>
  </si>
  <si>
    <t xml:space="preserve">V26.7</t>
  </si>
  <si>
    <t xml:space="preserve">p. 13→14 (folio 12) · Sub-heading "4. A commit is already shared and is wrong"</t>
  </si>
  <si>
    <t xml:space="preserve">Heading plus one line strands at the page foot; its code block starts p. 14.</t>
  </si>
  <si>
    <t xml:space="preserve">Keep-with-next on H3 plus the following block.</t>
  </si>
  <si>
    <t xml:space="preserve">V26.8</t>
  </si>
  <si>
    <t xml:space="preserve">"Draft chapter · v1" badge and "21 September 2026" are visible to readers. Ch25 says v2.</t>
  </si>
  <si>
    <t xml:space="preserve">Remove for print, or align versions across chapters.</t>
  </si>
  <si>
    <t xml:space="preserve">V26.9</t>
  </si>
  <si>
    <t xml:space="preserve">Add page numbers with leaders.</t>
  </si>
  <si>
    <t xml:space="preserve">V26.10</t>
  </si>
  <si>
    <t xml:space="preserve">p. 1, 3, footer · Chapter title</t>
  </si>
  <si>
    <t xml:space="preserve">The body H1 is "The Professional Toolkit: Git, Agile, Documentation &amp; AI Assistants" (as in contents). The cover and running footer say only "The Professional Toolkit". The other chapters use one title everywhere.</t>
  </si>
  <si>
    <t xml:space="preserve">Use one form. Put the long subtitle on the cover as a subtitle, or shorten the H1.</t>
  </si>
  <si>
    <t xml:space="preserve">V26.11</t>
  </si>
  <si>
    <t xml:space="preserve">p. 7 · "Settings on git commit" table, --amend row</t>
  </si>
  <si>
    <t xml:space="preserve">The cross-reference says "section 26.4 explains why". Amend is covered in 26.5 (26.4 is secrets).</t>
  </si>
  <si>
    <t xml:space="preserve">Change to "section 26.5".</t>
  </si>
  <si>
    <t xml:space="preserve">V26.12</t>
  </si>
  <si>
    <t xml:space="preserve">p. 7 · Commit-message table</t>
  </si>
  <si>
    <t xml:space="preserve">The last row "asdf → anything" sets "anything" in body sans rather than mono. It reads as an instruction to write anything.</t>
  </si>
  <si>
    <t xml:space="preserve">Reword (for example "anything specific") or italicise to show it is commentary.</t>
  </si>
  <si>
    <t xml:space="preserve">V26.13</t>
  </si>
  <si>
    <t xml:space="preserve">p. 12→13 · Paragraph</t>
  </si>
  <si>
    <t xml:space="preserve">Inline code split across the page break: "Run git" / "diff first".</t>
  </si>
  <si>
    <t xml:space="preserve">Non-breaking space inside inline code.</t>
  </si>
  <si>
    <t xml:space="preserve">V26.14</t>
  </si>
  <si>
    <t xml:space="preserve">p. 17, 18, 23, 29 and others · Inline code pills</t>
  </si>
  <si>
    <t xml:space="preserve">A stray space before punctuation after code pills: "( uses: )", "@v4 , @v5", "restore , restore --staged ,".</t>
  </si>
  <si>
    <t xml:space="preserve">Remove the padding/space the renderer adds after code before , . )</t>
  </si>
  <si>
    <t xml:space="preserve">V26.15</t>
  </si>
  <si>
    <t xml:space="preserve">p. 23 · Common-mistakes table</t>
  </si>
  <si>
    <t xml:space="preserve">Inline commands wrap inside cells ("git reset" / "--hard", "git" / "log -p").</t>
  </si>
  <si>
    <t xml:space="preserve">Set code in tables to no-wrap, or widen the column.</t>
  </si>
  <si>
    <t xml:space="preserve">V26.16</t>
  </si>
  <si>
    <t xml:space="preserve">p. 21–22 · "Delegate / Keep" table</t>
  </si>
  <si>
    <t xml:space="preserve">Splits with only 2 rows carried to p. 22. The header does repeat.</t>
  </si>
  <si>
    <t xml:space="preserve">Keep this short table together.</t>
  </si>
  <si>
    <t xml:space="preserve">V26.17</t>
  </si>
  <si>
    <t xml:space="preserve">p. 31 · Answers, exercise 7</t>
  </si>
  <si>
    <t xml:space="preserve">"7." sits alone on a line above its code block.</t>
  </si>
  <si>
    <t xml:space="preserve">Run the number into a lead sentence ("7. For example:") or set the block beside it.</t>
  </si>
  <si>
    <t xml:space="preserve">V26.18</t>
  </si>
  <si>
    <t xml:space="preserve">p. 17 · Figure 26.3 caption</t>
  </si>
  <si>
    <t xml:space="preserve">The caption repeats the in-figure subtitle ("The unit of work on a team is not a commit. It is a pull request.").</t>
  </si>
  <si>
    <t xml:space="preserve">Vary or drop one.</t>
  </si>
  <si>
    <t xml:space="preserve">V26.19</t>
  </si>
  <si>
    <t xml:space="preserve">p. 12 · Figure 26.2 footer</t>
  </si>
  <si>
    <t xml:space="preserve">"git reset --hard" is in bold sans, while every other command in the figure is mono.</t>
  </si>
  <si>
    <t xml:space="preserve">Set it in mono.</t>
  </si>
  <si>
    <t xml:space="preserve">27.1</t>
  </si>
  <si>
    <t xml:space="preserve">§27.4 "NTILE(4) OVER (ORDER BY ...) is Chapter 13 section 13.7's window function."</t>
  </si>
  <si>
    <t xml:space="preserve">NTILE is not taught in Chapter 13 (§13.7 is the pattern library; §13.4 teaches ROW_NUMBER/RANK/DENSE_RANK only). Its first teaching is Chapter 28 ("use the window function NTILE(n), which splits ordered rows…"). A new function is presented as a recap.</t>
  </si>
  <si>
    <t xml:space="preserve">Preferred: add NTILE to Chapter 13 §13.4 (it belongs with the ranking functions): 6–8 lines on the mini database, e.g. SELECT order_id, order_value, NTILE(4) OVER (ORDER BY order_value) AS quartile FROM … with output, and a note that group sizes differ by at most one (12 orders → 3,3,3,3; 662 → 166,166,165,165). Ch 28 then recaps. Minimum alternative: in §27.4 say "NTILE is new here" and show it first on 8 hand-countable rows with output before the 662-row query. Either way fix the reference.</t>
  </si>
  <si>
    <t xml:space="preserve">27.2</t>
  </si>
  <si>
    <t xml:space="preserve">Before you start "This chapter teaches almost nothing new."; Figure 27.1 "Nothing here is new"; §27.2 "Nothing here is new"</t>
  </si>
  <si>
    <t xml:space="preserve">Overstated. New in this chapter: NTILE (27.1); pandas .ge(), the :g format spec, .round({dict}), "size" vs "count" in named aggregation, is not None; the Welch CI for a difference of two group means and Pearson r applied without code; and a set of new methods and terms — decision log with measured effect, threshold sensitivity analysis, "segment effect", "denominator of the search", analysis plan committed before results, FINDINGS.md, the five selective-reporting moves, the ninety-second scan, the two-/ten-minute story, the job-ready rubric. The method content is the chapter's value and deserves to be called new.</t>
  </si>
  <si>
    <t xml:space="preserve">Rewrite to: "This chapter adds no new tools and one new SQL function (NTILE). What is new is method: how to record and measure your own decisions, how to test a headline before believing it, and how to present work honestly." In Figure 27.1 change the subtitle to "The tools are not new. The order is the lesson…". List the new pandas bits in §27.5's "How it works" as "new here" (see 27.13).</t>
  </si>
  <si>
    <t xml:space="preserve">27.3</t>
  </si>
  <si>
    <t xml:space="preserve">Practice data "Every number and every output … was produced by running the query or the script shown"</t>
  </si>
  <si>
    <t xml:space="preserve">False as written: at least six printed results have no code: (a) §27.3 "as loaded / duplicates merged" tables; (b) §27.4 "Q4 - Q1 = -0.48 orders; 95% CI [-1.89, 0.92]; p = 0.50" and "pearson r = -0.081 (p = 0.038)"; (c) §27.6/§27.7 "Wholesale 18.6%, Hospitality 31.8%, Retail 30.2%" margins; (d) §27.10 "company net revenue matches the finance figure for 2025 to the rupee" (never performed); (e) answer 5's composition table (deep group, of which Wholesale, rest average); (f) answer 12's "revenue per customer" by quartile claim. The reader cannot reproduce them — the capstone breaks the book's own Jupyter-style rule.</t>
  </si>
  <si>
    <t xml:space="preserve">Add each as a shown, run, explained cell: (a) the merge — join a mapping table from Ch 14 §14.4 (duplicate_id → original_id) and replace customer_id with COALESCE(m.original_id, o.customer_id) in the CTE (SQL), or in pandas orders["customer_id"] = orders.customer_id.replace(mapping); show both outputs. (b) In Python, reusing customer_year(segment="Wholesale"): add quartile = pd.qcut(t.discount_pct.rank(method="first"), 4, labels=[1,2,3,4]), then stats.ttest_ind(q4, q1, equal_var=False) and the CI for the difference (Ch 22 §22.1/§22.2 code) and stats.pearsonr(t.discount_pct, t.orders) (Ch 22 §22.5), each with output and one line per argument. (c) A 6-line SQL margin-by-segment query with output. (d) A reconciliation query: 2025 net revenue from the CTE vs the finance figure (Ch 18's answer gives 2025 = 2024's ₹903,015,475 × 1.27 ≈ ₹1,146.8 M; the chapter's own tables sum to ₹1,146,642,997) with the difference shown. (e) and (f) in the answers: show the three-row query/pandas snippet. Then keep the practice-data sentence.</t>
  </si>
  <si>
    <t xml:space="preserve">27.4</t>
  </si>
  <si>
    <t xml:space="preserve">§27.3 "The analysis below uses the merged version, because it is more correct"</t>
  </si>
  <si>
    <t xml:space="preserve">Contradicted by every later number: §27.4 segment rows sum to 681 deep / 3,918 shallow (the as-loaded counts; merged are 674 / 3,881); §27.5's script prints 681 / 3,918 and does no merging; the memo quotes 14.8 vs 9.3 (as-loaded). A careful reader will notice, and a reviewer of the reader's portfolio would too.</t>
  </si>
  <si>
    <t xml:space="preserve">Either (A) re-run §27.4–27.7 and the answers on the merged data and replace all figures (681→674, 3,918→3,881, 14.8→15.0, ₹459,662→₹464,414, 662→?, quartiles, CI, r, memo, FINDINGS answer), and add the merge to customer_year() as a parameter merge_duplicates=True (a nice extra what-if); or (B) keep the numbers and change the sentence to "Because the merge changes the headline by only 0.2 orders, the rest of the chapter uses the data as loaded, which keeps the SQL short; the decision log records that choice." Option B is simpler and itself models a recorded decision.</t>
  </si>
  <si>
    <t xml:space="preserve">27.5</t>
  </si>
  <si>
    <t xml:space="preserve">§27.5 DATA = ".", pd.read_csv(f"{DATA}/orders.csv")</t>
  </si>
  <si>
    <t xml:space="preserve">Stages 1–4 switch data sources without saying so: the SQL runs on the riverstone_full database, the Python reads orders.csv, order_items.csv, customers.csv from the current folder. The reader is never told where those CSVs come from (Ch 18 read them from ../full/), so DATA = "." fails with FileNotFoundError.</t>
  </si>
  <si>
    <t xml:space="preserve">Add before the code: "The script reads the same tables from the companion CSV exports in full/ (Chapter 18 used them); if you only have the database, replace the three read_csv lines with pd.read_sql as in Chapter 18 §18.13." Set DATA = "../full" (or whatever Appendix E's layout is) and explain it. Add a one-line check cell: customer_year().shape → (4599, 6) and customer_year().head() with output, so the reader sees the table before the report.</t>
  </si>
  <si>
    <t xml:space="preserve">27.6</t>
  </si>
  <si>
    <t xml:space="preserve">§27.5 the script; "print(discount_report(band_cut=5.0))"</t>
  </si>
  <si>
    <t xml:space="preserve">The file name is never given, nor where the what-if print(...) lines are run. With if __name__ == "__main__", running the file prints only the default; the what-ifs need an import from a notebook or a REPL.</t>
  </si>
  <si>
    <t xml:space="preserve">Name the file (e.g., scripts/discount_analysis.py) and show both ways: python scripts/discount_analysis.py (terminal, prints the default table) and, in a notebook in the repository root, from scripts.discount_analysis import discount_report (or import sys; sys.path.append("scripts") then from discount_analysis import discount_report) followed by the what-if cells, one per cell, each with output.</t>
  </si>
  <si>
    <t xml:space="preserve">27.7</t>
  </si>
  <si>
    <t xml:space="preserve">§27.2 "Chapter 13 section 13.4 explains why: BETWEEN…"; §27.3 "Chapter 14 section 14.9 called the cleaning log"; "Chapter 14 section 14.5 built the matching"; §27.4 "Chapter 22 section 22.2 is precise about" (CI); "Chapter 22 section 22.3 warned" (significance vs sample size); §27.5 "Chapter 18 section 18.3 shows going wrong quietly"; "Chapter 17 section 17.8 introduced this" (__name__); §27.6 "Chapter 15 section 15.6: the title is the finding"; Ex 11 "Chapter 22 section 22.6 is the relevant material"; §27.2 "This is Chapter 13's fan-out trap"</t>
  </si>
  <si>
    <t xml:space="preserve">Ten wrong section/chapter pointers (checked against the chapter texts). A capstone that sends the reader back for review must point to the right place.</t>
  </si>
  <si>
    <t xml:space="preserve">Polish / Consistency</t>
  </si>
  <si>
    <t xml:space="preserve">Replace with: BETWEEN on timestamps → Chapter 13 §13.6 ("Watch out: BETWEEN with timestamps"); cleaning log → Chapter 14 §14.1 (step 6 "Document") and §14.10 "Reconciling and documenting every decision"; duplicate matching → Chapter 14 §14.4 "Duplicates, exact and fuzzy"; CI → Chapter 22 §22.1; significance vs sample size → Chapter 22 §22.8 "Statistical significance versus practical significance"; parse_dates → Chapter 18 §18.2 (and §18.9 for dates); if __name__ → Chapter 17 §17.14 "From notebook to script"; titles that state the finding → Chapter 15 §15.11; test design → Chapter 22 §22.3 "Designing an A/B test"; fan-out → Chapter 12 §12.10. (Correct as is: §13.2 sales_lines view, §22.4 forking paths, §22.5 confounders, §24.4 pyramid, §26.9, §26.11.)</t>
  </si>
  <si>
    <t xml:space="preserve">27.8</t>
  </si>
  <si>
    <t xml:space="preserve">§27.2 first query (discount_pct and margin_pct by year)</t>
  </si>
  <si>
    <t xml:space="preserve">The first code block of the chapter has no "How it works": nested SUMs inside 1 - …/…, the margin formula, EXTRACT(YEAR FROM …)::int, ROUND(…, 2). Only the second query is explained. ::int is PostgreSQL-only although Tools says "PostgreSQL or MySQL".</t>
  </si>
  <si>
    <t xml:space="preserve">Add 4 bullets: EXTRACT(YEAR FROM o.order_date) gives the year (Ch 13); ::int is PostgreSQL's cast to a whole number so the year prints as 2023 not 2023.0 — in MySQL write YEAR(o.order_date); 1 - net/list is the share of list value given away (the money-weighted discount, same reason as in the next query); margin = (net revenue − product cost) ÷ net revenue. Consider splitting into two cells (discount first, then add margin). Add a MySQL note for the whole chapter: all other queries run unchanged on MySQL 8. Also add one sentence on the unremarked margin trend (21.1% → 27.5% while discount is flat) — a reader will ask.</t>
  </si>
  <si>
    <t xml:space="preserve">27.9</t>
  </si>
  <si>
    <t xml:space="preserve">§27.4 "Wholesale is the only segment with enough spread to try it"; §27.6 "orders per customer by discount quartile, one panel per segment"; memo "I also tested whether the effect appears within Retail…"</t>
  </si>
  <si>
    <t xml:space="preserve">Analytical gap a senior reviewer would raise: Vikram's decision is about Retail. The chapter tests depth-vs-orders only inside Wholesale (6.7–12%) and, for Retail, only at the 5% cut (10 customers). It never looks at the discount spread Retail customers actually have (0–5%, 2,565 customers), yet the dashboard spec asks for per-segment quartile panels whose numbers are never computed, and the dashboard says Retail has "no deep-discount customers to compare".</t>
  </si>
  <si>
    <t xml:space="preserve">Correctness (analysis)</t>
  </si>
  <si>
    <t xml:space="preserve">Add one what-if to §27.5: discount_report(segment="Retail", band_cut=&lt;Retail median discount&gt;) or a Retail quartile table (same NTILE query with c.segment = 'Retail'), with output and one paragraph: whatever it shows, it is the within-Retail evidence the memo needs. Update the memo's "What I checked" and FINDINGS answer. Make the dashboard object consistent with what was computed (either show the Retail/Hospitality quartile panels or change the object to "Wholesale quartiles + a note that Retail's range is 0–5%").</t>
  </si>
  <si>
    <t xml:space="preserve">27.10</t>
  </si>
  <si>
    <t xml:space="preserve">§27.5 "Filtering the lines first would have changed each customer's discount rate."</t>
  </si>
  <si>
    <t xml:space="preserve">Incorrect reasoning: segment and min_orders are customer-level, so filtering lines by segment keeps or drops all of a customer's lines together and cannot change their discount rate; min_orders cannot be applied to lines at all.</t>
  </si>
  <si>
    <t xml:space="preserve">Replace with: "They come last because both describe a customer, not a line: segment is a customer attribute, and min_orders needs the order count that the groupby has just computed."</t>
  </si>
  <si>
    <t xml:space="preserve">27.11</t>
  </si>
  <si>
    <t xml:space="preserve">§27.3 table "3,414 orders with no sales rep"; memo "3,414 of 2025's orders have no sales rep recorded"</t>
  </si>
  <si>
    <t xml:space="preserve">The table is not scoped to 2025; the memo says 2025. 3,414 is 2.9% of all 116,194 orders (consistent with Ch 14's "about 3% of lines have no rep"), but would be ~8–9% of 2025's orders.</t>
  </si>
  <si>
    <t xml:space="preserve">Decide the scope, re-count, and use the same wording in both places (likely "3,414 orders across 2023–2025"). Same for "60 Pending orders dated before June 2025".</t>
  </si>
  <si>
    <t xml:space="preserve">27.12</t>
  </si>
  <si>
    <t xml:space="preserve">§27.2–27.4 FROM orders … WHERE o.status &lt;&gt; 'Cancelled'</t>
  </si>
  <si>
    <t xml:space="preserve">Which tables? Ch 14 showed riverstone_full's raw extract has 18 status spellings (Cxl, Canceled, CANCELLED…). &lt;&gt; 'Cancelled' is correct only on the cleaned orders table. The chapter never says whether it queries Ch 14's cleaned tables.</t>
  </si>
  <si>
    <t xml:space="preserve">Add to Practice data: "The queries use the cleaned tables orders, order_items, customers loaded in Chapter 14 (statuses already standardised; the 48 duplicate customers still present, which §27.3 handles)." If they are not cleaned, the cleaning table in §27.3 must include status standardisation.</t>
  </si>
  <si>
    <t xml:space="preserve">27.13</t>
  </si>
  <si>
    <t xml:space="preserve">§27.5 if segment is not None:; .ge(band_cut); f"{band_cut:g}%…"; .round({"avg_orders": 1, …}); module docstring</t>
  </si>
  <si>
    <t xml:space="preserve">New pieces explained only partly: is not None (why is and not ==) is not explained; .ge and :g are explained but not flagged as new; the triple-quoted line at the top (module docstring) is not mentioned.</t>
  </si>
  <si>
    <t xml:space="preserve">Add bullets: "segment=None makes the argument optional (Ch 17 §17.10); is not None is the standard test for 'an argument was given' — use is with None, == for values." Mark .ge, :g, .round(dict) "(new here)". One line: "The first line is a docstring for the whole file: what the script is for."</t>
  </si>
  <si>
    <t xml:space="preserve">27.14</t>
  </si>
  <si>
    <t xml:space="preserve">Answer 12 "revenue per customer, which is flat across the four"</t>
  </si>
  <si>
    <t xml:space="preserve">Wrong: quartile revenue is ₹431,573 / ₹519,663 / ₹511,059 / ₹427,265 — the same hump as orders (±10%), not flat. The proposed diagnostic then reasons from a false premise.</t>
  </si>
  <si>
    <t xml:space="preserve">"…and at revenue per customer, which has the same hump (₹432k, ₹520k, ₹511k, ₹427k); if the deepest quartile has the largest orders but fewer of them, the second explanation is doing the work…".</t>
  </si>
  <si>
    <t xml:space="preserve">27.15</t>
  </si>
  <si>
    <t xml:space="preserve">§27.5 "inside Wholesale, the more heavily discounted half orders less often"</t>
  </si>
  <si>
    <t xml:space="preserve">At band_cut=9.0 the deep group is 244 of 662 customers (37%), not half.</t>
  </si>
  <si>
    <t xml:space="preserve">"…the more heavily discounted group (244 customers at 9% or more)…".</t>
  </si>
  <si>
    <t xml:space="preserve">27.16</t>
  </si>
  <si>
    <t xml:space="preserve">§27.5 "The headline shrank by more than a third"</t>
  </si>
  <si>
    <t xml:space="preserve">True for the order gap (5.5 → 3.5, −36%), not for the revenue gap quoted in the same sentence (₹246,897 → ₹174,991, −29%).</t>
  </si>
  <si>
    <t xml:space="preserve">"The order gap shrank by more than a third, and the revenue gap by more than a quarter…".</t>
  </si>
  <si>
    <t xml:space="preserve">27.17</t>
  </si>
  <si>
    <t xml:space="preserve">§27.4 "Chapter 3 said it: the discount policy is tiered, and Wholesale buys in crate quantities"; §27.5 "band_cut was set to 5 because Riverstone's approval policy has a step there"</t>
  </si>
  <si>
    <t xml:space="preserve">Ch 3's table is an approval ladder (up to 5% sales executive; over 5% up to 10% Sales Manager; over 10% Sales Head); it does not say Wholesale buys crates. Also the policy step is "over 5%", while &gt;= 5 puts customers at exactly 5% (no approval needed) in the deep band.</t>
  </si>
  <si>
    <t xml:space="preserve">"Chapter 3's approval ladder (section 3.6): up to 5% needs no approval, over 5% needs Vikram, over 10% needs Anita" and drop the crate clause (or cite where Wholesale volume is shown, e.g., Ch 18's segment table). Either use &gt; 5 or add "(we include exactly 5%, which is where most Wholesale lines sit; the decision log records it)".</t>
  </si>
  <si>
    <t xml:space="preserve">27.18</t>
  </si>
  <si>
    <t xml:space="preserve">"In the real world": "the one Chapter 9 followed her building: hospitality orders before the wedding season, this year against last"</t>
  </si>
  <si>
    <t xml:space="preserve">Chapter 9's question was "which hospitality customers ordered before last year's wedding season but not this year?" (who stopped), not "are early-season buyers worth more".</t>
  </si>
  <si>
    <t xml:space="preserve">Align: either quote Ch 9's question and describe how it grew into the comparison, or amend Ch 9 to match.</t>
  </si>
  <si>
    <t xml:space="preserve">27.19</t>
  </si>
  <si>
    <t xml:space="preserve">§27.3 table "60 Pending orders … Kept … Neither affects a customer-level revenue measure"</t>
  </si>
  <si>
    <t xml:space="preserve">Pending orders pass status &lt;&gt; 'Cancelled', so stale pendings are counted as orders and revenue; they do affect the measure, if negligibly.</t>
  </si>
  <si>
    <t xml:space="preserve">"Kept, flagged in the memo. They are counted (a stale Pending passes the cancelled filter), but 60 orders out of ~40,000 in 2025 cannot move a customer average; the decision log says so."</t>
  </si>
  <si>
    <t xml:space="preserve">27.20</t>
  </si>
  <si>
    <t xml:space="preserve">Settings table "min_orders … Raising it to 5 removes one-order customers"</t>
  </si>
  <si>
    <t xml:space="preserve">Removes customers with 1–4 orders.</t>
  </si>
  <si>
    <t xml:space="preserve">"…removes customers with fewer than five orders…".</t>
  </si>
  <si>
    <t xml:space="preserve">27.21</t>
  </si>
  <si>
    <t xml:space="preserve">Tools "Python 3.11"; Ch 17/20 use 3.13/3.14</t>
  </si>
  <si>
    <t xml:space="preserve">Version inconsistency across chapters (Ch 26 workflow 3.12).</t>
  </si>
  <si>
    <t xml:space="preserve">Use the version actually used to produce the outputs and align Ch 26 (see 26.21).</t>
  </si>
  <si>
    <t xml:space="preserve">27.22</t>
  </si>
  <si>
    <t xml:space="preserve">Answer 5 "It removes non-Wholesale customers from the deep group"</t>
  </si>
  <si>
    <t xml:space="preserve">Correct but half the mechanism: raising the cut to 8% also moves 86 Wholesale customers (those below 8%) into the shallow group.</t>
  </si>
  <si>
    <t xml:space="preserve">Add "…(and moves the 86 least-discounted Wholesale customers into the 'under 8%' group, where 4,023 customers dilute them)".</t>
  </si>
  <si>
    <t xml:space="preserve">27.23</t>
  </si>
  <si>
    <t xml:space="preserve">Time needed "8–12 hours for the project … The reading is about an hour."</t>
  </si>
  <si>
    <t xml:space="preserve">See Size line: three full portfolio projects plus recordings cannot fit 8–12 hours for a first-timer; the reading with running every cell is 2–3 hours.</t>
  </si>
  <si>
    <t xml:space="preserve">"Reading and running the worked project: 2–3 hours. Your portfolio: 20–30 hours over one to two weeks (the deep project alone: 8–12 hours)."</t>
  </si>
  <si>
    <t xml:space="preserve">V27.1</t>
  </si>
  <si>
    <t xml:space="preserve">p. 28 · Answer 5 table ("band_cut / Deep group / …")</t>
  </si>
  <si>
    <t xml:space="preserve">The first header cell band_cut is set as an inline-code pill: a white pill with white header text, so the header shows as a blank white box.</t>
  </si>
  <si>
    <t xml:space="preserve">Override the code-pill style inside table headers (transparent background, inherit the white text), or use plain text.</t>
  </si>
  <si>
    <t xml:space="preserve">V27.2</t>
  </si>
  <si>
    <t xml:space="preserve">p. 5 · Figure 27.1 (analyst arc)</t>
  </si>
  <si>
    <t xml:space="preserve">Card text is 4.1 pt and chips and chapter refs 3.7 pt, unreadable in print. The chip "48 duplicates merged: +0.2 orders" also overflows its box: "orders" sits on the bottom border.</t>
  </si>
  <si>
    <t xml:space="preserve">Redraw at 7 pt minimum (3 × 2 cards if needed); size the chips to their content.</t>
  </si>
  <si>
    <t xml:space="preserve">V27.3</t>
  </si>
  <si>
    <t xml:space="preserve">p. 11 · Figure 27.2 (three panels)</t>
  </si>
  <si>
    <t xml:space="preserve">Panel titles about 5 pt; row labels, customer counts and value labels 3.8–4.4 pt. The figure carries the chapter's central argument and cannot be read.</t>
  </si>
  <si>
    <t xml:space="preserve">Give each panel more width (stack vertically, or use 3 rows) at 7 pt minimum.</t>
  </si>
  <si>
    <t xml:space="preserve">V27.4</t>
  </si>
  <si>
    <t xml:space="preserve">p. 19 · Figure 27.3 (ninety-second timeline)</t>
  </si>
  <si>
    <t xml:space="preserve">Text is 5.4–6.1 pt. All content sits in the left 55% of the frame, leaving the right half empty. The figure repeats the table directly above it.</t>
  </si>
  <si>
    <t xml:space="preserve">Scale up to fill the width at 7 pt or more, or drop the figure since the table already covers it.</t>
  </si>
  <si>
    <t xml:space="preserve">V27.5</t>
  </si>
  <si>
    <t xml:space="preserve">p. 6 · First SQL block (year / discount / margin)</t>
  </si>
  <si>
    <t xml:space="preserve">The long ROUND(...) line wraps so that "margin_pct" lands at column 0 with no continuation marker, as if it were a separate clause. Indentation is lost.</t>
  </si>
  <si>
    <t xml:space="preserve">Break the SQL deliberately (put AS margin_pct on its own indented line), or add a ↩ continuation marker and hanging indent to the code style.</t>
  </si>
  <si>
    <t xml:space="preserve">V27.6</t>
  </si>
  <si>
    <t xml:space="preserve">p. 30 · FINDINGS.md block (answer 10)</t>
  </si>
  <si>
    <t xml:space="preserve">Two list items wrap back to column 0 ("…no Wholesale customer is" / "below 5%.", "Kept the" / "merge."), while the other items use a two-space hanging indent.</t>
  </si>
  <si>
    <t xml:space="preserve">Hard-wrap those lines with the two-space indent used elsewhere in the block.</t>
  </si>
  <si>
    <t xml:space="preserve">V27.7</t>
  </si>
  <si>
    <t xml:space="preserve">p. 11 (folio 10) · Before discount_report code</t>
  </si>
  <si>
    <t xml:space="preserve">"The first builds the table. One row per customer…:" ends the page above a 34% blank. The code block starts p. 12.</t>
  </si>
  <si>
    <t xml:space="preserve">Allow the code block to split, or move the lead-in with it.</t>
  </si>
  <si>
    <t xml:space="preserve">V27.8</t>
  </si>
  <si>
    <t xml:space="preserve">p. 29→30 · Answers, exercise 10</t>
  </si>
  <si>
    <t xml:space="preserve">"10." is stranded alone at the foot of p. 29; its content (the FINDINGS block) is on p. 30.</t>
  </si>
  <si>
    <t xml:space="preserve">Keep the number with the block, or add a lead line.</t>
  </si>
  <si>
    <t xml:space="preserve">V27.9</t>
  </si>
  <si>
    <t xml:space="preserve">p. 16 · Model memo</t>
  </si>
  <si>
    <t xml:space="preserve">The header fields run on as prose: "To: Vikram Singh… From: Analytics Date: 12 February 2026 Re: Should we…". Readers are meant to copy this memo format.</t>
  </si>
  <si>
    <t xml:space="preserve">Put To / From / Date / Re on separate lines (a small 2-column block).</t>
  </si>
  <si>
    <t xml:space="preserve">V27.10</t>
  </si>
  <si>
    <t xml:space="preserve">"Draft chapter · v1" and "21 September 2026" are visible to readers.</t>
  </si>
  <si>
    <t xml:space="preserve">Remove for print / align with other chapters.</t>
  </si>
  <si>
    <t xml:space="preserve">V27.11</t>
  </si>
  <si>
    <t xml:space="preserve">V27.12</t>
  </si>
  <si>
    <t xml:space="preserve">p. 7→8 · 27.3 duplicate-merge lead-in</t>
  </si>
  <si>
    <t xml:space="preserve">"…which takes one extra run:" ends p. 7, and the output block is on p. 8.</t>
  </si>
  <si>
    <t xml:space="preserve">V27.13</t>
  </si>
  <si>
    <t xml:space="preserve">p. 10 · Bullet "The CTE is the one from section 27.2"</t>
  </si>
  <si>
    <t xml:space="preserve">Inline code breaks across lines ("AND c.segment" / "= 'Wholesale'").</t>
  </si>
  <si>
    <t xml:space="preserve">Non-breaking spaces in inline code.</t>
  </si>
  <si>
    <t xml:space="preserve">V27.14</t>
  </si>
  <si>
    <t xml:space="preserve">p. 21, 28 · Section rules</t>
  </si>
  <si>
    <t xml:space="preserve">The horizontal section divider falls at the very top of the page, above the next heading.</t>
  </si>
  <si>
    <t xml:space="preserve">Suppress the divider when it lands at a page top.</t>
  </si>
  <si>
    <t xml:space="preserve">V27.15</t>
  </si>
  <si>
    <t xml:space="preserve">p. 11 · Figure 27.2, panel 2</t>
  </si>
  <si>
    <t xml:space="preserve">Panel 2 shows 4 of the 5 segment × band rows (Hospitality, under 5% is missing), though its subtitle says "the same two bands, per segment".</t>
  </si>
  <si>
    <t xml:space="preserve">Add the missing row, or subtitle it "selected rows".</t>
  </si>
  <si>
    <t xml:space="preserve">V27.16</t>
  </si>
  <si>
    <t xml:space="preserve">p. 28 · Answer 5 table</t>
  </si>
  <si>
    <t xml:space="preserve">Numeric columns (840 / 662 / 4.5) are left-aligned.</t>
  </si>
  <si>
    <t xml:space="preserve">V27.17</t>
  </si>
  <si>
    <t xml:space="preserve">p. 26–27 · Exercises</t>
  </si>
  <si>
    <t xml:space="preserve">Two-digit list numbers are clipped at the left edge ("14." reads as "l4."); confirmed book-wide.</t>
  </si>
  <si>
    <t xml:space="preserve">As in Ch25 V25.18.</t>
  </si>
  <si>
    <t xml:space="preserve">V27.18</t>
  </si>
  <si>
    <t xml:space="preserve">The draft-badge box sits higher than on Ch25/26 (it follows the 3-line subtitle rather than a fixed position).</t>
  </si>
  <si>
    <t xml:space="preserve">Pin the badge to a fixed y if it is kept.</t>
  </si>
  <si>
    <t xml:space="preserve">28.1</t>
  </si>
  <si>
    <t xml:space="preserve">§28.2 opener "Chapter 13 used WITH RECURSIVE once, to generate a list of months (section 13.8)."</t>
  </si>
  <si>
    <t xml:space="preserve">Known (M.7): Ch 13's recursive CTE (Pattern 5 MySQL note, §13.8, Answer 16) is being replaced by a calendar table. The reader now meets recursion for the first time here, and the first example is a 5-level, 35-row org chart. Several things are never taught in this chapter, because Ch 13's note carried them: what the keyword RECURSIVE does; that WITH RECURSIVE is written once and covers every CTE in the list, including non-recursive ones (relied on at the loop example and Answers 7 and 13); that column names and types come from the anchor; UNION ALL vs UNION; what "a pass" works on (the working table); and cte_max_recursion_depth (currently a Ch 13 key term).</t>
  </si>
  <si>
    <t xml:space="preserve">(1) Delete the opener sentence. Replace it with: "A recursive CTE is a CTE that refers to itself. It is how SQL walks data where rows point at other rows of the same table: org charts, product structures, account hierarchies." (2) Add a new first subsection, "Your first recursive query: counting to five", before "The problem". Cell 1: WITH RECURSIVE numbers AS (SELECT 1 AS n UNION ALL SELECT n + 1 FROM numbers WHERE n &lt; 5) SELECT n FROM numbers;, with output 1–5 (5 rows). Explain line by line: RECURSIVE tells the database a CTE in this WITH list may refer to itself; it is written once, right after WITH, even when other CTEs in the list are not recursive. SELECT 1 AS n is the anchor: it runs once, and its column names and types fix the CTE's columns. UNION ALL glues each pass's rows onto the result. SELECT n + 1 FROM numbers WHERE n &lt; 5 is the recursive part, and numbers inside it means only the rows the previous pass produced. The stop rule: when a pass returns no rows, the query ends. Add a pass-by-pass trace table (anchor {1} → pass 1 {2} → … → pass 4 {5} → pass 5: 1 row in, WHERE 5 &lt; 5 false, 0 rows out → stop). (3) Cell 2: remove WHERE n &lt; 5 and say what happens. PostgreSQL runs until cancelled (point to "Guarding against loops"). MySQL stops with ERROR 3636 after 1,001 iterations, because of cte_max_recursion_depth (moved here from §28.13). (4) One sentence: UNION (without ALL) drops duplicate rows each pass; use UNION ALL unless you need that, because it is faster and keeps legitimate repeats (steel tube appears twice in the BOM). (5) Before the org chart output, add the same pass table for the org chart: anchor 1 (Arvind), pass 1: 8, pass 2: 10, pass 3: 13, pass 4: 3, pass 5: 0 = 35. (6) Key terms: add working table (or "previous pass"), cte_max_recursion_depth, UNION ALL in recursion.</t>
  </si>
  <si>
    <t xml:space="preserve">28.2</t>
  </si>
  <si>
    <t xml:space="preserve">§28.10 type 2 load "SET valid_to = DATE '2026-03-31'"; Answer 15 "valid_to could equally store the start date…"</t>
  </si>
  <si>
    <t xml:space="preserve">Correctness bug. The chapter defines validity as half-open ("up to but not including valid_to… never overlap and never leave a gap"), joins with f.order_date &lt; d.valid_to, and builds dw.dim_customer with valid_to = the next version's valid_from ("each version ends on the day the next begins ✓"). The lab load instead closes Sharma's Mumbai version at 2026-03-31, and the new version starts 2026-04-01. An order dated 31 March 2026 matches neither version (31 Mar &lt; 31 Mar is false), so the inner join silently drops it: exactly the gap the §28.9 reconciliation warns about. Answer 15 repeats this (2026-04-30 / 2026-05-01), and its closing note wrongly says both conventions work "equally" with half-open joins.</t>
  </si>
  <si>
    <t xml:space="preserve">In §28.10 step 1 use SET valid_to = DATE '2026-04-01' (the new version's start). Change the output row to 1 \ | 1 \ | Sharma Hardware \ | Mumbai \ | 2024-11-04 \ | 2026-04-01 \ | f. In Answer 15 use DATE '2026-05-01' and change the output to Green Leaf's closed row … \ | 2024-09-08 \ | 2026-05-01 \ | f. Replace Answer 15's note with: "valid_to stores the first day the version is no longer true, which is the next version's valid_from. With half-open joins (&gt;= valid_from AND &lt; valid_to) there is then no gap and no overlap. If you store the last day a version was true (an inclusive convention, 2026-03-31), you must join with &lt;= valid_to. Mixing the two drops or doubles rows at every change." Add row 1 of the fact_sales example as a test: insert a fourth order dated 2026-03-31 and show that it lands on key 1 (Mumbai). Add a mistakes-table row: "valid_to one day early with a half-open join → orders on the change date vanish → store the next version's start date".</t>
  </si>
  <si>
    <t xml:space="preserve">28.3</t>
  </si>
  <si>
    <t xml:space="preserve">§28.1 "the header of each file shows how to run it"; §28.13 "load perf_data/load_mysql.sql with mysql --local-infile=1"</t>
  </si>
  <si>
    <t xml:space="preserve">The reader cannot build riverstone_perf. The run and load commands are hidden in file headers. The Tools section says the scripts use "only the standard library", so loading must go through the psql client, which the book never installs (Ch 12 used DBeaver; \c/\copy were only mentioned). No step creates riverstone_perf or says who runs the ALTER DATABASE … max_parallel_workers_per_gather = 0 setting. MySQL needs the client flag --local-infile=1 plus a server setting (SET GLOBAL local_infile = 1, admin only). Size and run time (≈200 MB, minutes) are not given. Under D2, Ch 26 §26.0 covers cd, running python script.py --arg, $ blocks and placeholders. It does not cover psql, mysql client flags, PATH (Ch 34) or database credentials in the environment.</t>
  </si>
  <si>
    <t xml:space="preserve">Add a boxed "Build riverstone_perf (15–20 minutes)" in §28.1 with every step shown and its output. (1) In DBeaver: CREATE DATABASE riverstone_perf;. (2) Terminal (§26.0): cd companion/ch28, then python generate_riverstone_perf.py (python3 on macOS/Linux), with its printed output (row counts, "wrote perf_data/…"). (3) Find psql. Windows: "C:\Program Files\PostgreSQL\16\bin\psql.exe" (or add that folder to PATH, one line, pointing to Ch 34 for PATH); macOS Postgres.app / brew install libpq; Linux sudo apt install postgresql-client. Check with psql --version. (4) psql -U postgres -d riverstone_perf -f perf_data/load_postgres.sql. Explain -U (user), -d (database), -f (run this file), and that it asks for the password set in Ch 12. Show the tail of its output. (5) Run the ALTER DATABASE line and say why (already in the Simplification note). (6) Verify in DBeaver with SELECT COUNT(*) FROM order_items; → 1,926,847. MySQL route: the same, with mysql -u root -p --local-infile=1 &lt; perf_data/load_mysql.sql and SET GLOBAL local_infile = 1; run first as root. Explain each flag. Add a fallback for readers who can't run psql: DBeaver's Import Data wizard on the CSVs (named, with the order: customers, products, employees, orders, order_items).</t>
  </si>
  <si>
    <t xml:space="preserve">28.4</t>
  </si>
  <si>
    <t xml:space="preserve">§28.12 "$ python3 migrate.py --db riverstone_lab_migrations migrations"</t>
  </si>
  <si>
    <t xml:space="preserve">The terminal part is mostly covered by §26.0 (cd, running a script with arguments). But: (a) Tools says "migrate.py calls the psql client", which the reader doesn't have on PATH (28.3); (b) how it connects is never said (user, password, host), and it will fail or prompt; (c) python3 fails on Windows, where the command is python; (d) the 50-line runner is never shown, so the mechanism the section says to "watch" is a black box; (e) the V3 edit that triggers the third run is not shown; (f) the migration files' contents are never shown. Are they the §28.12 SQL with or without the INSERT INTO schema_migrations lines? The runner presumably writes those.</t>
  </si>
  <si>
    <t xml:space="preserve">Line-by-line / Sequence / First-time reader</t>
  </si>
  <si>
    <t xml:space="preserve">Before the terminal block: "Create the database in DBeaver: CREATE DATABASE riverstone_lab_migrations;". Say how migrate.py connects, e.g. "it passes your connection to psql through the environment: export PGUSER=postgres PGPASSWORD=… (Git Bash/macOS/Linux, §26.0) or a .env file loaded as in §26.4". Write python migrate.py … with "(python3 on macOS/Linux)". Show cat migrations/V3__add_payment_terms.sql with output, and state that migration files hold only the change; the runner records the history row. Show the edit (echo "-- reviewed" &gt;&gt; migrations/V3__add_payment_terms.sql, and explain &gt;&gt; appends) before run 3. Print migrate.py's core in four short commented pieces (list the V files and sort by number; read schema_migrations; for each file compare the md5 checksum and stop on mismatch; run the file plus its history insert in one transaction through psql -v ON_ERROR_STOP=1 --single-transaction -f), with one sentence per piece. Say where the whole file is.</t>
  </si>
  <si>
    <t xml:space="preserve">28.5</t>
  </si>
  <si>
    <t xml:space="preserve">§28.12 "BEGIN; ALTER TABLE suppliers ADD COLUMN gst_number VARCHAR(15) NOT NULL; ERROR…"</t>
  </si>
  <si>
    <t xml:space="preserve">After an error inside BEGIN, PostgreSQL puts the session in an aborted-transaction state. Every following statement fails with "current transaction is aborted, commands ignored until end of transaction block" until ROLLBACK. The book never shows or explains ROLLBACK here, and Ch 12 didn't teach the aborted state. The reader then runs the V4 block: BEGIN warns "there is already a transaction in progress", the ALTER is ignored, COMMIT silently rolls back, and the next SELECT fails with column "supplier_city" does not exist. DBeaver's script runner also stops at the error and leaves the transaction open.</t>
  </si>
  <si>
    <t xml:space="preserve">After the ERROR line add ROLLBACK; and its output ROLLBACK. Explain: "After an error inside a transaction, PostgreSQL refuses every further statement until you end the transaction. ROLLBACK ends it and undoes everything since BEGIN." Show the proof that nothing was left: SELECT column_name FROM information_schema.columns WHERE table_name = 'suppliers'; → no gst_number, and SELECT MAX(version) FROM schema_migrations; → 3. Add a DBeaver note: in auto-commit mode, run each migration block with Execute script (Alt+X). If a script stops on an error, run ROLLBACK before anything else.</t>
  </si>
  <si>
    <t xml:space="preserve">28.6</t>
  </si>
  <si>
    <t xml:space="preserve">§28.9 dim_customer build "INSERT INTO dw.dim_customer … WITH version_starts AS (…"</t>
  </si>
  <si>
    <t xml:space="preserve">One 38-line statement with about seven new ideas at once: INSERT … WITH … SELECT; UNION (dedupe) in version_starts; LEAD with three arguments (offset and default; §13.5 taught one argument); a boolean expression as a column (v.valid_to = DATE '9999-12-31' AS is_current); two pairs of correlated scalar subqueries with ORDER BY … LIMIT 1; a three-way COALESCE fallback. Nothing is shown until the checks four blocks later. The "How it works" is three bullets.</t>
  </si>
  <si>
    <t xml:space="preserve">Split into 5 cells, each run with output for customers 2, 5, 11. (1) version_starts alone as a SELECT → 6 rows (signup dates 2024-12-15, 2024-12-22, 2025-04-09 plus the three change dates). Explain why UNION rather than UNION ALL (a change on the signup day would make two identical starts). (2) Add versions with LEAD(valid_from, 1, DATE '9999-12-31'). Explain arguments 2 (how many rows ahead) and 3 (value when there is no next row); show valid_to. (3) For one version (Metro Mart, 2025-07-01) run just the city subquery and show 'Mumbai'. Then run it for the 2024-12-22 version: NULL, so the second subquery supplies old_value 'Thane'. Explain ORDER BY changed_on DESC LIMIT 1 = "the latest change on or before this date". (4) Assemble the SELECT with the COALESCE chain and valid_to = '9999-12-31' AS is_current (a comparison yields true/false). Show the 6 rows. (5) Only then wrap it in INSERT INTO dw.dim_customer (…). Say that INSERT can take any query, including one that starts with WITH.</t>
  </si>
  <si>
    <t xml:space="preserve">28.7</t>
  </si>
  <si>
    <t xml:space="preserve">§28.3 "use the window function NTILE(n), which splits ordered rows into n groups"</t>
  </si>
  <si>
    <t xml:space="preserve">Known: NTILE is first taught here, but Ch 27 uses it (and wrongly says "Chapter 13 section 13.7's window function").</t>
  </si>
  <si>
    <t xml:space="preserve">Teach NTILE in Ch 13 §13.4 (Ranking) next to ROW_NUMBER/RANK/DENSE_RANK: one short example and the "173 don't divide by 4, first band gets the extra" rule. Fix Ch 27's reference to §13.4. In Ch 28 change the lead-in to "Recall NTILE (section 13.4)…". Keep the quartile-revenue table and the "splits by count, not by value" watch-out as the new material, and drop NTILE from Ch 28's Key terms (or mark it "recap").</t>
  </si>
  <si>
    <t xml:space="preserve">28.8</t>
  </si>
  <si>
    <t xml:space="preserve">§28.3 "SQL calculates percentiles with ordered-set aggregates, written with WITHIN GROUP"</t>
  </si>
  <si>
    <t xml:space="preserve">Known (M.6): Ch 15 already uses PERCENTILE_CONT(0.25/0.5/0.75) with its own explanation, and the approved order moves the teaching to Ch 13. Here it is presented as new and is a Key term. The ::NUMERIC cast is unexplained and inconsistent with Ch 15, which writes ROUND(PERCENTILE_CONT(…) …) without it.</t>
  </si>
  <si>
    <t xml:space="preserve">If Ch 13 teaches it (M.6): open with "Section 13.x introduced PERCENTILE_CONT for medians and quartiles; here are the rest of the family." Keep the new points: p90, PERCENTILE_DISC vs CONT with a one-row demo on a 4-value list (e.g. 10, 20, 30, 40 → CONT 0.5 = 25, DISC 0.5 = 20), the term "ordered-set aggregate", and "no OVER in PostgreSQL". Explain the cast ("PERCENTILE_CONT returns double precision; ROUND(value, digits) needs NUMERIC, so cast before rounding to decimals") or drop it and match Ch 15. Key terms: keep ordered-set aggregate and PERCENTILE_DISC; mark PERCENTILE_CONT as recap.</t>
  </si>
  <si>
    <t xml:space="preserve">28.9</t>
  </si>
  <si>
    <t xml:space="preserve">§28.9 "Dimensional modeling… organizes the same data for reading"; "Chapter 16 builds on this one"; Where this leads "Chapter 16… reads a star schema like dw"</t>
  </si>
  <si>
    <t xml:space="preserve">Ch 16 §16.3 already taught star schema, fact table, dimension table, grain and date table (all Ch 16 key terms), and Ch 16 comes before Ch 28. Ch 28 presents them as new, and twice points forward to Ch 16 as if it came later. "Before you start" lists only Ch 12–13.</t>
  </si>
  <si>
    <t xml:space="preserve">Open §28.9 with "Chapter 16 (section 16.3) built a star schema inside Power BI. This section builds one in SQL, from the design method up, and adds what Power BI hid: surrogate keys, history (SCDs), and loading." Replace "Chapter 16 builds on this one" with "which is why Chapter 16's model looked like this". In Where this leads, delete the Ch 16 bullet; if kept, reword as "Load dw into Power BI (as in Chapter 16)". Mark star schema, fact table, dimension table, grain and date dimension as recap terms. Before you start: add "Chapter 4 (median), Chapter 16 (section 16.3, star schema), Chapter 26 section 26.0 (terminal)".</t>
  </si>
  <si>
    <t xml:space="preserve">28.10</t>
  </si>
  <si>
    <t xml:space="preserve">§28.2 loop demo "WITH RECURSIVE bad_staff (staff_id, manager_id) AS ( VALUES (1, 3)…"</t>
  </si>
  <si>
    <t xml:space="preserve">Two new syntax ideas, never taught (Ch 13 had neither): a CTE column list name (col1, col2) and VALUES as an inline table. It also relies on RECURSIVE covering a non-recursive first CTE. Answers 7 and 13 use the same pattern.</t>
  </si>
  <si>
    <t xml:space="preserve">Before the loop query, add a two-line cell: WITH bad_staff (staff_id, manager_id) AS (VALUES (1, 3), (2, 1), (3, 2)) SELECT * FROM bad_staff; with its 3-row output. Explain that VALUES builds a small table from literal rows; the list after the name gives its columns; it is ideal for test data. Refer back to 28.1 for "RECURSIVE is written once and covers the whole list".</t>
  </si>
  <si>
    <t xml:space="preserve">28.11</t>
  </si>
  <si>
    <t xml:space="preserve">§28.2 "three defenses: 1. A depth limit… 2. A visited-path check…"</t>
  </si>
  <si>
    <t xml:space="preserve">Only CYCLE is shown running. The depth limit (which "works everywhere") is given as a fragment WHERE c.steps &lt; 20 without a place to put it or output. The path check is described in words; its only code is MySQL string code in §28.13. The PostgreSQL array form needs ARRAY and = ANY, which are never taught.</t>
  </si>
  <si>
    <t xml:space="preserve">Show defense 1 in full: the same bad_staff query with WHERE c.steps &lt; 7 added after the JOIN in the recursive part. Output: 7 rows, then it stops. Say this also stops a legitimate tree deeper than the limit, so set it well above the real depth. For defense 2, point to §28.13's string path (it works in both databases) or teach PostgreSQL's ARRAY[staff_id] AS path, c.path \ | \ | b.staff_id and WHERE b.staff_id &lt;&gt; ALL(c.path), with output, explaining each operator.</t>
  </si>
  <si>
    <t xml:space="preserve">28.12</t>
  </si>
  <si>
    <t xml:space="preserve">§28.2 Dialect note "SEARCH DEPTH FIRST BY… It's used in exercise 5's answer."</t>
  </si>
  <si>
    <t xml:space="preserve">Core exercise 5 requires a clause whose syntax is never shown in the teaching text.</t>
  </si>
  <si>
    <t xml:space="preserve">Add a 6-line taught example after CYCLE: Anita's branch with SEARCH DEPTH FIRST BY staff_id SET visit_order and ORDER BY visit_order, with the 17-row indented output (it already exists in §28.13's MySQL version). Explain SET (names a hidden sort column) and DEPTH vs BREADTH. Keep Answer 5 as is.</t>
  </si>
  <si>
    <t xml:space="preserve">28.13</t>
  </si>
  <si>
    <t xml:space="preserve">§28.3 "COUNT(*) OVER w_rows… WINDOW w_rows AS (… ROWS …), w_groups AS (… GROUPS …), w_range AS (… RANGE … INTERVAL…)"</t>
  </si>
  <si>
    <t xml:space="preserve">Three new ideas in one block: GROUPS frames, RANGE with an interval offset, and the WINDOW clause. The WINDOW clause is explained only after the output ("The WINDOW clause at the end of that query is also new"). The ROWS window orders by date only, so which of two same-day orders gets rows_in_frame = 1 is arbitrary. The frame-type table says RANGE "1 PRECEDING… (1 day…)", but on a date column PostgreSQL requires an interval (RANGE 1 PRECEDING on a date is an error). Windows also see only rows that pass WHERE (why 16 Feb has no "previous date"), and this isn't said.</t>
  </si>
  <si>
    <t xml:space="preserve">Split into 3 cells. (1) One column, COUNT(*) OVER (ORDER BY order_date, order_id ROWS BETWEEN 1 PRECEDING AND CURRENT ROW), with output. (2) Add the GROUPS column and output, explaining peer groups. (3) Add the RANGE INTERVAL '1 day' column and output. Then (4) teach the WINDOW clause by rewriting the three-column query with named windows, showing identical output. Add order_id to the ROWS ORDER BY. Change the table's RANGE cell to "every row whose value is within the offset of mine; for dates the offset is an interval (INTERVAL '1 day')". Add: "Windows are computed after WHERE, so the frame can't see rows the WHERE removed; 14–15 Feb had no orders anyway."</t>
  </si>
  <si>
    <t xml:space="preserve">28.14</t>
  </si>
  <si>
    <t xml:space="preserve">§28.5 bitmap plan "Recheck Cond: (customer_id = 2718)"; "Planning Time: 0.209 ms"; "Heap Blocks: exact=40"</t>
  </si>
  <si>
    <t xml:space="preserve">Line-by-line gap: Recheck Cond, Planning Time and "exact" are printed but never explained. The EXPLAIN on status shows (status)::text = 'Delivered'::text, and the casts are unexplained.</t>
  </si>
  <si>
    <t xml:space="preserve">Add a bullet each. Recheck Cond: the condition the heap scan re-applies if the bitmap had to become page-level ("lossy") because memory ran short; with exact=40 every location was exact, so no rechecking happened. Planning Time: time spent choosing the plan, not running it. For the status plan: "PostgreSQL shows the column and the text it's compared with as type text (::text); this is display, not something you wrote."</t>
  </si>
  <si>
    <t xml:space="preserve">28.15</t>
  </si>
  <si>
    <t xml:space="preserve">§28.5 Figure 28.4 "customer 2718's revenue, no index on order_items.order_id"</t>
  </si>
  <si>
    <t xml:space="preserve">The plan is shown only as a figure, and the query that produced it first appears in §28.6. The reader reads a join plan without having seen the join.</t>
  </si>
  <si>
    <t xml:space="preserve">Before Figure 28.4, print the query (the SUM … JOIN … WHERE o.customer_id = 2718 from §28.6 experiment 1) as EXPLAIN (ANALYZE, COSTS OFF) …, and state that order_items.order_id has no index yet. In §28.6 experiment 1, write "the same query as Figure 28.4" instead of repeating the full SQL, or keep it and say "(unchanged)".</t>
  </si>
  <si>
    <t xml:space="preserve">28.16</t>
  </si>
  <si>
    <t xml:space="preserve">§28.6 exp 2 "There's an index on order_date."; two unlabeled QUERY PLAN blocks</t>
  </si>
  <si>
    <t xml:space="preserve">(a) idx_orders_order_date is never created. The reader's plan for version B will be a Seq Scan, not the Index Only Scan shown. (b) The queries are shown without EXPLAIN (ANALYZE, COSTS OFF), but plans are printed. (c) The two plans aren't labeled A/B. (d) "Index Only Scan" and "Heap Fetches: 0" appear here but are explained only in experiment 4.</t>
  </si>
  <si>
    <t xml:space="preserve">Add CREATE INDEX idx_orders_order_date ON orders (order_date); as the first line of experiment 2. Prefix both queries with EXPLAIN (ANALYZE, COSTS OFF). Label the outputs "Version A plan" and "Version B plan". Under B, add one bullet: "Index Only Scan: COUNT(*) needs no column values, so the index alone answers it; Heap Fetches: 0 means no table page was visited (experiment 4 explains when that's possible)."</t>
  </si>
  <si>
    <t xml:space="preserve">28.17</t>
  </si>
  <si>
    <t xml:space="preserve">§28.6 exp 3 "With only the single-column index on customer_id, the database finds customer 2718's 40 orders…"</t>
  </si>
  <si>
    <t xml:space="preserve">The composite-index experiment has a CREATE INDEX but no query, no plan and no timing. The text switches between customer 4534 (the question) and 2718 (the numbers: Rows Removed by Filter 28, 12 rows). The Watch-out cites an index on (order_date, customer_id) that was never created. Also unshown: experiment 1's "one order's lines 79.62 ms → 0.06 ms", and customer 4534's "5,170 pages, 9.72 ms" in §28.5.</t>
  </si>
  <si>
    <t xml:space="preserve">Show the experiment in full on one customer, 4534 (the text's own point): the query SELECT order_date, status FROM orders WHERE customer_id = 4534 AND order_date &gt;= DATE '2025-01-01';, then the plan with only idx_orders_customer_id (Filter + Rows Removed by Filter: 14,225, since 23,526 − 9,301), then CREATE INDEX, then the plan with both conditions in Index Cond, with both medians. Put 3.69 ms into the summary table. Mention 2718 only as a one-line aside. Either show the (order_date, customer_id) experiment or delete that sentence. Add the one-order lookup query and its two timings to experiment 1, and the 4534 plan's Heap Blocks line to §28.5.</t>
  </si>
  <si>
    <t xml:space="preserve">28.18</t>
  </si>
  <si>
    <t xml:space="preserve">§28.6 exp 5 plan "Index Scan using idx_orders_pending on orders…" (no Index Cond, no Filter)</t>
  </si>
  <si>
    <t xml:space="preserve">A reader who learned to look for Index Cond/Filter will wonder where the condition went.</t>
  </si>
  <si>
    <t xml:space="preserve">Add: "There's no Index Cond or Filter line: every entry in a partial index already satisfies status = 'Pending', so the planner has nothing left to check. The query's WHERE must imply the index's WHERE, or the index can't be used."</t>
  </si>
  <si>
    <t xml:space="preserve">28.19</t>
  </si>
  <si>
    <t xml:space="preserve">§28.6 exp 4 "CREATE INDEX idx_orders_customer_date_incl ON orders (customer_id, order_date) INCLUDE (status);"</t>
  </si>
  <si>
    <t xml:space="preserve">This creates a second index with the same key as idx_orders_customer_date, immediately after the Watch-out on redundant indexes. The planner may choose either, so the reader's plan may differ.</t>
  </si>
  <si>
    <t xml:space="preserve">Precede it with DROP INDEX idx_orders_customer_date; and say "the covering index replaces it, since it answers everything the plain one did".</t>
  </si>
  <si>
    <t xml:space="preserve">28.20</t>
  </si>
  <si>
    <t xml:space="preserve">§28.6 exp 6 "one with no indexes, one with four… (ch28_perf.py has the code)"</t>
  </si>
  <si>
    <t xml:space="preserve">No code is shown and the four indexes aren't named. "Six times slower" can't be reproduced or understood from the page.</t>
  </si>
  <si>
    <t xml:space="preserve">Name the four indexes (primary key, order_id, product_id, (order_id, product_id)?). Show the 4-line SQL (CREATE TABLE oi_copy (LIKE order_items); … INSERT INTO oi_copy SELECT * FROM order_items LIMIT 500000; with \timing/DBeaver's time) so a reader can run one round by hand.</t>
  </si>
  <si>
    <t xml:space="preserve">28.21</t>
  </si>
  <si>
    <t xml:space="preserve">§28.7 "DROP DATABASE IF EXISTS riverstone_lab; … in psql, \c riverstone_lab"</t>
  </si>
  <si>
    <t xml:space="preserve">PostgreSQL refuses to drop the database you are connected to. DBeaver commonly keeps the Ch 12 lab connection open ("database is being accessed by other users"). psql was never installed (28.3).</t>
  </si>
  <si>
    <t xml:space="preserve">Say: "Run these two lines from your riverstone_2025 connection, not from the lab. If DBeaver reports the lab is in use, right-click the lab connection → Disconnect, or use DROP DATABASE IF EXISTS riverstone_lab WITH (FORCE); (PostgreSQL 13+)." Then give DBeaver steps to connect to the new database. Keep \c only as "(psql users)".</t>
  </si>
  <si>
    <t xml:space="preserve">28.22</t>
  </si>
  <si>
    <t xml:space="preserve">§28.9 "product_key SERIAL PRIMARY KEY" (also dim_sales_rep, dim_customer, dim_customer_t2)</t>
  </si>
  <si>
    <t xml:space="preserve">Ch 12 (§12.13) taught INTEGER GENERATED ALWAYS AS IDENTITY / AUTO_INCREMENT. SERIAL appears without introduction. §28.7 then makes surrogate keys a third way (ROW_NUMBER).</t>
  </si>
  <si>
    <t xml:space="preserve">Use INTEGER GENERATED ALWAYS AS IDENTITY PRIMARY KEY for all four tables (every INSERT already omits the key column). If SERIAL is kept, add one sentence: "SERIAL is PostgreSQL's older shorthand for an auto-numbered integer column; IDENTITY (section 12.13) is the standard form." In §28.7 say why ROW_NUMBER is used there (to number existing rows in a chosen order).</t>
  </si>
  <si>
    <t xml:space="preserve">28.23</t>
  </si>
  <si>
    <t xml:space="preserve">§28.9 "DROP SCHEMA IF EXISTS dw CASCADE; … INSERT INTO dw.dim_date SELECT TO_CHAR(d, 'YYYYMMDD')::INTEGER, …"</t>
  </si>
  <si>
    <t xml:space="preserve">CASCADE (drops every table in the schema) is unexplained and dangerous. In the dim_date insert, TRIM (TO_CHAR 'Day'/'Month' pad to 9 characters), EXTRACT(ISODOW …) IN (6, 7), ::INTEGER, the "Q" literal inside a format, and generate_series returning timestamps (hence d::date) are partly or not explained. No output is shown after the build. The later dim_product/dim_sales_rep inserts show no output either.</t>
  </si>
  <si>
    <t xml:space="preserve">Explain CASCADE in one sentence ("drops the schema and everything in it, so this line is safe to rerun only because dw holds nothing but this chapter's build"). Add bullets: TO_CHAR 'Day' gives 'Saturday ' padded to 9, and TRIM removes the padding; ISODOW numbers Monday = 1 … Sunday = 7, so IN (6, 7) is the weekend; text inside double quotes in a format is printed literally; ::INTEGER turns '20250315' into a number. After the insert show SELECT * FROM dw.dim_date WHERE full_date IN ('2025-01-01','2025-03-15','2025-12-31'); with 3 rows. After the product/rep inserts show SELECT * FROM dw.dim_sales_rep; (6 rows, key 1 = No rep recorded).</t>
  </si>
  <si>
    <t xml:space="preserve">28.24</t>
  </si>
  <si>
    <t xml:space="preserve">§28.13 "Most of this chapter runs in MySQL 8.0 unchanged: … star schemas, and type 2 dimensions…"</t>
  </si>
  <si>
    <t xml:space="preserve">Overclaim. The table omits many PostgreSQL-only spellings the chapter uses: DATE_TRUNC, TO_CHAR, generate_series, :: casts, IS [NOT] DISTINCT FROM (MySQL: &lt;=&gt;), UPDATE … FROM (mentioned in prose only), SERIAL, DROP SCHEMA … CASCADE, md5 (fine), EXCLUDE (grouped with GROUPS), NTH_VALUE (fine). MySQL expression indexes need double parentheses, CREATE INDEX … ON customers ((UPPER(city)));, while §28.6 implies the PostgreSQL form works in both. The ON DUPLICATE KEY UPDATE example has no output.</t>
  </si>
  <si>
    <t xml:space="preserve">Change to "The ideas all carry over; the spellings below change." Add rows: DATE_TRUNC('month', d) → DATE_FORMAT(d, '%Y-%m-01'); TO_CHAR(d,'YYYYMMDD') → DATE_FORMAT(d,'%Y%m%d'); generate_series → recursive CTE (28.1's counter); x::date → CAST(x AS DATE); IS NOT DISTINCT FROM → &lt;=&gt;; IS DISTINCT FROM → NOT (a &lt;=&gt; b); UPDATE … FROM → UPDATE … JOIN … SET; SERIAL/IDENTITY → INT AUTO_INCREMENT; DROP SCHEMA … CASCADE → DROP DATABASE (a schema is a database in MySQL); expression index → double parentheses. Show the upsert's result with SELECT * FROM dim_customer_t1;.</t>
  </si>
  <si>
    <t xml:space="preserve">28.25</t>
  </si>
  <si>
    <t xml:space="preserve">Tools "MySQL 8.0 (tested on 8.0.46)… checked in September 2026"</t>
  </si>
  <si>
    <t xml:space="preserve">MySQL 8.0 reached end of life in April 2026, so the chapter tells readers in September 2026 to install an unsupported version. Minor: the chapter opener says "PostgreSQL 16 or later", while Tools says "works in PostgreSQL 15 and later".</t>
  </si>
  <si>
    <t xml:space="preserve">State "MySQL 8.4 LTS (tested on 8.0.46 and 8.4; 8.0 reached end of life in April 2026)". Re-run the MySQL outputs on 8.4, or keep the existing claim that "the features used behave the same in 8.4" after checking. Align the opener with Tools: "PostgreSQL 15 or later (tested on 16)".</t>
  </si>
  <si>
    <t xml:space="preserve">28.26</t>
  </si>
  <si>
    <t xml:space="preserve">Chapter at a glance "Time needed: 18–24 hours… three to four weeks"</t>
  </si>
  <si>
    <t xml:space="preserve">Load: six major topics, three databases (one generated), about 75 blocks, 22 exercises and a project, with no suggested sittings.</t>
  </si>
  <si>
    <t xml:space="preserve">Add a sittings plan to the opener. (1) §28.1–28.3 recursion and windows, 5–6 h. (2) §28.1 perf build + §28.4–28.6 plans and indexes, 5–6 h. (3) §28.7–28.8 normalization and grain, 3 h. (4) §28.9–28.11 star schema, SCDs, denormalization, 5–6 h. (5) §28.12–28.13 migrations and MySQL, 3 h. Project: 4–6 h. State "22–30 hours including the project".</t>
  </si>
  <si>
    <t xml:space="preserve">28.27</t>
  </si>
  <si>
    <t xml:space="preserve">Real world "She writes two migrations, V14__index_order_items_order_id.sql… and V15__monthly_category_revenue.sql"</t>
  </si>
  <si>
    <t xml:space="preserve">Three database changes were made (order_items index, partial pending index, materialized view), but only two migrations are listed. So the partial index skipped review, against the section's own lesson. "Two new indexes and one partial index add seconds" counts three indexes where only two were added.</t>
  </si>
  <si>
    <t xml:space="preserve">Add "V16__index_orders_pending.sql (also CONCURRENTLY, its own migration)". Change to "One new index and one partial index add seconds to a load…".</t>
  </si>
  <si>
    <t xml:space="preserve">28.28</t>
  </si>
  <si>
    <t xml:space="preserve">§28.10 "brings the new city, along with a brand-new customer, Coastal Foods"</t>
  </si>
  <si>
    <t xml:space="preserve">Coastal Foods is an existing Riverstone customer in the same chapter (order 10006, customers_3nf id 1). In the same lab database, the SCD tables give Sharma id 1, Green Leaf 3, Coastal 4, while customers_3nf has Coastal 1, Green Leaf 2, Patel 3, Sharma 4.</t>
  </si>
  <si>
    <t xml:space="preserve">Use a customer not seen before (e.g. "Deccan Traders, Hyderabad, Wholesale") or say "a customer new to this extract". Either reuse customers_3nf's ids or add "(toy ids for this lab)".</t>
  </si>
  <si>
    <t xml:space="preserve">28.29</t>
  </si>
  <si>
    <t xml:space="preserve">Tools "Flyway was not run for this chapter, because its installer couldn't be downloaded in the test environment"; §28.12 "(Versions current… are listed in the chapter's Tools section…)"</t>
  </si>
  <si>
    <t xml:space="preserve">A drafting/test-environment note in reader-facing text. The cross-reference is broken: Tools lists no Flyway version. §28.5 names ch28_perf_log.txt as a reader file, but it isn't in the companion list. Figure 28.3 says "1-vCPU sandbox".</t>
  </si>
  <si>
    <t xml:space="preserve">Delete the installer sentence. If Flyway isn't tested, say "Flyway's conventions are described from Redgate's documentation (Flyway 11 at the time of writing)". Fix the parenthesis to "check Redgate's documentation for the current version and edition". Add ch28_perf_log.txt to the companion list or remove the mention. Replace "sandbox" with "test machine".</t>
  </si>
  <si>
    <t xml:space="preserve">28.30</t>
  </si>
  <si>
    <t xml:space="preserve">Known drafting leftover.</t>
  </si>
  <si>
    <t xml:space="preserve">Delete (and move the answers as decided for the book).</t>
  </si>
  <si>
    <t xml:space="preserve">28.31</t>
  </si>
  <si>
    <t xml:space="preserve">§28.4 Watch-out "MySQL's InnoDB… Section 28.6 shows the difference on real data."</t>
  </si>
  <si>
    <t xml:space="preserve">§28.6 is PostgreSQL only. The MySQL comparison (0.08 ms from the automatic FK index) is in §28.13.</t>
  </si>
  <si>
    <t xml:space="preserve">"Section 28.13 shows the difference on real data."</t>
  </si>
  <si>
    <t xml:space="preserve">28.32</t>
  </si>
  <si>
    <t xml:space="preserve">§28.12 tools table "Alembic… Python applications (Chapter 29)"</t>
  </si>
  <si>
    <t xml:space="preserve">Ch 29 uses SQLAlchemy/psycopg but never covers Alembic or migrations.</t>
  </si>
  <si>
    <t xml:space="preserve">Drop "(Chapter 29)", or say "(Chapter 29 uses SQLAlchemy, which Alembic builds on)".</t>
  </si>
  <si>
    <t xml:space="preserve">28.33</t>
  </si>
  <si>
    <t xml:space="preserve">§28.2 "Pass 1 finds the eight department heads, pass 2 finds the ten managers below them"; Figure 28.1 "(the regional sales team is left out)"</t>
  </si>
  <si>
    <t xml:space="preserve">Level 3 includes non-managers (Farah Khan, Meera Iyer, Priya Nambiar, Mohan Das manage no one). The figure's 16 boxes also omit Joseph, Lakshmi, Zoya, Tenzin, Meera, Priya, Mohan and Farhan, not only the regional team.</t>
  </si>
  <si>
    <t xml:space="preserve">"pass 2 finds the ten people at level 3". Caption: "The chart shows 16 of the 35 people; the query returns all of them."</t>
  </si>
  <si>
    <t xml:space="preserve">28.34</t>
  </si>
  <si>
    <t xml:space="preserve">§28.2 Figure 28.2 "Orange boxes are found on the third pass"</t>
  </si>
  <si>
    <t xml:space="preserve">The text numbers passes after the anchor ("Pass 1 finds the eight department heads"), so depth 3 is found on pass 2.</t>
  </si>
  <si>
    <t xml:space="preserve">"…found on the second pass of the recursive part (depth 3)".</t>
  </si>
  <si>
    <t xml:space="preserve">28.35</t>
  </si>
  <si>
    <t xml:space="preserve">§28.2 "WHERE b.parent_part_id = 106"; "WHERE b.child_part_id = 305"; §28.3 "WHERE o.customer_id = 2"; §28.4 "customer 2718"</t>
  </si>
  <si>
    <t xml:space="preserve">Magic ids are unexplained at the point of use (106 appears only in the figure; 305 = steel tube and 2 = Patel Kitchenware are never said).</t>
  </si>
  <si>
    <t xml:space="preserve">Add comments: -- 106 = Garden Chair, -- 305 = Steel tube, -- 2 = Patel Kitchenware. For 2718/4534: "a typical customer (40 orders) and the largest (23,526)". Or show SELECT part_id, part_name FROM parts ORDER BY part_id; once.</t>
  </si>
  <si>
    <t xml:space="preserve">28.36</t>
  </si>
  <si>
    <t xml:space="preserve">§28.3 "173 \</t>
  </si>
  <si>
    <t xml:space="preserve">25061 \ | 21375" after §28.1 "175 orders in 2025"; §28.2 "Chapter 13's data-quality check found 11 of them" | Unreconciled counts: 175 vs 173 (two cancelled, excluded by sales_lines), and "11" no-rep orders vs the 10 non-cancelled ones implied by 163 + 10 = 173 (stated correctly only in §28.9).</t>
  </si>
  <si>
    <t xml:space="preserve">§28.3: "173 orders (sales_lines leaves out the 2 cancelled)". §28.2: "(Chapter 13's check found 11 orders with no rep; 10 of them are not cancelled, and those hold the ₹204,502)".</t>
  </si>
  <si>
    <t xml:space="preserve">28.37</t>
  </si>
  <si>
    <t xml:space="preserve">§28.11 "REFRESH MATERIALIZED VIEW monthly_category_revenue;" right after CREATE; table "Read a year from the materialized view"</t>
  </si>
  <si>
    <t xml:space="preserve">CREATE already fills the view, and the immediate REFRESH is unexplained. The shown read is one month, not a year.</t>
  </si>
  <si>
    <t xml:space="preserve">Separate the two: "CREATE fills it once. Tomorrow, and every night after, you run:" then REFRESH. Change the table row to "Read one month (4 rows)" or show the year query.</t>
  </si>
  <si>
    <t xml:space="preserve">28.38</t>
  </si>
  <si>
    <t xml:space="preserve">§28.2 Watch-out "type numeric(8,3) in nonrecursive term"</t>
  </si>
  <si>
    <t xml:space="preserve">The actual PostgreSQL text is "in non-recursive term" (the mistakes table has it right). A reader searching the error won't match.</t>
  </si>
  <si>
    <t xml:space="preserve">"non-recursive".</t>
  </si>
  <si>
    <t xml:space="preserve">28.39</t>
  </si>
  <si>
    <t xml:space="preserve">§28.4 "It works like the index at the back of this book: to find 'grain'…"</t>
  </si>
  <si>
    <t xml:space="preserve">The book has a Glossary (Appendix A). It is not clear it has a back-of-book index.</t>
  </si>
  <si>
    <t xml:space="preserve">"like the index at the back of a printed book", or point to the Glossary if no index exists.</t>
  </si>
  <si>
    <t xml:space="preserve">28.40</t>
  </si>
  <si>
    <t xml:space="preserve">§28.8 Habit 3 "The target is monthly; the lines are daily."</t>
  </si>
  <si>
    <t xml:space="preserve">The lines' grain is one order line, not one day. This muddles the grain lesson.</t>
  </si>
  <si>
    <t xml:space="preserve">"The target's grain is one month; the lines' grain is one order line."</t>
  </si>
  <si>
    <t xml:space="preserve">28.41</t>
  </si>
  <si>
    <t xml:space="preserve">§28.7 "Boyce–Codd normal form (BCNF) tightens 3NF for tables with several overlapping candidate keys"</t>
  </si>
  <si>
    <t xml:space="preserve">"Candidate key" is never defined (the chapter uses key, composite key, surrogate key and natural key).</t>
  </si>
  <si>
    <t xml:space="preserve">Add: "(a candidate key is any column or set of columns that could serve as the primary key)".</t>
  </si>
  <si>
    <t xml:space="preserve">28.42</t>
  </si>
  <si>
    <t xml:space="preserve">§28.6 checklist "Time it in DBeaver or psql (\timing on)… EXPLAIN (ANALYZE, BUFFERS)"</t>
  </si>
  <si>
    <t xml:space="preserve">BUFFERS output is never shown, although step 2 relies on it and Meera uses it. \timing is psql-only.</t>
  </si>
  <si>
    <t xml:space="preserve">Show one BUFFERS plan (customer 2718 before the index) and explain Buffers: shared hit=… read=… (pages found in memory vs read from disk). For DBeaver users: "the execution time appears in the status bar under the results".</t>
  </si>
  <si>
    <t xml:space="preserve">V28.1</t>
  </si>
  <si>
    <t xml:space="preserve">p. 80 · Answer 15 psql output (dim_customer_t2)</t>
  </si>
  <si>
    <t xml:space="preserve">The result is wider than the code block. The header "is_current" wraps to a second line, the dashed rule wraps, and every row's f/t value falls alone to column 0 on the next line. The table can no longer be read.</t>
  </si>
  <si>
    <t xml:space="preserve">Select fewer columns (drop customer_id or customer), or print with \x / a narrower layout. Never let tabular output wrap.</t>
  </si>
  <si>
    <t xml:space="preserve">V28.2</t>
  </si>
  <si>
    <t xml:space="preserve">p. 16, 23, 26, 27, 29, 31, 32, 61, 62 · SQL and query-plan blocks</t>
  </si>
  <si>
    <t xml:space="preserve">Lines wrap back to column 0 with no continuation marker. Examples: p. 16 "ROW)" alone after the w_range window; p. 27 "order_date) = '12'::numeric))"; pp. 26, 29 "loops=1)" alone; pp. 31–32 each INSERT row splits mid-string ("'108 Stackable Bin x10" / "@290')"); pp. 61–62 MySQL EXPLAIN lines. In the plans, the wrapped text reads as a new plan node.</t>
  </si>
  <si>
    <t xml:space="preserve">Hard-wrap the SQL with a hanging indent. For plan and INSERT listings, use a smaller "wide" code style or trim them (COSTS OFF, shorter literals). Add a ↩ marker.</t>
  </si>
  <si>
    <t xml:space="preserve">V28.3</t>
  </si>
  <si>
    <t xml:space="preserve">p. 23, 26, 27, 29 · QUERY PLAN output</t>
  </si>
  <si>
    <t xml:space="preserve">The psql dashed underline is longer than the block, so it wraps to a stub second line of dashes. The centred "QUERY PLAN" title drifts right.</t>
  </si>
  <si>
    <t xml:space="preserve">Trim the dashed rule to the block width in the captured output.</t>
  </si>
  <si>
    <t xml:space="preserve">V28.4</t>
  </si>
  <si>
    <t xml:space="preserve">p. 39 · Figure 28.6 (star schema)</t>
  </si>
  <si>
    <t xml:space="preserve">Text is 4.7–6.2 pt. The fact box overlaps the inner corners of all four dimension boxes, and the star's connecting lines are hidden behind it: only 3 pt stubs show. A "star" drawn without visible spokes.</t>
  </si>
  <si>
    <t xml:space="preserve">Redraw with a gap between the fact and dimension boxes, visible connector lines, and text at 7 pt or more.</t>
  </si>
  <si>
    <t xml:space="preserve">V28.5</t>
  </si>
  <si>
    <t xml:space="preserve">p. 8, 12, 21, 25, 36 · Figures 28.1–28.5</t>
  </si>
  <si>
    <t xml:space="preserve">All are below the 7 pt print minimum: 28.1 4.9–6.2 pt; 28.2 5.2–6.6 pt; 28.3 5.4–6.6 pt; 28.4 5.5–5.7 pt (the plan listing, smaller than the 7.9 pt code around it); 28.5 5.3–6.4 pt. In 28.1, "Sales Mgr, Key Accounts" touches both sides of its box.</t>
  </si>
  <si>
    <t xml:space="preserve">Redraw at 7 pt or more. For 28.4, set the plan at code size and annotate beside it.</t>
  </si>
  <si>
    <t xml:space="preserve">V28.6</t>
  </si>
  <si>
    <t xml:space="preserve">p. 41, 46, 48, 49 · Page breaks</t>
  </si>
  <si>
    <t xml:space="preserve">Half-empty pages ahead of long code blocks: p. 41 is 48% blank; p. 46 39%; p. 48 37%, with the lead-in "Applying the extract is two steps…:" stranded; p. 49 has the heading "Joining facts to a type 2 dimension" plus one line above a 23% blank.</t>
  </si>
  <si>
    <t xml:space="preserve">Allow long code blocks to split across pages (with a "continued" cue), or move the lead-in and heading with the block.</t>
  </si>
  <si>
    <t xml:space="preserve">V28.7</t>
  </si>
  <si>
    <t xml:space="preserve">p. 70, 73, 75, 77, 78, 79 · Answers</t>
  </si>
  <si>
    <t xml:space="preserve">Answer numbers are stranded at page feet, with their code on the next page: "6." (p. 73, 33% blank), "9." (p. 75, 29% blank), "12." (p. 77), "14." (p. 78), "15." (p. 79, 42% blank). On p. 70, "1. Start the anchor at Ramesh Patil's direct reports…:" is also stranded.</t>
  </si>
  <si>
    <t xml:space="preserve">Keep each answer number and its lead-in with the first block, or allow the code to split.</t>
  </si>
  <si>
    <t xml:space="preserve">V28.8</t>
  </si>
  <si>
    <t xml:space="preserve">p. 7, 18, 24, 26 · Lead-ins</t>
  </si>
  <si>
    <t xml:space="preserve">Lead-ins ending in ":" are left at the page foot: "How it works:" (p. 7), "…with the fix beside it:" (p. 18), "…still has no index:" (p. 24), "Their plans are very different:" (p. 26).</t>
  </si>
  <si>
    <t xml:space="preserve">V28.9</t>
  </si>
  <si>
    <t xml:space="preserve">p. 29→30, 59→60, 62→63 · Tables split</t>
  </si>
  <si>
    <t xml:space="preserve">The 2-row "Median time to insert 500,000 rows" table splits 1 + 1 across pages (the header repeats for a single row). The "What changes" MySQL table leaves its last row alone on p. 60. The "Common mistakes" table has 2 rows on p. 62.</t>
  </si>
  <si>
    <t xml:space="preserve">Keep short tables together, and require at least 3 rows on each side of a break.</t>
  </si>
  <si>
    <t xml:space="preserve">V28.10</t>
  </si>
  <si>
    <t xml:space="preserve">"Draft chapter v1.1", "17 September 2026" and "63 SQL outputs verified · 40 number checks" are visible to readers. The Part label wraps to two lines ("…ADVANCED ANALYTICS &amp; / ANALYTICS ENGINEERING"), and the decorative rule at top right overprints the "&amp;".</t>
  </si>
  <si>
    <t xml:space="preserve">Remove the draft labels. Shorten the Part label or move the rule so they cannot collide.</t>
  </si>
  <si>
    <t xml:space="preserve">V28.11</t>
  </si>
  <si>
    <t xml:space="preserve">No page numbers, in an 81-page chapter where they matter most.</t>
  </si>
  <si>
    <t xml:space="preserve">V28.12</t>
  </si>
  <si>
    <t xml:space="preserve">p. 68–69 · Practice exercises</t>
  </si>
  <si>
    <t xml:space="preserve">The first digit of two-digit numbers is clipped: "10."–"22." render as "l0."–"l9.", with "20."–"22." losing the left part of the "2".</t>
  </si>
  <si>
    <t xml:space="preserve">Widen the list-number box (as V23.7).</t>
  </si>
  <si>
    <t xml:space="preserve">V28.13</t>
  </si>
  <si>
    <t xml:space="preserve">p. 27 · Sargable table</t>
  </si>
  <si>
    <t xml:space="preserve">Code cells wrap mid-token: "…&lt; '2026-01-" / "01'" and "…order_date) =" / "2025".</t>
  </si>
  <si>
    <t xml:space="preserve">Widen the Sargable column or break at "AND".</t>
  </si>
  <si>
    <t xml:space="preserve">V28.14</t>
  </si>
  <si>
    <t xml:space="preserve">p. 5, 30, 53, 64 · Numeric table columns</t>
  </si>
  <si>
    <t xml:space="preserve">Rows, times and medians ("5,000", "30.11 ms", "2,343 ms") are left-aligned.</t>
  </si>
  <si>
    <t xml:space="preserve">V28.15</t>
  </si>
  <si>
    <t xml:space="preserve">p. 5, 6, 29, 64 and passim · Inline code</t>
  </si>
  <si>
    <t xml:space="preserve">The pill padding leaves gaps inside brackets and before punctuation: "( riverstone_2025 )", "( ch28_perf.py has the code)", "Seq Scan , 710,355".</t>
  </si>
  <si>
    <t xml:space="preserve">V28.16</t>
  </si>
  <si>
    <t xml:space="preserve">p. 21 · Figure 28.3 (B-tree panel)</t>
  </si>
  <si>
    <t xml:space="preserve">The child keys "2701…2717 / 2718…2735 / 2736…2752" are drawn as the complete children of "1701…3400", which misstates the range. The panels also use red for "scan" and green for "index".</t>
  </si>
  <si>
    <t xml:space="preserve">Add "…" leaf boxes or label them "one branch shown". The red/green is backed by titles, so it is fine in greyscale.</t>
  </si>
  <si>
    <t xml:space="preserve">V28.17</t>
  </si>
  <si>
    <t xml:space="preserve">p. 70 · Answers heading</t>
  </si>
  <si>
    <t xml:space="preserve">V28.18</t>
  </si>
  <si>
    <t xml:space="preserve">p. 53 · Materialized-view timing table</t>
  </si>
  <si>
    <t xml:space="preserve">The first header cell is empty (only "Time" is labelled).</t>
  </si>
  <si>
    <t xml:space="preserve">Label it "Step".</t>
  </si>
  <si>
    <t xml:space="preserve">V28.19</t>
  </si>
  <si>
    <t xml:space="preserve">p. 1, 3 · Title</t>
  </si>
  <si>
    <t xml:space="preserve">Cover break "Chapter 28. Advanced / SQL, / Performance &amp; Data / Modeling".</t>
  </si>
  <si>
    <t xml:space="preserve">Break manually ("Advanced SQL, / Performance &amp; / Data Modeling").</t>
  </si>
  <si>
    <t xml:space="preserve">29.1</t>
  </si>
  <si>
    <t xml:space="preserve">Before you start: "Chapter 34 (the terminal, environment variables, exit codes), Chapter 12 (connecting to PostgreSQL)"</t>
  </si>
  <si>
    <t xml:space="preserve">Known forward prerequisite (M.4/D2). Under D2 the terminal essentials are Ch 26 §26.0. Also "connecting to PostgreSQL" from Python is Ch 18 §18.13 (create_engine), not Ch 12. Ch 26 is called optional ("help but aren't required"), but project step 2 commits files and §29.10/project step 10 use pull requests.</t>
  </si>
  <si>
    <t xml:space="preserve">Replace the list with: "Chapter 17 (functions, files, errors, if __name__ == "__main__", venv and pip); Chapter 18 §18.13–18.15 (SQLAlchemy connection to riverstone_2025, calling an API with requests, .env files, the monthly report script this chapter rebuilds); Chapter 20 (scheduling a script and alerting on a non-zero exit code); Chapter 26, including §26.0 (the terminal: cd, ls, export, echo $?, activating a venv, running scripts with arguments; Git, commits and pull requests); Chapter 12 §12.3 (your local PostgreSQL server)." Delete "Chapter 34" and "help but aren't required". Keep "Chapter 2 (what an API is)" and add "Chapter 18 §18.14 (your first API call)".</t>
  </si>
  <si>
    <t xml:space="preserve">29.2</t>
  </si>
  <si>
    <t xml:space="preserve">§29.3 $ find . -type f \</t>
  </si>
  <si>
    <t xml:space="preserve">sort; §29.4 "a one-line installer on each operating system, or pip install uv"; uv run python -c "…"; uv run --project path/to/riverstone-report | Checking §26.0 (as specified in the Ch 26 review) against every command here: cd, ls, export, echo $?, source .venv/bin/activate, pip freeze &gt; and placeholders are covered. Not covered: find and the pipe \ |  (both stay in Ch 34 under the §26.0 spec); the uv installer, which is itself curl -LsSf https://astral.sh/uv/install.sh \ | sh (macOS/Linux) or powershell -ExecutionPolicy ByPass -c "irm https://astral.sh/uv/install.ps1 \ | iex" (Windows), and is not shown; that uv lands on PATH only in a new terminal (PATH is Ch 34); python -c; --project.</t>
  </si>
  <si>
    <t xml:space="preserve">(1) Replace find . -type f \ | sort with a VS Code Explorer screenshot of the tree, or keep it with one sentence: "find . -type f lists every file below this folder; \ |  sends that list into sort. Chapter 34 covers both properly." (2) Add a numbered "Install uv" step at the start of §29.4's modern-way subsection: show the exact installer command for each OS, with one line on what \ |  does ("download the installer and hand it to the shell to run"), or offer python -m pip install uv inside the Ch 17 venv as the no-pipe route. Then "close and reopen the terminal (the installer added uv to your PATH, the list of folders the terminal searches for programs; Chapter 34 explains PATH)", then $ uv --version → uv 0.12.15. (3) After the python -c line: "-c runs the Python code in quotes and exits: handy for a one-line check." (4) Before §29.8's runs: "--project path/to/riverstone-report tells uv which project's environment to use when you are in another folder; replace the placeholder with your path."</t>
  </si>
  <si>
    <t xml:space="preserve">29.3</t>
  </si>
  <si>
    <t xml:space="preserve">§29.3 "# Windows PowerShell $env:RIVERSTONE_DATABASE_URL = …"; §29.4 "Windows PowerShell: .venv\Scripts\Activate.ps1"; §29.8 echo "exit code: $?"</t>
  </si>
  <si>
    <t xml:space="preserve">Ch 26 §26.0 standardises Windows readers on Git Bash. This chapter switches them to PowerShell without saying so, and echo $? does not give the exit code in PowerShell ($LASTEXITCODE does). A Windows reader following §29.8 sees True/False instead of 0/1.</t>
  </si>
  <si>
    <t xml:space="preserve">Make Git Bash the primary Windows route everywhere in this chapter: export RIVERSTONE_DATABASE_URL=… and source .venv/Scripts/activate work in Git Bash as written. Keep one "PowerShell instead?" box listing the three equivalents: $env:NAME = "…", .venv\Scripts\Activate.ps1 (with the execution-policy fix from Ch 17 §17.0), and echo "exit code: $LASTEXITCODE".</t>
  </si>
  <si>
    <t xml:space="preserve">29.4</t>
  </si>
  <si>
    <t xml:space="preserve">§29.5 "A class bundles data with the functions that work on it."</t>
  </si>
  <si>
    <t xml:space="preserve">No earlier chapter teaches classes: Ch 17 only prints &lt;class 'str'&gt;. This chapter uses class, instances, self, __init__, methods, attributes, inheritance (class ConfigError(ReportError)), decorators (@dataclass, @property, @classmethod, @pytest.fixture, @pytest.mark.parametrize), cls, a leading-underscore "private" method (_wait_time), and super-free exception subclasses. None of this is explained beyond one sentence. The reader is handed a 16-year-old's problem.</t>
  </si>
  <si>
    <t xml:space="preserve">Open §29.5 with a sub-section "Classes in 20 minutes", as notebook cells, each with its output: (1) class Box: with def __init__(self, label, litres): self.label = label; self.litres = litres → b = Box("Storage Box", 10); b.label → 'Storage Box'. Explain class vs instance, self ("the particular object"), __init__ ("runs when you create one"), attribute. (2) Add a method def describe(self): return f"{self.label} ({self.litres} L)" → output. (3) A decorator in one sentence: "@something above a def or class hands it to something, which adds behaviour", then @property on describe so it is read as b.describe without brackets. (4) from dataclasses import dataclass / @dataclass class Box: label: str; litres: int → Box("Storage Box", 10) prints Box(label='Storage Box', litres=10): "the decorator wrote __init__ and the readable print for you". (5) frozen=True → assigning raises FrozenInstanceError. (6) Inheritance with exceptions: class ReportError(Exception): pass, class NoDataError(ReportError): pass, then isinstance(NoDataError(), ReportError) → True. (7) @classmethod as "a second way to build the object; it receives the class as cls". Only then show config.py. Add Key terms: class, instance, attribute, method, self, decorator, inheritance, class method.</t>
  </si>
  <si>
    <t xml:space="preserve">29.5</t>
  </si>
  <si>
    <t xml:space="preserve">§29.2 transform module: @dataclass(frozen=True) class MonthSummary, @property, -&gt; float \</t>
  </si>
  <si>
    <t xml:space="preserve">None, raise NoDataError(...), from __future__ import annotations | In-chapter order. The first module the reader sees uses data classes and properties (explained in §29.5), type hints (§29.6), custom exceptions (§29.8), from __future__ (never), and pandas named aggregation with ignore_index (Ch 18 at best), all at once.</t>
  </si>
  <si>
    <t xml:space="preserve">Sequence (in-chapter) / Line-by-line</t>
  </si>
  <si>
    <t xml:space="preserve">Rebuild §29.2 in three steps, Jupyter-style. (a) In a notebook, lift each job out of the script into a plain function in its own cell and run each on the five-row DataFrame: def summarize(lines, target): returning a dict ({"revenue": 25000.0, "orders": 3, "customers": 3, "pct_of_target": 125.0}); def revenue_by_category(lines): → the 3-row table; def top_customers(lines, n=5):. Explain .agg(net_revenue=("net_revenue", "sum")) (named aggregation: new column name = (column, function)) and sort_values([...], ascending=[False, True], ignore_index=True). (b) Add check_lines raising ValueError for an empty month, with a cell showing the error. (c) Only then say "we'll now move these into a file, transform.py", and show that file without the data class, hints or NoDataError. §29.5 then upgrades the dict to MonthSummary (with pct_of_target as a property), §29.6 adds hints, and §29.8 swaps ValueError for NoDataError. Each upgrade shows the final transform.py in full.</t>
  </si>
  <si>
    <t xml:space="preserve">29.6</t>
  </si>
  <si>
    <t xml:space="preserve">§29.2 try-it: sys.path[:0] = ["riverstone-report/src", "."]  # lets Python find the package…</t>
  </si>
  <si>
    <t xml:space="preserve">The package is imported before its layout (§29.3) or environment (§29.4) exists. Slice-assignment into sys.path is an unexplained trick, and it is repeated in the exercises' intro and answer 1. The notebook kernel is never named, so the reader doesn't know which environment has pandas. The notebook's working folder must also be companion/ch29.</t>
  </si>
  <si>
    <t xml:space="preserve">With 29.5's rebuild, §29.2 needs no imports from the package. Move "import from the package" to the end of §29.4: uv add --dev ipykernel → output; in VS Code "Select Kernel → riverstone-report/.venv"; then from riverstone_report.transform import summarize works "because uv sync installed your package into its own environment in editable mode: edits to the files are seen on the next import (restart the kernel)". Delete both sys.path[:0] lines. Exercises intro: "run from the riverstone-report notebook kernel or with uv run". For the mock API import in §29.9, say "mock_crm_api.py sits in companion/ch29; open your notebook in that folder" (or move the mock into riverstone-report/tests/ and import it from there).</t>
  </si>
  <si>
    <t xml:space="preserve">29.7</t>
  </si>
  <si>
    <t xml:space="preserve">Every module: from __future__ import annotations</t>
  </si>
  <si>
    <t xml:space="preserve">Never explained. On Python 3.12 it matters only for -&gt; ReportConfig inside the class that defines ReportConfig.</t>
  </si>
  <si>
    <t xml:space="preserve">First time it appears, one line: "lets a type hint name a class before Python has finished defining it (used in config.py's -&gt; ReportConfig); harmless elsewhere." Or remove it from modules that don't need it (transform, db, errors, cli, crm_client).</t>
  </si>
  <si>
    <t xml:space="preserve">29.8</t>
  </si>
  <si>
    <t xml:space="preserve">§29.2 db.py (never run); §29.3 tree lists excel.py, __init__.py (never shown)</t>
  </si>
  <si>
    <t xml:space="preserve">db.py is shown but never run, so the reader never sees what fetch_sales_lines returns. excel.py (write_report, which §29.8 calls and exercise 11 asks the reader to modify) and __init__.py (which the entry point riverstone_report:main depends on) are never shown. Option B asks the reader to rebuild the package "without looking", so these are missing models.</t>
  </si>
  <si>
    <t xml:space="preserve">(1) After db.py, a cell: engine = create_engine(os.environ["RIVERSTONE_DATABASE_URL"]); lines = fetch_sales_lines(engine, date(2025,12,1), date(2026,1,1)); print(lines.shape, lines["net_revenue"].sum().round(2)) → (35, 5) 439823.5; print(fetch_target(engine, date(2025,12,1))) → 380000.0; print(fetch_target(engine, date(2026,1,1))) → None. Explain text(), :name placeholders, the params dict, with engine.connect() as conn, scalar_one_or_none() ("one value, or None if no row"), and why .astype({"net_revenue": "float64"}) (PostgreSQL NUMERIC arrives as Python Decimal). (2) Show __init__.py (2–3 lines: from riverstone_report.cli import main, __all__ = ["main"]) and explain __all__. (3) Show excel.py in full (it's the "Write" job of §29.2's four) with the output file opened (screenshot of the Summary sheet).</t>
  </si>
  <si>
    <t xml:space="preserve">29.9</t>
  </si>
  <si>
    <t xml:space="preserve">§29.1 start script SELECT sl.*, c.customer_name, p.category AS cat FROM sales_lines sl … JOIN products p</t>
  </si>
  <si>
    <t xml:space="preserve">Ch 13's sales_lines view already has category. The join to products is redundant, and it produces two category columns (category, cat). db.py then uses sl.category. A careful reader wonders which is right.</t>
  </si>
  <si>
    <t xml:space="preserve">Either add this to §29.1's problem table as a tenth problem ("joins a table it doesn't need; two category columns") or drop the products join and use category in the script.</t>
  </si>
  <si>
    <t xml:space="preserve">29.10</t>
  </si>
  <si>
    <t xml:space="preserve">§29.1 "₹439,823.50 from 18 orders, as Chapter 13's queries found"; §29.7 "115.7% of its ₹380,000 target (Chapter 13)"</t>
  </si>
  <si>
    <t xml:space="preserve">Ch 13 prints December as ₹439,824 (rounded, §13.6) and never shows 18 orders. The 115.7% appears in Ch 28 (2025-12-01 \ | 439824 \ | 380000 \ | 115.7), not Ch 13.</t>
  </si>
  <si>
    <t xml:space="preserve">"₹439,823.50 (Chapter 13 showed it rounded to ₹439,824) from 18 orders" and "115.7% of its ₹380,000 target (Chapter 28's month-versus-target query)".</t>
  </si>
  <si>
    <t xml:space="preserve">29.11</t>
  </si>
  <si>
    <t xml:space="preserve">§29.3 pyproject.toml description = "Add your description here"</t>
  </si>
  <si>
    <t xml:space="preserve">uv's default placeholder left in the "finished" package the reader is told to copy.</t>
  </si>
  <si>
    <t xml:space="preserve">description = "Riverstone's monthly sales report: database → tested summary → Excel workbook." Say that uv init writes the placeholder and you edit it.</t>
  </si>
  <si>
    <t xml:space="preserve">29.12</t>
  </si>
  <si>
    <t xml:space="preserve">§29.3 pyproject.toml (whole file)</t>
  </si>
  <si>
    <t xml:space="preserve">TOML is never introduced. [project], [project.scripts], [tool.pytest.ini_options], key = "value", lists in [...], and psycopg[binary] extras are read as if known. Only [project.scripts] and a phrase about the file's purpose are explained. [build-system] and [dependency-groups] are not.</t>
  </si>
  <si>
    <t xml:space="preserve">Before the file, a 6-line "TOML in one minute" box: [section] headers, key = value, text in quotes, lists in square brackets, a dotted header ([tool.mypy]) meaning "the mypy part of the tool section". Then annotate each section in a table: [project] (name, version, requires-python, dependencies with &gt;= minimum versions, psycopg[binary] = "psycopg plus its optional pre-built 'binary' part"); [project.scripts]; [build-system] ("how to turn the folder into an installable package; uv fills this in"); [dependency-groups] dev; [tool.pytest.ini_options] testpaths; [tool.mypy] strict, files.</t>
  </si>
  <si>
    <t xml:space="preserve">29.13</t>
  </si>
  <si>
    <t xml:space="preserve">§29.4 "uv add --dev puts tools… so they aren't installed when the report runs on a server"; uv sync --locked output "Installed 30 packages"; Figure 29.1 "uv.lock exact versions of 32 packages"; text "5 packages directly, and they pull in 11 more"</t>
  </si>
  <si>
    <t xml:space="preserve">Plain uv sync installs the dev group by default. The chapter's own uv sync --locked installed 30 packages, which includes pytest and mypy. So the promise holds only with --no-dev, which is never shown. The reader also sees 16, 30 and 32 with no reconciliation.</t>
  </si>
  <si>
    <t xml:space="preserve">Add after the uv sync output: "uv sync installs the dev group too (that's why 30 packages, not 16: 5 direct + 11 indirect for the report, plus pytest, mypy, the type stubs and their own dependencies). On a server use uv sync --locked --no-dev." Add a row to the venv/uv table: "Install without dev tools: pip install -r requirements.txt / uv sync --locked --no-dev". In Figure 29.1 write "uv.lock: exact versions of all 32 packages (report + dev tools)".</t>
  </si>
  <si>
    <t xml:space="preserve">29.14</t>
  </si>
  <si>
    <t xml:space="preserve">§29.4 "The whole setup of this chapter's package was four commands: uv init --package… uv add…"</t>
  </si>
  <si>
    <t xml:space="preserve">These four commands are the heart of the modern workflow and none has its output shown. The reader can't tell success from failure, or what files appeared.</t>
  </si>
  <si>
    <t xml:space="preserve">Show each command's output: uv init --package riverstone-report → Initialized project \riverstone-report\ at …, then ls -a riverstone-report → .git .gitignore .python-version README.md pyproject.toml src. Note that uv also runs git init (so skip git init from Ch 26, or pass --vcs none). uv add … → Resolved 16 packages … Installed 16 packages … + pandas==3.0.5 … (abridged). uv add --dev … → the extra lines. Then cat pyproject.toml to show what changed. Explain .python-version ("which Python this project uses; uv can download it if missing").</t>
  </si>
  <si>
    <t xml:space="preserve">29.15</t>
  </si>
  <si>
    <t xml:space="preserve">§29.4 lockfile excerpt name = "pandas" / version = "3.0.5" / source = … / dependencies = [</t>
  </si>
  <si>
    <t xml:space="preserve">Truncated mid-list and missing the [[package]] header, so it isn't valid TOML and looks broken.</t>
  </si>
  <si>
    <t xml:space="preserve">Polish / Line-by-line</t>
  </si>
  <si>
    <t xml:space="preserve">Show a complete, short entry: [[package]], name, version, source, a 4-item dependencies = [ { name = "numpy" }, { name = "python-dateutil" }, { name = "tzdata", marker = "…" } ], then sdist = { url = …, hash = "sha256:…" } shortened with "…". Explain [[package]] ("one entry per package; the double brackets mean 'a list of these'") and the hash ("a fingerprint so a tampered download is refused").</t>
  </si>
  <si>
    <t xml:space="preserve">29.16</t>
  </si>
  <si>
    <t xml:space="preserve">§29.3 "Many teams keep these in a .env file… (the python-dotenv package does this)"; review table ".env in .gitignore"</t>
  </si>
  <si>
    <t xml:space="preserve">config.py reads only os.environ, and nothing in the package loads .env. A reader who follows the advice and puts the URL in .env gets ConfigError: set RIVERSTONE_DATABASE_URL…. Ch 18 and Ch 26 §26.0 taught two ways to load .env; neither is used here.</t>
  </si>
  <si>
    <t xml:space="preserve">Pick one route and show it run: (a) uv run --env-file .env riverstone-report --month 2025-12 ("uv reads the file into the environment for this one command"), or (b) set -a; . ./.env; set +a from §26.0, or (c) uv add python-dotenv and load_dotenv() as the first line of cli.main (never in a library module). Show .env.example with RIVERSTONE_DATABASE_URL=postgresql+psycopg://postgres:YOUR_PASSWORD@localhost/riverstone_2025 and RIVERSTONE_OUTPUT_DIR=reports, and the .gitignore line .env.</t>
  </si>
  <si>
    <t xml:space="preserve">29.17</t>
  </si>
  <si>
    <t xml:space="preserve">§29.4 venv block: python3 -m venv .venv … deactivate (5 commands, comments, no output)</t>
  </si>
  <si>
    <t xml:space="preserve">A recap of Ch 17 §17.0, so it's acceptable as a recap, but it gives no outputs and the Windows line is PowerShell (29.3).</t>
  </si>
  <si>
    <t xml:space="preserve">Label it "Recap from Chapter 17 §17.0". Give the Git Bash activate line source .venv/Scripts/activate. Show the prompt change (.venv) and pip freeze output lines (pandas==3.0.5, numpy==…, …).</t>
  </si>
  <si>
    <t xml:space="preserve">29.18</t>
  </si>
  <si>
    <t xml:space="preserve">§29.7 "A first test… def test_summarize_counts_orders_not_lines(lines):" then "Running the tests… collected 23 items"</t>
  </si>
  <si>
    <t xml:space="preserve">pytest is taught for the first time here (M.8), and the teaching sequence skips steps. (1) The first test already depends on a fixture (lines), explained only afterwards. (2) The test file's imports include four names the shown test doesn't use. (3) The reader never runs one test alone: the first run is the full 23-test suite, where 14 tests come from files that are never shown. (4) assert was only met in Ch 17 exercise 26. (5) Where the test file lives, how pytest finds riverstone_report (the editable install), -q, -v, --tb=short, file::test node IDs, pytest.approx and the s for skipped are never shown or explained.</t>
  </si>
  <si>
    <t xml:space="preserve">First-time reader / Line-by-line / Sequence</t>
  </si>
  <si>
    <t xml:space="preserve">Rebuild "A first test" as 7 small steps, each with the command and its real output. (1) Create tests/test_first.py containing one test that builds the 5-row DataFrame inside itself and checks summarize(lines, 20000.0).orders == 3. Explain assert ("if the condition is False, stop and report"). (2) uv run pytest tests/test_first.py -v → header lines explained once (platform, rootdir, configfile, collected 1 item) and tests/test_first.py::test_orders_counted PASSED [100%]. Explain -v (one line per test) and the file::name ID. (3) Break it on purpose (== 5) → the failure report, read line by line (the E lines, the file:line, the short summary). Show --tb=short and -q here. (4) Now two tests need the same data, which motivates the fixture: move the DataFrame into @pytest.fixture def lines() in the same file, then into conftest.py ("pytest loads this file automatically; fixtures in it are shared by every test file"). (5) parametrize, shown with -v so the reader sees test_parse_month[2025-12-expected0] style IDs. (6) pytest.raises with match=. (7) pytest.approx: "floats that should be equal may differ in the 15th digit; approx allows a tiny tolerance". Then the full uv run pytest run, plus a second run with RIVERSTONE_DATABASE_URL unset → tests/test_reconcile.py s and 22 passed, 1 skipped. Say "uv sync installed your package in editable mode, which is why import riverstone_report works inside tests".</t>
  </si>
  <si>
    <t xml:space="preserve">29.19</t>
  </si>
  <si>
    <t xml:space="preserve">§29.7 run shows tests/test_transform.py ......... (9) and tests/test_crm_client.py ..... (5); "Tests pass sleeps.append and a seeded generator"; Answer 10 uses make_client, FakeResponse</t>
  </si>
  <si>
    <t xml:space="preserve">Only 1 of 9 transform tests and none of the 5 CRM-client tests is shown. How to test network code without a network (a fake session object, injected sleep) is described in one sentence, but exercise 10's answer depends on helpers the reader has never seen.</t>
  </si>
  <si>
    <t xml:space="preserve">(1) Replace the plain run with uv run pytest -v, whose output lists all 23 test names: that alone documents what is tested. (2) Show tests/test_crm_client.py in full, or at least FakeResponse (a tiny class with status_code, headers, json(), text), FakeSession (returns the queued responses in order and records calls), make_client(responses, sleeps), and one test (503 then 200 → sleeps == [0.637] with rng=random.Random(29)). Explain "test double" and why sleep=sleeps.append makes a 4-retry test run instantly. Add "test double / fake" to Key terms.</t>
  </si>
  <si>
    <t xml:space="preserve">29.20</t>
  </si>
  <si>
    <t xml:space="preserve">Stretch goal "Run the tests automatically on every push with a CI service (Chapter 26 introduces them)"</t>
  </si>
  <si>
    <t xml:space="preserve">Under M.8 the Ch 26 review moves pytest out of Ch 26's workflow ("Chapter 29 adds python -m pytest -q to this workflow once you have tests"). This chapter must keep that promise, and it's the natural capstone of "anyone can run it".</t>
  </si>
  <si>
    <t xml:space="preserve">Add a short sub-section at the end of §29.7, "Run the tests on every push". It shows the updated .github/workflows/checks.yml from Ch 26 §26.8, with steps uses: actions/checkout@v4, uses: astral-sh/setup-uv@&lt;current major version&gt; (installs uv on the runner; pin the version as Ch 26 §26.8 pins actions), run: uv sync --locked, run: uv run pytest -q, run: uv run mypy, each line explained. Say that the integration test shows as skipped in CI because there is no database. Show the green check and one red run from a deliberately broken summarize. Move the stretch goal to Core.</t>
  </si>
  <si>
    <t xml:space="preserve">29.21</t>
  </si>
  <si>
    <t xml:space="preserve">§29.6 hint table (int…, list[str]…, float \</t>
  </si>
  <si>
    <t xml:space="preserve">None, pd.DataFrame, Callable[[float], None], -&gt; None) | Hints used in the chapter but missing from the table: Mapping[str, str] (config.py), Iterator[dict[str, Any]] and Any (crm_client.py), requests.Session \ | None, random.Random \ | None. Callable is in the table but used only later.</t>
  </si>
  <si>
    <t xml:space="preserve">Add rows: Mapping[str, str] "anything dict-like, read-only (os.environ or a plain dict)"; Iterator[X] "something you loop over that hands out X one at a time (a generator)"; Any "any type: the checker stops checking here"; SomeClass \ | None "an object of that class, or None". Say where Mapping, Iterator, Callable are imported from (collections.abc) and Any (typing).</t>
  </si>
  <si>
    <t xml:space="preserve">29.22</t>
  </si>
  <si>
    <t xml:space="preserve">§29.6 "making the transforms pass strict mode also forced groupby results to be built with .agg(...)"</t>
  </si>
  <si>
    <t xml:space="preserve">This aside assumes pandas-stubs internals a beginner can't follow, and it reads as if .agg were only a typing workaround.</t>
  </si>
  <si>
    <t xml:space="preserve">Replace with: ".agg(net_revenue=("net_revenue", "sum")) always returns a DataFrame, which is what our hints promise; some shorter pandas spellings return a Series in some cases, and mypy would flag the mismatch."</t>
  </si>
  <si>
    <t xml:space="preserve">29.23</t>
  </si>
  <si>
    <t xml:space="preserve">Exercise 9 "mypy reports: error: Item "None" of "float \</t>
  </si>
  <si>
    <t xml:space="preserve">None" has no attribute "__round__"" | Not what mypy prints. I ran mypy (strict) on round(x) with x: float \ | None. It reports error: Argument 1 to "round" has incompatible type "float \ | None"; expected "_SupportsRound1[int]"  [arg-type]. The "Item None has no attribute" form is for attribute access (x.__round__()). A reader who runs it will think they have a different bug.</t>
  </si>
  <si>
    <t xml:space="preserve">Replace the quoted message with the real one: error: Argument 1 to "round" has incompatible type "float \ | None"; expected "_SupportsRound1[int]"  [arg-type]. Add one line to the answer: "_SupportsRound1 is mypy's name for 'anything that can be rounded'; None can't."</t>
  </si>
  <si>
    <t xml:space="preserve">29.24</t>
  </si>
  <si>
    <t xml:space="preserve">§29.8 cli.py log = logging.getLogger("riverstone_report"); text "logging.getLogger(__name__) names each logger after its module"</t>
  </si>
  <si>
    <t xml:space="preserve">The entry point uses a hard-coded name, but the explanation and crm_client use __name__. Readers copy the cli pattern and then wonder why the output says riverstone_report: rather than riverstone_report.cli:.</t>
  </si>
  <si>
    <t xml:space="preserve">Either use getLogger(__name__) in cli.py and update the output lines to riverstone_report.cli:, or explain: "cli.py names its logger after the whole package, because its messages are about the whole run."</t>
  </si>
  <si>
    <t xml:space="preserve">29.25</t>
  </si>
  <si>
    <t xml:space="preserve">§29.8 cli.py: argparse.ArgumentParser(prog=…), add_argument("--month", required=True…), action="store_true", parse_args(argv), format="%(asctime)s…", log.info("read %d…", len(lines), …), sys.exit(main())</t>
  </si>
  <si>
    <t xml:space="preserve">New or half-new ideas: required=True, action="store_true" (a flag with no value), the argv parameter (so tests can call main(["--month", "2025-12"])), %-placeholders %d, %s, %.2f in log calls, the basicConfig format fields, and sys.exit(main()) versus Ch 17's raise SystemExit(main()). The two bullets after the block explain two of these.</t>
  </si>
  <si>
    <t xml:space="preserve">Add a "How it works" list covering each: prog/description → what --help prints; show $ uv run riverstone-report --help with its output; required=True → the error when --month is missing (show it: error: the following arguments are required: --month, exit code 2); store_true; parse_args(argv) "None means 'read the real command line'; a list lets a test pass arguments"; the % placeholders with a 3-row table (%d whole number, %s text, %.2f 2 decimals); sys.exit(n) = raise SystemExit(n) from Ch 17.</t>
  </si>
  <si>
    <t xml:space="preserve">29.26</t>
  </si>
  <si>
    <t xml:space="preserve">§29.9 robust client: class CrmClient: def __init__(self, base_url, api_key, *, session=…, …) … yield from data["items"] (≈60 lines)</t>
  </si>
  <si>
    <t xml:space="preserve">One block, about 15 new constructs: a class with __init__/self, keyword-only *, x or default, Session and its headers, rstrip, a leading-underscore method,  in the backoff, rng.uniform, try/except/else (the else: branch is never taught), a tuple of exception types, type(exc).__name__, raise AssertionError("unreachable"), generators with yield from, Iterator/Any hints. The bullets explain the ideas (backoff, jitter, what to retry) but not the Python.</t>
  </si>
  <si>
    <t xml:space="preserve">Build it in 5 stages in the notebook against the mock server, each run with output. (1) A function get_page(session, url, page) with timeout= and a status check that raises CrmApiError on non-200. Run it on page 2 → CrmApiError: … returned 503. (2) Wrap in for attempt in range(1, 5): with a fixed 0.5 s wait → log shows attempt 1 failed, attempt 2 OK. Teach try/except/else here with a 5-line toy first ("else runs only if no exception happened"). (3) Replace the fixed wait with backoff * 2  (attempt - 1) plus jitter. Print the waits for attempts 1–3 with random.Random(29) → 0.637, 1.x, 2.x. (4) Add Retry-After for 429. (5) Teach generators with a 4-line toy (def count_up(n): for i in range(n): yield i → list(count_up(3)) → [0, 1, 2]), then iter_leads. Only then gather it into the CrmClient class (after 29.4's class primer), explaining * ("everything after this must be passed by name"), session or requests.Session(), the _ prefix ("internal; not for callers"), and why raise AssertionError("unreachable") is there (mypy needs every path to return or raise).</t>
  </si>
  <si>
    <t xml:space="preserve">29.27</t>
  </si>
  <si>
    <t xml:space="preserve">§29.9 from mock_crm_api import start_server; server, base_url = start_server(8029); naive output KeyError: 'items'</t>
  </si>
  <si>
    <t xml:space="preserve">start_server is a black box. The reader isn't told it runs a small web server in the background of the notebook on 127.0.0.1 (their own machine) port 8029, why server.shutdown() is needed before restarting, or what to do on "address already in use". The KeyError is shown as one line where Jupyter shows a traceback.</t>
  </si>
  <si>
    <t xml:space="preserve">Add 3 lines: "start_server(8029) starts the mock CRM in the background, listening at http://127.0.0.1:8029 (127.0.0.1 always means 'this computer'). It returns the server object and its address. Call server.shutdown() when you're done; if you see 'Address already in use', a previous server is still running, so restart the kernel." Show the last 3 traceback lines of the KeyError.</t>
  </si>
  <si>
    <t xml:space="preserve">29.28</t>
  </si>
  <si>
    <t xml:space="preserve">Where this leads: "Chapter 20, Automating Reports &amp; Delivering Insights, schedules this package and emails people when its exit code says it failed."</t>
  </si>
  <si>
    <t xml:space="preserve">Backward reference presented as future: Ch 20 comes nine chapters earlier and schedules Ch 18's script, not this package.</t>
  </si>
  <si>
    <t xml:space="preserve">Consistency (cross-ref) / Flow</t>
  </si>
  <si>
    <t xml:space="preserve">Delete from "Where this leads". Add at the end of §29.8: "Go back to Chapter 20's scheduled job and replace its command with uv run --project … riverstone-report --month $(date -d 'last month' +%Y-%m) (or a fixed month while you test): its exit-code alert now fires on an empty month." (Keep the date expression only if Ch 20 already taught $( ); otherwise pass the month explicitly.)</t>
  </si>
  <si>
    <t xml:space="preserve">29.29</t>
  </si>
  <si>
    <t xml:space="preserve">Where this leads: "Chapter 30… write its analyses as tested functions from the start."</t>
  </si>
  <si>
    <t xml:space="preserve">Ch 30's code is all notebook cells, with no functions or tests, so the pointer promises something the next chapter doesn't do.</t>
  </si>
  <si>
    <t xml:space="preserve">Either soften to "Chapter 30 uses Python for statistics; its final stretch goal turns the analysis into a tested package", or have Ch 30 add one tested function (see Ch 30 finding 30.41).</t>
  </si>
  <si>
    <t xml:space="preserve">29.30</t>
  </si>
  <si>
    <t xml:space="preserve">Answers heading "(In the finished book these move to Appendix G.)"; Tools/companion "ch29_check.py (checks the chapter's numbers)"</t>
  </si>
  <si>
    <t xml:space="preserve">Known drafting leftover. ch29_check.py is an author build check listed as a reader file.</t>
  </si>
  <si>
    <t xml:space="preserve">Delete the Appendix G sentence. Either drop ch29_check.py from the companion list or describe it for readers: "ch29_check.py: run it to confirm your database gives the chapter's numbers".</t>
  </si>
  <si>
    <t xml:space="preserve">29.31</t>
  </si>
  <si>
    <t xml:space="preserve">In the real world: "January's report goes out at 2 p.m., with the ₹104,210 of January invoices that Chapter 3's report shows."</t>
  </si>
  <si>
    <t xml:space="preserve">Ch 3's ₹104,210 comes from its small illustrative example. Against riverstone_2025's monthly average (₹4,335,471 ÷ 12 ≈ ₹361,000) and December's ₹439,824, a real January of ₹104k would itself look like an alarm. A careful reader connects the two datasets and is confused.</t>
  </si>
  <si>
    <t xml:space="preserve">Remove the figure ("January's report goes out at 2 p.m. with the real numbers"), or say "…with January's figures (Chapter 3 used the same month, in miniature)".</t>
  </si>
  <si>
    <t xml:space="preserve">29.32</t>
  </si>
  <si>
    <t xml:space="preserve">§29.5 Try it: one cell printing two lines, then config.month = parse_month("2026-01") → dataclasses.FrozenInstanceError…</t>
  </si>
  <si>
    <t xml:space="preserve">Three behaviours in one cell, the last deliberately crashing. In Jupyter the crash shows a traceback that hides nothing but surprises beginners. Also new here: {text!r} and {self.month:%Y-%m} in f-strings, Path / "name".</t>
  </si>
  <si>
    <t xml:space="preserve">Split into 3 cells: (1) build the config and print → 2025-12-01 2026-01-01 reports/riverstone_monthly_2025-12.xlsx (Windows shows reports\…); (2) the bad month → ConfigError line; (3) the assignment, labelled "this cell fails on purpose", showing the last 2 traceback lines. Explain !r ("show the value with quotes, as Python would type it"), the :%Y-%m date format inside an f-string, and / between a Path and text.</t>
  </si>
  <si>
    <t xml:space="preserve">29.33</t>
  </si>
  <si>
    <t xml:space="preserve">Chapter at a glance: "Time needed: 12–16 hours"</t>
  </si>
  <si>
    <t xml:space="preserve">Load. 41 pages; new Python language features (classes, decorators, typing, generators, try/else), uv + TOML + lockfiles, mypy, pytest (first time), logging/argparse deepened, a retry client, code review, and a project that rebuilds a 9-module package.</t>
  </si>
  <si>
    <t xml:space="preserve">"20–24 hours over three weeks", with four sittings marked in the text: (1) §29.1–29.3 + class primer: script → functions → modules → layout (5 h); (2) §29.4–29.6: uv, data classes, type hints (5 h); (3) §29.7–29.8: pytest, errors, logging, CLI (6 h); (4) §29.9–29.10 + project (6–8 h). Add a checkpoint after sitting 2: "run uv run mypy clean and uv run python -c "import riverstone_report"".</t>
  </si>
  <si>
    <t xml:space="preserve">29.34</t>
  </si>
  <si>
    <t xml:space="preserve">§29.8 cell summarize(lines.iloc[0:0], target=380000.0); Answer 11 except BaseException:</t>
  </si>
  <si>
    <t xml:space="preserve">iloc[0:0] ("an empty DataFrame with the same columns") and BaseException (why not Exception: to also clean up on Ctrl+C) are unexplained.</t>
  </si>
  <si>
    <t xml:space="preserve">One line each at first use.</t>
  </si>
  <si>
    <t xml:space="preserve">29.35</t>
  </si>
  <si>
    <t xml:space="preserve">Answer 12 cell uses sys, random, CrmClient, start_server without importing them; Answer 4 test uses pytest and average_order_value without imports</t>
  </si>
  <si>
    <t xml:space="preserve">The answer cells run only in a notebook session that has already run earlier cells. A reader starting from the answer gets NameError.</t>
  </si>
  <si>
    <t xml:space="preserve">Add the imports at the top of each answer block (answer 12: import logging, random, sys, time; from mock_crm_api import start_server; from riverstone_report.crm_client import CrmClient).</t>
  </si>
  <si>
    <t xml:space="preserve">29.36</t>
  </si>
  <si>
    <t xml:space="preserve">Key terms list</t>
  </si>
  <si>
    <t xml:space="preserve">Terms the chapter uses but doesn't list: class, instance, method, self, decorator, inheritance, class method, keyword-only argument, editable install, test double/fake, TOML, dev dependency, node ID.</t>
  </si>
  <si>
    <t xml:space="preserve">Add them (with the primers from 29.4, 29.12, 29.18, 29.19).</t>
  </si>
  <si>
    <t xml:space="preserve">29.37</t>
  </si>
  <si>
    <t xml:space="preserve">§29.7 "Python link. Chapter 47 applies the same idea to data itself"</t>
  </si>
  <si>
    <t xml:space="preserve">Box label "Python link" is odd for a pointer from Python to data-quality tests.</t>
  </si>
  <si>
    <t xml:space="preserve">Rename "Where this leads" or "Link".</t>
  </si>
  <si>
    <t xml:space="preserve">V29.1</t>
  </si>
  <si>
    <t xml:space="preserve">p. 11, 22, 30 · Figures 29.1–29.4</t>
  </si>
  <si>
    <t xml:space="preserve">All text is 5.2–6.6 pt, below the 7 pt print minimum. The designs themselves are clear: no overlaps or clipping.</t>
  </si>
  <si>
    <t xml:space="preserve">Scale the text to 7 pt or more (the figures have spare width on the right: 29.3's boxes and 29.4's legend).</t>
  </si>
  <si>
    <t xml:space="preserve">V29.2</t>
  </si>
  <si>
    <t xml:space="preserve">p. 22 · Figure order</t>
  </si>
  <si>
    <t xml:space="preserve">Figure 29.3 ("Many fast tests…") is printed above Figure 29.2 ("The design that makes testing cheap…") on the same page, so readers meet 29.3 first.</t>
  </si>
  <si>
    <t xml:space="preserve">Swap the two figures, or renumber them to match their placement.</t>
  </si>
  <si>
    <t xml:space="preserve">V29.3</t>
  </si>
  <si>
    <t xml:space="preserve">p. 7, 27, 23 · Page breaks</t>
  </si>
  <si>
    <t xml:space="preserve">p. 7 is 75% blank: two list items and the lead-in "Here is the transform module, the heart of the report:" sit above an empty page, and the code fills p. 8. p. 27 is 51% blank before the full-page "robust client" code. p. 23 is 31% blank.</t>
  </si>
  <si>
    <t xml:space="preserve">Allow long code blocks to split (a "continued" cue and a repeated file-name comment), or move them to the end of the section.</t>
  </si>
  <si>
    <t xml:space="preserve">V29.4</t>
  </si>
  <si>
    <t xml:space="preserve">p. 5, 6, 8, 9, 10, 13, 20, 22, 25, 26, 29, 30, 40–43 · Code blocks</t>
  </si>
  <si>
    <t xml:space="preserve">Long lines wrap to column 0 with no continuation marker. Wrapped comment text loses its "#", so the p. 5 header comments print "section 29.1 lists." and "16." as if they were code. Wrapped calls such as "ignore_index=True)", "\"next_month\": next_month})" and "problem, wait)" land at column 0 and break Python's visible indentation.</t>
  </si>
  <si>
    <t xml:space="preserve">Hard-wrap the source to about 95 characters with a hanging indent (and "#" on every comment line), or add a ↩ marker and hanging indent in the code style.</t>
  </si>
  <si>
    <t xml:space="preserve">V29.5</t>
  </si>
  <si>
    <t xml:space="preserve">p. 28→29 · Robust client code</t>
  </si>
  <si>
    <t xml:space="preserve">The page break falls inside a wrapped line: p. 28 ends raise CrmApiError(f"{url} returned {response.status_code}: and p. 29 opens with {response.text[:100]}") at column 0. Each page shows an incomplete statement.</t>
  </si>
  <si>
    <t xml:space="preserve">Fix the wrap (V29.4) and forbid breaks inside a logical line.</t>
  </si>
  <si>
    <t xml:space="preserve">V29.6</t>
  </si>
  <si>
    <t xml:space="preserve">p. 4, 9, 13, 25, 39, 40 · Lead-ins and answer numbers</t>
  </si>
  <si>
    <t xml:space="preserve">Items are stranded at page feet: "…and it runs:" (p. 4), "…glued into the SQL text:" (p. 9), "…so learn it first:" (p. 13), "…a scheduler can trust:" (p. 25), answer "4." alone (p. 39), and "6. Configure a handler…:" (p. 40).</t>
  </si>
  <si>
    <t xml:space="preserve">V29.7</t>
  </si>
  <si>
    <t xml:space="preserve">p. 35→36 · "You've got it when…"</t>
  </si>
  <si>
    <t xml:space="preserve">The heading and one checkbox sit at the foot of p. 35, with the remaining 10 items on p. 36.</t>
  </si>
  <si>
    <t xml:space="preserve">V29.8</t>
  </si>
  <si>
    <t xml:space="preserve">"Draft chapter v1.1", "17 September 2026" and "11 Python outputs verified · 23 package tests · 24 number checks" are visible to readers. The Part III label wraps, and the decorative rule overprints its "&amp;" (same as Ch28).</t>
  </si>
  <si>
    <t xml:space="preserve">Remove the draft labels. Fix the rule and label collision.</t>
  </si>
  <si>
    <t xml:space="preserve">V29.9</t>
  </si>
  <si>
    <t xml:space="preserve">V29.10</t>
  </si>
  <si>
    <t xml:space="preserve">p. 35, 37, 38 · Numbered lists</t>
  </si>
  <si>
    <t xml:space="preserve">The first digit of "10."–"15." is clipped at x = 47.7 pt and reads as "l0.", "l1." (project steps p. 35, exercises pp. 37–38).</t>
  </si>
  <si>
    <t xml:space="preserve">V29.11</t>
  </si>
  <si>
    <t xml:space="preserve">p. 6 · "Problem in the script" table</t>
  </si>
  <si>
    <t xml:space="preserve">The "Fixed in" column is too narrow: the header wraps ("Fixed / in"), and so do values ("29.2, / 29.3", "29.3, / 29.5").</t>
  </si>
  <si>
    <t xml:space="preserve">Widen the column to about 18 mm.</t>
  </si>
  <si>
    <t xml:space="preserve">V29.12</t>
  </si>
  <si>
    <t xml:space="preserve">p. 15 · venv + pip vs uv table</t>
  </si>
  <si>
    <t xml:space="preserve">Inline code breaks across lines ("uv sync , uv add , or uv / run"; "uv lock --upgrade-package pandas , / then uv sync"), and the pill padding adds a space before the commas.</t>
  </si>
  <si>
    <t xml:space="preserve">Non-breaking inline code, and trim the pill margin.</t>
  </si>
  <si>
    <t xml:space="preserve">V29.13</t>
  </si>
  <si>
    <t xml:space="preserve">p. 11, 22 · Figure colour keys</t>
  </si>
  <si>
    <t xml:space="preserve">Fig 29.1 uses pink and blue boxes on the "Before" side with no key. Fig 29.2's note explains orange and green, but config.py is purple and unexplained.</t>
  </si>
  <si>
    <t xml:space="preserve">Add a one-line key, or use the explained colours only.</t>
  </si>
  <si>
    <t xml:space="preserve">V29.14</t>
  </si>
  <si>
    <t xml:space="preserve">p. 30 · Figure 29.4 legend panel</t>
  </si>
  <si>
    <t xml:space="preserve">Continuation lines ("connection errors, timeouts", "(retrying can't fix them)") get the same spacing as new items, so the six rules read as eleven.</t>
  </si>
  <si>
    <t xml:space="preserve">Tighten the spacing within an item, or use bullets.</t>
  </si>
  <si>
    <t xml:space="preserve">V29.15</t>
  </si>
  <si>
    <t xml:space="preserve">p. 22 · Inline code</t>
  </si>
  <si>
    <t xml:space="preserve">"…and show s for skipped": the one-letter pill wraps to the start of a line and reads as a stray "s".</t>
  </si>
  <si>
    <t xml:space="preserve">Keep "show" and the pill together (a non-breaking space).</t>
  </si>
  <si>
    <t xml:space="preserve">V29.16</t>
  </si>
  <si>
    <t xml:space="preserve">p. 39 · Answers heading</t>
  </si>
  <si>
    <t xml:space="preserve">V29.17</t>
  </si>
  <si>
    <t xml:space="preserve">p. passim · Inline code</t>
  </si>
  <si>
    <t xml:space="preserve">The pill padding adds gaps before punctuation: "ch29/ :", "( :month_start ),", "sales_lines view)".</t>
  </si>
  <si>
    <t xml:space="preserve">Trim the outer pill margin.</t>
  </si>
  <si>
    <t xml:space="preserve">30.1</t>
  </si>
  <si>
    <t xml:space="preserve">§30.11 "Chapter 19 used regression to predict. Here it's used to explain"</t>
  </si>
  <si>
    <t xml:space="preserve">Known wrong cross-reference (M.5): Ch 19 is VBA. Under D3, regression basics are taught in the new Ch 22 §22.10 (per finding 22.30). Prediction comes later, in Ch 37.</t>
  </si>
  <si>
    <t xml:space="preserve">Consistency (cross-ref) / Sequence</t>
  </si>
  <si>
    <t xml:space="preserve">Replace with: "Section 22.10 fitted a straight line with one explanatory variable, by hand, in a spreadsheet and with stats.linregress. Here the same least-squares method explains an outcome with several variables at once, including categories, and the coefficients and their intervals are the answer. (Chapter 37 later uses regression to *predict*.)" Add "Chapter 22 §22.10 (fitting a line: slope, intercept, residuals, R², a 0/1 variable)" to Before you start.</t>
  </si>
  <si>
    <t xml:space="preserve">30.2</t>
  </si>
  <si>
    <t xml:space="preserve">§30.11 smf.ols("duration_seconds ~ C(device) + C(channel) + pages_viewed", data=…).fit(); linear.summary().tables[1]</t>
  </si>
  <si>
    <t xml:space="preserve">statsmodels' formula interface is used for the first time in the book and never explained. The unexplained parts: import statsmodels.formula.api as smf; ~ ("is modelled by"); + (adds a term, not arithmetic); the intercept being added automatically; C(...) ("treat as categories: one 0/1 column per level except the reference"); the output label C(device)[T.mobile] (T = treatment coding); why desktop and direct are the reference (alphabetically first); .fit(); .summary() versus .tables[1]; .rsquared. The one "Reading it" paragraph covers the reference level and P&gt;\ | t\ | only. The jump from §22.10's one-x line to eight coefficients with two categorical variables is also one step.</t>
  </si>
  <si>
    <t xml:space="preserve">Rebuild §30.11's linear part as 4 cells, each with output. (1) One x, linking to §22.10: m1 = smf.ols("duration_seconds ~ pages_viewed", data=model_data).fit(); print m1.params and stats.linregress(model_data["pages_viewed"], model_data["duration_seconds"]) side by side, showing the same slope and intercept. Explain ~, the automatic Intercept, .fit() and .params. Map the summary-table columns to §22.10's names: coef = slope, std err = stderr, t = coef/std err, P&gt;\ | t\ | = pvalue, [0.025 0.975] = the slope CI. (2) One category: m2 = smf.ols("duration_seconds ~ C(device)", …), printed next to model_data.groupby("device")["duration_seconds"].mean(). Show that Intercept = desktop's mean and each C(device)[T.x] = that device's mean minus desktop's, the §22.10(i) Kolkata dummy idea with three levels. Explain C(), [T.mobile], reference level, and how to choose it: C(device, Treatment("mobile")). (3) The full model as now. Explain "holding the others fixed" with the device coefficient (−50.6 s alone vs adjusted), and .summary() (full) vs .tables[1] (just the coefficient table). (4) .rsquared (link to §22.10's R², with its 0.984 on six customers vs 0.045 here). Add a 5-row syntax box: y ~ x, y ~ x1 + x2, C(x), C(x, Treatment("level")), y ~ x1 * x2 (interaction, used in Ch 31).</t>
  </si>
  <si>
    <t xml:space="preserve">30.3</t>
  </si>
  <si>
    <t xml:space="preserve">§30.11 "logistic regression models the log-odds. Exponentiating a coefficient gives an odds ratio"</t>
  </si>
  <si>
    <t xml:space="preserve">Odds, log-odds, why a straight line fails for a 0/1 outcome, smf.logit, .fit(disp=False), np.exp, .params, .conf_int() (a DataFrame whose columns are named 0 and 1), .pvalues, and what the intercept's 0.058 means: none of this is explained. "Odds" is used without definition, although the chapter itself warns "say odds when you mean odds".</t>
  </si>
  <si>
    <t xml:space="preserve">Before the code: (a) odds by hand from §30.9's numbers. Control 937 enquired, 23,099 did not → odds 937/23,099 = 0.0406 (rate 3.90%). Variant 1,035/22,215 = 0.0466. Odds ratio 0.0466/0.0406 = 1.148. (b) Why not OLS on 0/1: its predictions can go below 0 or above 1. Logistic regression fits a straight line to the *log* of the odds, and np.exp turns a coefficient back into an odds ratio. (c) Cell: smf.logit("enquired ~ C(variant, Treatment('control'))", data=logit_data).fit(disp=False), then np.exp(params) → OR 1.148, matching (a). Explain disp=False ("don't print the fitting progress") and Treatment('control') (sets the reference level; 'control' happens to be first alphabetically anyway). (d) The full model as now, with the variant OR moving only to 1.145 "because randomization already balanced device and channel". Explain conf_int() returning columns 0 (lower) and 1 (upper), hence [0]/[1]. Explain the Intercept row: the odds for control × desktop × direct = 0.058, a rate of 0.058/1.058 = 5.5%. Add "odds", "reference category" and "formula (statsmodels)" to Key terms.</t>
  </si>
  <si>
    <t xml:space="preserve">30.4</t>
  </si>
  <si>
    <t xml:space="preserve">§30.11 model_data = sessions.sample(40_000…); OLS on session duration</t>
  </si>
  <si>
    <t xml:space="preserve">The model uses sessions, several per visitor, so they are not independent, and duration is heavily right-skewed (sd 115 &gt; mean 96). The standard errors are therefore somewhat optimistic, which the chapter's own §30.3 warning covers. The sampling to 40,000 is also unexplained.</t>
  </si>
  <si>
    <t xml:space="preserve">One sentence after the table: "This model uses sessions, not visitors, and skewed durations, so treat the p-values as rough; fit(cov_type="cluster", cov_kwds={"groups": model_data["visitor_id"]}) gives standard errors that allow for repeat visitors." Say why 40,000 ("a sample keeps the example fast; the full data gives the same story").</t>
  </si>
  <si>
    <t xml:space="preserve">30.5</t>
  </si>
  <si>
    <t xml:space="preserve">Before you start: "Chapter 17's pandas is enough to follow the code"; "Chapter 22 … assumed, not repeated"</t>
  </si>
  <si>
    <t xml:space="preserve">pandas is taught in Ch 18 (Ch 17 is Python basics). The list also lacks Ch 18's NumPy page (M.9), Ch 22 §22.10 (D3) and Ch 29's uv/pyproject (the Tools line relies on uv add).</t>
  </si>
  <si>
    <t xml:space="preserve">"Before you start: Chapter 18 (pandas, and the NumPy basics page), Chapter 21 (distributions, spread, sampling, the central limit theorem §21.8), Chapter 22 (confidence intervals, p-values, chi-square, A/B basics, peeking, and §22.10 regression basics), Chapter 29 (uv projects; Python as tested code)."</t>
  </si>
  <si>
    <t xml:space="preserve">30.6</t>
  </si>
  <si>
    <t xml:space="preserve">Before you start "assumed, not repeated" vs §30.2–30.3, §30.5, §30.7, §30.8, §30.10</t>
  </si>
  <si>
    <t xml:space="preserve">Flow. Ch 22 already teaches CIs with stats.t.interval (§22.1), chi-square (§22.2), Welch and Mann-Whitney (§22.2), A/B design (§22.3), peeking and multiple comparisons (§22.4), practical significance (§22.8) and write-ups (§22.9). Ch 30 re-teaches all of them without one back-pointer, and its peeking figure (25.5%) differs from Ch 22 §22.4's simulation (4.9 / 14.3 / 23.9%) with no reconciliation. A reader thinks they are repeating a chapter, or that the numbers disagree.</t>
  </si>
  <si>
    <t xml:space="preserve">Flow / Load</t>
  </si>
  <si>
    <t xml:space="preserve">(1) Add a short "What's new since Chapter 22" box after In plain English. Recap (quick, with section pointers): SE/CI (§22.1), chi-square (§22.2), A/B basics (§22.3), peeking (§22.4). New here: unit of analysis, effect sizes (Cohen's d, Cramér's V, Cohen's h), ANOVA and Tukey, sample size by formula, a full test end to end, SRM, guardrails, novelty, regression for inference and logistic regression. (2) Put "(recap of §22.x)" in the first line of §30.2, §30.3, the p-value table, and the peeking and multiple-testing parts of §30.10. (3) At the peeking simulation: "Chapter 22 §22.4 found 23.9% with its setup; here, with 14 daily looks at a 3.9% conversion rate, it is 25.5%. The more looks, the worse it gets."</t>
  </si>
  <si>
    <t xml:space="preserve">30.7</t>
  </si>
  <si>
    <t xml:space="preserve">Tools: "Install them with uv add pandas scipy statsmodels (Chapter 29)"; Tools list includes matplotlib</t>
  </si>
  <si>
    <t xml:space="preserve">uv add works only inside a uv project, and none is created for Ch 30. matplotlib, SQLAlchemy and psycopg (needed for §30.3) and ipykernel (for the notebook) are missing from the command. statsmodels is installed here for the first time unless Ch 22 adopts finding 22.10's install line. "Python 3.12" conflicts with Ch 17's 3.13 install.</t>
  </si>
  <si>
    <t xml:space="preserve">Add a numbered setup at the start of §30.1, each step with output: cd companion/ch30; uv init --bare (or uv init and delete the sample main.py); uv add pandas numpy scipy statsmodels matplotlib sqlalchemy "psycopg[binary]"; uv add --dev ipykernel; select the .venv kernel in VS Code; check the versions with import scipy, statsmodels; print(scipy.__version__, statsmodels.__version__) → 1.17.1 0.15.0. If Ch 22 already installed statsmodels in the Ch 17 venv, say "or keep using that environment". Tools: "Python 3.12 or later".</t>
  </si>
  <si>
    <t xml:space="preserve">30.8</t>
  </si>
  <si>
    <t xml:space="preserve">§30.3 create_engine("postgresql+psycopg://postgres:riverstone123@localhost/riverstone_2025")</t>
  </si>
  <si>
    <t xml:space="preserve">A hard-coded password, one chapter after Ch 29's "a password never appears in a file" and its RIVERSTONE_DATABASE_URL pattern. The SQL also joins orders needlessly (sales_lines already has order_id).</t>
  </si>
  <si>
    <t xml:space="preserve">import os; engine = create_engine(os.environ["RIVERSTONE_DATABASE_URL"]) with "(set in Chapter 29 §29.3; or load your .env as in §29.3)". Drop JOIN orders AS o and group by sl.order_id, c.segment.</t>
  </si>
  <si>
    <t xml:space="preserve">30.9</t>
  </si>
  <si>
    <t xml:space="preserve">§30.2 "Compute it by hand first, on the time visitors spend on the site"</t>
  </si>
  <si>
    <t xml:space="preserve">"By hand" is a pandas cell on 214,528 rows. The Chapter at a glance promises "by hand and in Python", and the house principle is by hand → spreadsheet → code.</t>
  </si>
  <si>
    <t xml:space="preserve">Either add a 5-session by-hand table (durations e.g. 40, 75, 90, 120, 210 s: mean, deviations, s = √(Σ(x−x̄)²/(n−1)), SE = s/√5, CI with t* = 2.776 for df = 4) plus the spreadsheet line =STDEV.S(A2:A6)/SQRT(COUNT(A2:A6)), or say "Chapter 22 §22.1 did this by hand; here the same three lines run on 214,528 sessions" and rename the cell "The same recipe in pandas".</t>
  </si>
  <si>
    <t xml:space="preserve">30.10</t>
  </si>
  <si>
    <t xml:space="preserve">§30.2 "40 sessions: mean 64.0 s, 95% CI 47.8 to 80.2 s"; Answer 4 "n = 200: mean 82.5 s, CI 69.6 to 95.4"</t>
  </si>
  <si>
    <t xml:space="preserve">Both intervals miss the full-data mean the reader has just computed (96.17 s), and neither miss is mentioned. A careful reader concludes the method is broken. The reason is teachable: durations are strongly right-skewed (sd 115 &gt; mean 96), so small samples usually miss the long tail, and t-intervals under-cover. Or it is the 1-in-20 miss the Watch out describes.</t>
  </si>
  <si>
    <t xml:space="preserve">After the 40-session output: "Notice that this interval, 47.8–80.2 s, does not contain 96.17 s, the mean of all 214,528 sessions. This can happen: 95% intervals miss 1 time in 20, and with skewed data like this, small samples miss more often, because a sample of 40 rarely includes the few very long visits that pull the mean up. That's section 30.3's point about skewed data, and a reason to prefer larger samples or a bootstrap for skewed measures." Add a matching sentence in answer 4 for n = 200.</t>
  </si>
  <si>
    <t xml:space="preserve">30.11</t>
  </si>
  <si>
    <t xml:space="preserve">§30.2 Watch out "In a meeting, say it as a range: 'between 3.9% and 4.1%'"</t>
  </si>
  <si>
    <t xml:space="preserve">Doesn't match the interval just computed (4.25% to 4.44%).</t>
  </si>
  <si>
    <t xml:space="preserve">"between 4.25% and 4.44%".</t>
  </si>
  <si>
    <t xml:space="preserve">30.12</t>
  </si>
  <si>
    <t xml:space="preserve">§30.2 visitors = (sessions.groupby("visitor_id")["enquiry_submitted"].max().rename("enquired").reset_index())</t>
  </si>
  <si>
    <t xml:space="preserve">Chains four steps in one line. The key idea, that max() of 0/1 means "did this visitor enquire at least once?", is only implied.</t>
  </si>
  <si>
    <t xml:space="preserve">One bullet each: groupby("visitor_id") one group per visitor; .max() of 0/1 values is 1 if any session had an enquiry, so it means "ever enquired"; .rename("enquired") names the result; .reset_index() turns visitor_id back into a column. Print visitors.head(3) and len(visitors).</t>
  </si>
  <si>
    <t xml:space="preserve">30.13</t>
  </si>
  <si>
    <t xml:space="preserve">§30.3 result.df, result.confidence_interval(); "t is the difference measured in standard errors"</t>
  </si>
  <si>
    <t xml:space="preserve">Welch's SE and degrees of freedom are not shown, so df = 99.5 (not 112) appears from nowhere, and confidence_interval() is a method call on the result object.</t>
  </si>
  <si>
    <t xml:space="preserve">Add: "Welch's SE = √(s₁²/n₁ + s₂²/n₂) = √(21,094²/55 + 15,719²/59) = ₹3,504; t = 5,724/3,504 = 1.63. Its degrees of freedom come from a formula that adjusts for unequal spreads (99.5 here, a little under n₁ + n₂ − 2 = 112)." Explain that .confidence_interval() returns an object with .low and .high.</t>
  </si>
  <si>
    <t xml:space="preserve">30.14</t>
  </si>
  <si>
    <t xml:space="preserve">§30.3 "one bulk enquiry is worth twenty ordinary ones"; §30.10 "Riverstone's largest enquiry is worth more than a hundred ordinary ones (section 30.3)"</t>
  </si>
  <si>
    <t xml:space="preserve">The two claims disagree. The data give 4,388,000 / 22,747 (median) ≈ 193.</t>
  </si>
  <si>
    <t xml:space="preserve">§30.3: "…where the largest enquiry (₹43.9 lakh) is worth nearly 200 ordinary ones (median ₹22,747)". §30.10: "worth nearly 200 ordinary ones".</t>
  </si>
  <si>
    <t xml:space="preserve">30.15</t>
  </si>
  <si>
    <t xml:space="preserve">§30.4 output p-value = 0.000000</t>
  </si>
  <si>
    <t xml:space="preserve">The format hides the value (it is 3.1 × 10⁻¹⁰) and suggests p can be exactly 0, a misconception the chapter works to prevent elsewhere.</t>
  </si>
  <si>
    <t xml:space="preserve">Correctness / Polish</t>
  </si>
  <si>
    <t xml:space="preserve">Format with {t.pvalue:.1e} → p-value = 3.1e-10. Add one line: "p is never exactly zero; e-10 means ten decimal places of zeros first." (Scientific notation is not taught earlier; see the Ch 18 sequence note.)</t>
  </si>
  <si>
    <t xml:space="preserve">30.16</t>
  </si>
  <si>
    <t xml:space="preserve">§30.4 "'Enquiries rose 0.55 percentage points (95% CI 0.19 to 0.91)… over 47,286 visitors'"; effect-size table rows "Odds ratio … section 30.11", "Cramér's V … section 30.5"</t>
  </si>
  <si>
    <t xml:space="preserve">In-chapter order: the A/B result is quoted before §30.9 computes it, and two effect sizes are listed before they're taught. This is harmless as a preview but unlabelled.</t>
  </si>
  <si>
    <t xml:space="preserve">Sequence (in-chapter)</t>
  </si>
  <si>
    <t xml:space="preserve">Prefix the sentence with "(Section 30.9's result, as a preview)". In the table, mark those two rows "(taught in §30.5 / §30.11)".</t>
  </si>
  <si>
    <t xml:space="preserve">30.17</t>
  </si>
  <si>
    <t xml:space="preserve">§30.5 paid = visitors.merge(sessions[["visitor_id","channel"]].drop_duplicates("visitor_id"), …)</t>
  </si>
  <si>
    <t xml:space="preserve">(a) The all-visitor table is named paid, which collides with the channel value "paid" (counts.loc["paid", …] two lines later). (b) The channel is taken from whichever session comes first in file order. §30.9 sorts by started_at first, so the two sections define "a visitor's channel" differently. (c) Repeat visitors can have several channels, and this is not mentioned.</t>
  </si>
  <si>
    <t xml:space="preserve">Rename it by_visitor (in the answers too). Use sessions.sort_values("started_at").drop_duplicates("visitor_id") and say "a visitor's channel = the channel of their first visit".</t>
  </si>
  <si>
    <t xml:space="preserve">30.18</t>
  </si>
  <si>
    <t xml:space="preserve">§30.5 proportions_ztest([k_email, k_paid], [n_email, n_paid]); confint_proportions_2indep(…, method="wald")</t>
  </si>
  <si>
    <t xml:space="preserve">Neither function's arguments are explained: the first list is successes and the second is totals; the order sets the sign; the stat returned is z; method="wald" is §30.2's p ± 1.96·SE formula, applied to a difference. The z-test uses a pooled SE and the Wald CI an unpooled one, so the two can disagree at the edges.</t>
  </si>
  <si>
    <t xml:space="preserve">Add a How-it-works list: arguments in order (counts, then totals; email first, so a positive z means email is higher); "method="wald" is the textbook formula from section 30.2, SE = √(p₁(1−p₁)/n₁ + p₂(1−p₂)/n₂)". Show the by-hand check: 0.0616 − 0.0321 = 0.0294; SE = 0.00235; 0.0294 ± 1.96 × 0.00235 → 0.0248 to 0.0340 ✓. Add: "the test pools the two groups to compute its SE (as if there were no difference); the interval does not. That is why they're computed separately."</t>
  </si>
  <si>
    <t xml:space="preserve">30.19</t>
  </si>
  <si>
    <t xml:space="preserve">§30.6 by_region = [g["duration_seconds"].to_numpy() for _, g in sessions.groupby("region")]; stats.f_oneway(*by_region); ANOVA on 214,528 sessions</t>
  </si>
  <si>
    <t xml:space="preserve">(a) This runs on sessions, while §30.3 has just said "several sessions from the same visitor… aggregate to the randomization unit first". The chapter breaks its own rule, and the channel ANOVA's p = 0.013 is partly an artefact of it. (b) Looping over a groupby (for _, g in …), _, and * unpacking are new. (c) F is described but never computed, even roughly.</t>
  </si>
  <si>
    <t xml:space="preserve">Consistency / Line-by-line</t>
  </si>
  <si>
    <t xml:space="preserve">(a) Aggregate first: per_visitor_pages = sessions.groupby(["visitor_id","channel"])["pages_viewed"].mean() (or use the first session per visitor), then run ANOVA on visitors. Or keep sessions and add one sentence: "This treats sessions as independent, which they aren't quite; with visitors the p-value would be larger." (b) A mini-cell showing for name, g in sessions.groupby("region"): print(name, len(g)) → 4 lines. Explain _ ("a name for a value we don't need") and *list ("pass each item as a separate argument"). (c) One sentence with the idea F = (variation between group means) ÷ (variation within groups), each divided by its degrees of freedom. Optionally, a 3-group × 3-value toy computed by hand.</t>
  </si>
  <si>
    <t xml:space="preserve">30.20</t>
  </si>
  <si>
    <t xml:space="preserve">§30.6 Tukey summary() header "FWER=0.05"; columns meandiff, p-adj, lower, upper, reject</t>
  </si>
  <si>
    <t xml:space="preserve">FWER (family-wise error rate) is in the Key terms but never defined in the text. p-adj is not explained.</t>
  </si>
  <si>
    <t xml:space="preserve">Under the output: "FWER = family-wise error rate: the chance of at least one false alarm across all ten pairs, held at 5%. p-adj is each pair's p-value after that adjustment; lower/upper is the 95% interval for the difference; reject = True means 'differs'."</t>
  </si>
  <si>
    <t xml:space="preserve">30.21</t>
  </si>
  <si>
    <t xml:space="preserve">§30.7 "n = 2 × (zα/2 + zβ)² × p̄(1 − p̄) / d²"; proportion_effectsize(baseline + mde, baseline); solve_power(effect_size=…, alpha=…, power=…)</t>
  </si>
  <si>
    <t xml:space="preserve">The symbols zα/2, zβ, p̄ and d are not spelled out (d here is the MDE, not Cohen's d from §30.4). proportion_effectsize returns Cohen's h, which is named only in the next cell and never defined. How solve_power works (leave out the one you want and it solves for it) is not said.</t>
  </si>
  <si>
    <t xml:space="preserve">Under the formula, one line per symbol: zα/2 = 1.960 ("the z for a two-sided 5% test", stats.norm.ppf(0.975) from Ch 21); zβ = 0.842 (80% power); p̄ = the average of the two rates (0.0415); d = the MDE in proportion units (0.005, not Cohen's d). Then the arithmetic by hand: 2 × 2.802² × 0.0415 × 0.9585 / 0.005² = 24,977. Define Cohen's h = 2·arcsin√p₂ − 2·arcsin√p₁ = 0.0251 here, "a rescaled difference that makes 3.9→4.4 comparable to 50→50.5". Explain solve_power: "give it every quantity except the one you want (here nobs1) and it returns that one; the second call leaves out effect_size instead".</t>
  </si>
  <si>
    <t xml:space="preserve">30.22</t>
  </si>
  <si>
    <t xml:space="preserve">§30.7 "How many orders would settle section 30.3's question?" uses observed d = 0.308; then Watch out "effect size chosen from the business, not from the data"</t>
  </si>
  <si>
    <t xml:space="preserve">Planning with the observed effect sits uneasily next to the warning. A reader may see a contradiction.</t>
  </si>
  <si>
    <t xml:space="preserve">Add: "Here we use the observed gap only as a starting guess for a *future* study. A better answer asks the sales head what gap in average order value would change a decision (say ₹5,000) and plans for that."</t>
  </si>
  <si>
    <t xml:space="preserve">30.23</t>
  </si>
  <si>
    <t xml:space="preserve">§30.9 Step 2 "chance alone would produce a gap this large about once in 2,000 tests"</t>
  </si>
  <si>
    <t xml:space="preserve">p = 0.00030 is about once in 3,300.</t>
  </si>
  <si>
    <t xml:space="preserve">"about once in 3,300 tests (p = 0.0003)".</t>
  </si>
  <si>
    <t xml:space="preserve">30.24</t>
  </si>
  <si>
    <t xml:space="preserve">§30.9 Step 2 chi2, p_srm = stats.chisquare(observed)</t>
  </si>
  <si>
    <t xml:space="preserve">This is a different chi-square test from §30.5's chi2_contingency: a goodness-of-fit test against expected counts, which default to equal (23,643 each). That default is exactly why it fits a 50/50 design. Not explained.</t>
  </si>
  <si>
    <t xml:space="preserve">Add: "stats.chisquare compares observed counts with expected counts; with no f_exp=, it expects equal counts, 47,286 / 2 = 23,643 each. By hand: (24,036 − 23,643)²/23,643 + (23,250 − 23,643)²/23,643 = 6.53 + 6.53 = 13.1 ✓. For a 90/10 design pass f_exp=[0.9 * total, 0.1 * total]." Add "goodness-of-fit test" to Key terms.</t>
  </si>
  <si>
    <t xml:space="preserve">30.25</t>
  </si>
  <si>
    <t xml:space="preserve">§30.9 Step 3 p_control, p_variant = k / n; proportions_ztest(k[::-1], n[::-1]); relative CI (diff ± 1.96·se) / p_control</t>
  </si>
  <si>
    <t xml:space="preserve">(a) Array unpacking and [::-1] (reverse, so that variant comes first and z is positive) are unexplained. (b) The z uses a pooled SE while the CI uses an unpooled SE (see 30.18). (c) The relative CI treats p_control as exact. It is close enough here (+4.9% to +23.4% vs +4.7% to +24.5% by the log-ratio method), but that should be said.</t>
  </si>
  <si>
    <t xml:space="preserve">(a) Explain [::-1]: "reverse the array, so variant_b comes first and a positive z means the variant is higher". Or write it explicitly: proportions_ztest([k[1], k[0]], [n[1], n[0]]). (b) The same pooled/unpooled sentence as 30.18. (c) Add: "Dividing by the control rate treats it as known exactly; a more careful interval for the ratio (via logs) gives +4.7% to +24.5%, the same story."</t>
  </si>
  <si>
    <t xml:space="preserve">30.26</t>
  </si>
  <si>
    <t xml:space="preserve">§30.9 Step 5 "report 'a 20% lift on tablet'"; §30.12 table "'Tablet users loved it (+20%)'"; Common mistakes "'Tablet users loved it'"</t>
  </si>
  <si>
    <t xml:space="preserve">The printed rates give tablet 0.0298 → 0.0402 = +35%. Desktop is +11% and mobile +15%, so the "biggest one" is +35%, not +20%.</t>
  </si>
  <si>
    <t xml:space="preserve">Replace "+20%" with "+35%" in both places ("a 35% lift on tablet"). Add: "on only 2,811 tablet visitors, whose interval is far wider than the overall one".</t>
  </si>
  <si>
    <t xml:space="preserve">30.27</t>
  </si>
  <si>
    <t xml:space="preserve">§30.12 table: "'+14% relative, which is 35 enquiries a month at current traffic'"</t>
  </si>
  <si>
    <t xml:space="preserve">Contradicts the chapter's own figure: 0.55 pp × 3,400 visitors/day × 30 ≈ 560 a month (§30.9 and the write-up). "35" is wrong by a factor of 16, in the very template readers will copy.</t>
  </si>
  <si>
    <t xml:space="preserve">"'+14% relative, which is about 560 extra enquiries a month at current traffic (interval roughly 190 to 920)'".</t>
  </si>
  <si>
    <t xml:space="preserve">30.28</t>
  </si>
  <si>
    <t xml:space="preserve">§30.12 write-up "Excluding Safari does not change the direction or significance of the result"</t>
  </si>
  <si>
    <t xml:space="preserve">This is computed only in answer 8. The main text asserts a result it never shows, breaking the chapter's "every number from shown code" practice.</t>
  </si>
  <si>
    <t xml:space="preserve">Move answer 8's cell into §30.10's SRM part, after "What you cannot do is ignore it", with its output (control 679/16,900 = 4.02%, variant 780/16,958 = 4.60%, +0.58 pp, z = 2.64, p = 0.0084, split 49.91%). Then change exercise 8 to "Exclude mobile Safari only, and compare."</t>
  </si>
  <si>
    <t xml:space="preserve">30.29</t>
  </si>
  <si>
    <t xml:space="preserve">§30.10 Novelty test_sessions.groupby(["week","variant"])["enquiry_submitted"].mean(); Answer 9 same</t>
  </si>
  <si>
    <t xml:space="preserve">Session-level rates (0.0335, 0.0415…), where the design and every other result are per visitor, and a visitor with sessions in both weeks counts in both. This is the "Analyzing sessions when you randomized visitors" mistake from the chapter's own table.</t>
  </si>
  <si>
    <t xml:space="preserve">Assign each visitor to the week of their first session in the test (first["week"] = …), merge onto per_visitor, then groupby(["week","variant"])["enquired"].mean(). Print it with visitor counts and replace the numbers in the text, the Real World story and answer 9 accordingly. If the session-level version is kept, label it "per session, for a quick look" and say why that's weaker.</t>
  </si>
  <si>
    <t xml:space="preserve">30.30</t>
  </si>
  <si>
    <t xml:space="preserve">§30.8 plan "Guardrail metrics: Pages viewed per session; median enquiry value…"; Step 4 computes pages and sessions per visitor</t>
  </si>
  <si>
    <t xml:space="preserve">The guardrail analysed isn't the one in the plan, which is the plan-drift the chapter warns against.</t>
  </si>
  <si>
    <t xml:space="preserve">Change the plan row to "Pages viewed per visitor; sessions per visitor; median enquiry value; enquiry-to-order rate" (matching Step 4 and the write-up).</t>
  </si>
  <si>
    <t xml:space="preserve">30.31</t>
  </si>
  <si>
    <t xml:space="preserve">Common mistakes "Ignoring novelty: A five-day test reads four times better than the truth"</t>
  </si>
  <si>
    <t xml:space="preserve">Not supported by the numbers: week 1 (seven days) reads +24% vs the fortnight's +14% (1.7×). The "four times" is week 1 vs week 2 (24/5).</t>
  </si>
  <si>
    <t xml:space="preserve">"A one-week test reads nearly twice the fortnight's lift (+24% vs +14%), and nearly five times week two's."</t>
  </si>
  <si>
    <t xml:space="preserve">30.32</t>
  </si>
  <si>
    <t xml:space="preserve">Real World: "At that size the test had a fair chance of detecting only differences of about 1.5 percentage points or more"</t>
  </si>
  <si>
    <t xml:space="preserve">With 7,592 visitors (~3,796 per group) at 3.9%, the MDE at 80% power is ≈ 1.25 pp.</t>
  </si>
  <si>
    <t xml:space="preserve">"…only differences of about 1.25 percentage points or more (80% power)". Optionally show the one-line NormalIndPower().solve_power(nobs1=3796, …).</t>
  </si>
  <si>
    <t xml:space="preserve">30.33</t>
  </si>
  <si>
    <t xml:space="preserve">Where this leads: "Chapter 42, Digital &amp; Web Analytics"; "Chapter 55, Machine Learning in Production"</t>
  </si>
  <si>
    <t xml:space="preserve">Wrong cross-references. Ch 42 is Recommender Systems &amp; Ranking, and no Digital/Web Analytics chapter exists. Ch 55 is Building AI Applications (RAG); experiments on model versions belong in Ch 56 MLOps.</t>
  </si>
  <si>
    <t xml:space="preserve">Delete the Ch 42 line, or replace it with "Chapter 75, Product Sense, Metrics, Case Studies: choosing and diagnosing metrics like these". Change "Chapter 55, Machine Learning in Production" to "Chapter 56, MLOps: Making Models Survive Production". Add "Chapter 37: regression used for prediction".</t>
  </si>
  <si>
    <t xml:space="preserve">30.34</t>
  </si>
  <si>
    <t xml:space="preserve">Figures 30.1–30.4</t>
  </si>
  <si>
    <t xml:space="preserve">None has code, although each is a natural cell. The power curve (Figure 30.2) is one line with NormalIndPower().power(effect_size=h, nobs1=n, alpha=0.05) over a range of n, and matplotlib is listed in Tools but never used.</t>
  </si>
  <si>
    <t xml:space="preserve">After Figure 30.2 add: ns = np.arange(1_000, 60_001, 1_000); power = NormalIndPower().power(effect_size=effect, nobs1=ns, alpha=0.05); plt.plot(ns, power); plt.axhline(0.8). Output: at 5,000 the power is 0.24, at 25,000 it is 0.80 (both match the figure).</t>
  </si>
  <si>
    <t xml:space="preserve">30.35</t>
  </si>
  <si>
    <t xml:space="preserve">§30.1 python3 generate_riverstone_web.py / # sessions 214,528 events 622,090 …</t>
  </si>
  <si>
    <t xml:space="preserve">The program's output is shown as a # comment, which contradicts §26.0's reading rule (lines without $ are output). python3 is wrong for Windows. No sense of runtime is given.</t>
  </si>
  <si>
    <t xml:space="preserve">$ uv run python generate_riverstone_web.py, then output line sessions 214,528  events 622,090  visitors in the test 47,286. Add "(takes about N seconds; creates web_data/ with three CSV files)" and ls web_data.</t>
  </si>
  <si>
    <t xml:space="preserve">30.36</t>
  </si>
  <si>
    <t xml:space="preserve">§30.10 SRM "Safari is the cause and mobile is a symptom, because most Safari visits are on phones"</t>
  </si>
  <si>
    <t xml:space="preserve">Plausible, but shown by no output. It is the key diagnostic step.</t>
  </si>
  <si>
    <t xml:space="preserve">Add pd.crosstab(first["browser"], first["device"]) with output, pointing at the Safari row.</t>
  </si>
  <si>
    <t xml:space="preserve">30.37</t>
  </si>
  <si>
    <t xml:space="preserve">Answer 13 "region's don't, which matches section 30.6's ANOVA finding that regions behave alike"</t>
  </si>
  <si>
    <t xml:space="preserve">§30.6's ANOVA tested session *duration* by region, not enquiry. The link is loose.</t>
  </si>
  <si>
    <t xml:space="preserve">"…region's don't: region doesn't predict enquiring once the others are in the model (and §30.6 found no regional difference in visit length either)".</t>
  </si>
  <si>
    <t xml:space="preserve">30.38</t>
  </si>
  <si>
    <t xml:space="preserve">Answer 14 "or use Dunnett's test"; Exercise 12 "plot the p-values" (answer prints percentages only)</t>
  </si>
  <si>
    <t xml:space="preserve">Dunnett's test is not taught. The answer to 12 doesn't show the requested plot.</t>
  </si>
  <si>
    <t xml:space="preserve">Answer 14: "(Dunnett's test, not covered here, is the purpose-built alternative.)" Answer 12: add plt.hist(pvalues, bins=20) with "roughly 25 per bar, flat".</t>
  </si>
  <si>
    <t xml:space="preserve">30.39</t>
  </si>
  <si>
    <t xml:space="preserve">Answers heading "(In the finished book these move to Appendix G.)"; Tools "ch30_check.py (checks the chapter's numbers)"</t>
  </si>
  <si>
    <t xml:space="preserve">Known drafting leftover. The build check is listed as a reader file.</t>
  </si>
  <si>
    <t xml:space="preserve">Delete the Appendix G sentence. Describe ch30_check.py for the reader ("run it to confirm your generated data matches the book") or remove it.</t>
  </si>
  <si>
    <t xml:space="preserve">30.40</t>
  </si>
  <si>
    <t xml:space="preserve">Chapter at a glance "Time needed: 14–18 hours"</t>
  </si>
  <si>
    <t xml:space="preserve">Load. About 25 new library functions (t.interval, sem, ttest_ind, proportions_ztest, confint_proportions_2indep, chi2_contingency, chisquare, f_oneway, pairwise_tukeyhsd, NormalIndPower, TTestIndPower, proportion_effectsize, multipletests, mannwhitneyu, smf.ols, smf.logit…). The additions above (regression and logistic build-up, by-hand checks, SRM goodness-of-fit, novelty per visitor) add about 3–4 hours.</t>
  </si>
  <si>
    <t xml:space="preserve">"18–22 hours over three weeks". Mark four sittings: (1) §30.1–30.4 SE, CI, t-test, effect size; (2) §30.5–30.7 proportions, chi-square, ANOVA, power; (3) §30.8–30.10 design, the test end to end, fooling yourself; (4) §30.11–30.12 regression for inference, write-up, project. Add a checkpoint after sitting 2: compute a sample size by hand and with statsmodels for a new baseline.</t>
  </si>
  <si>
    <t xml:space="preserve">30.41</t>
  </si>
  <si>
    <t xml:space="preserve">Before you start "Chapter 29 (Python as tested code) shapes how the analysis is written"</t>
  </si>
  <si>
    <t xml:space="preserve">The chapter's code is entirely notebook cells: no function and no test. Ch 29's pointer ("write its analyses as tested functions") goes unfulfilled.</t>
  </si>
  <si>
    <t xml:space="preserve">In §30.9 Step 3, wrap the arithmetic in def two_proportion_summary(k_a, n_a, k_b, n_b) -&gt; dict and add a 3-line pytest test that pins the book's numbers (937/24,036 vs 1,035/23,250 → diff 0.0055, CI 0.0019 to 0.0091, p 0.0026). One sentence: "this is Chapter 29's reconciliation test, applied to statistics."</t>
  </si>
  <si>
    <t xml:space="preserve">30.42</t>
  </si>
  <si>
    <t xml:space="preserve">§30.9 Step 1 window = (test_sessions["started_at"].dt.date &gt;= pd.Timestamp("2026-02-02").date()) &amp; \</t>
  </si>
  <si>
    <t xml:space="preserve">The comparison is clumsy (.dt.date against Timestamp(...).date()), uses a backslash continuation, and relies on &amp; with brackets, which are not explained.</t>
  </si>
  <si>
    <t xml:space="preserve">Use started = test_sessions["started_at"]; window = started.between("2026-02-02", "2026-02-15 23:59:59"), or two conditions in brackets without \. Explain &amp; ("and" for each row; each condition needs its own brackets).</t>
  </si>
  <si>
    <t xml:space="preserve">30.43</t>
  </si>
  <si>
    <t xml:space="preserve">Key terms</t>
  </si>
  <si>
    <t xml:space="preserve">Terms used but not listed: odds, reference category, formula (statsmodels), goodness-of-fit test, Cohen's h, pooled standard error, treatment coding.</t>
  </si>
  <si>
    <t xml:space="preserve">Add them with the definitions from 30.2, 30.3, 30.21, 30.24.</t>
  </si>
  <si>
    <t xml:space="preserve">30.44</t>
  </si>
  <si>
    <t xml:space="preserve">§30.2 from scipy import stats then §30.3 from scipy import stats again</t>
  </si>
  <si>
    <t xml:space="preserve">Duplicate import. Imports are scattered through the chapter, and later answer cells rely on names from earlier cells.</t>
  </si>
  <si>
    <t xml:space="preserve">One setup cell at the top of §30.1 with every import (pandas, numpy, scipy.stats, statsmodels functions, smf, matplotlib) and the two read_csv calls. Remove the repeated imports.</t>
  </si>
  <si>
    <t xml:space="preserve">V30.1</t>
  </si>
  <si>
    <t xml:space="preserve">p. 14 · Sample-size formula "n = 2 × (z_α/2 + z_β)² × p̄(1 − p̄) / d²"</t>
  </si>
  <si>
    <t xml:space="preserve">The text uses p + U+0304 combining macron. In Lora Italic the macron falls on the "(" and ")" rather than over p, so the formula prints as "p(1 − p)" with stray marks on the brackets. The pooled p̄ is lost. The formula is also set as a bare italic paragraph rather than in the formula style used elsewhere. The subscripts α and β fall back to DejaVu Serif.</t>
  </si>
  <si>
    <t xml:space="preserve">Use a precomposed glyph or math rendering (MathML/KaTeX), or write "p_bar". Put the formula in the formula box style.</t>
  </si>
  <si>
    <t xml:space="preserve">V30.2</t>
  </si>
  <si>
    <t xml:space="preserve">p. 6 · Figure 30.1 (four CI bars)</t>
  </si>
  <si>
    <t xml:space="preserve">Row labels and interval labels are 4.5–4.9 pt, and the axis ticks are smaller. The whole figure occupies a strip about 25 mm tall.</t>
  </si>
  <si>
    <t xml:space="preserve">Redraw at a 7 pt minimum, taller, and with fewer words per label.</t>
  </si>
  <si>
    <t xml:space="preserve">V30.3</t>
  </si>
  <si>
    <t xml:space="preserve">p. 15 · Figure 30.2 (power curve)</t>
  </si>
  <si>
    <t xml:space="preserve">Axis ticks, the "25,000 per group: 80% power" note and the red "at 5,000 per group…" note are 4.9–5.3 pt. The note text is light red on white.</t>
  </si>
  <si>
    <t xml:space="preserve">Enlarge to 7 pt; use a darker annotation colour.</t>
  </si>
  <si>
    <t xml:space="preserve">V30.4</t>
  </si>
  <si>
    <t xml:space="preserve">p. 17 · Figure 30.4 (experiment timeline) and caption</t>
  </si>
  <si>
    <t xml:space="preserve">Text is 5.3–5.5 pt. The caption and footnote say "Everything above the line is decided before a visitor is randomized", but the figure draws no line between the Before and During/After rows.</t>
  </si>
  <si>
    <t xml:space="preserve">Add a divider rule after the last "Before" row, or reword the caption. Enlarge the text.</t>
  </si>
  <si>
    <t xml:space="preserve">V30.5</t>
  </si>
  <si>
    <t xml:space="preserve">p. 21 · Figure 30.3 (peeking)</t>
  </si>
  <si>
    <t xml:space="preserve">Text is 5.3–5.7 pt. The false-winner squares are distinguished by red only (grey versus red), and the panel titles are green versus red.</t>
  </si>
  <si>
    <t xml:space="preserve">Enlarge; mark the false winners with a pattern or an "×" as well as colour.</t>
  </si>
  <si>
    <t xml:space="preserve">V30.6</t>
  </si>
  <si>
    <t xml:space="preserve">p. 17, 21 · Figure numbering</t>
  </si>
  <si>
    <t xml:space="preserve">Figure 30.4 (p. 17) appears before Figure 30.3 (p. 21).</t>
  </si>
  <si>
    <t xml:space="preserve">Renumber in page order (30.3 ↔ 30.4) and update the references.</t>
  </si>
  <si>
    <t xml:space="preserve">V30.7</t>
  </si>
  <si>
    <t xml:space="preserve">p. 24 (also 7) · "Riverstone's enquiry-form test, as Meera sends it:"</t>
  </si>
  <si>
    <t xml:space="preserve">The lead-in ends p. 24 above about 16% blank, and the memo callout starts p. 25. P. 7 ends 20% blank because the 30.3 code block moved to p. 8.</t>
  </si>
  <si>
    <t xml:space="preserve">Let the callout split, or keep the lead-in with it.</t>
  </si>
  <si>
    <t xml:space="preserve">V30.8</t>
  </si>
  <si>
    <t xml:space="preserve">p. 35→36 · Answers, exercise 13</t>
  </si>
  <si>
    <t xml:space="preserve">"13." is stranded alone at the foot of p. 35, and its code starts p. 36.</t>
  </si>
  <si>
    <t xml:space="preserve">Keep the answer number with the next block.</t>
  </si>
  <si>
    <t xml:space="preserve">V30.9</t>
  </si>
  <si>
    <t xml:space="preserve">p. 16→17 · Experiment-plan table ("Section / Riverstone's answer")</t>
  </si>
  <si>
    <t xml:space="preserve">The 14-row table splits with only 2 rows (Analysis plan, Decision rule) on p. 17. The header is repeated.</t>
  </si>
  <si>
    <t xml:space="preserve">Keep the table together, or break it at a more even point.</t>
  </si>
  <si>
    <t xml:space="preserve">V30.10</t>
  </si>
  <si>
    <t xml:space="preserve">"Draft chapter" badge, "17 September 2026" and "39 Python outputs verified · 30 number checks" are visible to readers. The decorative rule at the top right touches the "&amp;" of "ADVANCED ANALYTICS &amp;".</t>
  </si>
  <si>
    <t xml:space="preserve">Remove for print; move the rule clear of the kicker text.</t>
  </si>
  <si>
    <t xml:space="preserve">V30.11</t>
  </si>
  <si>
    <t xml:space="preserve">V30.12</t>
  </si>
  <si>
    <t xml:space="preserve">p. 5, 15, 16, 22, 33, 35 · Code blocks</t>
  </si>
  <si>
    <t xml:space="preserve">Long lines wrap to column 0 with no marker, sometimes inside string literals ("week" / "1", "two-" / "sided"), e.g. the assign(...) line on p. 22.</t>
  </si>
  <si>
    <t xml:space="preserve">Hard-wrap the source, or add a ↩ marker and hanging indent.</t>
  </si>
  <si>
    <t xml:space="preserve">V30.13</t>
  </si>
  <si>
    <t xml:space="preserve">p. 7 · Proportion SE sentence</t>
  </si>
  <si>
    <t xml:space="preserve">The inline formula breaks across lines as "p(1" / "− p) / n".</t>
  </si>
  <si>
    <t xml:space="preserve">Use non-breaking spaces inside inline formulas.</t>
  </si>
  <si>
    <t xml:space="preserve">V30.14</t>
  </si>
  <si>
    <t xml:space="preserve">p. 28–29 · "You've got it when…" checklist</t>
  </si>
  <si>
    <t xml:space="preserve">Wrapped items return under the checkbox ("hand.", "post-hoc correction.", "intervals.") instead of a hanging indent.</t>
  </si>
  <si>
    <t xml:space="preserve">Indent the continuation lines to the text start.</t>
  </si>
  <si>
    <t xml:space="preserve">V30.15</t>
  </si>
  <si>
    <t xml:space="preserve">p. 4, 7, 26 · Inline code pills</t>
  </si>
  <si>
    <t xml:space="preserve">The pill padding adds a space before punctuation ("riverstone.example , has").</t>
  </si>
  <si>
    <t xml:space="preserve">Remove the outer padding / margin on inline code.</t>
  </si>
  <si>
    <t xml:space="preserve">31.1</t>
  </si>
  <si>
    <t xml:space="preserve">Before you start: "Chapter 19's regression mechanics help; Chapter 17's pandas is enough"</t>
  </si>
  <si>
    <t xml:space="preserve">Known (M.5). Ch 19 is VBA and pandas is Ch 18. The prerequisites also leave out what the chapter actually needs: §22.10 (new regression basics, D3), §30.11 (statsmodels summary, C(), logit), Ch 18's NumPy basics (M.9), and Ch 21's standard deviation (used in the SMD).</t>
  </si>
  <si>
    <t xml:space="preserve">Replace with: "Before you start: Chapter 22 (correlation is not causation, §22.5; fitting a line, §22.10), Chapter 30 (confidence intervals, experiments, and §30.11's regression output, C() categories and logistic regression), Chapter 18 (pandas groupby, pivot_table, pd.cut, NumPy basics) and Chapter 21 (standard deviation). Section 31.0 below teaches the logarithms this chapter uses."</t>
  </si>
  <si>
    <t xml:space="preserve">31.2</t>
  </si>
  <si>
    <t xml:space="preserve">§31.2 panel["log_orders"] = np.log(panel["orders"]); §31.3 "Work in logs, so a difference is a percentage change"</t>
  </si>
  <si>
    <t xml:space="preserve">Logarithms are never taught anywhere in Chapters 1–30 (no np.log, no LN; Ch 15 only mentions "log scale", Ch 30 says "log-odds" and "log transform"). The whole chapter depends on them: DiD in logs, exp(effect) − 1, log revenue for QBR, the naive "+75%". The first use is in §31.2; the one-line explanation comes a section later.</t>
  </si>
  <si>
    <t xml:space="preserve">Add a new §31.0 "Logs in ten minutes" before §31.1 (about 1.5 pages). (a) The idea: ln turns multiplying into adding, so "grew by 5%" becomes "+0.049". (b) By hand with the chapter's own numbers: North before 2,032 and after 2,067; ln(2,067) − ln(2,032) = 0.0171; exp(0.0171) − 1 = 1.72%, the same as 2,067/2,032 − 1. (c) Where the shortcut breaks: a log difference of 0.56 is +75%, not +56% (so always convert back with exp(d) − 1); table of d = 0.01, 0.05, 0.10, 0.56 against exp(d) − 1. (d) Spreadsheet: =LN(A2), =EXP(B2)-1. (e) Python: np.log, np.exp, one cell each with output. (f) Why logs for DiD: "parallel trends" becomes "same growth rate" (move §31.3's first "How it works" bullet here). Add *logarithm, natural log, log difference* to Key terms.</t>
  </si>
  <si>
    <t xml:space="preserve">31.3</t>
  </si>
  <si>
    <t xml:space="preserve">§31.3 smf.ols("log_orders ~ treated + is_after + treated:is_after", …)</t>
  </si>
  <si>
    <t xml:space="preserve">The : interaction term is new: Ch 30 used only + and C(). The text says "that interaction is difference-in-differences" but never shows why.</t>
  </si>
  <si>
    <t xml:space="preserve">Before the regression, print a 4-row table of the dummies: group × period with columns treated, is_after, treated×is_after (0/0/0, 0/1/0, 1/0/0, 1/1/1). Explain that a:b means "a column that is a times b", which is 1 only for North after the change. Then, after the output, add a mapping table: Intercept 7.7475 = "Other regions, before" cell; treated −0.1318 = North − others before (7.6156 − 7.7475); is_after 0.0900 = others' change; treated:is_after −0.0729 = the DiD. Point back to §22.10(i) (a 0/1 x gives a difference in means). Explain simple.summary().tables[1] (the coefficient table only) and read one row's std err, t, P&gt;\ | t\ | and CI aloud.</t>
  </si>
  <si>
    <t xml:space="preserve">31.4</t>
  </si>
  <si>
    <t xml:space="preserve">§31.3 "Adding fixed effects for region and month removes all of that variation"</t>
  </si>
  <si>
    <t xml:space="preserve">Fixed effects are the chapter's main tool but get one sentence. The reader is not told that C(region) + C(month) adds 3 + 23 dummy columns; why treated and is_after are dropped from the formula (each is fully absorbed by the region or month dummies); why the interval shrinks (the residual now contains only within-region, within-month noise); or what R² 0.991 means. fe.conf_int().loc[…], ci[0]/ci[1] and fe.params[…] are new accessors.</t>
  </si>
  <si>
    <t xml:space="preserve">Split into three cells. (1) fe = smf.ols(...).fit() then print(len(fe.params)) → 28, and list the parameter names (Intercept, 3 region, 23 month, 1 interaction), saying each C(month) coefficient is "that month's shared shock". (2) Print fe.params["treated:is_after"] and fe.conf_int().loc["treated:is_after"] as a two-number Series and explain [0] = lower, [1] = upper. (3) The conversion to %. Add a paragraph: "treated and is_after are left out because C(region) already knows which region is North and C(month) already knows which months are after; including them would repeat information." Add one sentence on R² (link §22.10(e)): "0.991: region and month explain almost all of the variation in log orders, which leaves a small residual and so a tight interval." Add *dummy variable, fixed effect, absorbed* to the explanation.</t>
  </si>
  <si>
    <t xml:space="preserve">31.5</t>
  </si>
  <si>
    <t xml:space="preserve">§31.3 Watch out: fe = smf.ols(...).fit(cov_type="cluster", …); "wild cluster bootstrap, randomization inference"</t>
  </si>
  <si>
    <t xml:space="preserve">The snippet has a literal ... and cannot run. "Clustering", "wild cluster bootstrap" and "randomization inference" are used undefined. Answer 7 then shows the clustered interval *narrower* than the plain one (se 0.0127 vs 0.0168), the opposite of what the watch-out leads the reader to expect, and never says so.</t>
  </si>
  <si>
    <t xml:space="preserve">Write the full runnable call (as in answer 7) and explain cov_type and cov_kwds={"groups": …}. Define clustering in one sentence: "months within the same region are not independent observations, so the formula should treat each region as one block of evidence." Replace the two method names with one plain sentence ("resampling methods designed for few groups; Chapter 30's permutation idea is the simplest, see exercise 6's placebo") or define them. In answer 7 add: "Notice the clustered interval is *narrower*. With four clusters the formula is unreliable in both directions; a narrower 'corrected' interval is itself the warning sign."</t>
  </si>
  <si>
    <t xml:space="preserve">31.6</t>
  </si>
  <si>
    <t xml:space="preserve">§31.4 "has no trend worth the name"; "The last two pre-change months do sit low"; "within five points"</t>
  </si>
  <si>
    <t xml:space="preserve">The chapter's own output contradicts it. The last *three* pre-months (Jul −0.170, Aug −0.182, Sep −0.196) all sit below the pre-mean (−0.132). Quarter −1 is −0.051: more than five points, larger than quarter +1 (−0.041), and two-thirds of the estimated effect, in the same direction. That is a possible pre-trend. Answer 13 (region trends: −4.8%, CI crossing 0) reflects exactly this.</t>
  </si>
  <si>
    <t xml:space="preserve">Change to "The last three pre-change months do sit low". Replace "sit within five points of the baseline, with no direction to them" with "four of the five sit within four points, but the quarter just before the change is already 5 points low, about two-thirds of the effect". Add two sentences: "That could be noise (single quarters of one region move this much, see quarter −3 at +4) or the start of the fall. It is why exercise 13 re-estimates with region trends and why the write-up should say 'parallel for twelve of the fifteen months, with a dip in the last quarter'." Update Meera's statement accordingly ("ran parallel for fifteen months" → "for most of the fifteen months").</t>
  </si>
  <si>
    <t xml:space="preserve">31.7</t>
  </si>
  <si>
    <t xml:space="preserve">§31.4 "drifts by −0.18% a month, which over fifteen months comes to less than a third"</t>
  </si>
  <si>
    <t xml:space="preserve">0.00175 × 15 = 0.026 (or × 14 intervals = 0.0245); a third of 0.0729 is 0.0243. It is about a third, not less.</t>
  </si>
  <si>
    <t xml:space="preserve">"…which over fifteen months comes to about a third of the effect being measured: small, but not zero."</t>
  </si>
  <si>
    <t xml:space="preserve">31.8</t>
  </si>
  <si>
    <t xml:space="preserve">§31.4 np.polyfit(range(len(pre)), pre['gap'], 1)[0]</t>
  </si>
  <si>
    <t xml:space="preserve">np.polyfit is new. The reader is not told that it fits a straight line (§22.10) to the gap against month number, that 1 means a straight line, or that [0] is the slope. pivot_table via .assign(...) chaining, monthly.index &lt; "2025-10-01" (comparing dates to text) and .tail(4) also go unexplained.</t>
  </si>
  <si>
    <t xml:space="preserve">Split into (1) build monthly (explain .assign, the pivot, and "gap = North − Others" with the first 3 rows printed); (2) pre/post split (explain that pandas compares a date index with a date written as text); (3) summary stats; (4) the drift as stats.linregress(range(len(pre)), pre["gap"]).slope, reusing §22.10's tool instead of introducing polyfit (or explain polyfit's arguments and [0] = slope, [1] = intercept).</t>
  </si>
  <si>
    <t xml:space="preserve">31.9</t>
  </si>
  <si>
    <t xml:space="preserve">§31.1 pd.read_csv("causal_data/region_month.csv"…); "built by generate_ch31_data.py"</t>
  </si>
  <si>
    <t xml:space="preserve">The reader is never told how to run the generator (e.g., python generate_ch31_data.py from companion/ch31, taught in §26.0) or that it writes a causal_data/ folder. Only panel.head() is shown. The columns of qbr (customer_id, segment, revenue_2024, revenue_2025, growth_2024, years_as_customer, in_qbr_program) and orders (order_value, free_delivery, repeat_within_90_days, segment, region) are never shown, although every later block uses them. growth_2024 is undefined (0.052 = 5.2% growth, presumably).</t>
  </si>
  <si>
    <t xml:space="preserve">In §31.1 add: the terminal line to run the generator with its output (the three file names), then print(qbr.head(3)) and print(orders.head(3)) with output. Add a small "columns" table for each dataset with meaning and unit (growth_2024: "2024 revenue growth over 2023, as a fraction: 0.052 = 5.2%"; free_delivery: 1 if order_value ≥ 25,000).</t>
  </si>
  <si>
    <t xml:space="preserve">31.10</t>
  </si>
  <si>
    <t xml:space="preserve">§31.1 output "West 2024-07-01 3125 77605843.75"</t>
  </si>
  <si>
    <t xml:space="preserve">The scale does not match the Riverstone of earlier chapters. riverstone_2025 has 326 order lines and ₹43 lakh a year (Ch 13/28). Here one region takes about 3,100 orders and ₹7.8 crore a month, and 240 key accounts average ₹7.5–14 lakh each. A careful reader will be confused.</t>
  </si>
  <si>
    <t xml:space="preserve">Add one sentence in §31.1: "These are simulated at the scale of the larger Riverstone used in Chapter 28's riverstone_perf and Chapter 30's web data, not the small teaching database."</t>
  </si>
  <si>
    <t xml:space="preserve">31.11</t>
  </si>
  <si>
    <t xml:space="preserve">§31.5 "already twice the size of the others before it started"</t>
  </si>
  <si>
    <t xml:space="preserve">Answer 3 prints "ratio of average 2024 revenue: 1.62x", and the table's means give 1,225,517 / 755,521 = 1.62. Also, the "+75.0%" naive gap is a ratio of *geometric* means (via the mean of logs), whereas the arithmetic 2025 means give 1,420,723 / 824,817 = +72%. The reader who checks the table will not get 75%.</t>
  </si>
  <si>
    <t xml:space="preserve">Change to "already about 1.6 times the size". After the output add: "The +75% comes from comparing average *log* revenue, which weights every account equally in percentage terms (§31.0); the plain averages in the table give +72%. Either way, the gap is mostly selection."</t>
  </si>
  <si>
    <t xml:space="preserve">31.12</t>
  </si>
  <si>
    <t xml:space="preserve">§31.5 smf.logit("in_qbr_program ~ …").fit(disp=False); score_model.predict(qbr)</t>
  </si>
  <si>
    <t xml:space="preserve">Ch 30 used smf.logit only to read odds ratios. That the model's prediction is a probability between 0 and 1 (via the S-curve 1/(1+e^−z)) is new, and it is the whole idea of a propensity score. Logistic regression is properly taught in Ch 37. disp=False, .describe()[[…]] and the reason for these four predictors (only pre-treatment variables) are unexplained.</t>
  </si>
  <si>
    <t xml:space="preserve">Before the code, add a by-hand step: "a logistic model adds up a score z = b₀ + b₁·log_2024 + …, then turns it into a probability with p = 1 / (1 + e^−z)". Work one account by hand (print score_model.params, compute z and p for the first account in a spreadsheet with =1/(1+EXP(-z)), then show that predict gives the same number). Explain disp=False ("don't print the fitting progress"), and that predict(qbr) returns one probability per account. Add a sentence: "we use only things known before the program started (see Common mistakes and exercise 16)." Forward-point: "Chapter 37 teaches logistic regression as a prediction model."</t>
  </si>
  <si>
    <t xml:space="preserve">31.13</t>
  </si>
  <si>
    <t xml:space="preserve">§31.5 matching loop best = min(available, key=lambda cid: abs(...))</t>
  </si>
  <si>
    <t xml:space="preserve">One block combines about eight new things: .copy(), set_index(...).to_dict() building a dict, sort_values(ascending=False).iterrows() (Ch 18 warns against iterrows), if not available: break, min(..., key=lambda ...), the caliper test, del available[best], a nested list comprehension, and isin. No intermediate output is shown.</t>
  </si>
  <si>
    <t xml:space="preserve">Teach it by hand first: a 4-participant × 6-control toy table of propensity scores. Match greedily on paper (highest score first, nearest control within 0.05, remove it), then show the result. Then split the code into cells, each with output: (1) available dict, printing its first 3 items; (2) matching the *first* participant only, printing its score, the best control and the distance, explaining min(key=…) as "the key whose distance is smallest"; (3) the loop, explaining break, the caliper and "without replacement" (del); (4) pairs[:3]; (5) flattening the pairs into matched_ids with a plain two-level for loop first, then the comprehension. Add one sentence on why iterrows is fine here (68 rows, clarity over speed), reconciling with Ch 18's advice.</t>
  </si>
  <si>
    <t xml:space="preserve">31.14</t>
  </si>
  <si>
    <t xml:space="preserve">§31.5 balance output: "years_as_customer 0.239 0.106"; "Under 0.1 is the common rule of thumb"</t>
  </si>
  <si>
    <t xml:space="preserve">After matching, years_as_customer (0.106) fails the stated rule and growth_2024 (−0.098) only just passes. The text says nothing and moves on to "Both corrections land near the truth". C(segment) is in the propensity model but not in the balance table, and the regression adjustment leaves segment out.</t>
  </si>
  <si>
    <t xml:space="preserve">After the table add: "Two variables are borderline: tenure is still 0.106, just over the rule, and 2024 growth is −0.098. Report that, and include them in the outcome regression as a second line of defence (which the next block does)." Add segment to the balance check (share of each segment, before/after) and add C(segment) to the regression-adjustment formula, or say why it is omitted. Recompute the +7.7% if the formula changes.</t>
  </si>
  <si>
    <t xml:space="preserve">31.15</t>
  </si>
  <si>
    <t xml:space="preserve">§31.5 def smd(data, column): … np.sqrt((a.var(ddof=1) + b.var(ddof=1)) / 2)</t>
  </si>
  <si>
    <t xml:space="preserve">The SMD formula is in code only. Not shown: the formula symbol by symbol, a hand calculation, why the pooled SD is the average of the two *variances*, or that the rule of thumb uses absolute values.</t>
  </si>
  <si>
    <t xml:space="preserve">Add the formula: SMD = (mean₁ − mean₀) / √((s₁² + s₀²)/2). Work log_2024 before matching by hand from printed group means and SDs (add qbr.groupby("in_qbr_program")["log_2024"].agg(["mean","std"]) with output) to get 0.635. Say " | SMD | &lt; 0.1; the sign shows which group is higher". Link to Ch 30's Cohen's d (same idea).</t>
  </si>
  <si>
    <t xml:space="preserve">31.16</t>
  </si>
  <si>
    <t xml:space="preserve">§31.5 …["log_2025"].mean().diff().iloc[-1]</t>
  </si>
  <si>
    <t xml:space="preserve">A compact trick (difference of the two group means via .diff() and the last row) that is never explained and is used five times.</t>
  </si>
  <si>
    <t xml:space="preserve">The first time, show it in two steps: means = matched.groupby("in_qbr_program")["log_2025"].mean(), print(means), then means[1] - means[0], and say that .diff().iloc[-1] is shorthand for the same thing. Or use means[1] - means[0] throughout.</t>
  </si>
  <si>
    <t xml:space="preserve">31.17</t>
  </si>
  <si>
    <t xml:space="preserve">§31.9 print("\nA confounder that explained as much as prior size did would wipe out what's left.")</t>
  </si>
  <si>
    <t xml:space="preserve">A conclusion is hard-coded as a print and shown as output, so it looks computed when it isn't. The claim is not demonstrated.</t>
  </si>
  <si>
    <t xml:space="preserve">Remove the print; make it prose. Then demonstrate the reasoning with numbers: refit the adjustment regression *without* log_2024 and show how far the estimate moves, e.g., "dropping prior size moves the estimate from +7.7% to X%; an unmeasured variable of similar strength could move it by the same amount, which is more than the +7.7% left". Show that output. Optionally one line on the E-value formula for a ratio.</t>
  </si>
  <si>
    <t xml:space="preserve">31.18</t>
  </si>
  <si>
    <t xml:space="preserve">§31.6 smf.ols("repeat_within_90_days ~ free_delivery + centred + free_delivery:centred", …)</t>
  </si>
  <si>
    <t xml:space="preserve">The RD regression reuses the interaction without saying what it does here (it lets the slope differ above the cut-off). The slope above is never given (centred + interaction). The reader is not told that OLS on a 0/1 outcome gives a coefficient in probability points (a "linear probability model"), or why the running variable is centred (so that the free_delivery coefficient is the jump *at* 25,000).</t>
  </si>
  <si>
    <t xml:space="preserve">Add: (1) a sentence on centring ("measured from the cut-off so that 'centred = 0' is ₹25,000, and the free_delivery coefficient is the gap between the two lines exactly there"); (2) the two fitted lines written out: below ŷ = b₀ + b₂·centred, above ŷ = (b₀ + b₁) + (b₂ + b₃)·centred, with the four printed coefficients; (3) print the above-cut-off slope; (4) one sentence: "a straight-line regression on a yes/no outcome gives answers in percentage points; that's fine near the middle of the range." Define *running variable* here (it's a key term, used first in the §31.9 table).</t>
  </si>
  <si>
    <t xml:space="preserve">31.19</t>
  </si>
  <si>
    <t xml:space="preserve">§31.6 pd.cut(orders["centred"], bins=np.arange(-5, 5.5, 0.5)); i.left</t>
  </si>
  <si>
    <t xml:space="preserve">pd.cut makes right-closed bins, so an order of exactly ₹25,000 (centred = 0), which gets free delivery, lands in the bin (−0.5, 0.0] and is counted "below". The RD split uses centred &gt;= 0. observed=True, the Interval .left attribute and the list comprehension over density.index are new.</t>
  </si>
  <si>
    <t xml:space="preserve">Use pd.cut(..., right=False) so bins are [a, b), matching "≥ 25,000 gets free delivery", and re-run the counts. Explain np.arange(-5, 5.5, 0.5) (stops before 5.5), observed=True (skip empty bins) and .left (the bin's lower edge). Replace the comprehension with density[(density.index.left &gt;= -1) &amp; (density.index.left &lt; 0)].sum(), or explain it.</t>
  </si>
  <si>
    <t xml:space="preserve">31.20</t>
  </si>
  <si>
    <t xml:space="preserve">§31.6 "Riverstone gives free delivery on orders of ₹25,000 or more (Chapter 3)"</t>
  </si>
  <si>
    <t xml:space="preserve">Chapter 3 has no free-delivery rule, and no chapter before this one does.</t>
  </si>
  <si>
    <t xml:space="preserve">Either add the rule to Chapter 3's order-to-cash description (one sentence: "orders of ₹25,000 or more ship free") or drop "(Chapter 3)" and introduce it here: "Riverstone's delivery policy: orders of ₹25,000 or more ship free; smaller orders pay a delivery charge."</t>
  </si>
  <si>
    <t xml:space="preserve">31.21</t>
  </si>
  <si>
    <t xml:space="preserve">§31.7 from scipy.optimize import minimize … pre_period[donors].to_numpy() @ weights</t>
  </si>
  <si>
    <t xml:space="preserve">About eight new ideas in one block: numerical optimisation, a loss function, @ matrix multiplication (dot products are taught in Ch 35), .to_numpy(), np.repeat, bounds, an equality-constraint dict with a lambda, method="SLSQP", best.x, and slicing synthetic[:len(pre_period)]. No step is shown or run.</t>
  </si>
  <si>
    <t xml:space="preserve">Build it up. (1) By hand / spreadsheet: put the 15 pre-period log orders for North, West, South and East in columns; try weights 1/3 each; blend = =SUMPRODUCT(B2:D2,$G$1:$I$1); error² column; mean → the loss. Try a second set of weights and show the loss drops. Excel users: Solver with "sum of weights = 1, each ≥ 0" finds 0.19/0.30/0.51 (Google Sheets has a Solver add-on). (2) Python cell: blend for equal weights using (pre_period[donors] * w).sum(axis=1) (known pandas), print loss. (3) Introduce @ as "the same SUMPRODUCT, for every row at once" and show it gives the same numbers. (4) minimize: explain loss (a function of the weights), start, bounds (each between 0 and 1), the constraint (lambda returns 0 when weights sum to 1), SLSQP ("a method that can handle those rules"), print best.success, best.x. (5) Pre-fit RMSE and post gap as separate cells.</t>
  </si>
  <si>
    <t xml:space="preserve">31.22</t>
  </si>
  <si>
    <t xml:space="preserve">§31.7 output {'West': np.float64(0.187), …}</t>
  </si>
  <si>
    <t xml:space="preserve">NumPy 2 prints np.float64(...), which looks like an error to a beginner.</t>
  </si>
  <si>
    <t xml:space="preserve">Use weights = {d: round(float(w), 3) for d, w in zip(donors, best.x)} so it prints {'West': 0.187, 'South': 0.303, 'East': 0.509}, or add a sentence explaining the display.</t>
  </si>
  <si>
    <t xml:space="preserve">31.23</t>
  </si>
  <si>
    <t xml:space="preserve">§31.7 "West is twice North's size and East is smaller"</t>
  </si>
  <si>
    <t xml:space="preserve">West 3,335 vs North 2,032 orders a month (answer 1) = 1.64×.</t>
  </si>
  <si>
    <t xml:space="preserve">"West is over one and a half times North's size and East is smaller".</t>
  </si>
  <si>
    <t xml:space="preserve">31.24</t>
  </si>
  <si>
    <t xml:space="preserve">§31.3 "(the price rose on 1 October, which is the start of the festive season)"; §31.2 "growing by about 1% a month"</t>
  </si>
  <si>
    <t xml:space="preserve">The other regions' log change of 0.090 is spread over a 12-month gap between the midpoints of the before and after periods, which is about 0.75% a month *including* the festive-season share. "About 1%" overstates it.</t>
  </si>
  <si>
    <t xml:space="preserve">"growing by roughly three-quarters of a percent a month".</t>
  </si>
  <si>
    <t xml:space="preserve">31.25</t>
  </si>
  <si>
    <t xml:space="preserve">Answer 2: "each remaining order is worth 6% more, so revenue is close to flat" (+0.7%)</t>
  </si>
  <si>
    <t xml:space="preserve">Arithmetic: 0.93 × 1.06 = 0.986, so −1.4%, not +0.7%. The printed +0.7% implies average order value rose about 8.3% (exp(0.0072 + 0.0729)), so the mix shifted too (the lost orders were smaller). The answer hides the question it should raise.</t>
  </si>
  <si>
    <t xml:space="preserve">Add: "If only the price had changed, revenue would be 0.93 × 1.06 − 1 = −1.4%. The estimate is +0.7%, so average order value rose about 8%, more than the 6% price rise: the orders North lost were smaller ones. That mix shift is itself a finding; check it with a DiD on log(avg_order_value)."</t>
  </si>
  <si>
    <t xml:space="preserve">31.26</t>
  </si>
  <si>
    <t xml:space="preserve">In the real world: "Multiplied by the price increase, margin is roughly flat: the rise paid for itself"</t>
  </si>
  <si>
    <t xml:space="preserve">Wrong. Flat *revenue* with 7% fewer orders means lower variable cost, so gross margin rises. At a 25% gross margin, gross profit goes up about 15% (0.93 × (1.06 − 0.75) / 0.25 − 1). The board message "Margin is roughly flat, so the rise held" is the wrong conclusion. Project step 7's formula "volume effect × average order value × price change" is dimensionally muddled.</t>
  </si>
  <si>
    <t xml:space="preserve">Rewrite: "Combined with the 6% price rise, revenue is roughly flat (answer 2), and since North ships 7% fewer orders at the same cost each, gross margin is up (at a 25% gross margin, roughly +15%; at a 30% margin, about +12%)." Change the board line to "Revenue is flat and margin is up, so the rise worked, at the cost of about 7% of volume." Rewrite step 7: "Convert to money: lost orders = 7% × North's pre-change orders × months; revenue effect from the revenue DiD (exercise 2); margin effect = new revenue − new cost vs old, using unit costs." State the gross margin to use (for example, the margin implied by Ch 12's unit_price and unit_cost for the product mix), so every reader gets the same answer.</t>
  </si>
  <si>
    <t xml:space="preserve">31.27</t>
  </si>
  <si>
    <t xml:space="preserve">Exercise 6 / project step 5 "pretend the price rise happened on 1 October 2024"; answer 6 code &gt;= "2025-01-01"</t>
  </si>
  <si>
    <t xml:space="preserve">The exercise and the answer use different fake dates. October 2024 would leave only three "before" months (Jul–Sep 2024).</t>
  </si>
  <si>
    <t xml:space="preserve">Change exercise 6 and project step 5 to "1 January 2025 (6 months before, 9 after, all inside the real pre-period)" and add why: "the placebo must sit entirely before the real change and leave enough months on each side."</t>
  </si>
  <si>
    <t xml:space="preserve">31.28</t>
  </si>
  <si>
    <t xml:space="preserve">Answer 8: "It lands close to the truth… When you have a before period, prefer this."</t>
  </si>
  <si>
    <t xml:space="preserve">The DiD estimate (+9.0%) is further from the truth than matching (+7.1%), and the reason is built into the data: participants were selected partly on 2024 growth (0.062 vs 0.052), which violates parallel trends for revenue growth. The blanket advice "prefer this" teaches the wrong lesson.</t>
  </si>
  <si>
    <t xml:space="preserve">Replace the last two sentences: "It lands two points high. Participants were chosen partly because they were already growing faster (2024 growth 6.2% vs 5.2%), so they would have out-grown the others anyway: a parallel-trends failure. Prefer DiD when selection was on *levels* (size); when it was on *trends* (growth), combine them: match on 2024 growth, then difference." Optionally add that combined estimate.</t>
  </si>
  <si>
    <t xml:space="preserve">31.29</t>
  </si>
  <si>
    <t xml:space="preserve">Where this leads: "Chapter 43, Pricing &amp; Revenue Analytics"; "Chapter 19, Regression &amp; Forecasting"; "Chapter 55, Machine Learning in Production"</t>
  </si>
  <si>
    <t xml:space="preserve">Three broken cross-references. Ch 43 is *A First Look at Deep Learning*, and there is no pricing chapter. Ch 19 is VBA. ML in production is Ch 56 (MLOps); Ch 55 is RAG.</t>
  </si>
  <si>
    <t xml:space="preserve">Reader-facing polish (cross-ref)</t>
  </si>
  <si>
    <t xml:space="preserve">Delete the Ch 43 bullet (or point to Ch 75 "Product Sense, Metrics, Case Studies" if pricing cases live there; check). Replace the Ch 19 bullet with "Chapter 22 §22.10 and Chapter 37, which fit the same regressions to *predict*; Chapter 40, forecasting". Change Ch 55 to "Chapter 56, MLOps".</t>
  </si>
  <si>
    <t xml:space="preserve">31.30</t>
  </si>
  <si>
    <t xml:space="preserve">§31.9 "Chapter 69's method calls this pattern claim-plus-check"</t>
  </si>
  <si>
    <t xml:space="preserve">Chapter 69 does not use the phrase "claim-plus-check" (search finds no match).</t>
  </si>
  <si>
    <t xml:space="preserve">Cross-ref</t>
  </si>
  <si>
    <t xml:space="preserve">Use Ch 69's actual term for the move (from its five-dimension rubric, e.g., "depth &amp; edge cases") or drop the attribution: "Chapter 69's extra-points method rewards exactly this: the claim, then the check."</t>
  </si>
  <si>
    <t xml:space="preserve">31.31</t>
  </si>
  <si>
    <t xml:space="preserve">Answer 11: "with three donor regions the strongest statement available is 'one in two'"</t>
  </si>
  <si>
    <t xml:space="preserve">Unclear. After West and East are excluded for poor fit, only North and South remain, so North ranks first of two usable units, and the smallest possible placebo p-value is 1/2. The reader will not reconstruct that.</t>
  </si>
  <si>
    <t xml:space="preserve">"Only South is a usable placebo. With North and South the only well-fitted units, the most extreme result North could have is 'first of two', so the smallest p-value this test can give is 1/2 = 0.5. Four regions cannot deliver significance by this route."</t>
  </si>
  <si>
    <t xml:space="preserve">31.32</t>
  </si>
  <si>
    <t xml:space="preserve">Answer 13 + C(region):t alongside C(month)</t>
  </si>
  <si>
    <t xml:space="preserve">The four region-specific slopes add up to t, which is already a combination of the month dummies. The model is exactly collinear; statsmodels fits it via pseudo-inverse and the summary warns of multicollinearity. The treatment estimate survives, but the reader may see the warning and worry.</t>
  </si>
  <si>
    <t xml:space="preserve">Use + treated:t (a North-specific trend relative to the others), which is the standard form and has no collinearity, and re-run the numbers; or add a sentence explaining the warning.</t>
  </si>
  <si>
    <t xml:space="preserve">31.33</t>
  </si>
  <si>
    <t xml:space="preserve">Answers heading "(In the finished book these move to Appendix G.)"; Tools "ch31_check.py (checks the chapter's numbers)"</t>
  </si>
  <si>
    <t xml:space="preserve">Drafting leftover and a build script named as a reader file (known pattern).</t>
  </si>
  <si>
    <t xml:space="preserve">Delete the Appendix G sentence. Remove ch31_check.py from the reader-facing list, or describe it as "a script that reruns every number in this chapter so you can compare with yours" if it is meant for readers.</t>
  </si>
  <si>
    <t xml:space="preserve">31.34</t>
  </si>
  <si>
    <t xml:space="preserve">Code throughout: comment in §31.6 split "…from the\ncut-off"; f-strings wrapped across lines (§31.6, answers 3, 4, 9, 11)</t>
  </si>
  <si>
    <t xml:space="preserve">As printed, several lines wrap mid-comment or mid-string. Typed as shown, a wrapped comment becomes a stray line, and a newline inside the text part of an f-string is a SyntaxError.</t>
  </si>
  <si>
    <t xml:space="preserve">Keep every code line ≤ ~95 characters in layout: shorten comments (# ₹ thousands from the cut-off), and split long prints with parentheses and implicit string concatenation, as §31.3 already does.</t>
  </si>
  <si>
    <t xml:space="preserve">31.35</t>
  </si>
  <si>
    <t xml:space="preserve">Format specs {did:+.4f}, {…:%b %Y}, {quarter:+d}, '#' * n, {str(caliper):&gt;5}</t>
  </si>
  <si>
    <t xml:space="preserve">New format codes (leading +, date format %b %Y, alignment &gt;5) and string repetition, used without comment.</t>
  </si>
  <si>
    <t xml:space="preserve">Add a small box at the first use (§31.1/31.3): + shows the sign, .4f gives 4 decimals, , adds thousands separators, %b %Y gives "Jul 2024", &gt;5 right-aligns in 5 characters, '#' * 8 repeats a character (the text bar chart in §31.4).</t>
  </si>
  <si>
    <t xml:space="preserve">31.36</t>
  </si>
  <si>
    <t xml:space="preserve">Chapter at a glance, Time needed "10–14 hours, spread over two weeks"</t>
  </si>
  <si>
    <t xml:space="preserve">Load: seven methods, each with new machinery, plus the additions above (logs, interactions/fixed effects, logistic-to-probability, matching by hand, synthetic control in a spreadsheet).</t>
  </si>
  <si>
    <t xml:space="preserve">Split into Part A "Comparisons over time" (§31.0–31.4 and §31.7: logs, DiD, parallel trends, synthetic control; ~8 h) and Part B "Comparisons across units" (§31.5–31.6, §31.8–31.9: matching, RD, IV, trust; ~8 h), with a checkpoint after Part A (a 2×2 DiD by hand on a new table). Restate Time needed as "15–18 hours over two and a half weeks".</t>
  </si>
  <si>
    <t xml:space="preserve">31.37</t>
  </si>
  <si>
    <t xml:space="preserve">Key terms: "event study", "overlap (common support)", "running variable", "covariate smoothness"</t>
  </si>
  <si>
    <t xml:space="preserve">"Event study" is only named in passing ("isn't enough data for a formal event-study regression"). "Running variable" and "overlap" appear first in the §31.9 table or the answers, never defined in the text.</t>
  </si>
  <si>
    <t xml:space="preserve">Define each where first needed: event study in §31.4 ("the quarter-by-quarter view, done as a regression with a CI per period"); overlap in §31.5 after the propensity describe ("participants whose score is above every non-participant's have no comparable control, which is why the caliper exists"); running variable in §31.6 (31.18).</t>
  </si>
  <si>
    <t xml:space="preserve">V31.1</t>
  </si>
  <si>
    <t xml:space="preserve">p. 9 · Figure 31.1 (North vs other regions)</t>
  </si>
  <si>
    <t xml:space="preserve">Ticks, line labels and the two-line note are 4.9–5.3 pt. The y-axis has no label ("log orders" appears only in the note). The note uses "-7.0%" with hyphen-minus, while the text uses "−".</t>
  </si>
  <si>
    <t xml:space="preserve">Enlarge to 7 pt; add a y-axis title; use U+2212.</t>
  </si>
  <si>
    <t xml:space="preserve">V31.2</t>
  </si>
  <si>
    <t xml:space="preserve">p. 12 · Figure 31.2 (balance dot plot)</t>
  </si>
  <si>
    <t xml:space="preserve">Before and after are shown only by red versus green dots, the classic colour-blind pair. The x-axis has no scale (only "0" and a "0.1 rule of thumb" label at the band edge). Text is 4.8–5.3 pt.</t>
  </si>
  <si>
    <t xml:space="preserve">Use different marker shapes (hollow/filled), or blue versus orange. Add an SMD axis with ticks at −0.1, 0, 0.1, 0.3, 0.6. Enlarge.</t>
  </si>
  <si>
    <t xml:space="preserve">V31.3</t>
  </si>
  <si>
    <t xml:space="preserve">p. 14 · Figure 31.3 (RD step)</t>
  </si>
  <si>
    <t xml:space="preserve">Text 4.8–5.3 pt; the "+7.3 points" annotation is small, and the red threshold label is light.</t>
  </si>
  <si>
    <t xml:space="preserve">Enlarge to 7 pt.</t>
  </si>
  <si>
    <t xml:space="preserve">V31.4</t>
  </si>
  <si>
    <t xml:space="preserve">p. 16 · Figure 31.4 (synthetic North)</t>
  </si>
  <si>
    <t xml:space="preserve">Text 4.9–5.3 pt; the weights equation above the plot is about 5 pt.</t>
  </si>
  <si>
    <t xml:space="preserve">Enlarge.</t>
  </si>
  <si>
    <t xml:space="preserve">V31.5</t>
  </si>
  <si>
    <t xml:space="preserve">p. 18 · Figure 31.5 (method ladder)</t>
  </si>
  <si>
    <t xml:space="preserve">Question and answer text is 5.1–5.5 pt. The strength of evidence is shown only by the box colour (green → blue → orange → red).</t>
  </si>
  <si>
    <t xml:space="preserve">Enlarge; add a text strength label, or keep the order, which already carries it.</t>
  </si>
  <si>
    <t xml:space="preserve">V31.6</t>
  </si>
  <si>
    <t xml:space="preserve">p. 18 · Figure 31.5 caption</t>
  </si>
  <si>
    <t xml:space="preserve">The in-figure footnote repeats the caption almost word for word.</t>
  </si>
  <si>
    <t xml:space="preserve">Drop one of them.</t>
  </si>
  <si>
    <t xml:space="preserve">V31.7</t>
  </si>
  <si>
    <t xml:space="preserve">p. 13 · After the RD code/output</t>
  </si>
  <si>
    <t xml:space="preserve">The page ends about 20% blank because Figure 31.3 moved to p. 14.</t>
  </si>
  <si>
    <t xml:space="preserve">Allow the next paragraph to fill the gap, or scale the figure to fit.</t>
  </si>
  <si>
    <t xml:space="preserve">V31.8</t>
  </si>
  <si>
    <t xml:space="preserve">p. 28→29 · Answers, exercise 9</t>
  </si>
  <si>
    <t xml:space="preserve">"9." is stranded alone at the foot of p. 28, and its code starts p. 29.</t>
  </si>
  <si>
    <t xml:space="preserve">V31.9</t>
  </si>
  <si>
    <t xml:space="preserve">"Draft chapter", "17 September 2026" and "32 Python outputs verified · 20 number checks" are visible. The decorative rule touches "&amp;" in the kicker.</t>
  </si>
  <si>
    <t xml:space="preserve">Remove for print; move the rule clear of the kicker.</t>
  </si>
  <si>
    <t xml:space="preserve">V31.10</t>
  </si>
  <si>
    <t xml:space="preserve">V31.11</t>
  </si>
  <si>
    <t xml:space="preserve">p. 13, 14, 16, 26, 28, 29 · Code blocks</t>
  </si>
  <si>
    <t xml:space="preserve">Comments and long calls wrap to column 0 with no marker ("# in thousands of rupees from the" / "cut-off", "# weights are a blend: non-" / "negative…", "…(np.exp(gap) -" / "1):+5.1f}%…").</t>
  </si>
  <si>
    <t xml:space="preserve">Shorten or hard-wrap the lines; add a continuation marker.</t>
  </si>
  <si>
    <t xml:space="preserve">V31.12</t>
  </si>
  <si>
    <t xml:space="preserve">p. 21–22 · "You've got it when…" checklist</t>
  </si>
  <si>
    <t xml:space="preserve">Wrapped items return under the checkbox instead of a hanging indent.</t>
  </si>
  <si>
    <t xml:space="preserve">V31.13</t>
  </si>
  <si>
    <t xml:space="preserve">p. 4, 20 · Inline code pills</t>
  </si>
  <si>
    <t xml:space="preserve">A space appears before punctuation ("ch31/ :", "generate_ch31_data.py ,").</t>
  </si>
  <si>
    <t xml:space="preserve">Remove the pill margin.</t>
  </si>
  <si>
    <t xml:space="preserve">32.1</t>
  </si>
  <si>
    <t xml:space="preserve">Before you start: "Chapter 34 (the command line and environment variables)"; §32.2 "Set the password in your shell (Chapter 34)"; §32.7 "Chapter 34's $?"</t>
  </si>
  <si>
    <t xml:space="preserve">Known forward prerequisite (M.4/D2). Under D2, Ch 26 §26.0 covers pwd/ls/cd/mkdir/cp/mv/rm, export, echo $?, &amp;&amp;, Ctrl+C and venv activation. That is enough for most of this chapter. Not covered: rm -rf (the -r and -f flags), psql as a command-line program (-d, -c, -h, -U, password prompt), running a shell script ./load_test_data.sh, what localhost:8080 means for dbt docs serve (ports are Ch 34 networking), and PowerShell's different env-var syntax.</t>
  </si>
  <si>
    <t xml:space="preserve">(1) Prerequisites: "Chapter 26 (Git, pull requests, CI, and §26.0's terminal: cd, rm, export, exit codes)". Replace every "(Chapter 34)" with "(Chapter 26, §26.0)". (2) Add in-place explanations: §32.2 rm -rf models/example: "-r removes a folder and everything inside it, -f doesn't ask; there is no undo, so check the path." §32.9 psql: "psql is PostgreSQL's command-line client (Chapter 12 mentioned it next to the editor); -d picks the database, -c runs one SQL command and exits; set export PGPASSWORD=… first or psql will prompt." §32.8: "dbt docs serve starts a small web server on your own machine; open http://localhost:8080 in a browser ('localhost' = this computer, 8080 = the door number the server listens on; Chapter 34 explains ports). Press Ctrl+C to stop it." (3) Windows note: in Git Bash export works; PowerShell users write $env:RIVERSTONE_PASSWORD='…'.</t>
  </si>
  <si>
    <t xml:space="preserve">32.2</t>
  </si>
  <si>
    <t xml:space="preserve">Before you start list</t>
  </si>
  <si>
    <t xml:space="preserve">Missing prerequisites the chapter uses: Ch 17 (venv), Ch 29 §29.4 (uv), Ch 16 (project step 12). "Chapter 12 and 13" should be plural.</t>
  </si>
  <si>
    <t xml:space="preserve">Sequence / Polish</t>
  </si>
  <si>
    <t xml:space="preserve">"Chapters 12 and 13 (SQL, the sales_lines view and its net-revenue rule), Chapter 28 (…), Chapter 26 (…), Chapter 29 (uv and project habits, §29.4), Chapter 16 (connecting Power BI to PostgreSQL, used in the project)."</t>
  </si>
  <si>
    <t xml:space="preserve">32.3</t>
  </si>
  <si>
    <t xml:space="preserve">§32.2 $ uv add dbt-core dbt-postgres # or: pip install … then $ dbt --version</t>
  </si>
  <si>
    <t xml:space="preserve">As written these fail. uv add needs an existing uv project (pyproject.toml); in a bare folder it errors "No pyproject.toml found". dbt is then only on PATH inside the activated .venv or via uv run dbt. The folder isn't created until dbt init, after the install. Later the chapter switches to pip install sqlfluff … and CI uses pip.</t>
  </si>
  <si>
    <t xml:space="preserve">Rewrite as numbered steps with output: (1) mkdir analytics &amp;&amp; cd analytics (a home for the tool); (2) uv init --bare (explain: creates a pyproject.toml only; Ch 29 §29.4 used uv init --package); (3) uv add dbt-core dbt-postgres; (4) source .venv/bin/activate (Git Bash on Windows: source .venv/Scripts/activate), or prefix every command with uv run; (5) dbt --version with output. Use uv add sqlfluff sqlfluff-templater-dbt in §32.12 for consistency, and say that CI uses pip only because the runner starts empty (or use astral-sh/setup-uv there).</t>
  </si>
  <si>
    <t xml:space="preserve">32.4</t>
  </si>
  <si>
    <t xml:space="preserve">§32.2 "{{ env_var('RIVERSTONE_HOST', 'localhost') }}"; §32.3 {{ source(…) }}, "dbt compile renders the Jinja"; §32.11 "Jinja, the templating language dbt uses"</t>
  </si>
  <si>
    <t xml:space="preserve">Sequence break. Jinja appears in §32.2, is named in §32.3, and is defined only in §32.11. The reader meets {{ }} in a YAML file with no idea what it is.</t>
  </si>
  <si>
    <t xml:space="preserve">Add a box "Jinja in two minutes" in §32.2, before profiles.yml: "dbt files are templates. Anything inside {{ … }} is worked out by dbt *before* the SQL or YAML is used and replaced by its result; {% … %} is an instruction (if, for); {# … #} is a comment dbt removes." Show one before/after pair: {{ env_var('RIVERSTONE_HOST', 'localhost') }} → localhost. Explain env_var's two arguments: the variable name, then a default used when the variable is unset. With no default (the password), dbt stops with an error if it isn't set, which is the point. Move §32.11's syntax table up into this box and leave §32.11 for macros and loops.</t>
  </si>
  <si>
    <t xml:space="preserve">32.5</t>
  </si>
  <si>
    <t xml:space="preserve">§32.2 profiles.yml, dbt_project.yml; §32.3 sources.yml; §32.7 schema.yml; §32.9 snapshot YAML; §32.11 packages.yml; answer 15</t>
  </si>
  <si>
    <t xml:space="preserve">YAML is used far beyond Ch 26's primer (26.18: key: value, indentation, -  lists, [a, b]). New here: lists of maps (- name: orders with nested columns:), inline maps {count: 24, period: hour}, version: 2, quoted numbers '1.0.0', the + config prefix, &gt;- folded text, and a key whose value is a list of one-key maps (- relationships: arguments: …). The extracted listings have lost all indentation. In YAML indentation *is* the structure.</t>
  </si>
  <si>
    <t xml:space="preserve">(1) Print every YAML block with visible 2-space indentation (monospace, indent guides). (2) At sources.yml add "YAML, part 2" (half a page, pointing back to §26.x): a list whose items are maps (- name: orders begins an item; lines indented under it belong to it); [unique, not_null] is the one-line form of a two-item list; {count: 24, period: hour} is the one-line form of a map; quote values like '1.0.0' so they stay text. (3) Walk sources.yml line by line: version: 2 (the file-format version dbt expects), sources:, name, description, schema, tables, columns, data_tests. (4) Tip: VS Code's YAML extension flags indentation errors; dbt parse reports the file and line.</t>
  </si>
  <si>
    <t xml:space="preserve">32.6</t>
  </si>
  <si>
    <t xml:space="preserve">§32.2 "profiles.yml … This project keeps it beside the code"</t>
  </si>
  <si>
    <t xml:space="preserve">dbt init --skip-profile-setup does not create profiles.yml, and the reader isn't told to create it (where, in which folder). Keys go unexplained: riverstone_dbt: (must equal profile: in dbt_project.yml), target: dev (the default), outputs, type, port 5432, schema: dbt_dev (the prefix for everything you build), threads: 4. The dbt debug output is trimmed without saying so.</t>
  </si>
  <si>
    <t xml:space="preserve">Add "Create a file named profiles.yml in the riverstone_dbt folder (code profiles.yml)". After the block, give a key-by-key list (one line each) with the link between the top-level name and profile:. Say "threads: 4 = build up to four models at once (Figure 32.1)". Label the debug output "(trimmed: the full output also lists versions and file paths)". Suggest export DBT_PROFILES_DIR=. once, so every later command can drop --profiles-dir . (and the exercises, which omit it, then work: 32.32).</t>
  </si>
  <si>
    <t xml:space="preserve">32.7</t>
  </si>
  <si>
    <t xml:space="preserve">§32.2 dbt_project.yml +materialized: view, +schema: staging</t>
  </si>
  <si>
    <t xml:space="preserve">Not explained: version, profile, the five *-paths lists, what the + prefix means (a config setting, not a folder name), that folder names under riverstone_dbt: must match folders in models/, and why +schema: staging produces dbt_dev_staging (dbt joins the target schema and the custom schema). The reader meets that name in §32.3 with no explanation. snapshots: +target_schema is older syntax next to the new YAML-snapshot style of §32.9.</t>
  </si>
  <si>
    <t xml:space="preserve">Add a line-by-line list after the file. Add: "+ marks a setting; a word without + is a folder." Add: "dbt names the schema &lt;target schema&gt;_&lt;custom schema&gt;, so dev builds staging into dbt_dev_staging and marts into dbt_dev_marts; in production the target schema differs, so the names do too." For snapshots, use the current form (+schema: snapshots in dbt_project.yml, or config: schema: in the snapshot YAML), matching dbt 1.9+.</t>
  </si>
  <si>
    <t xml:space="preserve">32.8</t>
  </si>
  <si>
    <t xml:space="preserve">§32.3 sources.yml - name: crm … schema: raw_crm tables: - name: customers; §32.9 update raw_crm.customers …</t>
  </si>
  <si>
    <t xml:space="preserve">No chapter creates a raw_crm schema or a raw_crm.customers table in riverstone_2025. Ch 28 has customer_changes; Ch 29 has a mock CRM API that nothing loads. The snapshot (and so dim_customer, fct_sales_line and every downstream test) fails with "relation raw_crm.customers does not exist".</t>
  </si>
  <si>
    <t xml:space="preserve">Add a setup step in §32.2 (or at the start of §32.9) with output: CREATE SCHEMA raw_crm; CREATE TABLE raw_crm.customers AS SELECT customer_id, customer_name, city, segment FROM public.customers; explaining it stands in for "the CRM's nightly extract" (or ship it as a companion SQL file and show the psql command that runs it). Alternatively point the crm source at a table Ch 29's package writes, and say so.</t>
  </si>
  <si>
    <t xml:space="preserve">32.9</t>
  </si>
  <si>
    <t xml:space="preserve">§32.5 dbt build → "Found 10 models, 25 data tests, 1 snapshot, 6 sources"; "PASS=36"</t>
  </si>
  <si>
    <t xml:space="preserve">At this point the reader has seen 6 of the 10 models (stg_orders, stg_order_items, dim_date, dim_product, dim_sales_rep, fct_sales_line). stg_customers and stg_products are never shown. dim_customer appears only in §32.9 and needs the snapshot. fct_daily_sales (incremental) appears in §32.10, the reconciliation test in §32.7, and the tests (25) in §32.7 plus a staging schema.yml never shown. fct_sales_line joins ref('dim_customer'), so a reader's build fails here.</t>
  </si>
  <si>
    <t xml:space="preserve">Restructure so each build runs on exactly what has been written. (a) In §32.3 show stg_customers.sql and stg_products.sql (4–6 lines each). (b) Move the snapshot + dim_customer (§32.9 content) into §32.5 *before* the fact model, or build §32.5 with a temporary type-1 dim_customer from stg_customers and upgrade it in §32.9. (c) Show §32.5's real output for the nodes built so far (e.g., "Found 8 models, 0 data tests, … PASS=8"), and show the 36-node output at the end of the chapter as "the finished project". (d) Show models/staging/schema.yml in full so the test count can be reproduced. State each file's path above each block (models/marts/dim_date.sql, etc.).</t>
  </si>
  <si>
    <t xml:space="preserve">32.10</t>
  </si>
  <si>
    <t xml:space="preserve">§32.5 dim_product list_price, unit_cost from {{ ref('stg_products') }}</t>
  </si>
  <si>
    <t xml:space="preserve">products has unit_price, not list_price (Ch 12). stg_products is never shown, so the reader can't know it renames the column; copied as is, the model fails.</t>
  </si>
  <si>
    <t xml:space="preserve">Show stg_products.sql with unit_price as list_price and a comment on why staging renames ("clearer business name, one place to change").</t>
  </si>
  <si>
    <t xml:space="preserve">32.11</t>
  </si>
  <si>
    <t xml:space="preserve">§32.5 dim_sales_rep from {{ source('erp', 'employees') }}</t>
  </si>
  <si>
    <t xml:space="preserve">Breaks the rule stated a page earlier ("everything downstream refs the staging model, never the source"). Exercise 5 fixes it, but the text never says it's deliberate.</t>
  </si>
  <si>
    <t xml:space="preserve">Add after the block: "This breaks our own rule on purpose: there is no stg_employees yet. Exercise 5 adds it and shows the lineage graph change."</t>
  </si>
  <si>
    <t xml:space="preserve">32.12</t>
  </si>
  <si>
    <t xml:space="preserve">Figure 32.1 (sources: orders, order_items, customers, products, employees; stg_customers → dim_customer)</t>
  </si>
  <si>
    <t xml:space="preserve">The figure doesn't match the code. dim_customer is built from ref('customers_snapshot') over source('crm','customers'); the figure has no crm source, no snapshot, and suggests stg_customers feeds dim_customer. stg_customers is not used by any model shown.</t>
  </si>
  <si>
    <t xml:space="preserve">Redraw: add source crm.customers → snapshot customers_snapshot → dim_customer. Either drop stg_customers or show what uses it (e.g., a stg_customers for the ERP table feeding a dim attribute), and say which.</t>
  </si>
  <si>
    <t xml:space="preserve">32.13</t>
  </si>
  <si>
    <t xml:space="preserve">§32.9 "Metro Mart moves from Mumbai to Thane… Before the change, Metro Mart had one row"</t>
  </si>
  <si>
    <t xml:space="preserve">Conflicts with Ch 28, where Metro Mart moved Thane → Mumbai on 2025-07-01 and has two dim rows ("A March 2025 order joins to key 6 (Thane)"). Here the snapshot starts from today's values and the first version opens in 1900, so 2025 orders are now attributed to Mumbai. The total still reconciles (326 lines, ₹4,335,471) but city-level results differ from Ch 28. The chapter says "the same numbers" without that caveat.</t>
  </si>
  <si>
    <t xml:space="preserve">Add to the snapshot watch-out: "Compare Chapter 28: there, Metro Mart's March 2025 orders belonged to Thane, because the audit log recorded its move. Here that history is lost, and they show as Mumbai. Totals match; city breakdowns don't." Use a different customer for the demo (or say "Metro Mart moves back to Thane") so it doesn't read as the same move reversed. Explain "customer_versions 23" vs Ch 28's 27 dim rows (24 customers).</t>
  </si>
  <si>
    <t xml:space="preserve">32.14</t>
  </si>
  <si>
    <t xml:space="preserve">§32.5 "{{ config(materialized='table') }} … here the project default is already table for marts, so the fact model says nothing"</t>
  </si>
  <si>
    <t xml:space="preserve">config is used at the top of dim_date (a mart, already table by default) and explained only after the fact model. The explanation implies dim_date's config is redundant without saying so.</t>
  </si>
  <si>
    <t xml:space="preserve">Explain config at dim_date, its first use: "{{ config(...) }} sets options for this model alone. dim_date is in marts, so it's already a table; the line is here to show the syntax, and exercise 9 changes it to a view."</t>
  </si>
  <si>
    <t xml:space="preserve">32.15</t>
  </si>
  <si>
    <t xml:space="preserve">§32.6 "Switch one and see what happens: dbt run --select dim_product"</t>
  </si>
  <si>
    <t xml:space="preserve">Nothing is switched: the command rebuilds dim_product as the table it already is. The promised comparison (table vs view output) never appears in the text (it's in answer 9).</t>
  </si>
  <si>
    <t xml:space="preserve">Show the switch: add {{ config(materialized='view') }} at the top of dim_product.sql, run, show [CREATE VIEW in …], then remove the line, run again, show [SELECT 8 in …]. Explain --select (build just this model).</t>
  </si>
  <si>
    <t xml:space="preserve">32.16</t>
  </si>
  <si>
    <t xml:space="preserve">§32.7 reconciliation test; failure output "(tests/assert_fact_total_matches_source.sql)"</t>
  </si>
  <si>
    <t xml:space="preserve">The test file's name and folder are given only in the failure output, never when the reader writes the test. The test uses the same net_revenue macro as the model, so it can't catch a macro change (answer 8 says this, but the text calls it "the test that actually protects the business"). The macro rounds each line to 2 decimals, whereas Ch 13's sales_lines rule doesn't round. That is a small rule change stated as "Chapter 13's rule".</t>
  </si>
  <si>
    <t xml:space="preserve">Head the block "tests/assert_fact_total_matches_source.sql". Add one sentence: "Its source side reuses the macro, so it checks the joins and filters, not the revenue formula itself; answer 8 shows how to close that gap with a finance-published total." In §32.11 say "Chapter 13's rule, now rounded to the paisa on each line, so a total can differ from sales_lines by a few paise." The reconciliation is safe because both sides use the same macro; a test against sales_lines itself would need a tolerance of about ₹1 or rounded totals.</t>
  </si>
  <si>
    <t xml:space="preserve">32.17</t>
  </si>
  <si>
    <t xml:space="preserve">§32.7 "(Chapter 29's exit codes, Chapter 34's $? )"; §32.12 "cron on a small server (Chapter 34)"; §32.13 "(that's Fivetran, Airbyte, or your own Python, Chapter 46)"; opener "Chapter 46 handles the moving and the scheduling"</t>
  </si>
  <si>
    <t xml:space="preserve">Cross-references: $? is taught in §26.0 (D2); cron is taught in Ch 20; loading/ingestion is Ch 45 (Ch 46 is orchestration).</t>
  </si>
  <si>
    <t xml:space="preserve">"(Chapter 29's exit codes; §26.0's echo $?)"; "cron on a small server (Chapter 20)"; "Chapter 45 handles the moving and Chapter 46 the scheduling"; "(… your own Python, Chapter 45)". In §32.1's table, "Chapter 45, 46, 49".</t>
  </si>
  <si>
    <t xml:space="preserve">32.18</t>
  </si>
  <si>
    <t xml:space="preserve">§32.9 $ psql -d riverstone_2025 -c "update raw_crm.customers …"</t>
  </si>
  <si>
    <t xml:space="preserve">The psql command-line flags are new, and the password isn't handled: RIVERSTONE_PASSWORD means nothing to psql, which reads PGPASSWORD or prompts. On Windows, psql may not be on PATH.</t>
  </si>
  <si>
    <t xml:space="preserve">Add: "Or run the UPDATE in DBeaver / pgAdmin as in Chapter 12." For the terminal route: export PGPASSWORD="$RIVERSTONE_PASSWORD" first (explain), then the command with -U postgres -h localhost; explain -d, -c; Windows: psql is in C:\Program Files\PostgreSQL\16\bin (add to PATH or use the full path).</t>
  </si>
  <si>
    <t xml:space="preserve">32.19</t>
  </si>
  <si>
    <t xml:space="preserve">§32.9 snapshot YAML snapshots: - name: customers_snapshot relation: …</t>
  </si>
  <si>
    <t xml:space="preserve">The file's location/name isn't given (snapshots/customers_snapshot.yml). relation: and config: aren't explained. dbt_scd_id is "a surrogate key, exactly what Chapter 28 built by hand": Ch 28 used integer keys (6, 7), while dbt_scd_id is a hashed text string.</t>
  </si>
  <si>
    <t xml:space="preserve">Head the block "snapshots/customers_snapshot.yml". One line each: relation: = the table to watch; config: = how. Say "dbt_scd_id is a long hashed text value rather than Chapter 28's 1, 2, 3; it works the same way as a key".</t>
  </si>
  <si>
    <t xml:space="preserve">32.20</t>
  </si>
  <si>
    <t xml:space="preserve">§32.11 Jinja loop {{ "," if not loop.last }}, {{ category \</t>
  </si>
  <si>
    <t xml:space="preserve">lower }}, {%- endmacro %} | New Jinja constructs, none explained: {% set %}, the for loop, the special variable loop.last, the inline if, the \ | lower filter, and the - whitespace-control marks in the macro. No compiled output is shown for the loop, though the section's own test is "could a colleague work out what this produces". The macro's net_revenue(quantity, …) arguments are passed as *text* ('oi.quantity') that becomes SQL, a subtle point.</t>
  </si>
  <si>
    <t xml:space="preserve">After the loop, show dbt compile --select mart_sales_monthly output (the four sum(case …) lines). Then list each construct in one line. In the macro, explain that 'oi.quantity' is passed in quotes because the macro pastes that text into the SQL, and that - in {%-/-%} trims blank lines from the output.</t>
  </si>
  <si>
    <t xml:space="preserve">32.21</t>
  </si>
  <si>
    <t xml:space="preserve">§32.11 "dbt_utils … date_spine, star, surrogate_key, pivot"</t>
  </si>
  <si>
    <t xml:space="preserve">surrogate_key was removed in dbt_utils 1.0 and replaced by generate_surrogate_key. The chapter pins ≥ 1.3.0.</t>
  </si>
  <si>
    <t xml:space="preserve">"…star, generate_surrogate_key (formerly surrogate_key), pivot…".</t>
  </si>
  <si>
    <t xml:space="preserve">32.22</t>
  </si>
  <si>
    <t xml:space="preserve">§32.12 SQLFluff output (4 violations)</t>
  </si>
  <si>
    <t xml:space="preserve">Not the complete output for the fact model as printed: the bare joins on lines 14 and 17 would also raise AM05, and the join conditions on lines 15 and 17–18 (later table first) would raise ST09. The output isn't marked as trimmed. pip install is inconsistent with uv. The four rule codes are not explained beyond their messages (what "fully qualified" means: inner join).</t>
  </si>
  <si>
    <t xml:space="preserve">Show the full output, or label it "(first four of N violations)". Add one line per rule: ST06 "put plain columns before calculated ones"; AM05 "write inner join, not join"; ST09 "write oi.order_id = o.order_id, the earlier table first"; LT02 "indent by 4". Then show sqlfluff fix and the re-lint passing. Use uv add (32.3).</t>
  </si>
  <si>
    <t xml:space="preserve">32.23</t>
  </si>
  <si>
    <t xml:space="preserve">§32.12 CI dbt build --profiles-dir . --target ci</t>
  </si>
  <si>
    <t xml:space="preserve">profiles.yml defines only dev and large. There is no ci target, so the job fails with "does not have a target named 'ci'".</t>
  </si>
  <si>
    <t xml:space="preserve">Add a ci: output to profiles.yml in §32.2 (same as dev but schema: dbt_ci, host from env), and say CI uses it; or use --target dev in the workflow. Show the resulting profiles.yml.</t>
  </si>
  <si>
    <t xml:space="preserve">32.24</t>
  </si>
  <si>
    <t xml:space="preserve">§32.12 CI psql -h localhost -U postgres -c "CREATE DATABASE riverstone_2025" &amp;&amp; ./load_test_data.sh; sqlfluff lint models/ before dbt deps</t>
  </si>
  <si>
    <t xml:space="preserve">Three defects. (1) psql has no password: the job sets RIVERSTONE_PASSWORD, not PGPASSWORD, and a CI runner cannot answer a prompt. (2) load_test_data.sh is never shown or described, and running a script with ./ is not taught before Ch 34. (3) The dbt templater compiles the project to lint it, so it needs packages installed; with dbt_utils in packages.yml, linting before dbt deps fails.</t>
  </si>
  <si>
    <t xml:space="preserve">Add PGPASSWORD: ${{ secrets.CI_DATABASE_PASSWORD }} to the job env. Show load_test_data.sh (or replace it with a psql … -f call on the riverstone_2025 load script readers already used, e.g. Appendix E's) and explain ./ = "run the file in this folder", plus the need for chmod +x (or call bash load_test_data.sh). Reorder steps: install → create DB and load → dbt deps → sqlfluff lint models/ → dbt build. Test the workflow end to end and show the green run.</t>
  </si>
  <si>
    <t xml:space="preserve">32.25</t>
  </si>
  <si>
    <t xml:space="preserve">§32.12 CI services: postgres: image: postgres:16 …; ${{ secrets.CI_DATABASE_PASSWORD }}; options: &gt;-</t>
  </si>
  <si>
    <t xml:space="preserve">New ideas beyond Ch 26's workflow, none explained: a *service container* (a throwaway PostgreSQL in Docker; containers are Ch 52), ports: ["5432:5432"], health-check options, &gt;- (fold the next lines into one), and GitHub's ${{ }} expression syntax, which looks like Jinja but is a different system. How to create the secret isn't shown.</t>
  </si>
  <si>
    <t xml:space="preserve">Add a line-by-line list after the workflow: services = "GitHub starts a fresh PostgreSQL 16 for this run and throws it away afterwards (Chapter 52 explains containers)"; ports = "reach it on localhost:5432"; options = "wait until it's ready"; &gt;- = "these lines are one long value". Say "${{ … }} is GitHub's own template syntax, unrelated to dbt's {{ }}". Click-path for the secret: repo → Settings → Secrets and variables → Actions → New repository secret → name CI_DATABASE_PASSWORD. Note that a throwaway test DB password could simply be written in the file, and why the book uses a secret anyway (habit).</t>
  </si>
  <si>
    <t xml:space="preserve">32.26</t>
  </si>
  <si>
    <t xml:space="preserve">§32.10 dbt run --target large --select +fct_daily_sales --full-refresh</t>
  </si>
  <si>
    <t xml:space="preserve">The upstream selector +model (leading plus) is used here but explained only in answer 3. --target large and --full-refresh get no line-by-line note at the command.</t>
  </si>
  <si>
    <t xml:space="preserve">Under the command: "--target large uses the second connection in profiles.yml; +fct_daily_sales = this model and everything it depends on (a trailing + means everything that depends on it, §32.7); --full-refresh rebuilds the incremental table from scratch."</t>
  </si>
  <si>
    <t xml:space="preserve">32.27</t>
  </si>
  <si>
    <t xml:space="preserve">Answer 5 "The model is three lines:"</t>
  </si>
  <si>
    <t xml:space="preserve">The model shown is seven lines.</t>
  </si>
  <si>
    <t xml:space="preserve">"The model is short:".</t>
  </si>
  <si>
    <t xml:space="preserve">32.28</t>
  </si>
  <si>
    <t xml:space="preserve">Exercise 7 "one asserting that every order in fct_sales_line has at least one line"</t>
  </si>
  <si>
    <t xml:space="preserve">As worded the check is always true (every order *in* the fact table has a line there). The answer tests something else: every counted order in stg_orders appears in the fact.</t>
  </si>
  <si>
    <t xml:space="preserve">Reword: "…and one asserting that every non-cancelled order in stg_orders has at least one line in fct_sales_line."</t>
  </si>
  <si>
    <t xml:space="preserve">32.29</t>
  </si>
  <si>
    <t xml:space="preserve">Answer 12 {% if is_incremental() %} where o.order_date &gt;= (select max(order_date) - interval '3 days' from {{ this }})</t>
  </si>
  <si>
    <t xml:space="preserve">Two bugs. (1) fct_sales_line already has where o.is_counted, so a second where is a syntax error; it must be and. (2) fct_sales_line has no order_date column (it stores date_key), so max(order_date) from {{ this }} fails. Also, the "incremental vs full" test is identical to the existing reconciliation test, so it adds nothing new as written.</t>
  </si>
  <si>
    <t xml:space="preserve">Add o.order_date to fct_sales_line's select list (and to §32.5's model, with a note), then use and o.order_date &gt;= (select max(order_date) - interval '3 days' from {{ this }}). For the test, compare per-day totals of the incremental model against a full recomputation grouped by day (a row per mismatching day), which catches drift the grand total can hide.</t>
  </si>
  <si>
    <t xml:space="preserve">32.30</t>
  </si>
  <si>
    <t xml:space="preserve">Answer 15 "whose latest order is 31 December 2025"; answer 4 last_day "2025-12-23"</t>
  </si>
  <si>
    <t xml:space="preserve">Consistent only if every order after 23 December is cancelled. Neither answer says so, and a reader will see a contradiction.</t>
  </si>
  <si>
    <t xml:space="preserve">Add in answer 4: "The last *counted* order is 23 December; later orders in the source were cancelled", after verifying against the data. Otherwise correct one of the dates.</t>
  </si>
  <si>
    <t xml:space="preserve">32.31</t>
  </si>
  <si>
    <t xml:space="preserve">§32.6 table "ephemeral … Query cost: none extra"; Figure 32.2 "query: recomputed each time"</t>
  </si>
  <si>
    <t xml:space="preserve">The table and the figure disagree on ephemeral's query cost.</t>
  </si>
  <si>
    <t xml:space="preserve">Align both: "build: nothing stored; query: its SQL runs inside every model that uses it".</t>
  </si>
  <si>
    <t xml:space="preserve">32.32</t>
  </si>
  <si>
    <t xml:space="preserve">Exercises 1, 3, 6 dbt ls, dbt build --select stg_orders+, dbt test --select stg_orders</t>
  </si>
  <si>
    <t xml:space="preserve">Omit --profiles-dir ., which every command in the text requires, so they fail with "Could not find profile".</t>
  </si>
  <si>
    <t xml:space="preserve">Adopt export DBT_PROFILES_DIR=. in §32.2 (32.6) and drop --profiles-dir . everywhere, or add it to the exercises.</t>
  </si>
  <si>
    <t xml:space="preserve">32.33</t>
  </si>
  <si>
    <t xml:space="preserve">§32.5 dbt build output "1 of 36 START…", "…"; §32.10 run times</t>
  </si>
  <si>
    <t xml:space="preserve">The trimmed output is labelled, good. The dbt debug and dbt docs generate outputs are trimmed without a label.</t>
  </si>
  <si>
    <t xml:space="preserve">Add "(trimmed)" to each shortened output.</t>
  </si>
  <si>
    <t xml:space="preserve">32.34</t>
  </si>
  <si>
    <t xml:space="preserve">§32.1 ETL/ELT table "Raw data kept? … yes, always"</t>
  </si>
  <si>
    <t xml:space="preserve">Overclaim: ELT usually keeps raw data, but retention policies and privacy rules (Ch 64) often delete or mask it.</t>
  </si>
  <si>
    <t xml:space="preserve">"usually, and it's the point".</t>
  </si>
  <si>
    <t xml:space="preserve">32.35</t>
  </si>
  <si>
    <t xml:space="preserve">Drafting leftover (known pattern).</t>
  </si>
  <si>
    <t xml:space="preserve">32.36</t>
  </si>
  <si>
    <t xml:space="preserve">Time needed "16–20 hours, spread over three weeks"</t>
  </si>
  <si>
    <t xml:space="preserve">Load: dbt setup, YAML part 2, Jinja, 10 models, 4 test types, snapshots, incremental, macros, packages, SQLFluff, GitHub Actions services and secrets, plus a 12-step project. About 60 key terms.</t>
  </si>
  <si>
    <t xml:space="preserve">State sittings: (1) §32.1–32.5 setup, sources, staging, marts, first build (5–6 h); (2) §32.6–32.9 materializations, tests, docs, snapshots (4–5 h); (3) §32.10–32.13 incremental, macros, lint, CI (4–5 h); (4) project (5–6 h). Time needed: 18–22 hours over three weeks.</t>
  </si>
  <si>
    <t xml:space="preserve">32.37</t>
  </si>
  <si>
    <t xml:space="preserve">§32.5 dim_date SQL generate_series(...)::date, to_char(full_date, 'YYYY-"Q"Q'), extract(isodow …)</t>
  </si>
  <si>
    <t xml:space="preserve">PostgreSQL-specific, not flagged. Ch 12–13 supported MySQL readers too, and isodow and the "Q"Q format pattern are new.</t>
  </si>
  <si>
    <t xml:space="preserve">Add at the chapter start: "This chapter uses PostgreSQL only (dbt-postgres)." Under dim_date, one line each: generate_series makes one row per day (Ch 13's date spine); 'YYYY-"Q"Q' prints 2025-Q1 (text in double quotes is copied as is); isodow numbers Monday 1 … Sunday 7, so 6 and 7 are the weekend.</t>
  </si>
  <si>
    <t xml:space="preserve">32.38</t>
  </si>
  <si>
    <t xml:space="preserve">§32.3 stg_orders status &lt;&gt; 'Cancelled' as is_counted</t>
  </si>
  <si>
    <t xml:space="preserve">A true/false column made from a comparison is new in this form, and its NULL behaviour isn't stated (a NULL status gives NULL, so where o.is_counted drops it).</t>
  </si>
  <si>
    <t xml:space="preserve">Add: "status &lt;&gt; 'Cancelled' is true or false for each row, stored as a boolean column; if status is NULL it's NULL and the fact's where drops the order. The not_null test on status (add it) guards that."</t>
  </si>
  <si>
    <t xml:space="preserve">V32.1</t>
  </si>
  <si>
    <t xml:space="preserve">p. 11 · Figure 32.1 (dbt DAG)</t>
  </si>
  <si>
    <t xml:space="preserve">The staging→fact and dim→fact curves are drawn over the mart boxes and strike through "dim_customer", "dim_product" and "dim_sales_rep". There are no arrowheads, so the direction of dependency is not shown on a diagram about dependency order. Which grey curve feeds which dimension is hard to trace. All text is 5.3 pt.</t>
  </si>
  <si>
    <t xml:space="preserve">Route the edges between the columns (enter the boxes at their left edge), add arrowheads, and enlarge the text to 7 pt. Consider drawing dim→fact edges on the left side of the fact box only.</t>
  </si>
  <si>
    <t xml:space="preserve">V32.2</t>
  </si>
  <si>
    <t xml:space="preserve">p. 14 · Figure 32.2 (four materializations)</t>
  </si>
  <si>
    <t xml:space="preserve">Text 5.1–5.7 pt; the second-line descriptions ("CREATE VIEW: nothing is stored") are about 5 pt in grey.</t>
  </si>
  <si>
    <t xml:space="preserve">Enlarge; darken the secondary text.</t>
  </si>
  <si>
    <t xml:space="preserve">V32.3</t>
  </si>
  <si>
    <t xml:space="preserve">p. 17 · Figure 32.3 (dbt run vs dbt build)</t>
  </si>
  <si>
    <t xml:space="preserve">Text 5.3–5.7 pt. The good and bad paths rely on red versus green headings and box borders.</t>
  </si>
  <si>
    <t xml:space="preserve">Enlarge; add ✗/✓ or "FAIL"/"PASS" icons so the meaning survives greyscale.</t>
  </si>
  <si>
    <t xml:space="preserve">V32.4</t>
  </si>
  <si>
    <t xml:space="preserve">p. 7→8 · "Before building anything, tell dbt what the raw tables are, in models/staging/sources.yml:"</t>
  </si>
  <si>
    <t xml:space="preserve">The lead-in ends p. 7 above 28% blank, and the YAML starts p. 8.</t>
  </si>
  <si>
    <t xml:space="preserve">Let the YAML split, or move the lead-in with it.</t>
  </si>
  <si>
    <t xml:space="preserve">V32.5</t>
  </si>
  <si>
    <t xml:space="preserve">p. 18→19 · "The dimension model then reads the snapshot:"</t>
  </si>
  <si>
    <t xml:space="preserve">The lead-in ends p. 18 above 30% blank, and the SQL starts p. 19.</t>
  </si>
  <si>
    <t xml:space="preserve">Same.</t>
  </si>
  <si>
    <t xml:space="preserve">V32.6</t>
  </si>
  <si>
    <t xml:space="preserve">p. 23→24 · "…and this workflow runs them:" (CI)</t>
  </si>
  <si>
    <t xml:space="preserve">The lead-in ends p. 23 above 38% blank, and the GitHub Actions YAML starts p. 24.</t>
  </si>
  <si>
    <t xml:space="preserve">Same; the YAML can split.</t>
  </si>
  <si>
    <t xml:space="preserve">V32.7</t>
  </si>
  <si>
    <t xml:space="preserve">p. 8→9 · "And models/staging/stg_order_items.sql, which computes net revenue once, for everyone:"</t>
  </si>
  <si>
    <t xml:space="preserve">The lead-in and filename end p. 8 (about 14% blank); the SQL is on p. 9.</t>
  </si>
  <si>
    <t xml:space="preserve">V32.8</t>
  </si>
  <si>
    <t xml:space="preserve">"Draft chapter", "18 September 2026" and "dbt Core 1.12.5 · 36-node project · 15 number checks" are visible. The rule touches "&amp;" in the kicker.</t>
  </si>
  <si>
    <t xml:space="preserve">Remove for print.</t>
  </si>
  <si>
    <t xml:space="preserve">V32.9</t>
  </si>
  <si>
    <t xml:space="preserve">No page numbers. The "32.3 Models, sources, and ref" entry shows a code pill inside the TOC line.</t>
  </si>
  <si>
    <t xml:space="preserve">Add page numbers; plain text in the TOC.</t>
  </si>
  <si>
    <t xml:space="preserve">V32.10</t>
  </si>
  <si>
    <t xml:space="preserve">p. 19, 21, 24 · Code blocks</t>
  </si>
  <si>
    <t xml:space="preserve">Long lines wrap to column 0: "…with CI" comment (p. 24, "# Runs on every pull request… against a" / "scratch database."); dbt log lines "[CREATE VIEW in" / "0.14s]" (p. 21); "UPDATE 1 … [INSERT 0 1 in" / "0.22s]" (p. 19).</t>
  </si>
  <si>
    <t xml:space="preserve">Hard-wrap or trim; add a continuation marker.</t>
  </si>
  <si>
    <t xml:space="preserve">V32.11</t>
  </si>
  <si>
    <t xml:space="preserve">p. 17 · Test table ("unique + not_null on the grain")</t>
  </si>
  <si>
    <t xml:space="preserve">Two code pills plus "+" sit in one cell. It reads fine, but the pill padding makes "unique  +  not_null" look spaced out.</t>
  </si>
  <si>
    <t xml:space="preserve">V32.12</t>
  </si>
  <si>
    <t xml:space="preserve">p. 3, 6, 8 etc. · Inline code pills</t>
  </si>
  <si>
    <t xml:space="preserve">A space appears before punctuation ("ref s that dbt orders", "riverstone_dbt , and"). "ref s" in the Chapter-at-a-glance (p. 3) reads as two words.</t>
  </si>
  <si>
    <t xml:space="preserve">Remove the pill margin; avoid pluralising code with an "s" outside the pill.</t>
  </si>
  <si>
    <t xml:space="preserve">V32.13</t>
  </si>
  <si>
    <t xml:space="preserve">Wrapped items return under the checkbox.</t>
  </si>
  <si>
    <t xml:space="preserve">33.1</t>
  </si>
  <si>
    <t xml:space="preserve">§33.4 def depth_first(person, level=0, seen=None): … result += depth_first(...); has_cycle → visit(...)</t>
  </si>
  <si>
    <t xml:space="preserve">Recursion is used in §33.4 (depth_first, has_cycle's nested visit) but taught in §33.6 ("A recursive function calls itself… base case"). The "call stack" appears in §33.3 and §33.4 before §33.6 explains it. A first-timer meets a function that calls itself, plus a nested function, with no explanation.</t>
  </si>
  <si>
    <t xml:space="preserve">Reorder the sections. New order: 33.1 Big-O → 33.2 The four structures → 33.3 Hashing (current 33.7, so "why a dict is instant" sits next to the dictionary index that §33.2 already points to) → 33.4 Stacks and queues → 33.5 Recursion (current 33.6; the call stack follows naturally from "a stack") → 33.6 Trees and graphs (current 33.4) → 33.7 Searching and sorting → 33.8 Memo/DP/greedy → 33.9 Memory → 33.10 Interviews. In the new 33.6, open with "you wrote recursive functions in 33.5; walking a tree is the same idea". Update every "section 33.x" reference and the figure numbers (see 33.24).</t>
  </si>
  <si>
    <t xml:space="preserve">33.2</t>
  </si>
  <si>
    <t xml:space="preserve">§33.1 "The naive matching script (section 33.11's project) compares every invoice…"</t>
  </si>
  <si>
    <t xml:space="preserve">The chapter's central "before" code is never shown. The reader sees four timings, "75 seconds" and "O(n × m)" for a loop they never read. match_slow.py exists only in the companion folder, and project Option B asks them to "rebuild it yourself before comparing".</t>
  </si>
  <si>
    <t xml:space="preserve">In §33.1, straight after the table of notations, show the naive loop as a cell and run it on 250 invoices: matched = 0 / for invoice in invoices[:250]: /     for line in order_lines: /         if line["order_id"] == invoice["order_id"] and line["product_id"] == invoice["product_id"]: /             matched += 1 /             break, followed by a time.perf_counter() wrapper and its output (≈0.96 s). Explain break (stop scanning once found, which is why unmatched invoices cost the most) and count the work: 250 × up to 176,110 comparisons. Then show the timings table as "the same cell with 500, 1,000, 2,000". Needs the data loading first (see 33.10).</t>
  </si>
  <si>
    <t xml:space="preserve">33.3</t>
  </si>
  <si>
    <t xml:space="preserve">Ans 12 tests = [random.Random(34).randrange(1_000_000) for _ in range(1_000)]</t>
  </si>
  <si>
    <t xml:space="preserve">Bug. A new Random(34) is created on every iteration, so all 1,000 "random cases" are the same number (verified: len(set(tests)) == 1). The test proves almost nothing, and the text claims it "includes values that aren't present".</t>
  </si>
  <si>
    <t xml:space="preserve">Replace with rng = random.Random(34) then tests = [rng.randrange(1_000_000) for _ in range(1_000)], and add edge cases explicitly: tests += [numbers[0], numbers[-1], -1, 1_000_000, numbers[100]] (first, last, below the minimum, above the maximum, present). Add a sentence: "Create the generator once; random.Random(34) inside the loop restarts the same sequence every time, a classic testing bug." Print len(set(tests)) so the reader sees ~1,000 distinct cases.</t>
  </si>
  <si>
    <t xml:space="preserve">33.4</t>
  </si>
  <si>
    <t xml:space="preserve">Real world "thirty times the invoices, four times the lines, a hundred and twenty times the work"</t>
  </si>
  <si>
    <t xml:space="preserve">Wrong arithmetic. 3,000 → 20,000 invoices is 6.7×, not 30×. 40,000 → 176,000 lines is 4.4×. The work grows 6.7 × 4.4 ≈ 29×.</t>
  </si>
  <si>
    <t xml:space="preserve">"…Today it's 20,000 against 176,000, and the work is the product of the two: almost seven times the invoices, four and a half times the lines, about thirty times the work." Check the rest of the story against this: 20 minutes × 29 ≈ 9.7 hours, which fits "hasn't finished by four o'clock" and "running for six hours". Keep those.</t>
  </si>
  <si>
    <t xml:space="preserve">33.5</t>
  </si>
  <si>
    <t xml:space="preserve">Why this matters "ran in twenty seconds… twice the size… going for forty minutes"</t>
  </si>
  <si>
    <t xml:space="preserve">20 s → 40 min is a 120× slowdown for 2× data. That contradicts the chapter's own lesson two paragraphs later: quadratic means 4× when the data doubles ("the day the file doubles it takes four times as long"). A reader who does the sum is confused.</t>
  </si>
  <si>
    <t xml:space="preserve">Make it consistent with quadratic growth: "It ran in twenty seconds on last year's file. This year's file is ten times the size and it's been going for half an hour." (10² × 20 s = 33 min.) Or keep 2× and "…it now takes eighty seconds, and next year it will take five minutes."</t>
  </si>
  <si>
    <t xml:space="preserve">33.6</t>
  </si>
  <si>
    <t xml:space="preserve">Intro "turns the project's 74-second matching job into 0.07 seconds"; §33.1 "about 75 seconds"; story "The final run takes 0.07 seconds of matching"</t>
  </si>
  <si>
    <t xml:space="preserve">Inconsistent figures. §33.1 extrapolates 75 s (7.51 × 10 = 75.1). The measured index is build 0.045 s + match 0.009 s = 0.054 s. The match alone is 0.009 s. Nothing measures 0.07 s.</t>
  </si>
  <si>
    <t xml:space="preserve">Use one set: "turns the project's 75-second matching job into about 0.05 seconds (0.045 s to build the index, 0.009 s to match)". In the story: "The final run takes about 0.05 seconds to index and match…". If 0.07 s includes the set-based dedupe of step 3, say so and show that timing in ch33_timings.py.</t>
  </si>
  <si>
    <t xml:space="preserve">33.7</t>
  </si>
  <si>
    <t xml:space="preserve">Figure 33.2 "(100001, 101) hash() % 8 bucket 3 … (100003, 108) … bucket 3"</t>
  </si>
  <si>
    <t xml:space="preserve">The figure contradicts the code printed just above it. The code shows (100001, 101) … -&gt; bucket 7. The real values (64-bit CPython 3.8+) are (100001,101) → 7, (100002,104) → 6, (100003,108) → 0. So the figure's "collision in bucket 3" isn't real. The caption says "Collisions are handled by storing several entries in the same bucket", but CPython's dict uses open addressing: on a collision it probes another slot.</t>
  </si>
  <si>
    <t xml:space="preserve">Redraw with real buckets (7, 6, 0) and pick a real collision pair to show one. For example, use 9 keys in 8 buckets (a collision is guaranteed), or compute a pair with equal hash(k) % 8 in ch33_timings.py. Relabel the model: "This is the textbook 'bucket' picture. Python's own dict, on a collision, tries another slot instead of stacking entries, but the cost is the same: a few steps, not a scan." Apply the same wording in the §33.7 "Two consequences" bullet.</t>
  </si>
  <si>
    <t xml:space="preserve">33.8</t>
  </si>
  <si>
    <t xml:space="preserve">Practice data "176,110 Riverstone order lines"; §33.9 "total revenue 4,421,366,900"; Ans 3 "66,667 orders"; Ans 13 "2024-01-01 … 2025-11-30"</t>
  </si>
  <si>
    <t xml:space="preserve">Scale inconsistency with the rest of the book. Riverstone's 2025 is 173 orders, 326 lines and ₹4,335,471 (Ch 4, 10, 13, 34). This data has 66,667 orders, ₹4.42 billion and dates from 2024. A careful reader will think one of the two is wrong.</t>
  </si>
  <si>
    <t xml:space="preserve">In Practice data add: "This is a synthetic, scaled-up version of Riverstone (about 500 times the orders of the one-year database you've used since Chapter 12, over 23 months) so that the slow version is slow enough to measure; the amounts are not Riverstone's real revenue." Repeat one line of this in the story ("Riverstone's full ERP history, not the one-year teaching database").</t>
  </si>
  <si>
    <t xml:space="preserve">33.9</t>
  </si>
  <si>
    <t xml:space="preserve">Real world "one file a month from its largest supplier… check each line against the order it bills"</t>
  </si>
  <si>
    <t xml:space="preserve">Business logic (senior BA view). A supplier bills Riverstone for what Riverstone *bought*, which is matched against purchase orders or goods receipts (PP granules, steel tube). The chapter matches it against Riverstone's sales order lines (products 101–108, Riverstone's own storage boxes and containers) keyed by customer order_id. An accounts reader will object.</t>
  </si>
  <si>
    <t xml:space="preserve">Reframe the counterparty as one who plausibly bills per sales order line: "its logistics partner, which bills Riverstone for every order line it delivered to customers". Rename the file to carrier_invoice_lines.csv (or keep the name and define it). Alternatively keep "supplier" and change the data to purchase-order lines. The first is a one-paragraph change. Carry the same wording into the project, the Tools list and exercises 5 and 11.</t>
  </si>
  <si>
    <t xml:space="preserve">33.10</t>
  </si>
  <si>
    <t xml:space="preserve">§33.2 order_lines = load("match_data/order_lines.csv"); Ans 5 i["invoice_line_id"]; Ans 11 invoice["amount"]</t>
  </si>
  <si>
    <t xml:space="preserve">The reader is never shown how to create the data (running generate_ch33_data.py, what it prints, that it writes match_data/) or what columns either file has. invoice_line_id and amount appear first in answers.</t>
  </si>
  <si>
    <t xml:space="preserve">Before the first code cell in §33.2 add a terminal cell: python generate_ch33_data.py with its output (file names and row counts). Then a Python cell: print(order_lines[0]); print(invoices[0]) with output showing every column (order_id, product_id, order_date, net_revenue …; invoice_line_id, order_id, product_id, amount …). One sentence: "every value from csv.DictReader is text, so ids are strings like '100001'".</t>
  </si>
  <si>
    <t xml:space="preserve">33.11</t>
  </si>
  <si>
    <t xml:space="preserve">§33.2 sum(1 for invoice in invoices if …); Counter(invoice["product_id"] for invoice in invoices); §33.4 any(visit(...) for node in graph)</t>
  </si>
  <si>
    <t xml:space="preserve">Generator expressions are used from §33.2 onward but only taught in §33.9 ("a generator expression: builds nothing yet"). any() and the _ throwaway name are never taught anywhere. Ch 17 teaches list/dict/set comprehensions only.</t>
  </si>
  <si>
    <t xml:space="preserve">At first use in §33.2 add a 3-line box: "sum(1 for x in items if cond) is a *generator expression*: like a list comprehension in round brackets, it produces values one at a time without building a list (section 33.9 explains why that saves memory). sum(1 for …) counts." At first any (new §33.6) add: "any(...) is True as soon as one value is True, and stops there." At for _ in range(3) (§33.4 stack) add: "_ is the conventional name for a loop variable you don't use."</t>
  </si>
  <si>
    <t xml:space="preserve">33.12</t>
  </si>
  <si>
    <t xml:space="preserve">§33.2 sorted(revenue, key=revenue.get, reverse=True)[:3]; §33.5 key=lambda row: float(row["net_revenue"])</t>
  </si>
  <si>
    <t xml:space="preserve">key= is used in §33.2 but explained in §33.5 ("key= sorts by a computed value"). lambda is never defined anywhere in the book: Ch 18 uses it five times in pandas .assign without explanation, and here it is assumed. revenue.get passed as a function (no brackets) is a new idea.</t>
  </si>
  <si>
    <t xml:space="preserve">In §33.2, replace the key=revenue.get line with a plain version the reader knows: top = sorted(revenue.items(), key=…). Or better, move the key= explanation up: "sorted(revenue, key=revenue.get) sorts the product ids by the value revenue.get(id) returns: passing a function *without* brackets hands it to sorted to call on each item." In §33.5 add a lambda box before the first use: "lambda row: float(row['net_revenue']) is a one-line function with no name; it is exactly def rev(row): return float(row['net_revenue'])." Show both forms side by side. Recommend (Ch 18 review) that lambda is defined at its first use there.</t>
  </si>
  <si>
    <t xml:space="preserve">33.13</t>
  </si>
  <si>
    <t xml:space="preserve">§33.8 @lru_cache(maxsize=None) above def fib_cached(n):</t>
  </si>
  <si>
    <t xml:space="preserve">Decorator syntax is never explained, here or earlier: Ch 29 uses @dataclass/@property and says "decorator" once, in passing. Nor are maxsize=None or cache_info() (used in answer 13).</t>
  </si>
  <si>
    <t xml:space="preserve">Add after the block: "@lru_cache(...) on the line above def is a *decorator*: it wraps the function so each call first checks a dictionary of past arguments → results. maxsize=None means never forget (use a number such as 1024 to cap memory). fib_cached.cache_info() reports hits and misses; fib_cached.cache_clear() empties it. Python 3.9+ also has functools.cache, the same thing with no size limit."</t>
  </si>
  <si>
    <t xml:space="preserve">33.14</t>
  </si>
  <si>
    <t xml:space="preserve">§33.8 DP best = [0] + [None] * amount … two-condition comprehension over a line break</t>
  </si>
  <si>
    <t xml:space="preserve">The DP block does five new things at once: a table of size amount+1, None as "can't be made", the index arithmetic value - note, a comprehension with a compound condition, and min of options. There is no hand trace, so "memoization turned into a table you fill in deliberately" stays abstract. This breaks the book's by-hand-first principle.</t>
  </si>
  <si>
    <t xml:space="preserve">Add a worked-by-hand table before the code for ₹60 with notes (50, 20, 10). Columns: amount 0,10,…,60; best = 0,1,1,2,2,1,2. Show how best[60] = min(best[10]+1, best[40]+1, best[50]+1) = 2. Then split the code into two cells: (1) the function with one-line comments on each line (best[v] = fewest notes for v; start best[0]=0; for each v try every note that fits and whose remainder is makeable); (2) the loop printing results. Rewrap the comprehension so the line break falls after if note &lt;= value with an explicit and on the next line.</t>
  </si>
  <si>
    <t xml:space="preserve">33.15</t>
  </si>
  <si>
    <t xml:space="preserve">§33.5 print("largest two without sorting everything:", [… sorted(lines, key=…, reverse=True)[:2]])</t>
  </si>
  <si>
    <t xml:space="preserve">The label contradicts the code: sorted(...)[:2] does sort everything. The heapq alternative is mentioned only in prose. heap (a key term) is never explained, and heapq never appears in chapter code, only in answer 8.</t>
  </si>
  <si>
    <t xml:space="preserve">Replace with import heapq / print("largest two without sorting everything:", [r["net_revenue"] for r in heapq.nlargest(2, lines, key=lambda r: float(r["net_revenue"]))]) with the same output. Explain: "heapq.nlargest(k, items, key=…) keeps only the best k seen so far in a small structure called a heap, so it scans once: O(n log k)." Add "heap" in one sentence: "a heap keeps its smallest item at the front and can add or remove one item in log time".</t>
  </si>
  <si>
    <t xml:space="preserve">33.16</t>
  </si>
  <si>
    <t xml:space="preserve">§33.5 print("stable order:", …) using a tuple key</t>
  </si>
  <si>
    <t xml:space="preserve">The output labelled "stable order" does not demonstrate stability: a tuple key (order_id, product_id) has no ties. The next paragraph's claim ("sorting twice… gives the same answer as one tuple key") is never shown.</t>
  </si>
  <si>
    <t xml:space="preserve">Rename the label to "by order, then product:". Add a second cell that proves stability: by_product = sorted(lines, key=lambda r: r["product_id"]), then by_order = sorted(by_product, key=lambda r: r["order_id"]), printed. Its output is identical to the tuple-key result. Explain that the two 100001 lines stay in product order because the second sort keeps ties in their existing order.</t>
  </si>
  <si>
    <t xml:space="preserve">33.17</t>
  </si>
  <si>
    <t xml:space="preserve">§33.5 return labels[bisect_right(thresholds, amount) - 1]; Ans 6 "If the rule is 'over ₹10,000', bisect_left is the one you want"</t>
  </si>
  <si>
    <t xml:space="preserve">Edge-case bugs in a section about boundaries. band(-5) returns "very large" (bisect_right → 0, and labels[-1] wraps round), and a credit note is a real negative amount. With the recommended bisect_left, band(0) also returns "very large".</t>
  </si>
  <si>
    <t xml:space="preserve">Add a guard and a test: if amount &lt; thresholds[0]: raise ValueError(f"negative amount {amount}") (or return "credit"). Add -500 to answer 6's test values with its output. Add to answer 6: "with bisect_left, 0 falls before the first threshold and index −1 silently wraps to the last label; negative indexes are the trap, so guard the low end." Suggest using Ch 17's rebate tiers (0/250,000/400,000 → 0%/1%/2%) as the Riverstone example, since exercise 6 says "Riverstone's discount tiers" but the book never defined tiny/small/medium bands.</t>
  </si>
  <si>
    <t xml:space="preserve">33.18</t>
  </si>
  <si>
    <t xml:space="preserve">§33.4 has_cycle → visit(neighbor, path \</t>
  </si>
  <si>
    <t xml:space="preserve">{node}); Ans 9 find_cycle | Both detectors are exponential on graphs with shared nodes: every path is re-walked from every start node, with no memory of nodes already cleared. Measured: a chain of 18 "diamonds" (a DAG, no cycle) takes ~2 s and doubles per level. Real dbt projects are full of diamonds. This is ironic in a complexity chapter, and the chapter tells the reader "This is what dbt does".</t>
  </si>
  <si>
    <t xml:space="preserve">Either (a) add one sentence and a stretch exercise: "This version re-walks shared paths; on a large DAG it is exponential. The fix is to remember nodes already proven cycle-free", or (b) teach the standard O(V + E) version: keep done = set(); visit returns False immediately for nodes in done and adds a node to done after all its neighbours pass. Show it with the same outputs, and state its complexity. Option (b) fits the chapter's promise to state complexity out loud.</t>
  </si>
  <si>
    <t xml:space="preserve">33.19</t>
  </si>
  <si>
    <t xml:space="preserve">§33.4 Cycles "Both walks above carry a seen set, which is the standard defense"</t>
  </si>
  <si>
    <t xml:space="preserve">Conflates two different things. A *seen* set (ever visited) silently drops a node reached a second time. That is right for "who reports to the MD" but wrong for a bill of materials, where Steel tube and Fastener pack legitimately appear twice: a seen set would give 1.0 kg of tube, not 3.4. A *path* set (on the current route) is what detects cycles. Also, explode() in §33.6 has no guard at all, although §33.4 lists "a part that contains itself".</t>
  </si>
  <si>
    <t xml:space="preserve">Rewrite the paragraph: "Two different guards: a *seen* set (skip anything already visited: right for reachability, and it makes each node count once) and a *path* set (skip only what's on the current route: right for cycle detection and for bills of materials, where one part can legitimately appear under two parents)." In new §33.5 (recursion) add a path guard to explode in an optional cell: if part in path: raise ValueError(f"cycle at {part}").</t>
  </si>
  <si>
    <t xml:space="preserve">33.20</t>
  </si>
  <si>
    <t xml:space="preserve">§33.3 "That last pattern is Chapter 29's retry logic in miniature: failures go to the back of the queue"</t>
  </si>
  <si>
    <t xml:space="preserve">Ch 29's CrmClient retries the same request after an exponential backoff sleep (honouring Retry-After). It does not move failures to the back of a queue.</t>
  </si>
  <si>
    <t xml:space="preserve">"That last pattern is a *retry queue*: failures go to the back, so one stubborn item doesn't block the rest. It complements Chapter 29's client, which waits and retries the same request; a queue is what you use when you have many independent items." Also explain the stand-in rule: add the comment # pretend: invoices ending in 0 fail until their third attempt.</t>
  </si>
  <si>
    <t xml:space="preserve">33.21</t>
  </si>
  <si>
    <t xml:space="preserve">Tool note python3 -m cProfile -s cumtime script.py \</t>
  </si>
  <si>
    <t xml:space="preserve">head -20; Ans 14 same with \ | head -15 | Pipes and head are taught in Ch 34 (after this chapter) and are not in Ch 26 §26.0's spec. head doesn't exist in Windows PowerShell.</t>
  </si>
  <si>
    <t xml:space="preserve">Explain inline: "\ |  sends the report into head, which keeps the first 20 lines (Chapter 34 covers pipes); in PowerShell use \ | Select-Object -First 20". Or use a Python-only route the reader can run anywhere: python -m cProfile -o prof.out match_slow.py 500 then import pstats; pstats.Stats("prof.out").sort_stats("cumtime").print_stats(15) with the output shown. Show the profile output once in the chapter, since profiling is project step 3.</t>
  </si>
  <si>
    <t xml:space="preserve">33.22</t>
  </si>
  <si>
    <t xml:space="preserve">Ans 3 "one line per order and product, so the biggest order has as many lines as there are products"</t>
  </si>
  <si>
    <t xml:space="preserve">False. There are at least 8 products (101–108 appear in the chapter), but the largest order has 3 lines. The grain caps lines per order at the number of products; it doesn't make the maximum equal it. The cross-reference is also wrong (see 33.25).</t>
  </si>
  <si>
    <t xml:space="preserve">"Note the grain (Chapter 14): at most one line per order and product, so no order can have more lines than there are products. In this data no order has more than three."</t>
  </si>
  <si>
    <t xml:space="preserve">33.23</t>
  </si>
  <si>
    <t xml:space="preserve">§33.2 index = {(line["order_id"], line["product_id"]): line for line in order_lines}</t>
  </si>
  <si>
    <t xml:space="preserve">A dict silently keeps the last value when a key repeats. The chapter never says why that's safe here ("index holds 176,110 keys" = number of lines is the proof, but it isn't pointed out). It also doesn't mention the most common real bug with such indexes: keys read as text in one file and numbers in the other never match (all ids from DictReader are strings).</t>
  </si>
  <si>
    <t xml:space="preserve">After the output add: "176,110 keys for 176,110 lines proves (order_id, product_id) is unique here. If the key count were smaller, some lines were overwritten silently; then index into a list per key (defaultdict(list)), as the grouping section does. And make both sides the same type: '100001' (text) and 100001 (a number) are different keys."</t>
  </si>
  <si>
    <t xml:space="preserve">33.24</t>
  </si>
  <si>
    <t xml:space="preserve">Intro "the dictionary index in section 33.3"; §33.1 "section 33.11's project"; §33.6 "exactly what section 33.4's breadth-first search did"; figure numbers</t>
  </si>
  <si>
    <t xml:space="preserve">Wrong in-chapter references. The dictionary index is §33.2. There is no §33.11 (the project is unnumbered). BFS uses a queue and isn't "recursion rewritten as a loop"; the explicit-stack rewrite is answer 7. Figure 33.3 (§33.4) comes before Figure 33.2 (§33.7).</t>
  </si>
  <si>
    <t xml:space="preserve">Fix to "section 33.2"; "the chapter's project (end of chapter)"; "…rewritten as a loop with an explicit stack, which is exactly what exercise 7 asks you to do (an iterative depth-first walk is the same)". Renumber figures in order of appearance after the 33.1 reorder.</t>
  </si>
  <si>
    <t xml:space="preserve">33.25</t>
  </si>
  <si>
    <t xml:space="preserve">§33.6 "JSON (Chapter 14)"; Tools "pandas and NumPy (Chapter 17)"; Stretch "pandas (merge, Chapter 17)"; Where this leads "Chapter 17, Python for Data Analysis, covers the vectorized…"; §33.5 "ORDER BY a, b (Chapter 13)"; Ans 3 "grain (Chapter 28)"; §33.10 / Where this leads "Chapter 72's Python and pandas bank has the questions"</t>
  </si>
  <si>
    <t xml:space="preserve">Wrong chapter references. JSON is Ch 17. pandas, merge and vectorization are Ch 18 ("Python for Analysts: pandas &amp; Automation"). NumPy is Ch 35 (or Ch 18's new NumPy basics, M.9). ORDER BY is Ch 12. Grain is Ch 14 (and Ch 1). The DSA questions are in Ch 72A.</t>
  </si>
  <si>
    <t xml:space="preserve">Replace with: "JSON (Chapter 17)"; "pandas (Chapter 18) and NumPy (Chapter 35)"; "pandas (merge, Chapter 18)"; "Chapter 18, Python for Analysts: pandas &amp; Automation, covers the vectorized alternatives"; "ORDER BY a, b (Chapter 12)"; "grain (Chapter 14)"; "Chapter 72A's Data Structures &amp; Algorithms bank has the questions (Chapter 72 has the Python ones)".</t>
  </si>
  <si>
    <t xml:space="preserve">33.26</t>
  </si>
  <si>
    <t xml:space="preserve">Where this leads: Chapter 28, Chapter 29, Chapter 17</t>
  </si>
  <si>
    <t xml:space="preserve">Three of the five "leads" are earlier chapters.</t>
  </si>
  <si>
    <t xml:space="preserve">Retitle those three as "Looking back" or drop them. Keep 46, 49, 72A/69, and add Ch 35 (NumPy: why vectorized code is fast), Ch 48 (distributed compute: the same hash-partition idea at scale) and Ch 55 (vector search indexes, for RAG).</t>
  </si>
  <si>
    <t xml:space="preserve">33.27</t>
  </si>
  <si>
    <t xml:space="preserve">§33.6 print("iterative version:", sum(1 for _ in range(5000)))</t>
  </si>
  <si>
    <t xml:space="preserve">This isn't an iterative version of depth. It just counts to 5,000, so the "Recursion or a loop?" contrast is lost.</t>
  </si>
  <si>
    <t xml:space="preserve">Replace with a real loop: def depth_loop(n): /     count = 0 /     while n &gt; 0: /         n, count = n - 1, count + 1 /     return count, then print("iterative version:", depth_loop(5000)).</t>
  </si>
  <si>
    <t xml:space="preserve">33.28</t>
  </si>
  <si>
    <t xml:space="preserve">§33.8 print(... if answer else "cannot be made exactly"); notes=(2000, 500, …)</t>
  </si>
  <si>
    <t xml:space="preserve">(a) if answer treats 0 notes (amount ₹0) as failure: fewest_notes(0) prints "cannot be made exactly". (b) The RBI withdrew the ₹2000 note from circulation in 2023 (it remains legal tender), so the "real Indian notes" line reads dated.</t>
  </si>
  <si>
    <t xml:space="preserve">(a) if answer is not None, with one sentence on why (0 is falsy). (b) Add "(₹2000 notes were withdrawn from circulation in 2023; the result is the same without them)". Greedy stays optimal without 2000: verified for all multiples of 10 up to ₹5,000.</t>
  </si>
  <si>
    <t xml:space="preserve">33.29</t>
  </si>
  <si>
    <t xml:space="preserve">§33.2 statuses = Counter(invoice["product_id"] …); Ex 4</t>
  </si>
  <si>
    <t xml:space="preserve">The variable is named statuses but counts products. Exercise 4 repeats the §33.2 code and output exactly ([('101', 2607), …]), so it is not an exercise.</t>
  </si>
  <si>
    <t xml:space="preserve">Polish / Load</t>
  </si>
  <si>
    <t xml:space="preserve">Rename to invoiced_products. Change ex 4 to something new: "Use Counter to find which products account for most of the 500 unmatched invoice lines" (a business question: which supplier/product mapping is broken). Update answer 4.</t>
  </si>
  <si>
    <t xml:space="preserve">33.30</t>
  </si>
  <si>
    <t xml:space="preserve">Ans 5 [i["invoice_line_id"] for i in linear if i in invoices[:200]]</t>
  </si>
  <si>
    <t xml:space="preserve">The "proof" is itself quadratic: i in invoices[:200] scans a list of dicts for each of 19,500 invoices, in the chapter that warns about exactly this.</t>
  </si>
  <si>
    <t xml:space="preserve">first_200_ids = {i["invoice_line_id"] for i in invoices[:200]} then [i["invoice_line_id"] for i in linear if i["invoice_line_id"] in first_200_ids] == [i["invoice_line_id"] for i in quadratic_sample]. Add: "note the set: even the check follows the chapter's rule".</t>
  </si>
  <si>
    <t xml:space="preserve">33.31</t>
  </si>
  <si>
    <t xml:space="preserve">Ans 10 "computing both a count and a maximum means… accumulating both in one loop, as here"; csv.DictReader without import</t>
  </si>
  <si>
    <t xml:space="preserve">The code computes a count and a total, not a maximum. The snippet relies on import csv from answer 2.</t>
  </si>
  <si>
    <t xml:space="preserve">"…computing a count and a total means either two passes or accumulating both in one loop, as here." Add import csv as the first line.</t>
  </si>
  <si>
    <t xml:space="preserve">33.32</t>
  </si>
  <si>
    <t xml:space="preserve">§33.2 table: dict "Bad at: nothing much"; §33.1 "O(1) … appending to a list"</t>
  </si>
  <si>
    <t xml:space="preserve">Oversimplified. A dict costs memory (roughly 100+ bytes per entry plus the objects), can't answer range questions ("all keys between…"; exercise 11's own lesson) and doesn't sort by value. List append is *amortized* O(1) (occasional resize); "amortized complexity" is a key term in Ch 72A.</t>
  </si>
  <si>
    <t xml:space="preserve">dict "Bad at": "memory; range questions ('everything between two values'); order by value". §33.1: "appending to a list (on average; the list occasionally grows its storage)".</t>
  </si>
  <si>
    <t xml:space="preserve">33.33</t>
  </si>
  <si>
    <t xml:space="preserve">Tools "timeit for small operations"; "itertools"; Key terms "node · edge · heap · lazy evaluation · vectorization"</t>
  </si>
  <si>
    <t xml:space="preserve">timeit is recommended but never shown. itertools is listed but never used. node, edge, heap and lazy evaluation are key terms never defined in the text.</t>
  </si>
  <si>
    <t xml:space="preserve">Add one timeit cell in §33.2: import timeit / timeit.timeit(lambda: key in keys_set, number=1000) with output and a sentence on number=. Drop itertools from Tools. Define node/edge in the trees section ("each person is a node; each reports-to link is an edge"), heap in 33.15, and "lazy evaluation: values produced only when asked for" in §33.9.</t>
  </si>
  <si>
    <t xml:space="preserve">33.34</t>
  </si>
  <si>
    <t xml:space="preserve">§33.4 for level in range(3): people = [p for lvl, p in breadth_first(...) …]</t>
  </si>
  <si>
    <t xml:space="preserve">Runs the whole BFS three times inside the loop, in a complexity chapter. " " * level indents by one space, which is barely visible (the extraction shows none).</t>
  </si>
  <si>
    <t xml:space="preserve">walk = breadth_first("Arvind Kapoor") once before the loop. Use "  " * level (two spaces) and typeset the output with the indentation visible. Explain " " * level (string repetition) and ', '.join(people) (Ch 17) in the "How it works".</t>
  </si>
  <si>
    <t xml:space="preserve">33.35</t>
  </si>
  <si>
    <t xml:space="preserve">§33.4 reports_to = {…} (9 people)</t>
  </si>
  <si>
    <t xml:space="preserve">It is a slice of Ch 28's 17-person staff table (Suresh Menon, Mahesh Yadav, Kiran Bhosale, Swati Joshi, operators… are missing). A reader comparing with Ch 28 will ask why.</t>
  </si>
  <si>
    <t xml:space="preserve">"…a slice of Chapter 28's staff table (the sales and one production branch), as a dictionary of lists:".</t>
  </si>
  <si>
    <t xml:space="preserve">33.36</t>
  </si>
  <si>
    <t xml:space="preserve">§33.4 def depth_first(person, level=0, seen=None): seen = seen if seen is not None else set()</t>
  </si>
  <si>
    <t xml:space="preserve">The None-then-create idiom is used without saying why: seen=set() as a default would be shared across calls (the mutable-default trap, a Ch 72 key term).</t>
  </si>
  <si>
    <t xml:space="preserve">Add one bullet: "seen=None, then create the set inside: a default like seen=set() is created once and shared by every call, so a second walk would think everyone was already seen."</t>
  </si>
  <si>
    <t xml:space="preserve">33.37</t>
  </si>
  <si>
    <t xml:space="preserve">Ex 16 answer "next year it's four hours, not two"; "the machine will keep getting slower every month"</t>
  </si>
  <si>
    <t xml:space="preserve">No baseline is stated, so "four hours, not two" can't be followed. It is the job that gets slower, not the machine.</t>
  </si>
  <si>
    <t xml:space="preserve">"…if it takes an hour today, next year it takes four hours, not two" and "the job will keep getting slower as the data grows".</t>
  </si>
  <si>
    <t xml:space="preserve">33.38</t>
  </si>
  <si>
    <t xml:space="preserve">Figure 33.1 caption "The shapes, from measured times"</t>
  </si>
  <si>
    <t xml:space="preserve">The curves are drawn; only the right-hand numbers are measured (the in-figure note says so).</t>
  </si>
  <si>
    <t xml:space="preserve">"Figure 33.1 — The five shapes (drawn to scale) and the matching job's measured times."</t>
  </si>
  <si>
    <t xml:space="preserve">33.39</t>
  </si>
  <si>
    <t xml:space="preserve">Before you start / Tools "Python 3.12"</t>
  </si>
  <si>
    <t xml:space="preserve">Ch 17 installs Python 3.13/3.14 (see Ch 26 review 26.21). Fine if the outputs are the same, but say so. Prerequisites also rely on Ch 18 (lambda, vectorization) and Ch 29's generator.</t>
  </si>
  <si>
    <t xml:space="preserve">Tools: "Python 3.12 or later (outputs checked on 3.12; identical on 3.13)". Before you start: add "Chapter 18 (pandas; you'll compare it with plain loops)".</t>
  </si>
  <si>
    <t xml:space="preserve">33.40</t>
  </si>
  <si>
    <t xml:space="preserve">Hash demo "Python's hash() does it for any immutable object"</t>
  </si>
  <si>
    <t xml:space="preserve">Strictly, any *hashable* object: hash((1, [2])) fails although tuples are immutable.</t>
  </si>
  <si>
    <t xml:space="preserve">"…for any hashable value: numbers, strings, and tuples of those."</t>
  </si>
  <si>
    <t xml:space="preserve">33.41</t>
  </si>
  <si>
    <t xml:space="preserve">§33.9 squares_gen.__class__.__name__; import csv inside line_values</t>
  </si>
  <si>
    <t xml:space="preserve">A dunder attribute is new syntax for no benefit, and the import inside the function is an unusual style the book doesn't teach elsewhere.</t>
  </si>
  <si>
    <t xml:space="preserve">type(squares_gen).__name__ (or just print(squares_gen) → &lt;generator object …&gt;). Move import csv to the top of the cell.</t>
  </si>
  <si>
    <t xml:space="preserve">33.42</t>
  </si>
  <si>
    <t xml:space="preserve">Ans 14 "guessing gets it wrong about half the time"</t>
  </si>
  <si>
    <t xml:space="preserve">An unsupported statistic.</t>
  </si>
  <si>
    <t xml:space="preserve">"…and guessing is often wrong."</t>
  </si>
  <si>
    <t xml:space="preserve">33.43</t>
  </si>
  <si>
    <t xml:space="preserve">Known drafting leftover (sequence map).</t>
  </si>
  <si>
    <t xml:space="preserve">Delete the sentence and move the answers to Appendix G, or keep them in place with no note.</t>
  </si>
  <si>
    <t xml:space="preserve">V33.1</t>
  </si>
  <si>
    <t xml:space="preserve">p. 14 · Figure 33.2 (hash buckets)</t>
  </si>
  <si>
    <t xml:space="preserve">The bucket column overruns the figure note: "bucket 6 1 entry" and "bucket 7" are printed on top of the note line "…holds ten keys or ten million. / …because a key that changed would hash…". Both are unreadable where they overlap. Text is 4.9–5.3 pt.</t>
  </si>
  <si>
    <t xml:space="preserve">Give the figure enough height for the 8 buckets, and put the note below them. Enlarge to 7 pt.</t>
  </si>
  <si>
    <t xml:space="preserve">V33.2</t>
  </si>
  <si>
    <t xml:space="preserve">p. 5 · Figure 33.1 (growth curves)</t>
  </si>
  <si>
    <t xml:space="preserve">The title says "drawn to scale", but the O(log n) curve sits above O(n) and O(n log n) for the first half of the axis. The figure caption says "quadratic leaves the page", but the O(n²) curve ends at the same top-right point as O(n). The curve labels "O(log n) logarithmic", "O(n) linear" and "O(n log n)" are struck through by other curves. Text is 5.1–5.5 pt.</t>
  </si>
  <si>
    <t xml:space="preserve">Redraw with a true common scale (or drop "to scale" and say "shapes only"). Let O(n²) exit the top. Place the labels at the line ends, clear of other curves. Enlarge.</t>
  </si>
  <si>
    <t xml:space="preserve">V33.3</t>
  </si>
  <si>
    <t xml:space="preserve">p. 10 · Figure 33.3 (DFS/BFS tree)</t>
  </si>
  <si>
    <t xml:space="preserve">Node names and badges are 4.6–5.3 pt; the caption box text is about 4.6 pt. The two orders are told apart by purple versus green badges (they are also left/right, which helps).</t>
  </si>
  <si>
    <t xml:space="preserve">Enlarge to 7 pt; label the badges "D1…", "B1…" or add a legend key.</t>
  </si>
  <si>
    <t xml:space="preserve">V33.4</t>
  </si>
  <si>
    <t xml:space="preserve">p. 10, 14 · Figure numbering</t>
  </si>
  <si>
    <t xml:space="preserve">Figure 33.3 (p. 10) appears before Figure 33.2 (p. 14).</t>
  </si>
  <si>
    <t xml:space="preserve">Renumber in page order.</t>
  </si>
  <si>
    <t xml:space="preserve">V33.5</t>
  </si>
  <si>
    <t xml:space="preserve">p. 5 · Figure 33.1 axes</t>
  </si>
  <si>
    <t xml:space="preserve">No axis ticks, so "work" and "input size n" can't be read quantitatively, which conflicts with "drawn to scale".</t>
  </si>
  <si>
    <t xml:space="preserve">Fold into V33.2's redraw.</t>
  </si>
  <si>
    <t xml:space="preserve">V33.6</t>
  </si>
  <si>
    <t xml:space="preserve">p. 6 · Table "The four structures"</t>
  </si>
  <si>
    <t xml:space="preserve">The narrow "Written" column wraps the code literals mid-token: "[1, 2, / 3]", "{1, 2, / 3}".</t>
  </si>
  <si>
    <t xml:space="preserve">Widen col 2 or set code cells to no-wrap.</t>
  </si>
  <si>
    <t xml:space="preserve">V33.7</t>
  </si>
  <si>
    <t xml:space="preserve">p. 24→25 · Answers, exercise 2</t>
  </si>
  <si>
    <t xml:space="preserve">"2." is stranded at the foot of p. 24 above 32% blank, and its code starts p. 25.</t>
  </si>
  <si>
    <t xml:space="preserve">Keep with next / allow the code to split.</t>
  </si>
  <si>
    <t xml:space="preserve">V33.8</t>
  </si>
  <si>
    <t xml:space="preserve">p. 12→13 · 33.6 Recursion</t>
  </si>
  <si>
    <t xml:space="preserve">The section opens with 2 lines at the foot of p. 12, then 24% blank; the first code block is on p. 13.</t>
  </si>
  <si>
    <t xml:space="preserve">Allow the code to split, or push the heading to p. 13.</t>
  </si>
  <si>
    <t xml:space="preserve">V33.9</t>
  </si>
  <si>
    <t xml:space="preserve">p. 20→21 · Project "Steps:"</t>
  </si>
  <si>
    <t xml:space="preserve">"Steps:" is stranded at the foot of p. 20, and the numbered list starts p. 21.</t>
  </si>
  <si>
    <t xml:space="preserve">V33.10</t>
  </si>
  <si>
    <t xml:space="preserve">p. 11→12 · "Two habits are worth having:"</t>
  </si>
  <si>
    <t xml:space="preserve">The lead-in ends p. 11 above 19% blank.</t>
  </si>
  <si>
    <t xml:space="preserve">V33.11</t>
  </si>
  <si>
    <t xml:space="preserve">"Draft chapter", "18 September 2026" and "22 Python outputs verified · 22 number checks" are visible; the rule touches "&amp;".</t>
  </si>
  <si>
    <t xml:space="preserve">V33.12</t>
  </si>
  <si>
    <t xml:space="preserve">V33.13</t>
  </si>
  <si>
    <t xml:space="preserve">p. 13, 16, 25, 26, 27 · Code blocks</t>
  </si>
  <si>
    <t xml:space="preserve">Lines wrap to column 0 ("…("Shipping" / carton", 1)],", "…value - note]" / "is not None]", "…"less" / than 100")").</t>
  </si>
  <si>
    <t xml:space="preserve">Hard-wrap the source.</t>
  </si>
  <si>
    <t xml:space="preserve">V33.14</t>
  </si>
  <si>
    <t xml:space="preserve">p. 20–21 · "You've got it when…" checklist</t>
  </si>
  <si>
    <t xml:space="preserve">V33.15</t>
  </si>
  <si>
    <t xml:space="preserve">p. 3, 21, 22 · Inline code pills</t>
  </si>
  <si>
    <t xml:space="preserve">A space appears before punctuation ("ch33_timings.py .", "deque ,").</t>
  </si>
  <si>
    <t xml:space="preserve">34.1</t>
  </si>
  <si>
    <t xml:space="preserve">§34.1–34.2 whole; Chapter at a glance "open a terminal on any operating system and find your way around"</t>
  </si>
  <si>
    <t xml:space="preserve">Decision D2: terminal essentials move to Ch 26 §26.0 (spec in part2/ch26.md), and Linux and networking stay here. As written, Ch 34 re-teaches everything §26.0 now covers, and the chapter's opening promise is out of date.</t>
  </si>
  <si>
    <t xml:space="preserve">Apply the split exactly as tabled in Sequence notes → D2 split map below. Delete from Ch 34 everything marked "→ §26.0". Keep everything marked "stays". Add the new §34.0 recap (34.3). Rewrite Chapter at a glance: "You will learn to: combine small tools with pipes and redirection to answer questions in seconds · search text with grep, and count and summarize it with wc, sort, uniq, cut and awk · find files by name, age and size · read and set file permissions · use environment variables and understand PATH · write a shell script that takes arguments, fails safely and returns a meaningful exit code · connect to a server with SSH keys and copy files to it · explain IP addresses, DNS, ports and HTTP, and test an API with curl." Consider the title "The Command Line, Part 2: Text Tools, Linux &amp; Networking" so readers know §26.0 was Part 1.</t>
  </si>
  <si>
    <t xml:space="preserve">34.2</t>
  </si>
  <si>
    <t xml:space="preserve">Before you start "Chapter 6 (you've opened a terminal and made a virtual environment)"</t>
  </si>
  <si>
    <t xml:space="preserve">Just-in-time install decision: the terminal is first opened in Ch 17 §17.0, the venv is made in Ch 17 §17.0, and terminal essentials are taught in Ch 26 §26.0. This chapter never uses a virtual environment: every Python call is stdlib python3. The chapter also depends heavily on Ch 29 (mock CRM API, exit code 1 on no data, the December report, CrmClient, .env) and Ch 20 (cron), which aren't listed.</t>
  </si>
  <si>
    <t xml:space="preserve">Replace with: "Before you start: Chapter 26 section 26.0 (the terminal in 20 minutes: pwd, ls, cd, mkdir, cp, mv, rm, cat, reading a command, &amp;&amp;, export, echo $?). Chapter 29 (exit codes, environment variables, the mock CRM API, and the December report whose totals this chapter reconciles to). Chapter 20 (scheduling with cron). Chapter 2 (files, formats and what an API is). Chapter 14's regular expressions help with grep -E." Delete "made a virtual environment". Drop Ch 28 ("useful background") or keep it only for the §34.8 PostgreSQL tunnel.</t>
  </si>
  <si>
    <t xml:space="preserve">34.3</t>
  </si>
  <si>
    <t xml:space="preserve">Chapter opens at "Why this matters"; §34.1–34.2</t>
  </si>
  <si>
    <t xml:space="preserve">After the split the chapter needs a bridge back to §26.0 instead of re-teaching it.</t>
  </si>
  <si>
    <t xml:space="preserve">Add §34.0 "Where Chapter 26 left you" (10 minutes): (1) a one-screen recap table of §26.0 commands, each with one example: pwd, ls / ls -a, cd folder / cd .. / cd ~, mkdir -p a/b, touch, cp, mv, rm (no undo), cat, less (q to quit), echo "text" &gt; file, Tab, ↑, Ctrl+C, &amp;&amp;, export NAME=value, echo $?; (2) "If any of these feels unfamiliar, redo the §26.0 drill before going on"; (3) "What's new in this chapter", in 5 bullets; (4) the terminal upgrade for this chapter: Windows → WSL (34.4), macOS → run bash (34.6); (5) the practice-folder setup currently in §34.2 (cp -r the companion folder into your home folder, cd ~/ch34, python3 make_ch34_data.py with its output). Keep "In plain English" (kitchen counter) after §34.0, since it frames pipes, channels and exit codes, the new material.</t>
  </si>
  <si>
    <t xml:space="preserve">34.4</t>
  </si>
  <si>
    <t xml:space="preserve">§34.1 table "Git Bash, installed with Git (Chapter 6) — Most commands here work; a few (ss, apt) don't"</t>
  </si>
  <si>
    <t xml:space="preserve">(a) Git is now installed in Ch 26 §26.0, not Ch 6. (b) Git Bash is not enough for this chapter's Linux half. On Windows drives chmod +x/chmod 600 have no effect, so the §34.5 demo can't be reproduced: ls -l never changes, and ./run_export.sh runs *before* chmod because Git Bash treats shebang files as executable. ss, apt, sudo, getent and rsync are missing, and there is no SSH server for §34.8. (c) Installing WSL is one clause, although it needs admin rights, a reboot and a new Linux username and password (needed for sudo).</t>
  </si>
  <si>
    <t xml:space="preserve">In §34.0 add "Windows: this chapter needs WSL" with numbered steps: open PowerShell as administrator → wsl --install → restart → Ubuntu opens and asks for a UNIX username and password (remember it; sudo asks for it) → sudo apt update. Then: "Work inside your Linux home (cd ~), not under /mnt/c/…: permissions don't behave on Windows drives. Copy the companion folder in with cp -r /mnt/c/Users/&lt;you&gt;/Downloads/companion/ch34 ~/ch34. In VS Code, install the WSL extension and use 'Connect to WSL'." Change the Git Bash row to: "Git Bash (from Chapter 26) — fine for §34.0–34.4 and 34.7; not for permissions (34.5), ss, sudo or the SSH server: use WSL." Same fix in the Tools list.</t>
  </si>
  <si>
    <t xml:space="preserve">34.5</t>
  </si>
  <si>
    <t xml:space="preserve">§34.8 "In this chapter's test setup that name points at the same machine"</t>
  </si>
  <si>
    <t xml:space="preserve">The SSH section can't be followed. (a) SSH into your own machine needs an SSH server running, which isn't the default on Ubuntu desktop, WSL or macOS, and none is installed or started. (b) ~/.ssh/config is printed with cat but the reader is never told to create it (or with what). (c) ssh-copy-id meera@reportserver.example.com targets a host that doesn't exist and differs from the reportserver alias used next. (d) The first ssh asks "Are you sure you want to continue connecting (yes/no)?" (host-key fingerprint), which is never mentioned.</t>
  </si>
  <si>
    <t xml:space="preserve">Add "Set up a practice server (10 minutes)" before "Keys, not passwords". Ubuntu/WSL: sudo apt install openssh-server, sudo service ssh start, ssh localhost (answer yes to the fingerprint question and explain it: "this is the server's identity card; ssh remembers it in ~/.ssh/known_hosts and will warn you if it ever changes"), then exit. macOS: System Settings → General → Sharing → Remote Login on. Then ssh-keygen; ssh-copy-id localhost (uses your login password once); create ~/.ssh/config with nano ~/.ssh/config (or code) containing the four lines shown; chmod 600 ~/.ssh/config; ssh reportserver "hostname". Change the key-copy line to ssh-copy-id reportserver and say "on a real job, the platform team gives you the host name".</t>
  </si>
  <si>
    <t xml:space="preserve">34.6</t>
  </si>
  <si>
    <t xml:space="preserve">§34.1 "macOS … The shell is zsh; everything in this chapter works"; Tools "macOS ships zsh, which behaves the same for everything here"</t>
  </si>
  <si>
    <t xml:space="preserve">Not true. ${PIPESTATUS[0]} (project) is bash-only: zsh uses $pipestatus[1]. zsh doesn't word-split unquoted variables, so the "unquoted variable" bug behaves differently, and it errors on unmatched globs ("no matches found"). macOS lacks ss, getent and GNU date -d, and BSD du has no --max-depth (the story is on a Linux server, which is fine). BSD wc -l pads its output with spaces.</t>
  </si>
  <si>
    <t xml:space="preserve">Replace with: "macOS: Terminal runs zsh. For this chapter type bash first (macOS includes bash 3.2, which runs every script here); a few Linux tools differ: use lsof -iTCP -sTCP:LISTEN -n -P for ss -ltn, dscacheutil -q host -a name localhost for getent hosts, and date -v-1d for date -d yesterday (or brew install coreutils and use gdate)." Add a one-line macOS note at each of those commands.</t>
  </si>
  <si>
    <t xml:space="preserve">34.7</t>
  </si>
  <si>
    <t xml:space="preserve">§34.2 ls exports \</t>
  </si>
  <si>
    <t xml:space="preserve">head -3, ls … \ | wc -l, find … \ | sort \ | head -3; Figure 34.1 grep -c; §34.3 grep -q; §34.2 Watch out rm -rf $DIR/; §34.5 printf '#!/usr/bin/env bash…'; §34.3 tee with ./fetch_daily.sh | In-chapter ordering. Pipes are used three times in §34.2 before §34.3 teaches them. grep is used in Figure 34.1 and §34.3 before §34.4. $DIR variables appear before §34.6. The shebang and printf appear in §34.5 but are explained in §34.7. tee is demonstrated on fetch_daily.sh, which doesn't exist until the project.</t>
  </si>
  <si>
    <t xml:space="preserve">After the split, §34.2's basics are gone. Put the kept items in this order: §34.1 Pipes and redirection (current §34.3; ls exports \ | wc -l as the very first pipe), then §34.2 Looking inside and finding files (head, tail -f, wc, wildcards, find, now allowed to pipe). Move the rm -rf $DIR/ warning into §34.7 next to set -u, where "remember rm -rf $DIR/" already points. Make the grep -q exit-code demo use test -f instead (already on the page), and move grep -q to §34.4. In §34.5, say "the first line, #!/usr/bin/env bash, tells the system to run the file with bash (section 34.7 explains it)" and explain printf in one line ("like echo, but \n means a new line"). Change the tee example to ./daily_summary.sh 2025-12-16 \ | tee -a run.log in §34.7. Move Figure 34.1's stdout/stderr/exit-code half into the pipes section.</t>
  </si>
  <si>
    <t xml:space="preserve">34.8</t>
  </si>
  <si>
    <t xml:space="preserve">§34.4 Reading logs "Three failures in 61 days… no orders on a Sunday and on Christmas Day"</t>
  </si>
  <si>
    <t xml:space="preserve">Contradicts the practice data. Answer 8 shows 17 December days with header-only files (e.g., Tue 2 Dec, Wed 3 Dec, Mon 15 Dec), yet the log has only two "no sales lines for this day" errors. Sunday 21 Dec *has* an order (2025-12-21: 1 order lines) and Sunday 16 Nov is the biggest file, so "no orders on a Sunday" isn't a rule. Ch 29's report is monthly (--month, "no sales lines for this month"); a daily report job is never introduced.</t>
  </si>
  <si>
    <t xml:space="preserve">Either regenerate the log so every empty day logs a WARNING ("no sales lines for 2025-12-02; wrote an empty summary") and only real failures are ERRORs, then recount (and update 180/4/3, answer 9's 4, and the prose). Or keep the log and change the prose: "Three errors in 61 days: two are the job refusing to send an empty report on days it was configured to treat as errors (7 and 25 December), and one real problem on 9 November." Name the job once: "the daily sales summary job (the one daily_summary.sh imitates)".</t>
  </si>
  <si>
    <t xml:space="preserve">34.9</t>
  </si>
  <si>
    <t xml:space="preserve">Figure 34.2 stage labels "uniq -c … 23 lines", "sort -nr … 23 lines"</t>
  </si>
  <si>
    <t xml:space="preserve">23 is the number of customers ("23 customers" in the generator output). The pipeline counts cities, and Ch 17 (answer 14) says the 2025 data has 16 cities.</t>
  </si>
  <si>
    <t xml:space="preserve">Run cut -d, -f5 ../sales_lines_2025.csv \ | tail -n +2 \ | sort -u \ | wc -l (via ch34_check.py) and set both labels to the true count (expected 16).</t>
  </si>
  <si>
    <t xml:space="preserve">34.10</t>
  </si>
  <si>
    <t xml:space="preserve">§34.4 awk -F, 'NR &gt; 1 { total += $11 } END { printf "%.2f\n", total }' exports/orders_2025-12-*.csv and the associative-array one-liner</t>
  </si>
  <si>
    <t xml:space="preserve">Too many new ideas in one line: -F,, NR, a condition, { } actions, +=, $11, END, printf with a C format, and a 31-file glob. The second line adds associative arrays, for (c in revenue), %-12s %12.2f and sort -k2 -nr. printf formats and -k2 are never explained (-k2 only in the mistakes table). The bullets come after all three commands.</t>
  </si>
  <si>
    <t xml:space="preserve">Split into four cells, each run with output. (1) awk -F, '{ print $11 }' exports/orders_2025-12-16.csv (explain -F, $11, the header line); (2) awk -F, 'NR &gt; 1 { total += $11 } END { print total }' …16.csv (condition, action, END; output 89800); (3) the same over orders_2025-12-*.csv with printf "%.2f\n" (explain %.2f = two decimals, \n = new line; compare with Python's f"{x:.2f}" from Ch 17), then show the NR bug in the category version; (4) the FNR fix. Explain for (c in revenue) ("loop over the keys, in no particular order, hence the sort") and sort -k2 -nr ("sort on the 2nd whitespace-separated field, numerically, reversed").</t>
  </si>
  <si>
    <t xml:space="preserve">34.11</t>
  </si>
  <si>
    <t xml:space="preserve">§34.4 "a line for category , awk's name for the header of every file after the first"</t>
  </si>
  <si>
    <t xml:space="preserve">Garbled. "category" isn't awk's name for anything: it is the text in column 9 of each extra header row, which became an array key with revenue 0.</t>
  </si>
  <si>
    <t xml:space="preserve">Polish / First-time reader</t>
  </si>
  <si>
    <t xml:space="preserve">"The first version has a bug worth seeing: an extra line, category 0.00. Each of the 30 files after the first starts with a header row; NR &gt; 1 skipped only the first, so the header's column 9, the word category, became a key, and its revenue, the word net_revenue, counted as 0."</t>
  </si>
  <si>
    <t xml:space="preserve">34.12</t>
  </si>
  <si>
    <t xml:space="preserve">§34.6 Watch out "Keep secrets in a .env file… load them with source .env or a tool"</t>
  </si>
  <si>
    <t xml:space="preserve">(a) source .env sets shell variables but does not export them to programs unless each line says export. §26.0 and Ch 20 teach set -a; . ./.env; set +a. (b) The book itself has readers type export RIVERSTONE_PASSWORD='your-password' (Ch 32) and export RIVERSTONE_DATABASE_URL="…YOUR_PASSWORD…" (Ch 29), which this watch-out now calls a mistake, without acknowledging it.</t>
  </si>
  <si>
    <t xml:space="preserve">"…and load them with set -a; source .env; set +a (section 26.0: set -a exports everything the file defines) or python-dotenv. Chapters 29 and 32 had you type a password into export to keep things simple; now that you know where history goes, move it into .env. If you must type one, many bash setups skip history for commands that start with a space (HISTCONTROL=ignorespace)." Also flag for Ch 29/32 fixes: add a one-line "don't do this with a real password; Chapter 34 shows the safer route" there.</t>
  </si>
  <si>
    <t xml:space="preserve">34.13</t>
  </si>
  <si>
    <t xml:space="preserve">Project: ./fetch_daily.sh 2025-12-16 \</t>
  </si>
  <si>
    <t xml:space="preserve">cut -d' ' -f3- output; steps 3, 5 | The reference script is never shown, so the reader can't compare their attempt. curl: (22) … 404 appears *above* the INFO line and isn't explained (stderr bypasses cut and arrives first). Step 3's sha256sum --check and step 5's compression (gzip) are never taught; zcat appears only in the check.</t>
  </si>
  <si>
    <t xml:space="preserve">After "write the script yourself before comparing", print fetch_daily.sh in full (it should be about 40 lines) with a numbered "How it works" covering: the date regex check ([[ $DAY =~ ^[0-9]{4}-[0-9]{2}-[0-9]{2}$ ]]), curl --fail --silent --show-error --max-time 30 -o, sha256sum --check, gzip -c file &gt; archive/file.gz, rm, the log() function with date '+%F %T' and tee -a, and each exit code. Before the project, add three one-line mini-demos: sha256sum file, gzip -k file / zcat file.gz \ | head -2, and date +%F. Under the output add: "The curl line comes first because it's on standard error, which doesn't go through cut, and appears as soon as curl writes it."</t>
  </si>
  <si>
    <t xml:space="preserve">34.14</t>
  </si>
  <si>
    <t xml:space="preserve">§34.9 curl --silent --output /dev/null --write-out "%{http_code}\n" [URL on next line]; Ans 12 "% / {http_code}\n"; awk lines at §34.4, project, Ans 7, 8, 11</t>
  </si>
  <si>
    <t xml:space="preserve">Wrapped commands are printed across lines with no continuation. A reader typing line 1 and pressing Enter runs a broken command. Answer 12 splits the token %{http_code} itself.</t>
  </si>
  <si>
    <t xml:space="preserve">Typeset every long command either on one line (smaller font) or with an explicit \ continuation at a safe point (e.g., curl --silent --output /dev/null \ ⏎   --write-out "%{http_code}\n" \ ⏎   http://127.0.0.1:8034/…). Explain \ once in §34.0: "a backslash at the very end of a line means the command continues on the next".</t>
  </si>
  <si>
    <t xml:space="preserve">34.15</t>
  </si>
  <si>
    <t xml:space="preserve">§34.9 Try it "With the mock CRM API from Chapter 29 running, curl…"</t>
  </si>
  <si>
    <t xml:space="preserve">Ch 29 starts the mock only from inside Python (server, base_url = start_server(8029)), so it stops when that script ends. No standalone command is given.</t>
  </si>
  <si>
    <t xml:space="preserve">Give the command: python3 -c "from mock_crm_api import start_server; start_server(8029); input('mock CRM on :8029, press Enter to stop ')" run from companion/ch29 in a second terminal (confirm start_server runs in a background thread; if not, add if __name__ == "__main__" to mock_crm_api.py so python3 mock_crm_api.py works). Show the 401 output without the header.</t>
  </si>
  <si>
    <t xml:space="preserve">34.16</t>
  </si>
  <si>
    <t xml:space="preserve">§34.8 rsync -a --delete exports/ reportserver:/tmp/exports_copy/</t>
  </si>
  <si>
    <t xml:space="preserve">The trailing-slash rule isn't explained. exports/ copies the *contents*, while exports creates exports_copy/exports/. With --delete, getting it wrong can empty the wrong folder. -n is explained, but -v (to see what -n would do) isn't.</t>
  </si>
  <si>
    <t xml:space="preserve">Add: "The trailing slash matters: exports/ means 'the contents of exports'; exports means 'the folder itself', which would land as exports_copy/exports. Always dry-run: rsync -anv --delete exports/ reportserver:/tmp/exports_copy/ lists what would be copied and deleted." Show that dry-run output.</t>
  </si>
  <si>
    <t xml:space="preserve">34.17</t>
  </si>
  <si>
    <t xml:space="preserve">Real world "412M … orders_2026-01-31.csv"; "Eighty-four daily files… going back to November"</t>
  </si>
  <si>
    <t xml:space="preserve">(a) Scale: Riverstone's daily exports in this chapter are under 1 KB (834 bytes for its biggest day); 412 MB a day is ~500,000 times that, with no explanation. (b) Files from 1 Nov 2025 to 1 Feb 2026 are 93 days, not 84 (61 for 2025 + 32 for 2026). (c) df -h, du -h --max-depth=1, sort -h, -print0 \ | xargs -0 du -ch are used without explanation.</t>
  </si>
  <si>
    <t xml:space="preserve">(a) Say what the file is: "the ERP's full daily extract (every order line with its history, plus audit columns), 412 MB, not the small practice export". (b) Make it "Ninety-three daily files…" and recompute: 93 × 412 MB ≈ 37.4 GiB (then incoming ≈ 37G, total ≈ 40G at 100%). Or keep 84 and say some days are missing. (c) Add a 5-row "How it works": df -h (disk free, human sizes), du -h --max-depth=1 (size of each subfolder), sort -h (sorts 1.2G/34G correctly), -print0 \ | xargs -0 (pass file names safely, even with spaces), du -ch … \ | tail -1 (a grand total).</t>
  </si>
  <si>
    <t xml:space="preserve">34.18</t>
  </si>
  <si>
    <t xml:space="preserve">Why this matters "Cloud servers and containers (Chapter 49)"; Where this leads "Chapter 50, Cloud Fundamentals"; "Chapter 73, Data Engineering Question Bank"; §34.4 "pandas (Chapter 17)"</t>
  </si>
  <si>
    <t xml:space="preserve">Wrong chapter references. Cloud and containers are Ch 52 ("The Cloud, Containers &amp; Infrastructure as Code"); Ch 50 is Streaming. The Data Engineering bank is Ch 77 (73 is Statistics). pandas is Ch 18.</t>
  </si>
  <si>
    <t xml:space="preserve">"Cloud servers and containers (Chapter 52)"; "Chapter 52, The Cloud, Containers &amp; Infrastructure as Code, builds on IP addresses, ports and SSH keys"; "Chapter 77, Data Engineering &amp; Data System Design Bank"; "pandas (Chapter 18)".</t>
  </si>
  <si>
    <t xml:space="preserve">34.19</t>
  </si>
  <si>
    <t xml:space="preserve">Why this matters "Every tool in the rest of this book lives in a terminal. uv and pytest (Chapter 29)… git (Chapter 26)… dbt (Chapter 32)… (Chapter 20)"</t>
  </si>
  <si>
    <t xml:space="preserve">All four chapters come *before* Ch 34 in the reading order, so "the rest of this book" is wrong, and after D2 the reader has already used the terminal for Git, uv, pytest and dbt.</t>
  </si>
  <si>
    <t xml:space="preserve">"You've been typing commands since Chapter 17: python and pip, git (Chapter 26), uv and pytest (Chapter 29), dbt (Chapter 32). Scheduled jobs (Chapter 20) are commands the machine runs at 3 a.m. Cloud servers and containers (Chapter 52) have no desktop at all. This chapter turns 'I can type the command I was given' into 'I can work on a machine I've never seen'."</t>
  </si>
  <si>
    <t xml:space="preserve">34.20</t>
  </si>
  <si>
    <t xml:space="preserve">Where this leads: Chapters 29, 26, 32, 20</t>
  </si>
  <si>
    <t xml:space="preserve">Four of the "leads" are earlier chapters.</t>
  </si>
  <si>
    <t xml:space="preserve">Keep 46, 49, 52 (fixed), 56 (MLOps runs on servers), 77 (fixed). Replace the four earlier ones with one "Looking back" line: "Chapters 20, 26, 29 and 32 used commands you now understand end to end."</t>
  </si>
  <si>
    <t xml:space="preserve">34.21</t>
  </si>
  <si>
    <t xml:space="preserve">§34.2 "Watch out: rm does not use a recycle bin…" (in navigation); Common mistakes row "Running a command in the wrong folder"; Recap bullet 1; You've got it bullet 1</t>
  </si>
  <si>
    <t xml:space="preserve">After the split, basic rm, pwd and wrong-folder content is §26.0 material. Keeping it verbatim duplicates it.</t>
  </si>
  <si>
    <t xml:space="preserve">Move the rm watch-out's second half (rm -rf $DIR/) to §34.7 (see 34.7) and delete the first half (in §26.0). Mistakes table: keep the wrong-folder row but end it "(section 26.0)". Recap bullet 1 → "Recap of section 26.0: pwd, ls, cd, cp, mv, rm; new here: head, tail -f, less search, find, and wildcards." You've got it bullet 1 → "I can find my way around a strange Linux server with pwd, ls, cd and find."</t>
  </si>
  <si>
    <t xml:space="preserve">34.22</t>
  </si>
  <si>
    <t xml:space="preserve">§34.5 bash: line 75: ./run_export.sh: Permission denied; §34.9 "listening tCP sockets"; §34.4 "the verification for this chapter sets LC_ALL=C"; Answers "(In the finished book these move to Appendix G.)"</t>
  </si>
  <si>
    <t xml:space="preserve">Drafting leftovers. "line 75" comes from running the transcript as a script: an interactive shell prints bash: ./run_export.sh: Permission denied. "tCP" is a typo. "the verification for this chapter" refers to the author's check run. Appendix G note (known).</t>
  </si>
  <si>
    <t xml:space="preserve">Output → bash: ./run_export.sh: Permission denied. "listening TCP sockets (-l listening, -t TCP, -n numbers not names)". "…which is why, if your counts come out in a different order, LC_ALL=C sort gives the plain byte order everyone's machine agrees on." Delete the Appendix G sentence.</t>
  </si>
  <si>
    <t xml:space="preserve">34.23</t>
  </si>
  <si>
    <t xml:space="preserve">Ans 8 "A file with only a header is 1 line and 124 bytes"</t>
  </si>
  <si>
    <t xml:space="preserve">The header shown (order_id,…,sales_rep) is 122 characters, so 123 bytes with a Unix line ending and 124 only with Windows CRLF endings. If the files are CRLF, awk's last field ($12, sales_rep) carries a hidden \r, a trap for exercises like $12 == "Rahul Mehta".</t>
  </si>
  <si>
    <t xml:space="preserve">Check the generator. If LF: "…1 line and 123 bytes, so -size -125c…" (the command still works). If CRLF: keep 124, but add a Watch out: "these files end lines with \r\n (Windows style); file exports/*.csv shows it and tr -d '\r' removes it", or make the generator write lineterminator="\n".</t>
  </si>
  <si>
    <t xml:space="preserve">34.24</t>
  </si>
  <si>
    <t xml:space="preserve">§34.2 ls -l reference "-rw-r--r-- 1 meera meera 901 Jan 5 2026"; §34.5 new file "-rw-rw-r--"</t>
  </si>
  <si>
    <t xml:space="preserve">The second column (the 1, a link count) is never explained. A new file comes out -rw-rw-r-- here but -rw-r--r-- for the companion files, and many readers (WSL, macOS) will see -rw-r--r-- for both, with no explanation (umask). Dates will be the reader's own.</t>
  </si>
  <si>
    <t xml:space="preserve">In the §34.5 "four pieces" explanation add: "the 1 after the permissions is the number of links to the file: ignore it." Under the run_export output: "Your group bits may show r-- instead of rw-: new files get default permissions from a setting called the umask. Your dates will be today's."</t>
  </si>
  <si>
    <t xml:space="preserve">34.25</t>
  </si>
  <si>
    <t xml:space="preserve">§34.8 ssh-keygen output; "replaces ssh -i ~/.ssh/id_ed25519 meera@10.4.2.17"</t>
  </si>
  <si>
    <t xml:space="preserve">The keygen transcript omits the "Enter same passphrase again" prompt, the fingerprint and the randomart, so the reader's screen looks different. The "replaces" example uses 10.4.2.17 while the config says 127.0.0.1.</t>
  </si>
  <si>
    <t xml:space="preserve">Add the confirm prompt and "(a fingerprint and a small picture follow; you can ignore them)". Change to "so ssh reportserver replaces ssh -i ~/.ssh/id_ed25519 meera@127.0.0.1 (on a real server, its address, e.g. 10.4.2.17)".</t>
  </si>
  <si>
    <t xml:space="preserve">34.26</t>
  </si>
  <si>
    <t xml:space="preserve">§34.6 tr ':' '\n', python3 -c '…'; §34.9 --output /dev/null, grep -i "^content-"; Ans 8 basename; §34.7 while read line</t>
  </si>
  <si>
    <t xml:space="preserve">Commands and ideas used with no explanation.</t>
  </si>
  <si>
    <t xml:space="preserve">One clause each: "tr ':' '\n' translates every colon into a new line"; "python3 -c '…' runs a one-line Python program"; "/dev/null is a bin: output sent there disappears"; "^ means 'at the start of the line' (Chapter 14's regular expressions)"; "basename strips the folder, leaving the file name". Either demonstrate while read -r line; do …; done &lt; file with 3 lines of output or drop it.</t>
  </si>
  <si>
    <t xml:space="preserve">34.27</t>
  </si>
  <si>
    <t xml:space="preserve">§34.7 LINES=$(( $(wc -l &lt; "$FILE") - 1 )); output "1 customers"</t>
  </si>
  <si>
    <t xml:space="preserve">LINES is a variable bash itself uses (terminal height). It's harmless in a script, but it teaches a habit that collides with names like PATH, HOME and USER. The output grammar "1 customers" (also in the weekly output) is a small defect in a book about polish.</t>
  </si>
  <si>
    <t xml:space="preserve">Rename to ORDER_LINES and add the tip: "use lowercase or prefixed names in scripts; ALL-CAPS names like PATH, HOME and LINES belong to the system". Leave the grammar but mention it as exercise 10's stretch ("print 'customer' when the count is 1"), or change the label to customers: 1.</t>
  </si>
  <si>
    <t xml:space="preserve">34.28</t>
  </si>
  <si>
    <t xml:space="preserve">Practice data "Riverstone's 2025 sales: 61 daily export files"; Tools companion list</t>
  </si>
  <si>
    <t xml:space="preserve">The 61 files cover November–December 2025 only (30 + 31), while ../sales_lines_2025.csv covers the year. weekly_summary.sh is copied from the companion in answer 10 but is missing from the Tools list.</t>
  </si>
  <si>
    <t xml:space="preserve">"…61 daily export files for November and December 2025, the whole year's sales lines in one file (sales_lines_2025.csv), reference lists…". Add weekly_summary.sh (exercise 10's answer) to the companion list.</t>
  </si>
  <si>
    <t xml:space="preserve">34.29</t>
  </si>
  <si>
    <t xml:space="preserve">§34.9 "dig api.example.com or nslookup api.example.com does a full lookup"</t>
  </si>
  <si>
    <t xml:space="preserve">Neither is installed on a fresh Ubuntu/WSL (package bind9-dnsutils). getent doesn't exist on macOS.</t>
  </si>
  <si>
    <t xml:space="preserve">"(on Ubuntu, sudo apt install bind9-dnsutils first; macOS has both)" and the macOS alternative for getent (see 34.6).</t>
  </si>
  <si>
    <t xml:space="preserve">34.30</t>
  </si>
  <si>
    <t xml:space="preserve">§34.3 table "command &gt; out.txt 2&gt;&amp;1 send output and errors to the same file"</t>
  </si>
  <si>
    <t xml:space="preserve">Order matters (2&gt;&amp;1 &gt; file sends errors to the screen), a classic confusion.</t>
  </si>
  <si>
    <t xml:space="preserve">Add: "Order matters: redirect the output first, then 2&gt;&amp;1 ('errors go wherever output is going now')."</t>
  </si>
  <si>
    <t xml:space="preserve">34.31</t>
  </si>
  <si>
    <t xml:space="preserve">Real world "compressed into the archive… which is 40 times smaller"</t>
  </si>
  <si>
    <t xml:space="preserve">Unverified, and optimistic for CSV (typically 5–10× with gzip).</t>
  </si>
  <si>
    <t xml:space="preserve">"…which is many times smaller (CSV usually compresses 5–10× with gzip)", or measure it on the practice files and quote that.</t>
  </si>
  <si>
    <t xml:space="preserve">34.32</t>
  </si>
  <si>
    <t xml:space="preserve">§34.6 "a virtual environment puts its own folder at the front of PATH (that's all activate does)"</t>
  </si>
  <si>
    <t xml:space="preserve">Overstated: activate also sets VIRTUAL_ENV and changes the prompt. The essence is right.</t>
  </si>
  <si>
    <t xml:space="preserve">"…(that's the heart of what activate does; it also changes your prompt)".</t>
  </si>
  <si>
    <t xml:space="preserve">34.33</t>
  </si>
  <si>
    <t xml:space="preserve">Time needed "10–14 hours"</t>
  </si>
  <si>
    <t xml:space="preserve">See the Size line: the split removes basics, while the WSL and SSH-server setup and split code cells add time.</t>
  </si>
  <si>
    <t xml:space="preserve">"Time needed: 9–12 hours over two weeks, in three sittings (§34.0–34.4; §34.5–34.7; §34.8–34.9 and the project), most of it typing commands."</t>
  </si>
  <si>
    <t xml:space="preserve">V34.1</t>
  </si>
  <si>
    <t xml:space="preserve">p. 14 · Figure 34.3 ("Reading ls -l")</t>
  </si>
  <si>
    <t xml:space="preserve">The four coloured leader lines for type / user / group / others run through their own labels ("ty | pe: - file", "user: o | wner", "gr | oup"), so the labels read as struck through. Text is 5.3–6.2 pt.</t>
  </si>
  <si>
    <t xml:space="preserve">End each leader above its label (or offset the labels right of the lines); enlarge to 7 pt.</t>
  </si>
  <si>
    <t xml:space="preserve">V34.2</t>
  </si>
  <si>
    <t xml:space="preserve">p. 5 · Figure 34.1 (anatomy of a command)</t>
  </si>
  <si>
    <t xml:space="preserve">The leader lines from "-c", "Pune" and the path pass through the explanation labels to their left ("the command: a small program", "options change how it works", "arguments say what to work on"). The labels are 5.3 pt light grey.</t>
  </si>
  <si>
    <t xml:space="preserve">Stagger the labels so no leader crosses text; darken and enlarge them.</t>
  </si>
  <si>
    <t xml:space="preserve">V34.3</t>
  </si>
  <si>
    <t xml:space="preserve">p. 11 · Figure 34.2 (pipeline)</t>
  </si>
  <si>
    <t xml:space="preserve">Stage text is 5.1–5.5 pt. The stages are distinguished by coloured borders only, which is decorative, so that is fine.</t>
  </si>
  <si>
    <t xml:space="preserve">V34.4</t>
  </si>
  <si>
    <t xml:space="preserve">p. 22 · Figure 34.4 (URL anatomy)</t>
  </si>
  <si>
    <t xml:space="preserve">Text 5.3–5.7 pt.</t>
  </si>
  <si>
    <t xml:space="preserve">V34.5</t>
  </si>
  <si>
    <t xml:space="preserve">p. 16→17 · 34.7 "…and read it before running it:"</t>
  </si>
  <si>
    <t xml:space="preserve">The lead-in ends p. 16 above 28% blank, and daily_summary.sh starts p. 17.</t>
  </si>
  <si>
    <t xml:space="preserve">Keep with next / allow the block to split.</t>
  </si>
  <si>
    <t xml:space="preserve">V34.6</t>
  </si>
  <si>
    <t xml:space="preserve">p. 25→26, 26→27, 27→28 · Project and back-matter headings</t>
  </si>
  <si>
    <t xml:space="preserve">"Start the server in one terminal, then run the script in another:" ends p. 25. "You've got it when…" has one checklist item at the foot of p. 26, and the other 9 are on p. 27. "Practice exercises" has only its intro line at the foot of p. 27.</t>
  </si>
  <si>
    <t xml:space="preserve">Keep headings with at least 2–3 lines of body; keep lead-ins with their code.</t>
  </si>
  <si>
    <t xml:space="preserve">V34.7</t>
  </si>
  <si>
    <t xml:space="preserve">p. 30, 31, 32 · Answers 6, 10, 12</t>
  </si>
  <si>
    <t xml:space="preserve">Each answer number is stranded alone at the page foot, and its code starts on the next page (three times in three pages).</t>
  </si>
  <si>
    <t xml:space="preserve">Keep answer numbers with the next block.</t>
  </si>
  <si>
    <t xml:space="preserve">V34.8</t>
  </si>
  <si>
    <t xml:space="preserve">p. 13→14 · End of 34.5 intro</t>
  </si>
  <si>
    <t xml:space="preserve">Page ends 22% blank because Figure 34.3 moved to p. 14.</t>
  </si>
  <si>
    <t xml:space="preserve">Scale the figure or let text flow round it.</t>
  </si>
  <si>
    <t xml:space="preserve">V34.9</t>
  </si>
  <si>
    <t xml:space="preserve">"Draft chapter", "17 September 2026" and "104 terminal outputs verified · 24 number checks" are visible; the rule touches "&amp;".</t>
  </si>
  <si>
    <t xml:space="preserve">V34.10</t>
  </si>
  <si>
    <t xml:space="preserve">V34.11</t>
  </si>
  <si>
    <t xml:space="preserve">p. 7, 10, 12, 18, 25, 29, 32 · Code blocks</t>
  </si>
  <si>
    <t xml:space="preserve">Long CSV lines and commands wrap to column 0 ("…quantit" / "y,net_revenue", "…Rahul" / "Mehta", "…printf "%" / {http_code}\n"…"). A CSV header split mid-word ("quantit/y") is misleading.</t>
  </si>
  <si>
    <t xml:space="preserve">For CSV output, truncate with "…" rather than wrap; for commands, use "\" continuations.</t>
  </si>
  <si>
    <t xml:space="preserve">V34.12</t>
  </si>
  <si>
    <t xml:space="preserve">Inline code cells wrap mid-token: "set -" / "u", "rm -rf $DIR/" / "…", "sort -k2 -nr" split.</t>
  </si>
  <si>
    <t xml:space="preserve">Widen the Fix column or no-wrap the code pills.</t>
  </si>
  <si>
    <t xml:space="preserve">V34.13</t>
  </si>
  <si>
    <t xml:space="preserve">p. 3, 4, 20 · Inline code pills</t>
  </si>
  <si>
    <t xml:space="preserve">A space appears before punctuation ("grep -rl .", "ss ,").</t>
  </si>
  <si>
    <t xml:space="preserve">V34.14</t>
  </si>
  <si>
    <t xml:space="preserve">p. 26–27 · "You've got it when…" checklist</t>
  </si>
  <si>
    <t xml:space="preserve">35.1</t>
  </si>
  <si>
    <t xml:space="preserve">Tools: "scikit-learn (1.8.0 here) for two cross-checks"; §35.9 from sklearn.metrics import log_loss; §35.10 from sklearn.decomposition import PCA</t>
  </si>
  <si>
    <t xml:space="preserve">scikit-learn has never been installed. Ch 17's package table and Ch 18's pip install pandas pyarrow matplotlib seaborn … line both leave it out, and "Chapter 17 covers installation" is not true for it. The reader gets ModuleNotFoundError: No module named 'sklearn' at §35.9.</t>
  </si>
  <si>
    <t xml:space="preserve">Add a setup cell to "Tools" (and a one-line pointer in "Before you start"): "Activate the project's virtual environment (Chapter 17) and run python -m pip install scikit-learn" (add scipy if the Ch 21 fix 21.12 is not applied). Then show import sklearn; print(sklearn.__version__) → 1.8.0. Add one sentence on what it is: "scikit-learn is Python's standard machine-learning library; this chapter uses two of its functions as cross-checks, and Chapter 36 teaches it properly." Also add a row to Ch 17's package table: "scikit-learn — machine learning — Chapters 35–44". Tell the reader that pip install "scikit-learn==1.8.0" reproduces the printed numbers exactly.</t>
  </si>
  <si>
    <t xml:space="preserve">35.2</t>
  </si>
  <si>
    <t xml:space="preserve">§35.7 "e is the mathematical constant 2.71828"; §35.8 "the natural logarithm of the likelihood"; §35.9 "log base 2"</t>
  </si>
  <si>
    <t xml:space="preserve">Logarithms are used heavily (ln, log₂, e, "logs turn multiplication into addition", nats vs bits) but no chapter ever teaches them. Ch 15 mentions a log scale, Ch 31 uses np.log without explaining it, and Ch 33 uses "logarithmic time". A reader without school maths cannot follow the log-likelihood line 6 × ln(p) + 24 × ln(1 − p) (it needs the power and product rules) or the nats-to-bits conversion. Ch 36's log transform (np.log1p) also depends on this.</t>
  </si>
  <si>
    <t xml:space="preserve">Insert a boxed "Logarithms in ten minutes" at the start of §35.8, or just before §35.7's Poisson formula, which is the first place e appears. Build it from zero. (1) "log₂ 8 = 3 because 2³ = 8". Give a table of log₂ for 1, 2, 4, 8, 16 → 0, 1, 2, 3, 4. Then 0.5 → −1 and 0.25 → −2: numbers below 1 have negative logs, which is why every probability's log is negative. (2) e ≈ 2.71828 and ln = log base e: ln 1 = 0, ln e = 1, ln 0.2 = −1.6094, ln 0.8 = −0.2231. (3) Product rule with numbers: ln(0.2 × 0.8) = ln 0.16 = −1.8326 = −1.6094 + (−0.2231). (4) Power rule: ln(p⁶) = 6 ln p. Say this is exactly how the likelihood p⁶(1−p)²⁴ becomes 6 ln p + 24 ln(1−p). (5) Changing base: log₂ x = ln x ÷ ln 2 (0.6931), which is the nats → bits step in §35.9. (6) ln 0 is −∞, which is why a predicted probability of exactly 0 or 1 makes log loss infinite. (7) Tools: np.log, np.log2, math.log, np.log1p (used in Ch 36), and spreadsheet LN, LOG(x, 2). Add "logarithm, natural log (ln), e" to Key terms.</t>
  </si>
  <si>
    <t xml:space="preserve">35.3</t>
  </si>
  <si>
    <t xml:space="preserve">In the real world: "Riverstone had 30 real enquiries in 2025 and won 6"; "benchmark of 0.50"; "needs more leads than Riverstone gets in a month"</t>
  </si>
  <si>
    <t xml:space="preserve">The story contradicts Ch 36. The full CRM has about 400 enquiries a month in 2025 at a 7.7% win rate (2025 up to 2 Oct: 3,410 leads, 250 won = 7.3%). At that rate "always not won" is about 92–93% accurate, which already beats the vendor's 91%. The base-rate log loss is about 0.26–0.27, not 0.50. "Needs more leads than Riverstone gets in a month" is false at 400 a month. Ch 36 §36.1 explains that the Ch 13 table holds only rep-logged leads, but Meera uses that small table to judge a CRM add-on, and in February 2026 she would have the full CRM. §35.9's "a benchmark for any lead score at Riverstone… about 0.50" has the same problem.</t>
  </si>
  <si>
    <t xml:space="preserve">(a) §35.9: change "That gives you a benchmark for any lead score at Riverstone" to "That gives you a benchmark for these 30 leads. Chapter 36 opens the full CRM, where the win rate is 7.7% and the base-rate benchmark is about 0.27; the method is the same." (b) Rewrite the story's base-rate paragraph: "The base rate. The 30 enquiries in the one-year database are only the ones reps logged themselves. The full CRM (Chapter 36) holds about 4,800 enquiries a year, and about 7% are won. A 'model' that says not won for every lead is about 93% accurate, already better than the vendor's 91%." Replace the 8%-clients paragraph with the point that the headline beats nothing. (c) Benchmark: "a model that predicts 7% for every lead scores a log loss of about 0.26 on Riverstone's 2025 leads; any score worth ₹40,000 a month has to beat that clearly." (d) Keep the likelihood-curve lesson, but apply it to a pilot sample. "With 30 leads a win rate anywhere from 10% to 35% is believable. A three-week pilot of 300 leads has only about 20 wins, so its log loss will wobble; run the pilot for three months." (e) Update the reply to Anita to match (92–93%, benchmark ≈ 0.26). Recompute (c) from the real 2025 file before printing.</t>
  </si>
  <si>
    <t xml:space="preserve">35.4</t>
  </si>
  <si>
    <t xml:space="preserve">§35.4 "Calculus gives the exact slope as a formula… 2 × average of (error × x)"</t>
  </si>
  <si>
    <t xml:space="preserve">The central formula of the chapter is asserted, not built. The text explains why x appears, but not where the 2 comes from. The reader also never meets a derivative of something simpler than a loss.</t>
  </si>
  <si>
    <t xml:space="preserve">Before the loss derivative, add a 3-line warm-up: f(w) = w², measured slope at w = 3: (3.001² − 3²) ÷ 0.001 = 6.001 ≈ 6 = 2 × 3, so "the slope of a square is 2 × the thing squared". Then build the formula in three steps with Om Sai's row. (1) Nudging an error of 14 by 0.001 changes its square by 14.001² − 14² = 0.028001 ≈ 2 × 14 × 0.001. (2) Nudging w by h changes Om Sai's prediction, and so the error, by 4 × h (x × h). (3) Together, the row's squared error changes by 2 × error × x per unit of w, and the loss averages the rows. Then state the formula with a symbol legend: "error = w × x − y for that row; x = that row's orders; 'average of' = add the four rows and divide by 4".</t>
  </si>
  <si>
    <t xml:space="preserve">35.5</t>
  </si>
  <si>
    <t xml:space="preserve">§35.4 "Plot the loss for every w and you get a valley"</t>
  </si>
  <si>
    <t xml:space="preserve">The valley is described but never shown. The reader has only the one point w = 20.</t>
  </si>
  <si>
    <t xml:space="preserve">Add a small table and a 4-line matplotlib cell. Loss at w = 10, 15, 20, 24.29, 30, 35 → 14,186.2; 6,142.5; 1,511.25; 257.7; 2,486.2; 8,092.5 (all recomputed). Plot ws = np.linspace(10, 35, 101), plt.plot(ws, [loss(w) for w in ws]), and mark w = 20 and 24.29. Say "you're standing at 20; the bottom is near 24".</t>
  </si>
  <si>
    <t xml:space="preserve">35.6</t>
  </si>
  <si>
    <t xml:space="preserve">§35.4 "w = (sum of x × y) ÷ (sum of x²) = 6,630 ÷ 273 = 24.29"</t>
  </si>
  <si>
    <t xml:space="preserve">The closed form appears from nowhere.</t>
  </si>
  <si>
    <t xml:space="preserve">Derive it in two lines from "the slope is zero at the bottom". 2 × average of ((w·x − y) × x) = 0 → Σ(w·x² − x·y) = 0 → w·Σx² = Σxy. Show the sums by hand: Σxy = 264 + 1,218 + 1,584 + 3,564 = 6,630; Σx² = 16 + 49 + 64 + 144 = 273. Define Σ ("add up over the rows") if Ch 21's notation box (fix 21.1) is not in place.</t>
  </si>
  <si>
    <t xml:space="preserve">35.7</t>
  </si>
  <si>
    <t xml:space="preserve">§35.3 "a slope w and an intercept b"; §35.6 "np.polyfit(x, y, 1) finds the least-squares line directly"</t>
  </si>
  <si>
    <t xml:space="preserve">Decision D3 adds §22.10 (regression basics), which already teaches the least-squares line, the slope formula b = Σ(x−x̄)(y−ȳ)/Σ(x−x̄)², R², linregress and statsmodels. Ch 35 never points back to it. Its letters also collide: Ch 22 writes ŷ = a + b·x (b = slope), while Ch 35 writes w × x + b (b = intercept). A reader moving from 22 to 35 will read "b" as the slope.</t>
  </si>
  <si>
    <t xml:space="preserve">(1) At §35.3's "parameters or weights", add: "You fitted a line like this in §22.10, where it was written ŷ = a + b·x. Machine-learning books write the slope as w (weight) and the intercept as b (bias); this part of the book uses w and b." Add a 3-row mapping: §22.10 a ↔ b here; §22.10 b ↔ w here; Excel INTERCEPT/SLOPE; scikit-learn intercept_/coef_. (2) In "Running it to the bottom", add the §22.10 check by hand: x̄ = 7.75, ȳ = 183.75, Σ(x−x̄)(y−ȳ) = 933.75, Σ(x−x̄)² = 32.75 → slope 28.51, intercept 183.75 − 28.51 × 7.75 = −37.21. That is exactly where gradient descent is heading. Mention that the centered model's intercept 183.75 is ȳ, the average revenue of the four customers. (3) In §35.6's "pattern" paragraph, change "Linear regression (Chapter 37)" to "Linear regression (§22.10, and for prediction, Chapter 37)".</t>
  </si>
  <si>
    <t xml:space="preserve">35.8</t>
  </si>
  <si>
    <t xml:space="preserve">§35.6 best_w, best_b = np.polyfit(x, y, 1)</t>
  </si>
  <si>
    <t xml:space="preserve">The argument 1 (the degree: a straight line) and the return order (slope first, then intercept) are not explained. The order is the reverse of §35.3's weights = [b, w].</t>
  </si>
  <si>
    <t xml:space="preserve">Add to "How it works": "np.polyfit(x, y, 1) fits a polynomial of degree 1 (a straight line) by least squares and returns its coefficients highest power first: slope, then intercept. Note that this is the reverse of our [b, w] weight vector."</t>
  </si>
  <si>
    <t xml:space="preserve">35.9</t>
  </si>
  <si>
    <t xml:space="preserve">§35.5 Python link: "2 * X.T @ (X @ weights - y) / len(y)"</t>
  </si>
  <si>
    <t xml:space="preserve">Shown but never run. It returns [slope for b, slope for w] = [-367.5, -3315.] (recomputed), because X's first column is the ones. The text two paragraphs earlier writes the gradient as [−3,315, −367.5]. A reader who runs it sees the numbers swapped.</t>
  </si>
  <si>
    <t xml:space="preserve">Line-by-line code / Consistency</t>
  </si>
  <si>
    <t xml:space="preserve">Turn it into a cell with output: X4 = np.column_stack([np.ones(4), x]), weights = np.zeros(2), print(2 * X4.T @ (X4 @ weights - y) / len(y)) → [ -367.5 -3315. ]. Add: "The order follows X's columns, ones first, so the intercept's slope comes first here. In the hand calculation we listed w first." Alternatively write the hand gradient as [slope for b, slope for w] throughout §35.5–35.6 to match the code.</t>
  </si>
  <si>
    <t xml:space="preserve">35.10</t>
  </si>
  <si>
    <t xml:space="preserve">§35.6 def descend(x_values, learning_rate, steps): … error = (w * x_values + b) - y</t>
  </si>
  <si>
    <t xml:space="preserve">The function silently reads the global y. The project (Option B: "revenue from units bought") and the stretch goals invite the reader to call descend(new_x, …), which will then train against the old four-customer y (or fail on a length mismatch) with no clear error.</t>
  </si>
  <si>
    <t xml:space="preserve">Change the signature to def descend(x_values, y_values, learning_rate, steps) and use y_values inside. Update every call: §35.6 (three calls), the learning-rate loop, Answer 11. Add one line to "How it works": "pass everything a function uses as an argument; a function that quietly uses outside variables is a common source of wrong results". Explain _ in for _ in range(steps) and _, _, run = … ("a name for a value we don't need").</t>
  </si>
  <si>
    <t xml:space="preserve">35.11</t>
  </si>
  <si>
    <t xml:space="preserve">§35.10 centered.T @ centered; Ex 2(c)(d) "X.T @ X … X @ X"; Ex 12 mix @ mix.T; Project step 6 "X.T @ X / (n − 1)"</t>
  </si>
  <si>
    <t xml:space="preserve">Only matrix × vector is taught (§35.3). Matrix × matrix and its shape rule ("inner numbers must match, outer numbers give the shape") appear first in Answer 2, so Ex 2 asks something the chapter has not taught.</t>
  </si>
  <si>
    <t xml:space="preserve">Add a third item to §35.3's "Two more matrix words" (make it "Three more"): "Matrix times matrix: each column of the second matrix is treated as a vector, so (r × k) @ (k × c) gives r × c." Work a 2 × 3 example by hand and in code: A = [[1,2,3],[4,5,6]], A.T printed (3 × 2), and A @ A.T → [[14, 32], [32, 77]]. Show 14 = 1·1 + 2·2 + 3·3 by hand. Put the shape rule here rather than in Answer 2. This also gives the transpose a visible example, which it currently lacks.</t>
  </si>
  <si>
    <t xml:space="preserve">35.12</t>
  </si>
  <si>
    <t xml:space="preserve">§35.2 dots = mix @ sharma_mix … "Section 35.3 explains why this works"</t>
  </si>
  <si>
    <t xml:space="preserve">In-chapter order: @ is used a section before it is explained.</t>
  </si>
  <si>
    <t xml:space="preserve">In §35.2's "How it works", explain it in place: "@ takes the dot product of every row of mix with sharma_mix, 23 dot products in one step (section 35.3 names this matrix-times-vector)". Show a check: print((mix @ sharma_mix)[:3].round(6)), whose first value is 0.527592 = Sharma · Sharma (its length², recomputed).</t>
  </si>
  <si>
    <t xml:space="preserve">35.13</t>
  </si>
  <si>
    <t xml:space="preserve">§35.3 print("X:", X.shape, …) → (23, 2) (2,) (23,); X[:3]</t>
  </si>
  <si>
    <t xml:space="preserve">The shape tuples (and the trailing comma in (2,)), 2-D slicing X[:3], np.ones(len(customers)) and .round(0).astype(int) are unexplained.</t>
  </si>
  <si>
    <t xml:space="preserve">Add three "How it works" bullets: ".shape gives (rows, columns); a 1-D vector has one number, written (2,), where the comma just marks a one-item tuple". "X[:3] means the first three rows, all columns". "np.ones(23) is 23 ones, the intercept column".</t>
  </si>
  <si>
    <t xml:space="preserve">35.14</t>
  </si>
  <si>
    <t xml:space="preserve">§35.7 "Chapter 21 introduces probability; this section adds the four distributions"</t>
  </si>
  <si>
    <t xml:space="preserve">Ch 21 §21.5 already taught the normal, binomial and Poisson distributions, with scipy.stats cdf/pmf/ppf on Riverstone delivery data. Ch 35 presents them as new and switches tools to math plus statistics.NormalDist, so the reader meets a third way of doing the same thing.</t>
  </si>
  <si>
    <t xml:space="preserve">Reword: "Chapter 21 met the normal, binomial and Poisson distributions with scipy.stats. This section revisits them as a model-builder, adds the Bernoulli, and asks when each one fits." Either use scipy.stats for consistency (stats.binom.pmf(6, 30, 0.2) → 0.1795; stats.poisson.pmf(k, rate); stats.norm(mu, sd).cdf(50000)) or add one sentence on why the standard library is used here ("nothing to install; scipy from Chapter 21 gives identical numbers"). Update the distributions table's "Used in" column to add "Ch 21".</t>
  </si>
  <si>
    <t xml:space="preserve">35.15</t>
  </si>
  <si>
    <t xml:space="preserve">§35.7 "C(30, 6) = 593,775"; "P(exactly k won out of n) = C(n, k) × p^k × (1 − p)^(n − k)"</t>
  </si>
  <si>
    <t xml:space="preserve">C(n, k) is described in words, but its value is given with no way to compute it. The p^k × (1 − p)^(n−k) part is not explained (the multiplication rule for independent trials). math.comb is listed in Tools but never used.</t>
  </si>
  <si>
    <t xml:space="preserve">(1) Work a tiny case first: 3 leads, exactly 1 won at p = 0.2. List the sequences WLL, LWL, LLW, each 0.2 × 0.8 × 0.8 = 0.128 (multiplying because the leads are independent, Ch 21's rule). There are 3 of them, total 0.384 = C(3,1) × 0.2¹ × 0.8². (2) Give C(n, k) = n! ÷ (k! × (n − k)!) with 3!/(1!·2!) = 3. (3) Add a code line from math import comb; print(comb(30, 6), comb(30, 6) * 0.26 * 0.824) → 593775 0.1794…. (4) Add a symbol legend under the formula: n = number of leads, k = number won, p = chance each is won.</t>
  </si>
  <si>
    <t xml:space="preserve">35.16</t>
  </si>
  <si>
    <t xml:space="preserve">§35.7 "P(0) = 3.33⁰ × e^(−3.33) ÷ 0! = e^(−3.33) = 0.0359"</t>
  </si>
  <si>
    <t xml:space="preserve">Rounding inconsistency: e^(−3.33) = 0.0358. The 0.0359 comes from the unrounded rate 173/52 = 3.327. A reader checking on a calculator gets a different fourth digit.</t>
  </si>
  <si>
    <t xml:space="preserve">Write "e^(−3.327) = 0.0359 (using the unrounded 173 ÷ 52 = 3.327)". Also define 0! = 1 and x⁰ = 1, which the line uses. Add two more hand rows that match the code table: P(1) = 3.327 × 0.0359 = 0.119 → 52 × 0.119 = 6.2 weeks; P(2) = 3.327² ÷ 2 × 0.0359 = 0.199 → 10.3 weeks (both recomputed).</t>
  </si>
  <si>
    <t xml:space="preserve">35.17</t>
  </si>
  <si>
    <t xml:space="preserve">§35.7 counts = np.bincount(week, minlength=52)[:52]</t>
  </si>
  <si>
    <t xml:space="preserve">minlength and [:52] are unexplained, and the slice hides a real trap. Day 365 (31 December) gives week (365−1)//7 = 52, a 53rd bin that [:52] silently drops. 52 × 7 = 364, so any 31 December orders would vanish. It works here only because no order fell on that day, which the reader cannot know. np.sum(counts == k) (True counts as 1) and {k:&gt;16} are also unexplained.</t>
  </si>
  <si>
    <t xml:space="preserve">Explain minlength=52 ("at least 52 bins, so weeks with no orders still appear as 0") and the slice ("keep weeks 0–51; day 365 would be a 53rd, one-day 'week'"). Add a check line: print(np.bincount(week)[52:] if week.max() &gt;= 52 else "no orders on 31 December"), and point out that counts.sum() printing 173 confirms nothing was dropped. Explain np.sum(counts == k): "counts == k is True/False for each week; summing counts the Trues".</t>
  </si>
  <si>
    <t xml:space="preserve">35.18</t>
  </si>
  <si>
    <t xml:space="preserve">§35.7 bell = NormalDist(mu=…, sigma=…); 1 - bell.cdf(50000), bell.cdf(0)</t>
  </si>
  <si>
    <t xml:space="preserve">cdf is not explained in this chapter (and per review 21.16 not in Ch 21 either). Neither is why "above" is 1 − cdf. np.mean(values &gt; 50000) as a share, and the {above:.1%} format, are also unexplained.</t>
  </si>
  <si>
    <t xml:space="preserve">Add: "cdf(x) (cumulative distribution function) is the share of the distribution at or below x, so cdf(0) = share below ₹0 and 1 − cdf(50000) = share above ₹50,000". "values &gt; 50000 is True/False per order; its mean is the share of Trues". ":.1% prints a fraction as a percentage with one decimal". Say what μ (mu) and σ (sigma) are: mean and standard deviation.</t>
  </si>
  <si>
    <t xml:space="preserve">35.19</t>
  </si>
  <si>
    <t xml:space="preserve">§35.8 "the probability of that exact sequence of wins and losses is: likelihood(p) = p⁶ × (1 − p)²⁴"</t>
  </si>
  <si>
    <t xml:space="preserve">Why the probabilities are multiplied (independence) is not said.</t>
  </si>
  <si>
    <t xml:space="preserve">Add a 3-lead warm-up: outcomes won, lost, lost at p = 0.2 → 0.2 × 0.8 × 0.8 = 0.128; at p = 0.5 → 0.125. "Multiply because the leads are independent (Chapter 21); 6 wins and 24 losses gives six factors of p and 24 of (1 − p)."</t>
  </si>
  <si>
    <t xml:space="preserve">35.20</t>
  </si>
  <si>
    <t xml:space="preserve">§35.9 "entropy = −(p × log₂ p + (1 − p) × log₂ (1 − p))"</t>
  </si>
  <si>
    <t xml:space="preserve">The formula is not built from an idea. The minus sign and the log₂ appear without motivation, and "surprise", which the cross-entropy paragraph relies on, is never defined as a number.</t>
  </si>
  <si>
    <t xml:space="preserve">Build it from surprise before the formula. "The surprise of an outcome with probability q is −log₂ q bits: a coin flip (½) = 1 bit, a 1-in-4 event = 2 bits, 1-in-8 = 3 bits. For a lead: won (0.2) = 2.32 bits of surprise, not won (0.8) = 0.32 bits. Entropy is the average surprise: 0.2 × 2.32 + 0.8 × 0.32 = 0.722 bits. The minus sign is there because logs of probabilities are negative." Then cross-entropy reads naturally as "average surprise when you use predicted probabilities", and log loss as "the same in natural-log units (nats)".</t>
  </si>
  <si>
    <t xml:space="preserve">35.21</t>
  </si>
  <si>
    <t xml:space="preserve">§35.10 "Its direction is found by solving (28.8 − 351.23) × u + 82.35 × v = 0"</t>
  </si>
  <si>
    <t xml:space="preserve">The eigen step is asserted. The largest-eigenvalue formula and the equation above arrive without a source. "A direction the matrix only stretches, without turning" is never checked. And the reader is not shown why the eigenvector is the direction of most variance, which is the idea of PCA.</t>
  </si>
  <si>
    <t xml:space="preserve">Build it from the dot product the reader already knows. (a) "Try directions" table: project the 5 centered customers onto the direction at angle θ ([cos θ, sin θ]) and take the variance of the scores. θ = 0°, 30°, 60°, 75.7°, 90°, 120° → 28.8, 175.47, 326.17, 351.23, 330.2, 183.53 (recomputed). The maximum is at 75.7°, whose direction [0.247, 0.969] is PC1. Give code: for deg in [0, 30, 60, 75.7, 90, 120]: u = np.array([np.cos(np.radians(deg)), np.sin(np.radians(deg))]); print(deg, round(np.var(centered @ u, ddof=1), 2)). (b) Check "stretch without turning": cov @ [0.247, 0.969] = [86.92, 340.31] = 351.23 × [0.247, 0.969], while cov @ [1, 0] = [28.8, 82.35] points somewhere new. (c) Then explain the equation as the first row of "cov × direction = eigenvalue × direction", with u, v named as the direction's two components. (d) Label the eigenvalue formula "for 2 × 2 only, for reference; NumPy does this for any size".</t>
  </si>
  <si>
    <t xml:space="preserve">35.22</t>
  </si>
  <si>
    <t xml:space="preserve">§35.10 small-PCA code: eigenvectors[:, order], np.argsort(eigenvalues)[::-1], eigenvectors[1, 0]; 7-feature code: signs = np.sign(vectors[features.index("industrial_share"), :]), signs[1] = …</t>
  </si>
  <si>
    <t xml:space="preserve">Several new indexing ideas appear in one block. 2-D indexing ([:, order], [1, 0]), [::-1] reversal, argsort, list.index and the two-line sign rule in the standardized block get no explanation (only the small example's sign line is explained).</t>
  </si>
  <si>
    <t xml:space="preserve">Split the small-PCA block into 3 cells with output. (1) cov. (2) np.linalg.eigh(cov) printed raw: [7.77 351.23], smallest first. (3) The reorder: np.argsort([7.77, 351.23]) → [0 1], [::-1] → [1 0] ("reverse"), and eigenvectors[:, order] ("all rows, columns in this order"; each column is one direction). Split the 7-feature block into (1) standardize, printing F_std.mean(axis=0).round(2) and F_std.std(axis=0) (all 0 and 1); (2) pca() and the shares; (3) the sign rule, explained ("flip each component so a chosen feature has a positive weight: PC1 so industrial share is positive, PC2 so storage share is positive"); (4) loadings; (5) the scikit-learn check.</t>
  </si>
  <si>
    <t xml:space="preserve">35.23</t>
  </si>
  <si>
    <t xml:space="preserve">§35.10 check = PCA().fit(F_std) … check.explained_variance_ratio_; Project "shows you know what .fit() does"</t>
  </si>
  <si>
    <t xml:space="preserve">This is the reader's first ever .fit(), and the first scikit-learn object with a trailing-underscore attribute. None of it is explained, yet the project claims the reader now knows what .fit() does. "Explained variance" (a Key term) is used only via this attribute name.</t>
  </si>
  <si>
    <t xml:space="preserve">Sequence / Line-by-line code</t>
  </si>
  <si>
    <t xml:space="preserve">Add 3 bullets. "PCA() creates an unfitted PCA object: settings, no results." ".fit(F_std) learns the components from the data." "What it learned is stored in attributes whose names end in _; explained_variance_ratio_ is our 'share of variance', also called explained variance." Add "Chapter 36 uses this fit-then-use pattern for every model."</t>
  </si>
  <si>
    <t xml:space="preserve">35.24</t>
  </si>
  <si>
    <t xml:space="preserve">§35.10 F_std = (F - F.mean(axis=0)) / F.std(axis=0)</t>
  </si>
  <si>
    <t xml:space="preserve">NumPy's .std() divides by n, while pandas .std() (Ch 21; §35.7 values.std()) and np.cov divide by n − 1. The standardized covariance matrix therefore has 1.045 (= 23/22) on its diagonal, not the 1.0 the text implies. Shares are unaffected, but a reader who prints the matrix will be puzzled. Standardizing is also Ch 21's z-score and is not linked to it.</t>
  </si>
  <si>
    <t xml:space="preserve">Add: "Standardizing turns each value into a z-score (Chapter 21). NumPy's std divides by n and pandas' by n − 1; either works for PCA, and scikit-learn's StandardScaler (Chapter 36) uses n."</t>
  </si>
  <si>
    <t xml:space="preserve">35.25</t>
  </si>
  <si>
    <t xml:space="preserve">"Time needed: 10–14 hours … spread over two weeks"</t>
  </si>
  <si>
    <t xml:space="preserve">Load: six subjects and about 60 Key terms in one chapter, with no checkpoints. The additions above add about 3 hours.</t>
  </si>
  <si>
    <t xml:space="preserve">Restate as "14–17 hours over two to three weeks" and add a sitting plan. Sitting A: §35.1–35.3 (vectors, dot product, matrices), about 3 h. Sitting B: §35.4–35.6 (loss, derivative, gradient descent), about 4 h. Sitting C: §35.7–35.9 (distributions, likelihood, entropy, log loss) plus the logs box, about 4 h. Sitting D: §35.10–35.11 (PCA), about 3 h. Then the project. Add a 10-minute checkpoint at the end of B (one gradient step by hand on 3 points) and of C (entropy and log loss of 4 predictions).</t>
  </si>
  <si>
    <t xml:space="preserve">35.26</t>
  </si>
  <si>
    <t xml:space="preserve">Before you start: "Chapter 17 (running Python code, lists, loops) … Chapter 21"</t>
  </si>
  <si>
    <t xml:space="preserve">Missing prerequisites. The chapter uses pandas throughout (read_csv, groupby, Series) and NumPy arrays (Ch 18, including the M.9 NumPy page). It builds on §22.10 regression and Ch 22's significance ideas ("Chapter 22 builds on this"), and on Ch 15 histograms (referenced in §35.7).</t>
  </si>
  <si>
    <t xml:space="preserve">Rewrite: "Chapter 4 (percentages, averages), Chapter 13 (the one-year database), Chapters 17–18 (Python, pandas and the NumPy basics page), Chapter 21 (mean, standard deviation, z-scores, probability, the normal/binomial/Poisson distributions) and Chapter 22 §22.10 (fitting a straight line)". Keep "No calculus or linear algebra is assumed". Add "logarithms are taught in §35.8" once 35.2 is done.</t>
  </si>
  <si>
    <t xml:space="preserve">35.27</t>
  </si>
  <si>
    <t xml:space="preserve">§35.1 "Here is the same arithmetic in NumPy, the Python library for working with arrays"</t>
  </si>
  <si>
    <t xml:space="preserve">Once M.9 is in place, NumPy basics (arrays, element-by-element arithmetic) are taught in Ch 18. This line introduces NumPy as new.</t>
  </si>
  <si>
    <t xml:space="preserve">"NumPy (Chapter 18) does this arithmetic on whole arrays at once." Drop "element-by-element arithmetic" from Key terms if Ch 18 now owns it, or mark it as a review.</t>
  </si>
  <si>
    <t xml:space="preserve">35.28</t>
  </si>
  <si>
    <t xml:space="preserve">§35.1 "Any method built on distance (k-nearest neighbors, k-means clustering, PCA) is affected"</t>
  </si>
  <si>
    <t xml:space="preserve">PCA is built on variance, not distance. It is affected by units for the same reason, but the grouping is wrong.</t>
  </si>
  <si>
    <t xml:space="preserve">"Any method built on distance or spread (k-nearest neighbors, k-means clustering, PCA) is affected."</t>
  </si>
  <si>
    <t xml:space="preserve">35.29</t>
  </si>
  <si>
    <t xml:space="preserve">§35.3 "Sharma Hardware is under-predicted by ₹101,807, because its orders are bigger than average"</t>
  </si>
  <si>
    <t xml:space="preserve">Ambiguous, because "orders" in this chapter means the order count (16). What is meant is the average order value: ₹502,775 ÷ 16 = ₹31,423 against ₹25,061.</t>
  </si>
  <si>
    <t xml:space="preserve">"…because its average order (₹502,775 ÷ 16 = ₹31,423) is bigger than the ₹25,061 the model assumes."</t>
  </si>
  <si>
    <t xml:space="preserve">35.30</t>
  </si>
  <si>
    <t xml:space="preserve">§35.7 "Chapter 22 builds on this to ask whether a difference in win rates is real"; Answer 8 "Chapter 22 shows how to test it"</t>
  </si>
  <si>
    <t xml:space="preserve">Ch 22 comes before Ch 35, so these are backward references written as forward ones.</t>
  </si>
  <si>
    <t xml:space="preserve">"Chapter 22 used this idea to ask whether…"; Answer 8: "Chapter 22's test for two proportions is how you would check it."</t>
  </si>
  <si>
    <t xml:space="preserve">35.31</t>
  </si>
  <si>
    <t xml:space="preserve">§35.6 "About seven times fewer steps, and the right answer"</t>
  </si>
  <si>
    <t xml:space="preserve">Two things changed at once: centering, and a learning rate 10× larger. The reader may credit the speed-up to centering alone.</t>
  </si>
  <si>
    <t xml:space="preserve">"Centering is what makes a ten-times-bigger learning rate safe (the uncentered problem diverges above 0.0145), and together they need about seven times fewer steps."</t>
  </si>
  <si>
    <t xml:space="preserve">35.32</t>
  </si>
  <si>
    <t xml:space="preserve">Figures 35.2, 35.3, 35.6; Project step 4 "plot the loss curves on one chart"</t>
  </si>
  <si>
    <t xml:space="preserve">No plotting code is shown, but the project asks for a log-scale loss chart. Log scale is from Ch 15; plt.yscale has never been used.</t>
  </si>
  <si>
    <t xml:space="preserve">After the learning-rate loop add a cell: import matplotlib.pyplot as plt; for lr in [0.0005, 0.005, 0.015]: _, _, run = descend(x, y, lr, 30); plt.plot(range(1, 31), run, label=str(lr)); plt.yscale("log"); plt.xlabel("step"); plt.ylabel("loss"); plt.legend(); plt.show(). Explain yscale("log") (each gridline ten times the one below, as in Ch 15). Mention that the companion folder has the code for the other figures.</t>
  </si>
  <si>
    <t xml:space="preserve">35.33</t>
  </si>
  <si>
    <t xml:space="preserve">§35.8 likelihood table "0.0000000798"; Figure 35.4 "7.98 × 10⁻⁸", "1 × 10⁻⁷"</t>
  </si>
  <si>
    <t xml:space="preserve">Scientific notation is used but never taught (also flagged in the Ch 18 review). Python prints such numbers as 7.98e-08.</t>
  </si>
  <si>
    <t xml:space="preserve">Add a one-line note at the table: "0.000000302 is written 3.02 × 10⁻⁷ (move the decimal point 7 places left); Python prints it as 3.02e-07."</t>
  </si>
  <si>
    <t xml:space="preserve">35.34</t>
  </si>
  <si>
    <t xml:space="preserve">§35.6 f"step {step}: w={w:7.3f}"; f"rate {lr:&lt;6}"; ", ".join(f"{v:,.0f}" for v in run[:4])</t>
  </si>
  <si>
    <t xml:space="preserve">Format specs (width, &lt; alignment, , thousands separator) and a generator expression inside join are unexplained.</t>
  </si>
  <si>
    <t xml:space="preserve">Add a small "format codes" note after the first use: :7.3f = 7 characters wide, 3 decimals; :&lt;6 = left-aligned in 6; :,.0f = thousands separators, no decimals. For the join: "", ".join(…) glues the four formatted numbers with commas", or rewrite as a plain loop.</t>
  </si>
  <si>
    <t xml:space="preserve">35.35</t>
  </si>
  <si>
    <t xml:space="preserve">Ex 9 "Using a threshold of 0.5, what is each tool's accuracy?"</t>
  </si>
  <si>
    <t xml:space="preserve">"Threshold" (turning a probability into yes/no) is never introduced in the text.</t>
  </si>
  <si>
    <t xml:space="preserve">In the exercise: "count a lead as predicted won if its probability is 0.5 or more (the threshold)". Point to Ch 39 for choosing thresholds.</t>
  </si>
  <si>
    <t xml:space="preserve">35.36</t>
  </si>
  <si>
    <t xml:space="preserve">Answers: "(In the finished book these move to Appendix G. Every calculation was checked…)"</t>
  </si>
  <si>
    <t xml:space="preserve">Known drafting leftover (sequence map, all teaching chapters).</t>
  </si>
  <si>
    <t xml:space="preserve">Remove the parenthesis when the answers move; keep "every output shown is real" in the chapter opening only.</t>
  </si>
  <si>
    <t xml:space="preserve">35.37</t>
  </si>
  <si>
    <t xml:space="preserve">§35.9 "Watch out: accuracy hides what log loss shows"; story "80% accurate"</t>
  </si>
  <si>
    <t xml:space="preserve">"Accuracy" is used as if known but is first defined in this box ("counts right and wrong answers").</t>
  </si>
  <si>
    <t xml:space="preserve">Define it at first use: "accuracy = share of predictions that are right: correct ÷ all". Add to Key terms.</t>
  </si>
  <si>
    <t xml:space="preserve">V35.1</t>
  </si>
  <si>
    <t xml:space="preserve">p. 10 · "Two more matrix words", transpose</t>
  </si>
  <si>
    <t xml:space="preserve">"Xᵀ" (U+1D40, falling back to DejaVu Serif Bold) prints as a bold X followed by a superscript that looks like "S". At print size the reader sees "Xˢ", not "Xᵀ", for the one notation this bullet is teaching.</t>
  </si>
  <si>
    <t xml:space="preserve">Use real superscript markup (X&lt;sup&gt;T&lt;/sup&gt;) or MathML, not the Unicode modifier letter; re-check the glyph after rendering.</t>
  </si>
  <si>
    <t xml:space="preserve">V35.2</t>
  </si>
  <si>
    <t xml:space="preserve">p. 19 · Bernoulli formula box</t>
  </si>
  <si>
    <t xml:space="preserve">"P(won) = p P(not won) = 1 − p" puts two separate formulas on one line with only a space between them. It reads as "p × P(not won) = 1 − p".</t>
  </si>
  <si>
    <t xml:space="preserve">Put them on two lines, or separate them with a comma/semicolon and extra space ("P(won) = p;  P(not won) = 1 − p").</t>
  </si>
  <si>
    <t xml:space="preserve">V35.3</t>
  </si>
  <si>
    <t xml:space="preserve">p. 19, 41 · Binomial, Poisson and answer 7/8 formulas</t>
  </si>
  <si>
    <t xml:space="preserve">These use programmer caret notation, "p^k × (1 − p)^(n − k)", "λ^k × e^(−λ) ÷ k!", "e^(−3.33)" and "e^0.91". The same page also sets "0.2⁶ × 0.8²⁴" and "3.33⁰" with real superscripts, and p. 21 sets "p⁶ × (1 − p)²⁴". The notation changes between adjacent boxes.</t>
  </si>
  <si>
    <t xml:space="preserve">Typeset all exponents as superscripts (pᵏ, (1 − p)ⁿ⁻ᵏ, e^−λ as superscript), or render the formula boxes with KaTeX/MathML.</t>
  </si>
  <si>
    <t xml:space="preserve">V35.4</t>
  </si>
  <si>
    <t xml:space="preserve">p. 5, 6, 27, 38 · Square roots</t>
  </si>
  <si>
    <t xml:space="preserve">"√(16² + 5.03²)" has no vinculum (overbar), so the extent of the root relies on brackets. In running text the radical breaks across lines: "= √(256 +" / "25.30)" (p. 5) and "Lengths: √(0.386² +" / "0.614²)" (p. 38).</t>
  </si>
  <si>
    <t xml:space="preserve">Keep inline radicals unbroken (non-breaking spaces / nowrap span) or set them as display formulas; consider a real radical with overbar via MathML.</t>
  </si>
  <si>
    <t xml:space="preserve">V35.5</t>
  </si>
  <si>
    <t xml:space="preserve">p. 8 · Figure 35.1 (product-mix arrows)</t>
  </si>
  <si>
    <t xml:space="preserve">A clean figure, but the labels are 5.3–6.0 pt and the right-hand "Reading the picture" panel about 5.5 pt.</t>
  </si>
  <si>
    <t xml:space="preserve">V35.6</t>
  </si>
  <si>
    <t xml:space="preserve">p. 23 · Figure 35.4 (likelihood curve)</t>
  </si>
  <si>
    <t xml:space="preserve">The "p = 0.1: 7.98 × 10⁻⁸" point label overprints the y-axis tick "1 × 10⁻⁷" ("1 × 10⁻⁷p = 0.1…"). The exponents are about 4 pt, and the other text 5–6 pt.</t>
  </si>
  <si>
    <t xml:space="preserve">Move the p = 0.1 label right of its point; enlarge; consider scientific-notation ticks in a single "×10⁻⁷" axis unit.</t>
  </si>
  <si>
    <t xml:space="preserve">V35.7</t>
  </si>
  <si>
    <t xml:space="preserve">p. 31 · Figure 35.6 (PCA scatter)</t>
  </si>
  <si>
    <t xml:space="preserve">Text 4.0–5.7 pt; the axis-title arrows are 4 pt. Segments are shown by colour only (orange/blue/purple dots); in greyscale Retail and Hospitality are indistinguishable.</t>
  </si>
  <si>
    <t xml:space="preserve">Enlarge; use different marker shapes per segment.</t>
  </si>
  <si>
    <t xml:space="preserve">V35.8</t>
  </si>
  <si>
    <t xml:space="preserve">p. 17, 18 · Figure 35.2 (gradient steps) and Figure 35.3 (three learning rates)</t>
  </si>
  <si>
    <t xml:space="preserve">Text 5.1–5.7 pt. Both are otherwise good, with direct labels (and a log axis stated on 35.3).</t>
  </si>
  <si>
    <t xml:space="preserve">V35.9</t>
  </si>
  <si>
    <t xml:space="preserve">p. 28 · Figure 35.5 (PCA arrows)</t>
  </si>
  <si>
    <t xml:space="preserve">Text 5.1–5.8 pt. The PC1 line runs through the "Patel" label, and the PC1 label sits on the top edge next to "Sharma".</t>
  </si>
  <si>
    <t xml:space="preserve">Offset the labels from the line; enlarge.</t>
  </si>
  <si>
    <t xml:space="preserve">V35.10</t>
  </si>
  <si>
    <t xml:space="preserve">p. 40→41, 42→43 · Answers 6 and 12</t>
  </si>
  <si>
    <t xml:space="preserve">"6." is stranded alone at the foot of p. 40, and "12." at the foot of p. 42.</t>
  </si>
  <si>
    <t xml:space="preserve">V35.11</t>
  </si>
  <si>
    <t xml:space="preserve">p. 19→20 · "Does the model describe Riverstone's real weeks? Count them:"</t>
  </si>
  <si>
    <t xml:space="preserve">The lead-in ends p. 19, and its code is on p. 20.</t>
  </si>
  <si>
    <t xml:space="preserve">V35.12</t>
  </si>
  <si>
    <t xml:space="preserve">Shows "Approved chapter · v1" and "21 September 2026", whereas Chs 30–34 say "Draft chapter" plus a verification-stats line. The title is set as "Chapter 35" / "The Math Under the Models" on separate lines with no period (the others use "Chapter 34. The…"). The subtitle is a truncated copy of the "You will learn to" list (it stops after the third item, "…how steep"").</t>
  </si>
  <si>
    <t xml:space="preserve">Remove status labels for print; use one title format across chapters; write a proper one-sentence subtitle.</t>
  </si>
  <si>
    <t xml:space="preserve">V35.13</t>
  </si>
  <si>
    <t xml:space="preserve">V35.14</t>
  </si>
  <si>
    <t xml:space="preserve">p. 12, 27, 38, 40 · Long display formulas</t>
  </si>
  <si>
    <t xml:space="preserve">Worked lines wrap mid-expression inside the formula box ("…= 2" / "× (−6,630) ÷ 4", "(112.32 +" / "20.52 − …"). The breaks fall inside brackets with no alignment.</t>
  </si>
  <si>
    <t xml:space="preserve">Break before "=" and align the continuation under the first "="; or split into steps.</t>
  </si>
  <si>
    <t xml:space="preserve">V35.15</t>
  </si>
  <si>
    <t xml:space="preserve">p. 3, 6, 11, 26, 27 · Numeric tables (customer vectors, loss table, PCA tables, covariance matrix)</t>
  </si>
  <si>
    <t xml:space="preserve">Numeric columns are left-aligned (Orders, Revenue, error, error², Orders − 10.6, 28.8/82.35). Negative values ("−34", "−0.6") don't line up with the positives.</t>
  </si>
  <si>
    <t xml:space="preserve">Right-align (or decimal-align) number columns.</t>
  </si>
  <si>
    <t xml:space="preserve">V35.16</t>
  </si>
  <si>
    <t xml:space="preserve">p. 6→7, 22→23 · Figure pages</t>
  </si>
  <si>
    <t xml:space="preserve">Figs 35.1 and 35.4 moved to the next page, leaving p. 7 19% and p. 22 25% blank.</t>
  </si>
  <si>
    <t xml:space="preserve">Scale the figures to fit, or float text past them.</t>
  </si>
  <si>
    <t xml:space="preserve">V35.17</t>
  </si>
  <si>
    <t xml:space="preserve">p. 1 · Cover template</t>
  </si>
  <si>
    <t xml:space="preserve">The cover kicker reads "PART IV — MACHINE LEARNING &amp; DATA SCIENCE". The decorative rule is placed above the kicker here, not beside it as on Chs 30–34.</t>
  </si>
  <si>
    <t xml:space="preserve">Unify the cover template.</t>
  </si>
  <si>
    <t xml:space="preserve">V35.18</t>
  </si>
  <si>
    <t xml:space="preserve">p. 35–36 · "You've got it when…" checklist</t>
  </si>
  <si>
    <t xml:space="preserve">36.1</t>
  </si>
  <si>
    <t xml:space="preserve">§36.4 def make_model(categorical, numeric): prepare = ColumnTransformer(…) … "for now, treat it as 'prepare the columns, then fit the model'"</t>
  </si>
  <si>
    <t xml:space="preserve">The reader's first real scikit-learn code is a 40-line nested function. It introduces Pipeline, ColumnTransformer, SimpleImputer (×2 strategies, fill_value, add_indicator), OneHotEncoder (handle_unknown), StandardScaler, LogisticRegression (max_iter), StratifiedKFold, TimeSeriesSplit and cross_val_score at once. Each is explained later: OneHotEncoder/StandardScaler in §36.6, SimpleImputer in §36.7, Pipeline/ColumnTransformer in §36.8. The book asks for one line at a time; this is ten classes at a time.</t>
  </si>
  <si>
    <t xml:space="preserve">Insert a new section, "36.4 scikit-learn in six cells", before cross-validation (renumber the later sections). Each cell is run with its output and explained. (1) The pattern on one column: from sklearn.linear_model import LogisticRegression; model = LogisticRegression(); model.fit(train[["website_visits"]], train["won"]); explain "create with settings → fit on training rows → use on new rows". (2) predict and predict_proba on 3 validation rows (36.2). (3) StandardScaler on website_visits: .fit, then .mean_/.scale_ printed, then .transform of 3 values checked by hand as (x − mean) ÷ sd (36.26). (4) SimpleImputer(strategy="median", add_indicator=True) on [[5.0], [np.nan]] → [[5.0, 0], [4.875, 1]]. (5) Pipeline([("scale", StandardScaler()), ("model", LogisticRegression())]) on two numeric columns: one fit, one predict_proba; explain that each step is a (name, object) pair. (6) ColumnTransformer with one categorical and one numeric column: print get_feature_names_out(). Only then show make_model, with a line-by-line table of what each argument does. Move the §36.6 OneHotEncoder demo into this section as cell 4a. Leave §36.8 as "inspecting a fitted pipeline" plus the contamination proof.</t>
  </si>
  <si>
    <t xml:space="preserve">36.2</t>
  </si>
  <si>
    <t xml:space="preserve">§36.5 p = model.predict_proba(eval_rows[categorical + numeric])[:, 1] (also §36.8 [0, 1], §36.9)</t>
  </si>
  <si>
    <t xml:space="preserve">The estimator API is never introduced. .predict() never appears in the chapter. The first predict_proba is buried inside score() with [:, 1] unexplained. The reader does not know it returns two columns (P(lost), P(won)) in the order of classes_.</t>
  </si>
  <si>
    <t xml:space="preserve">In the new §36.4 cell 2 (36.1), show model.predict(X3) → e.g. [0 0 0], then model.predict_proba(X3).round(3) → a 3 × 2 array, then model.classes_ → [0 1]. Explain: "predict gives the class, using a 0.5 cut-off; predict_proba gives one column per class, in the order of classes_, so column 1 is P(won). [:, 1] means all rows, column 1." Then explain why this chapter uses probabilities, not predict: a call list needs a ranking, and 0.5 is rarely the right cut-off at a 7.7% base rate (Chapter 39). In §36.8, explain [0, 1] as "first (only) row, P(won)".</t>
  </si>
  <si>
    <t xml:space="preserve">36.3</t>
  </si>
  <si>
    <t xml:space="preserve">Tools: "Python 3 with pandas, NumPy, and scikit-learn (all free)"</t>
  </si>
  <si>
    <t xml:space="preserve">No install instruction. Ch 17's package table and Ch 18's pip line leave scikit-learn out (see Ch 35 issue 35.1). If Ch 35's fix is applied this becomes a reminder, but the chapter that teaches scikit-learn should own its setup. The printed numbers were produced on 1.8.0, and "the current release … is 1.9.1".</t>
  </si>
  <si>
    <t xml:space="preserve">Add a setup cell at the start of §36.4 (new): python -m pip install "scikit-learn==1.8.0" (pinned, so the printed numbers reproduce), then import sklearn; print(sklearn.__version__) → 1.8.0. Add a sentence: "scikit-learn organizes everything as objects you create with settings, fit on data, then use; the next six cells show that pattern".</t>
  </si>
  <si>
    <t xml:space="preserve">36.4</t>
  </si>
  <si>
    <t xml:space="preserve">§36.4 "logistic regression (Chapter 37)"; LogisticRegression(max_iter=1000)</t>
  </si>
  <si>
    <t xml:space="preserve">Logistic regression is the model for the whole chapter, but it is only pointed forward. The reader met it in Ch 30 (statsmodels, log-odds) and its ingredients in Ch 35 (a weighted sum, log loss, an iterative optimizer). max_iter=1000 is unexplained.</t>
  </si>
  <si>
    <t xml:space="preserve">Add a 4-sentence box. "Logistic regression (you used it for inference in Chapter 30) computes a weighted sum of the features (Chapter 35's X @ weights) and squashes it into a probability between 0 and 1. It is trained by minimizing log loss (§35.9) with an iterative optimizer like §35.6's gradient descent. max_iter caps the number of steps: the default of 100 can stop before the loss settles and prints a ConvergenceWarning, so we allow 1,000. Chapter 37 opens it up."</t>
  </si>
  <si>
    <t xml:space="preserve">36.5</t>
  </si>
  <si>
    <t xml:space="preserve">§36.4 "AUC, briefly… pick one won lead and one lost lead at random"</t>
  </si>
  <si>
    <t xml:space="preserve">AUC is the chapter's main metric but gets only a definition, with no by-hand example. The three-source rule's AUC (§36.9) is computed from 0/1 scores, which creates ties, and ties are never mentioned.</t>
  </si>
  <si>
    <t xml:space="preserve">Add a by-hand example: won leads A 0.9 and B 0.4, lost leads C 0.5 and D 0.2. The 4 won-lost pairs are A&gt;C ✓, A&gt;D ✓, B&gt;C ✗, B&gt;D ✓, so AUC = 3/4 = 0.75. Show roc_auc_score([1, 1, 0, 0], [0.9, 0.4, 0.5, 0.2]) → 0.75 (recomputed). Add "a tie counts as half a pair, which is how a 0/1 rule gets an AUC like 0.680", and explain the argument order: true labels first, scores second.</t>
  </si>
  <si>
    <t xml:space="preserve">36.6</t>
  </si>
  <si>
    <t xml:space="preserve">§36.9 train_test_split(before_test, test_size=len(valid), random_state=36, stratify=before_test["won"])</t>
  </si>
  <si>
    <t xml:space="preserve">scikit-learn's most common function appears only at the end, with every argument unexplained. test_size is an integer here (a row count), not the usual fraction. stratify is not explained. The return order (train part, then test part) is not explained. §36.3 describes the random split ("shuffle the rows and cut") without showing code.</t>
  </si>
  <si>
    <t xml:space="preserve">In §36.3's "The usual default is a random split", add a cell: from sklearn.model_selection import train_test_split; r_train, r_test = train_test_split(leads, test_size=0.2, random_state=36, stratify=leads["won"]); print both lengths and win rates (both ≈ 7.7%). Explain each argument: test_size (a fraction such as 0.2 = 20%, or a whole number = that many rows); random_state (the seed: same shuffle every run, as in Ch 22 and Ch 30); stratify (keeps the win rate the same in both parts; without it a 20% slice could hold noticeably fewer wins); the return order; shuffling by default. Then say why this chapter uses a time split instead. In §36.9, point back and explain test_size=len(valid) ("the same number of rows as the time-based validation set, so the comparison is fair").</t>
  </si>
  <si>
    <t xml:space="preserve">36.7</t>
  </si>
  <si>
    <t xml:space="preserve">§36.4 StratifiedKFold(n_splits=5, shuffle=True, random_state=36); TimeSeriesSplit(n_splits=5); cross_val_score(…, cv=folds, scoring="roc_auc")</t>
  </si>
  <si>
    <t xml:space="preserve">Arguments are partly explained. The reader never sees what a fold contains, so "stratified" and "earliest sixth" stay abstract.</t>
  </si>
  <si>
    <t xml:space="preserve">Add a cell before cross_val_score: for i, (tr, te) in enumerate(folds.split(X_first, y_train)): print(i, len(tr), len(te), round(y_train.iloc[te].mean(), 4)). Output about 5,833 / 1,458 rows and a win rate near 7.90% in every fold. Do the same for TimeSeriesSplit(n_splits=5).split(X_first): training sizes 1,216, 2,431, 3,646, 4,861, 6,076, each test fold 1,215 (recomputed from 7,291 rows), which makes "earliest sixth" visible. Explain cross_val_score's arguments one by one: model, X, y, cv (how to cut), scoring (which metric), and that it returns one score per fold. Say that .std() here is NumPy's population SD.</t>
  </si>
  <si>
    <t xml:space="preserve">36.8</t>
  </si>
  <si>
    <t xml:space="preserve">§36.5 print("honest features: AUC %.3f log loss %.4f" % score(cats, nums)) (also §36.5, 36.9, answers)</t>
  </si>
  <si>
    <t xml:space="preserve">Old-style % string formatting is used throughout. Ch 17–18 teach f-strings, and this syntax is never introduced. The chapter mixes both styles within single blocks.</t>
  </si>
  <si>
    <t xml:space="preserve">Replace with f-strings: auc, ll = score(cats, nums), then print(f"honest features: AUC {auc:.3f} log loss {ll:.4f}"). This also teaches that score returns two values (a tuple). Apply it to every % print in the chapter and the answers.</t>
  </si>
  <si>
    <t xml:space="preserve">36.9</t>
  </si>
  <si>
    <t xml:space="preserve">§36.5 def score(categorical, numeric, fit_rows=None, eval_rows=None): fit_rows = train if fit_rows is None else fit_rows</t>
  </si>
  <si>
    <t xml:space="preserve">score() reads the globals train/valid. After every new column the chapter must re-split: the same 5-line train/valid/test block is repeated in §36.5 (twice), Answer 6 and Answer 7. Forgetting it silently scores stale rows. The None default pattern and the x if cond else y expression are unexplained.</t>
  </si>
  <si>
    <t xml:space="preserve">Add a helper once, in §36.3: def split(df): return (df[df["created_at"] &lt; "2025-01-01"], df[(df["created_at"] &gt;= "2025-01-01") &amp; (df["created_at"] &lt; "2025-07-01")], df[df["created_at"] &gt;= "2025-07-01"]), then use train, valid, test = split(leads) everywhere. Explain None defaults: "if you don't pass rows, use the chapter's train and valid". Explain the one-line if/else, or write it as a 4-line if block. Add a Watch out: "re-split after adding a column, or score uses the old rows".</t>
  </si>
  <si>
    <t xml:space="preserve">36.10</t>
  </si>
  <si>
    <t xml:space="preserve">§36.5 def add_features(df): … text.str.contains("bulk\</t>
  </si>
  <si>
    <t xml:space="preserve">tender\ | urgent…"), np.log1p(…where(… &lt;= cap)), owner_id == 9, 50_000; activities_24h block | The features are built in §36.5, but taught in §36.6 (log transform, text flags, aggregates), so the in-chapter order is reversed. One block holds: regex alternation \ | , np.log1p, .where (keep where True, else NaN), the 50_000 digit separator, an unexplained magic number owner_id == 9, and a 3-line aggregate using set_index, .map(Series), groupby().size() and fillna(0). None of these gets a line-by-line explanation.</t>
  </si>
  <si>
    <t xml:space="preserve">Move the feature building into §36.6, one cell per feature family with 3 before/after rows each: text flags (explain \ |  = "or" in a pattern); free_email; log_quantity (cap with .where, then log1p); inside_desk ("owner_id 9 is the inside sales desk's queue in the users table"; show where that is looked up); responded_24h; activities_24h (build deadline, filter visible, count per lead, map back, fill 0; print one lead's calls to show it). Assemble add_features at the end of §36.6. Then §36.5 can say "using the features built in §36.6", or §36.5 can move after §36.6. Explain 50_000 ("underscores are ignored; they only make big numbers readable").</t>
  </si>
  <si>
    <t xml:space="preserve">36.11</t>
  </si>
  <si>
    <t xml:space="preserve">§36.1 "Some that will be won are still open, but the ones that were lost quickly are already marked Lost" vs "a win often closes within weeks, while many lost leads stay open"</t>
  </si>
  <si>
    <t xml:space="preserve">Contradictory explanations within one subsection. The first implies the recent win rate looks too low; the data (2025Q4 12.5%) and the second explanation say it looks too high.</t>
  </si>
  <si>
    <t xml:space="preserve">Replace the first sentence with a neutral one: "Leads that arrived in the last 90 days haven't had their full 90 days, so only the fast outcomes are recorded yet, and which way that biases the win rate depends on whether wins or losses close faster." Keep the later explanation and the parenthesis "(With other closing habits, the bias runs the other way.)".</t>
  </si>
  <si>
    <t xml:space="preserve">36.12</t>
  </si>
  <si>
    <t xml:space="preserve">§36.1 closed.groupby(quarter)["status"].apply(lambda s: (s == "Won").mean()) → "Freq: Q-DEC"</t>
  </si>
  <si>
    <t xml:space="preserve">dt.to_period("Q"), grouping by a separate Series, the lambda, and the Freq: Q-DEC output line are unexplained.</t>
  </si>
  <si>
    <t xml:space="preserve">Simplify: closed = closed.assign(won=(closed["status"] == "Won"), quarter=closed["created_at"].dt.to_period("Q")), then closed.groupby("quarter")["won"].mean(). Explain to_period("Q") ("2025-11-03 → 2025Q4") and the Freq: Q-DEC line ("pandas noting quarters that end in December; ignore it").</t>
  </si>
  <si>
    <t xml:space="preserve">36.13</t>
  </si>
  <si>
    <t xml:space="preserve">§36.2 "Chapter 13 removed duplicate web-form submissions in SQL; here's the same rule in pandas"</t>
  </si>
  <si>
    <t xml:space="preserve">It is not the same rule. Ch 13 kept the first lead per LOWER(email) with no time window. Here the rule is trim + lower and "a repeat within two days of the previous lead". The difference matters over three years, where the same email sends genuine new enquiries.</t>
  </si>
  <si>
    <t xml:space="preserve">"Chapter 13 kept only the first lead per email, which was right for one year of rep-logged leads. Over three years the same buyer sends genuinely new enquiries, so here a repeat counts as a duplicate only if it comes within two days of that email's previous lead." Optionally print how many rows Ch 13's rule would remove, for contrast. Explain pd.Timedelta(days=2), .diff() on timestamps, and why .copy() follows a filter.</t>
  </si>
  <si>
    <t xml:space="preserve">36.14</t>
  </si>
  <si>
    <t xml:space="preserve">Answer 13: "HistGradientBoostingClassifier accepts the sparse one-hot output"</t>
  </si>
  <si>
    <t xml:space="preserve">False. HistGradientBoostingClassifier raises TypeError: Sparse data was passed for X, but dense data is required (verified on scikit-learn 1.8.0). The code works only because ColumnTransformer returns a dense array when the output density is at least sparse_threshold = 0.3; here (5 one-hot 1s + 9 dense numeric columns) ÷ 45 = 0.31. One more categorical column or two fewer numeric columns would flip it to sparse and crash the reader's project.</t>
  </si>
  <si>
    <t xml:space="preserve">In make_boosted, force dense output: build the preparation with OneHotEncoder(handle_unknown="ignore", sparse_output=False), or set ColumnTransformer(…, sparse_threshold=0). Replace the sentence with: "HistGradientBoosting needs a dense table, so the one-hot step is told to return one (sparse_output=False); with a few dozen columns that costs nothing."</t>
  </si>
  <si>
    <t xml:space="preserve">36.15</t>
  </si>
  <si>
    <t xml:space="preserve">§36.8 "(Chapter 52 covers deploying it)"; Stretch "joblib.dump … (Chapter 52 covers this properly)"; Tools "(Chapter 47 on data pipelines)"; Where this leads "Chapters 47 and 52 move feature pipelines…"</t>
  </si>
  <si>
    <t xml:space="preserve">Wrong cross-references. Ch 52 (Cloud, Containers &amp; IaC) has no model, joblib or scikit-learn content. Model artifacts, joblib and serving are Ch 56 (MLOps). Pipelines and orchestration are Ch 46. Ch 47 is data quality.</t>
  </si>
  <si>
    <t xml:space="preserve">Replace "Chapter 52" with "Chapter 56 (MLOps)" in all three places. Replace "Chapter 47 on data pipelines" with "Chapter 46 on pipelines and orchestration". Replace "Chapters 47 and 52 move feature pipelines into scheduled data pipelines and deployed models" with "Chapters 46 and 56 move…". Add these to the sequence map's cross-reference table.</t>
  </si>
  <si>
    <t xml:space="preserve">36.16</t>
  </si>
  <si>
    <t xml:space="preserve">§36.8 "For medians and scaling, the damage is usually tiny, as here; for target encoding and feature selection, it's large"</t>
  </si>
  <si>
    <t xml:space="preserve">"As here" points to the wrong case. The demo that follows is target encoding, where the damage is large (0.82 vs 0.78), not medians/scaling.</t>
  </si>
  <si>
    <t xml:space="preserve">"For medians and scaling, the damage is usually tiny; for target encoding and feature selection, it can be large, as here."</t>
  </si>
  <si>
    <t xml:space="preserve">36.17</t>
  </si>
  <si>
    <t xml:space="preserve">§36.9 "a few hundred leads with about a hundred wins give a noisy estimate"</t>
  </si>
  <si>
    <t xml:space="preserve">The test set has 1,185 leads and 104 wins (8.78%), not "a few hundred".</t>
  </si>
  <si>
    <t xml:space="preserve">"about 1,200 leads with about a hundred wins give a noisy estimate".</t>
  </si>
  <si>
    <t xml:space="preserve">36.18</t>
  </si>
  <si>
    <t xml:space="preserve">Answer 5 "whose win rate fell by about 1.4 percentage points"</t>
  </si>
  <si>
    <t xml:space="preserve">The table directly above prints −1.46.</t>
  </si>
  <si>
    <t xml:space="preserve">"fell by about 1.5 percentage points (2.98% → 1.52%)".</t>
  </si>
  <si>
    <t xml:space="preserve">36.19</t>
  </si>
  <si>
    <t xml:space="preserve">§36.1 target "Won within 90 days of arriving"; code leads["won"] = (leads["status"] == "Won").astype(int); Practice data lists stage_history.csv</t>
  </si>
  <si>
    <t xml:space="preserve">The code never checks "within 90 days". It relies on an unstated rule that leads are auto-closed as Lost at 90 days. stage_history.csv is listed as practice data but never used.</t>
  </si>
  <si>
    <t xml:space="preserve">Add after the code: "Riverstone closes open leads as Lost at 90 days, so 'Won' already means won within 90 days; you can confirm it from stage_history.csv" and show a 2-line check (max days from created to Won ≤ 90). Otherwise, remove stage_history.csv from the Practice data line.</t>
  </si>
  <si>
    <t xml:space="preserve">36.20</t>
  </si>
  <si>
    <t xml:space="preserve">Tools: "The data spec is planning/data/riverstone-crm.md"</t>
  </si>
  <si>
    <t xml:space="preserve">An internal authoring file named as if it were a reader file.</t>
  </si>
  <si>
    <t xml:space="preserve">Delete the sentence, or replace it with "The columns are described in the data dictionary in Appendix E" (if the CRM dictionary is added there).</t>
  </si>
  <si>
    <t xml:space="preserve">36.21</t>
  </si>
  <si>
    <t xml:space="preserve">36.22</t>
  </si>
  <si>
    <t xml:space="preserve">§36.1 "much bigger than the leads table in Chapter 13's one-year database"</t>
  </si>
  <si>
    <t xml:space="preserve">Ch 35's benchmark of "about 0.50" and its story are built on the 30-lead table (see 35.3). A reader arriving from Ch 35 finds a different base rate (7.7%) and a different benchmark (0.2435 on validation) without a bridge.</t>
  </si>
  <si>
    <t xml:space="preserve">Add a sentence in §36.2's Reconcile box: "Chapter 35's 20% and 0.50 benchmark came from the 30 rep-logged leads; on the full CRM the base rate is 7.7%, and the base-rate log loss is about 0.24–0.30 depending on the period (§36.9)."</t>
  </si>
  <si>
    <t xml:space="preserve">36.23</t>
  </si>
  <si>
    <t xml:space="preserve">§36.6 print(q.describe(…)); "np.log1p, which is ln(1 + x)… 'each doubling matters the same'"</t>
  </si>
  <si>
    <t xml:space="preserve">The log transform is asserted with no numbers. The chapter's own output would show it: the learned median 4.875 = ln(1 + 130), matching the median quantity of 130.</t>
  </si>
  <si>
    <t xml:space="preserve">Add: "ln(1 + 130) = 4.88, ln(1 + 260) = 5.56, ln(1 + 520) = 6.26: each doubling adds about 0.69, whatever the size. That is why §36.8's learned median of 4.875 is simply the median quantity of 130 on the log scale." Point back to the logs box in Ch 35 (35.2).</t>
  </si>
  <si>
    <t xml:space="preserve">36.24</t>
  </si>
  <si>
    <t xml:space="preserve">§36.6 encoder.fit(train[["source"]]); §36.8 statistics_, named_transformers_</t>
  </si>
  <si>
    <t xml:space="preserve">The double brackets (scikit-learn wants a 2-D table even for one column) and the trailing-underscore convention for learned attributes are unexplained.</t>
  </si>
  <si>
    <t xml:space="preserve">Add: "train[["source"]] (double brackets) is a one-column DataFrame; scikit-learn always expects a table, never a single Series, for X". "Attributes ending in _ exist only after fit: they hold what was learned."</t>
  </si>
  <si>
    <t xml:space="preserve">36.25</t>
  </si>
  <si>
    <t xml:space="preserve">§36.6 "StandardScaler subtracts each column's mean and divides by its standard deviation"</t>
  </si>
  <si>
    <t xml:space="preserve">There is no isolated demo like OneHotEncoder's, so the reader never sees the learned mean and sd, or that the SD is the population one (n), unlike pandas' .std() (n − 1).</t>
  </si>
  <si>
    <t xml:space="preserve">Covered by new §36.4 cell 3 (36.1): scaler = StandardScaler().fit(train[["website_visits"]]); print scaler.mean_, scaler.scale_; scaler.transform(valid[["website_visits"]].head(3)) beside the hand values (x − mean) / sd; note scale_ equals train["website_visits"].std(ddof=0). Link it to Ch 21's z-scores and Ch 35 §35.10.</t>
  </si>
  <si>
    <t xml:space="preserve">36.26</t>
  </si>
  <si>
    <t xml:space="preserve">§36.4 SimpleImputer(strategy="constant", fill_value="Missing"), SimpleImputer(strategy="median", add_indicator=True)</t>
  </si>
  <si>
    <t xml:space="preserve">Used in §36.4 but explained in §36.7, and even there only in prose.</t>
  </si>
  <si>
    <t xml:space="preserve">Covered by new §36.4 cell 4 (36.1). Show the median imputer on [[5.0], [np.nan]] after fitting on training log_quantity → [[5.0, 0.0], [4.875, 1.0]], and the constant imputer on [["Retail"], [np.nan]] → [["Retail"], ["Missing"]].</t>
  </si>
  <si>
    <t xml:space="preserve">36.27</t>
  </si>
  <si>
    <t xml:space="preserve">Key terms: "data drift", "high cardinality", "unit of analysis"</t>
  </si>
  <si>
    <t xml:space="preserve">These are listed as Key terms but never defined in the text. §36.1 says "Unit (one row = ?)", §36.3 says "the mix of leads is changing", and "high-cardinality" appears only in the recap and mistakes table.</t>
  </si>
  <si>
    <t xml:space="preserve">Define each at first use. §36.1: "Unit (one row = ?), the unit of analysis". §36.3: "a changing mix like this is called data drift". §36.6 encoding table: "hundreds or thousands of categories (high cardinality)".</t>
  </si>
  <si>
    <t xml:space="preserve">36.28</t>
  </si>
  <si>
    <t xml:space="preserve">"Time needed: 8–12 hours over one to two weeks, including the project"</t>
  </si>
  <si>
    <t xml:space="preserve">Load: the first scikit-learn chapter plus workflow, leakage, feature engineering, missing data, pipelines and baselines, and a 10-step project. It is not plausible now, and less so with the on-ramp.</t>
  </si>
  <si>
    <t xml:space="preserve">Restate as "14–18 hours over two weeks, in three sittings". Sitting A: §36.1–36.3 plus the new scikit-learn section (framing, cleaning, splits, first fit), about 4 h. Sitting B: cross-validation, leakage and feature engineering, about 5 h. Sitting C: missing values, pipelines and baselines, about 3 h. Then the project, about 4–6 h. Add a checkpoint after A: fit a LogisticRegression on source only and print the first 3 P(won).</t>
  </si>
  <si>
    <t xml:space="preserve">36.29</t>
  </si>
  <si>
    <t xml:space="preserve">Before you start: "Chapter 13 … Chapter 17 … Chapter 18 … Chapter 35"</t>
  </si>
  <si>
    <t xml:space="preserve">Missing prerequisites. Logistic regression and random seeds (Ch 30), chance vs real differences (Ch 22, cited in Answer 5), z-scores (Ch 21; "Chapter 21's idea of a sample helps" understates it).</t>
  </si>
  <si>
    <t xml:space="preserve">Add "Chapter 22 (is a difference real?), Chapter 30 (logistic regression, met for inference)" and "Chapter 21 (z-scores, samples)".</t>
  </si>
  <si>
    <t xml:space="preserve">36.30</t>
  </si>
  <si>
    <t xml:space="preserve">§36.1 first-look code: a 15-line print(leads[[ "lead_id", … ]].head(4).to_string(index=False))</t>
  </si>
  <si>
    <t xml:space="preserve">Formatter output with one list item per line (black style) turns 2-line statements into 10–40 lines throughout (§36.1, §36.3, make_model, right, answers). This hides structure from a beginner and inflates page count.</t>
  </si>
  <si>
    <t xml:space="preserve">Reformat simple calls onto 1–3 lines: cols = ["lead_id", "created_at", "source", "segment", "company_size", "est_quantity", "status"] then print(leads[cols].head(4).to_string(index=False)). Keep the multi-line layout only for the final make_model, and indent it so the nesting (ColumnTransformer → Pipeline → steps) is visible.</t>
  </si>
  <si>
    <t xml:space="preserve">36.31</t>
  </si>
  <si>
    <t xml:space="preserve">§36.5 df["free_email"] = df["email_norm"].str.endswith("@gmail.com")</t>
  </si>
  <si>
    <t xml:space="preserve">Named "free email" but checks only Gmail. The prose (§36.6) generalizes to "business domain signals a real company".</t>
  </si>
  <si>
    <t xml:space="preserve">Either rename it gmail, or use a list: df["email_norm"].str.split("@").str[1].isin(["gmail.com", "yahoo.com", "yahoo.co.in", "rediffmail.com", "outlook.com", "hotmail.com"]), and rerun the numbers.</t>
  </si>
  <si>
    <t xml:space="preserve">V36.1</t>
  </si>
  <si>
    <t xml:space="preserve">p. 9 · Figure 36.1 (time-based split)</t>
  </si>
  <si>
    <t xml:space="preserve">Axis dates 5.4 pt; legend and "7,291 leads · win rate 7.90%" sub-labels 5.4–5.9 pt, below print minimum.</t>
  </si>
  <si>
    <t xml:space="preserve">Redraw at ≥ 7 pt (the figure is only 3 bars plus a legend, so a narrower drawing scaled 1:1 is enough).</t>
  </si>
  <si>
    <t xml:space="preserve">V36.2</t>
  </si>
  <si>
    <t xml:space="preserve">p. 10 · Figure 36.2 (5-fold CV grid)</t>
  </si>
  <si>
    <t xml:space="preserve">Cell labels "train/score", "→ AUC n" and the footnote are 5.5–6.0 pt.</t>
  </si>
  <si>
    <t xml:space="preserve">V36.3</t>
  </si>
  <si>
    <t xml:space="preserve">p. 15 · Figure 36.3 (leaky-column bars)</t>
  </si>
  <si>
    <t xml:space="preserve">Row labels 6.2 pt; tick labels 5.3 pt; axis title 5.7 pt.</t>
  </si>
  <si>
    <t xml:space="preserve">V36.4</t>
  </si>
  <si>
    <t xml:space="preserve">p. 24 · Figure 36.4 (pipeline diagram)</t>
  </si>
  <si>
    <t xml:space="preserve">Box sub-labels ("13 columns", "median + missing indicator"), group labels and footnote are 5.2–6.1 pt. The ColumnTransformer frame leaves wide empty margins on both sides.</t>
  </si>
  <si>
    <t xml:space="preserve">Enlarge the boxes to fill the width at ≥ 7 pt.</t>
  </si>
  <si>
    <t xml:space="preserve">V36.5</t>
  </si>
  <si>
    <t xml:space="preserve">p. 28 · Figure 36.5 (baselines bar chart)</t>
  </si>
  <si>
    <t xml:space="preserve">Smallest text in the chapter: ticks 4.6 pt, axis title and legend 4.9–5.5 pt. The top quarter of the figure frame is empty.</t>
  </si>
  <si>
    <t xml:space="preserve">Redraw at ≥ 7 pt and trim the empty top band.</t>
  </si>
  <si>
    <t xml:space="preserve">V36.6</t>
  </si>
  <si>
    <t xml:space="preserve">p. 13 (folio 12) · Leak table and lead-in</t>
  </si>
  <si>
    <t xml:space="preserve">The page holds only the three-row leak table and one paragraph ("…runs one model with each suspicious column added.") and is 72% blank. The code block starts p. 14.</t>
  </si>
  <si>
    <t xml:space="preserve">Let the code block split across pages, or pull the next block up.</t>
  </si>
  <si>
    <t xml:space="preserve">V36.7</t>
  </si>
  <si>
    <t xml:space="preserve">p. 16 (folio 15) · "Contamination: target encoding on all the data"</t>
  </si>
  <si>
    <t xml:space="preserve">The heading plus 3 lines ending "Done carelessly, it's a leak:" fill the page top, leaving 85% blank. The 55-line code block is on p. 17.</t>
  </si>
  <si>
    <t xml:space="preserve">Allow the code block to break across pages (or shorten it, see V36.13).</t>
  </si>
  <si>
    <t xml:space="preserve">V36.8</t>
  </si>
  <si>
    <t xml:space="preserve">p. 8 (folio 7) · "Split by time…"</t>
  </si>
  <si>
    <t xml:space="preserve">Lead-in "So split by time, the way the model will be used:" ends the page above a 30% blank. The code is on p. 9.</t>
  </si>
  <si>
    <t xml:space="preserve">Allow the split, or keep the lead-in with the code.</t>
  </si>
  <si>
    <t xml:space="preserve">V36.9</t>
  </si>
  <si>
    <t xml:space="preserve">p. 35, 36, 37, 38, 39 · Answers 5, 7, 9, 10, 12</t>
  </si>
  <si>
    <t xml:space="preserve">Each answer number ("5.", "7.", "9.", "10.", "12.") is stranded alone at the page foot, with its code block on the next page. pp. 37–39 also leave 12–15% blank.</t>
  </si>
  <si>
    <t xml:space="preserve">Keep the answer number with its first block (keep-with-next), or put the number inline with a lead sentence.</t>
  </si>
  <si>
    <t xml:space="preserve">V36.10</t>
  </si>
  <si>
    <t xml:space="preserve">V36.11</t>
  </si>
  <si>
    <t xml:space="preserve">V36.12</t>
  </si>
  <si>
    <t xml:space="preserve">p. 20 (folio 19) · "Dates and times"</t>
  </si>
  <si>
    <t xml:space="preserve">The page ends 30% short. The next code block (date parts) moved whole to p. 21.</t>
  </si>
  <si>
    <t xml:space="preserve">Allow the block to split.</t>
  </si>
  <si>
    <t xml:space="preserve">V36.13</t>
  </si>
  <si>
    <t xml:space="preserve">p. 11, 17, 24, 38 · Pipeline code blocks</t>
  </si>
  <si>
    <t xml:space="preserve">The Black-style one-item-per-line format stretches one ColumnTransformer to 45–55 lines with 8 nesting levels (p. 17 is a full page of brackets). It is hard to see the structure. It also causes V36.6/V36.7.</t>
  </si>
  <si>
    <t xml:space="preserve">Define the two sub-pipelines as named variables first (cat_pipe = …, num_pipe = …), then assemble them.</t>
  </si>
  <si>
    <t xml:space="preserve">V36.14</t>
  </si>
  <si>
    <t xml:space="preserve">p. 35 · Answers heading</t>
  </si>
  <si>
    <t xml:space="preserve">The production note "(In the finished book these move to Appendix G. Every calculation was checked…)" is visible to readers.</t>
  </si>
  <si>
    <t xml:space="preserve">Remove the note or reword it for the reader.</t>
  </si>
  <si>
    <t xml:space="preserve">V36.15</t>
  </si>
  <si>
    <t xml:space="preserve">p. 20, 23 · Tables with inline code</t>
  </si>
  <si>
    <t xml:space="preserve">Pill padding adds a space before punctuation: "source , segment", "company_size : 1-10", "( KNNImputer , IterativeImputer )".</t>
  </si>
  <si>
    <t xml:space="preserve">Tighten the code-pill margin.</t>
  </si>
  <si>
    <t xml:space="preserve">V36.16</t>
  </si>
  <si>
    <t xml:space="preserve">p. 31, 33, 34 · Numbered lists</t>
  </si>
  <si>
    <t xml:space="preserve">Two-digit numbers "10."–"16." hang about 3 pt into the left margin.</t>
  </si>
  <si>
    <t xml:space="preserve">Increase the list indent for two-digit numbers.</t>
  </si>
  <si>
    <t xml:space="preserve">V36.17</t>
  </si>
  <si>
    <t xml:space="preserve">p. 33 (top) · Recap list</t>
  </si>
  <si>
    <t xml:space="preserve">The last Recap bullet ("Always compare with baselines…") is orphaned at the top of the page before the rule and "Practice exercises".</t>
  </si>
  <si>
    <t xml:space="preserve">Keep with previous.</t>
  </si>
  <si>
    <t xml:space="preserve">V36.18</t>
  </si>
  <si>
    <t xml:space="preserve">p. 4→5 · Framing table "Decision / Riverstone lead scoring"</t>
  </si>
  <si>
    <t xml:space="preserve">A 5-row table is split 2 + 3 across pages (the header is repeated).</t>
  </si>
  <si>
    <t xml:space="preserve">Keep the short table together.</t>
  </si>
  <si>
    <t xml:space="preserve">V36.19</t>
  </si>
  <si>
    <t xml:space="preserve">p. 28 · Figure 36.5</t>
  </si>
  <si>
    <t xml:space="preserve">The y-axis starts at 0.4, so the 0.500 base-rate bars look a fifth the height of 0.838. The axis title says so, but the bars still exaggerate.</t>
  </si>
  <si>
    <t xml:space="preserve">Start at 0, or use a dot plot.</t>
  </si>
  <si>
    <t xml:space="preserve">37.1</t>
  </si>
  <si>
    <t xml:space="preserve">Before you start: "Chapter 35 (loss, gradients, likelihood, entropy) and Chapter 36"</t>
  </si>
  <si>
    <t xml:space="preserve">The chapter also relies on Bayes' rule (Ch 21 §21.7), regression, R² and residuals (new Ch 22 §22.10 per 22.30), and logistic regression with odds ratios and statsmodels intervals (Ch 30 §30.11). None of these is listed.</t>
  </si>
  <si>
    <t xml:space="preserve">Rewrite: "Before you start: Chapter 21 §21.7 (Bayes' rule); Chapter 22 §22.10 (fitting a line, R², residuals); Chapter 30 §30.11 (logistic regression, odds ratios, statsmodels); Chapter 35 (loss, gradients, likelihood, entropy); Chapter 36 (splits, cross-validation, leakage, pipelines, baselines)."</t>
  </si>
  <si>
    <t xml:space="preserve">37.2</t>
  </si>
  <si>
    <t xml:space="preserve">§37.0 whole setup; Tools "Run the chapter's code from companion/ch37/"</t>
  </si>
  <si>
    <t xml:space="preserve">The instruction to run from companion/ch37/ and the pip install xgboost lightgbm catboost / pip install optuna commands appear only in Tools, at the end of the chapter. A reader following along hits FileNotFoundError on "../accounts/accounts.csv" in §37.0 and ModuleNotFoundError on import catboost in §37.8.</t>
  </si>
  <si>
    <t xml:space="preserve">Add a "Setting up" box at the start of §37.0: (1) open a terminal in companion/ch37/ (the Ch 17/26 terminal basics) and run python companion/generate_riverstone_accounts.py if accounts.csv isn't there; (2) pip install xgboost lightgbm catboost optuna, with the expected "Successfully installed…" line; (3) start Jupyter in that folder. Say that "../accounts/accounts.csv" means "go up one folder, then into accounts/". Keep the version line in Tools.</t>
  </si>
  <si>
    <t xml:space="preserve">37.3</t>
  </si>
  <si>
    <t xml:space="preserve">§37.0 first code block (imports → splits)</t>
  </si>
  <si>
    <t xml:space="preserve">One block does 13 things: 9 imports (4 metrics not used until later), a warnings filter, reading the CSV, casting rep_id, two column lists, two nested splits and a formatted loop. Nothing is explained line by line. warnings.filterwarnings("ignore", …) is a bad habit to teach silently.</t>
  </si>
  <si>
    <t xml:space="preserve">Split into 5 cells with output after each. (1) import numpy as np, import pandas as pd, accounts = pd.read_csv(...), print(accounts.shape), accounts.head(). (2) accounts["rep_id"] = accounts["rep_id"].astype(str): explain that rep numbers are labels, not quantities, so they must be one-hot encoded, not averaged. (3) CATS/NUMS lists, with one sentence per group. (4) The two train_test_split calls, doing the arithmetic in the text: 20% of 5,000 = 1,000 test; 25% of the remaining 4,000 = 1,000 validation; 3,000 train. Explain stratify= (recall Ch 36) and random_state=37. (5) The loop, with f"{name:&lt;6}" and :&gt;5, explained, or kept as simple print(name, len(part), part['churned_2025'].mean()). Move each metric import to the section that first uses it. Either remove the warnings filter or explain what it hides and why ("scikit-learn prints a harmless UserWarning about feature names; we silence only that category").</t>
  </si>
  <si>
    <t xml:space="preserve">37.4</t>
  </si>
  <si>
    <t xml:space="preserve">§37.0 "Each row describes one account… segment, city tier, size, sales rep…"</t>
  </si>
  <si>
    <t xml:space="preserve">There is no data dictionary. accounts.shape is (5000, 20) but only 17 columns are ever named. rep_id values (4, 5, 9…) are never explained, and "rep_id_9 = the inside sales desk" appears first in §37.1's coefficient reading. late_payment_days has missing values (Ch 38 fills them), which is never said here.</t>
  </si>
  <si>
    <t xml:space="preserve">Add a table after the prose: all 20 columns with type, meaning, example value and whether it has blanks. Include the rep IDs ("rep 9 = the inside sales desk; reps 1, 4, 5 = field reps", or whatever the generator uses) and say why late_payment_days can be blank. Print accounts.isna().sum() in cell 1.</t>
  </si>
  <si>
    <t xml:space="preserve">37.5</t>
  </si>
  <si>
    <t xml:space="preserve">§37.1 opening "Linear regression predicts a number as a weighted sum…"</t>
  </si>
  <si>
    <t xml:space="preserve">No link back to the new §22.10, where the reader fits a one-x line by hand and meets R², residuals and least squares. The only "by hand" here is checking one prediction. There is no hand step for a weighted sum with two features.</t>
  </si>
  <si>
    <t xml:space="preserve">Open §37.1 with: "You fitted the one-feature version by hand in §22.10, where R² and residuals were defined. Here the same least squares handles many features and is used to predict unseen accounts." Add a 3-account hand example with two features before the code, e.g. prediction = 0.2 + 1.0 × log_rev − 0.05 × complaints for (11.0, 0), (12.0, 2), (10.5, 1): 11.20, 12.10, 10.65. Then say "scikit-learn chooses the 0.2, 1.0 and −0.05 by least squares".</t>
  </si>
  <si>
    <t xml:space="preserve">37.6</t>
  </si>
  <si>
    <t xml:space="preserve">§37.1 "Money amounts are skewed… model the log of revenue. In a log-log model, a slope reads as a percentage relationship"</t>
  </si>
  <si>
    <t xml:space="preserve">Three new ideas in two sentences: why skew matters for regression, what ln and e^ do (only briefly met in Ch 35), and why a log-log slope is an elasticity. The back-transform np.exp(pred) is used without explanation. There is no mention that exp of a log prediction gives a typical (median-like) value, not a mean.</t>
  </si>
  <si>
    <t xml:space="preserve">Add a half-page subsection "Why log revenue?". (a) Show accounts["revenue_2024"].describe() or a histogram next to the log version. (b) A 3-row table: ₹10,000 → ln 9.21; ₹100,000 → 11.51; ₹1,000,000 → 13.82, showing that each ×10 adds 2.30. (c) Slope 1.013 means "1% more last year ↔ about 1.013% more this year". Work it: ₹65,500 × 1.10 → predicted rises by ×1.10^1.013 = 1.1013. (d) np.exp undoes np.log. (e) One sentence: "back-transformed predictions slightly under-predict the average; fine for ranking and rough rupee errors".</t>
  </si>
  <si>
    <t xml:space="preserve">37.7</t>
  </si>
  <si>
    <t xml:space="preserve">§37.1 "with the unrounded coefficients, 11.0906); e^11.0907 = ₹65,555"</t>
  </si>
  <si>
    <t xml:space="preserve">The same number is given two ways (11.0906, then 11.0907). e^11.0906 = ₹65,552, and ln(65,555) = 11.09064.</t>
  </si>
  <si>
    <t xml:space="preserve">Replace with "(with the unrounded coefficients, 11.0906; e^11.0906 ≈ ₹65,555)". Or print pred[0] in the code so the reader sees 11.09064.</t>
  </si>
  <si>
    <t xml:space="preserve">37.8</t>
  </si>
  <si>
    <t xml:space="preserve">§37.1 stayed["log_" + col.replace("_2025", "_next")] = … then .rename(...)</t>
  </si>
  <si>
    <t xml:space="preserve">A convoluted two-step trick (create log_revenue_next, then rename it to log_revenue_2025) that does nothing a plain loop can't. .copy() is not explained.</t>
  </si>
  <si>
    <t xml:space="preserve">Replace with for col in ["revenue_2024","units_2024","orders_2024","revenue_2025"]: stayed["log_" + col] = np.log(stayed[col]). Explain .copy() ("a separate table, so changes don't touch accounts"). Add print(stayed[["revenue_2024","log_revenue_2024"]].head(3)). Add a guard sentence: "np.log(0) is −infinity. Every stayed account has revenue above 0; check with (stayed[col] &gt; 0).all()."</t>
  </si>
  <si>
    <t xml:space="preserve">37.9</t>
  </si>
  <si>
    <t xml:space="preserve">§37.1 simple model code: LinearRegression().fit(reg_train[["log_revenue_2024"]], …)</t>
  </si>
  <si>
    <t xml:space="preserve">Double brackets (a 2-D table vs a 1-D column), .fit/.predict, the trailing-underscore convention (intercept_, coef_[0]), r2_score(actual, predicted) argument order and .iloc[0] all appear together, unexplained.</t>
  </si>
  <si>
    <t xml:space="preserve">Split into 3 cells: (1) the split with len printed; (2) simple = LinearRegression().fit(X, y) plus the intercept/slope print. Explain "X must be a table (double brackets) even with one column; attributes ending in _ are learned during fit; coef_ is a list, one weight per feature". (3) Predict, compute R², and look at one account, explaining .iloc[0] = "first row by position".</t>
  </si>
  <si>
    <t xml:space="preserve">37.10</t>
  </si>
  <si>
    <t xml:space="preserve">§37.1 reg_report prints "MAE ₹87,471"; the definition comes after the output</t>
  </si>
  <si>
    <t xml:space="preserve">M.11 (MAE). MAE is used in code and output before it is explained. The one-line explanation comes after the block, and there is no formula or example. Decision: define at first use, keep the full treatment in Ch 39.</t>
  </si>
  <si>
    <t xml:space="preserve">Sequence (M.11)</t>
  </si>
  <si>
    <t xml:space="preserve">Before the "Many features" code add: "Mean absolute error (MAE) = the average size of the misses, ignoring sign: MAE = ( | y₁−ŷ₁ | + … + | yₙ−ŷₙ | ) ÷ n." Hand example with 3 accounts: actual ₹100k, ₹200k, ₹50k; predicted ₹90k, ₹230k, ₹50k → misses 10k, 30k, 0 → MAE ₹13.3k. Say why MAE is in rupees while R² is on the log scale here, and that mean_absolute_error(actual, predicted) is the scikit-learn call. Add context: "₹87k against a typical account of about ₹2.3 lakh". Keep "Chapter 39 covers regression metrics in full".</t>
  </si>
  <si>
    <t xml:space="preserve">37.11</t>
  </si>
  <si>
    <t xml:space="preserve">§37.1 "Many features" block (reg_pipeline, reg_report, coefficients)</t>
  </si>
  <si>
    <t xml:space="preserve">One block defines two functions, a ColumnTransformer with a new drop="first", fits, prints metrics, and extracts get_feature_names_out() / named_steps into a sorted Series. named_steps and get_feature_names_out appear here for the first time in Part IV code (Ch 36 used them in only 3–4 lines).</t>
  </si>
  <si>
    <t xml:space="preserve">Split into 4 cells. (1) reg_pipeline alone. Point out the one difference from Ch 36's make_model (drop="first"), with the dummy-variable-trap explanation moved *before* the code and a 3-row example: Hospitality/Retail/Wholesale columns always sum to 1. (2) reg_report alone, explaining that it fits on train, predicts test, converts back with np.exp, and prints R² (log scale) and MAE (rupees). (3) ols = reg_report(...) with its one-line output. (4) Coefficients: named_steps["prepare"] = "the step we named prepare"; get_feature_names_out() = "the column names after encoding" (show the first 5); pd.Series(..., index=names); .sort_values().</t>
  </si>
  <si>
    <t xml:space="preserve">37.12</t>
  </si>
  <si>
    <t xml:space="preserve">§37.1 "log_revenue_2024 dominates (1.099)" vs the simple slope 1.013</t>
  </si>
  <si>
    <t xml:space="preserve">The reader sees 1.013 and then 1.099 for "the same" feature and isn't told why. The second is per standard deviation (SD ≈ 1.09): 1.099 ÷ 1.09 ≈ 1.01, which agrees.</t>
  </si>
  <si>
    <t xml:space="preserve">Add: "Because features are standardized, 1.099 is per standard deviation of log revenue (about 1.09). Per unit that's 1.099 ÷ 1.09 ≈ 1.01, the same elasticity as the one-feature model."</t>
  </si>
  <si>
    <t xml:space="preserve">37.13</t>
  </si>
  <si>
    <t xml:space="preserve">§37.1 assumptions table "Plot residuals against predictions"</t>
  </si>
  <si>
    <t xml:space="preserve">The table tells the reader to plot residuals, but no residual plot is shown. §22.10 (new) teaches one, and the chapter should apply it here.</t>
  </si>
  <si>
    <t xml:space="preserve">Line-by-line code / Flow</t>
  </si>
  <si>
    <t xml:space="preserve">Add a 4-line cell: resid = reg_test["log_revenue_2025"] - ols.predict(...); plt.scatter(pred, resid, s=5); plt.axhline(0). Add one sentence reading the plot (no fan and no curve → the log target worked).</t>
  </si>
  <si>
    <t xml:space="preserve">37.14</t>
  </si>
  <si>
    <t xml:space="preserve">§37.1 "statsmodels gives the interval, and Chapter 22 explains how to read it"; Common mistakes "Use statsmodels… (Chapter 22)"; Tools "statsmodels… (Chapter 22)"; Where this leads "Chapter 22 (statistical inference)"</t>
  </si>
  <si>
    <t xml:space="preserve">Wrong reference in four places. statsmodels regression with coefficient CIs is taught in Ch 30 §30.11 (with the idea in the new §22.10). Ch 22 teaches CIs for means and proportions only.</t>
  </si>
  <si>
    <t xml:space="preserve">Polish (cross-ref)</t>
  </si>
  <si>
    <t xml:space="preserve">Replace all four with "Chapter 30 §30.11 (statsmodels regression, with intervals; the one-feature version is in §22.10)". Where this leads: "Chapter 30 (coefficient intervals) and Chapter 31 (causal inference)".</t>
  </si>
  <si>
    <t xml:space="preserve">37.15</t>
  </si>
  <si>
    <t xml:space="preserve">§37.2 "Ridge: loss = mean squared error + α × (sum of squared weights)"</t>
  </si>
  <si>
    <t xml:space="preserve">Not what scikit-learn does. Ridge minimizes the *sum* of squared errors + α·Σw². Lasso/ElasticNet minimize (1/(2n))·SSE + α·Σ\ | w\ | . So α values are on different scales. Yet the code prints "ridge alpha: 0.1  lasso alpha: 0.0011" side by side, inviting a comparison.</t>
  </si>
  <si>
    <t xml:space="preserve">Rewrite the two formulas as ideas ("error + α × penalty"). Add: "scikit-learn measures the error part differently for ridge (total) and lasso (half the average), so an α for one can't be compared with an α for the other; compare only within one method." Change the print label to make that clear.</t>
  </si>
  <si>
    <t xml:space="preserve">37.16</t>
  </si>
  <si>
    <t xml:space="preserve">§37.2 "The idea" (ridge, lasso, elastic net)</t>
  </si>
  <si>
    <t xml:space="preserve">No by-hand step. The reader is told weights "shrink" and lasso sets some "exactly to zero" but never sees it happen on numbers.</t>
  </si>
  <si>
    <t xml:space="preserve">Add "Shrinking one weight by hand" before the code. Use one standardized feature, 4 rows: x = −1.5, −0.5, 0.5, 1.5; y = −2.9, −1.2, 0.8, 3.3. Σxy = 10.3, Σx² = 5. Ordinary least squares: w = 10.3/5 = 2.06. Ridge (scikit-learn's form): w = Σxy/(Σx² + α). α = 1 gives 1.72, α = 5 gives 1.03; it shrinks but never reaches 0. Lasso: w = (Σxy/n − α)/(Σx²/n) = (2.575 − α)/1.25. α = 0.5 gives 1.66, α = 1 gives 1.26, and α ≥ 2.575 gives exactly 0. Verified with Ridge(fit_intercept=False) and Lasso(fit_intercept=False): 2.06/1.717/1.03 and 1.66/1.26/0. Show those 3 lines of code too.</t>
  </si>
  <si>
    <t xml:space="preserve">37.17</t>
  </si>
  <si>
    <t xml:space="preserve">§37.2 RidgeCV(alphas=np.logspace(-3, 3, 25)), LassoCV(cv=5, random_state=37), ElasticNetCV(l1_ratio=[0.2,0.5,0.8], …)</t>
  </si>
  <si>
    <t xml:space="preserve">Parameters unexplained. np.logspace(-3,3,25) = 25 values from 0.001 to 1,000, evenly spaced on a log scale. LassoCV builds its own grid of 100 α values. cv=5 is internal cross-validation on the training rows only. random_state in LassoCV only matters with selection="random", so it has no effect here. alpha_/l1_ratio_ are learned values. l1_ratio=0.8 means 80% lasso and 20% ridge.</t>
  </si>
  <si>
    <t xml:space="preserve">Split into 3 cells (ridge, lasso, elastic net), each followed by its output line. Add a parameter table under each: alphas, cv, l1_ratio, and the learned alpha_/l1_ratio_. Print np.logspace(-3,3,25)[:5].round(4) once. Drop random_state from LassoCV/ElasticNetCV, or explain that it does nothing with the default cyclic selection.</t>
  </si>
  <si>
    <t xml:space="preserve">37.18</t>
  </si>
  <si>
    <t xml:space="preserve">§37.2 What to tell Anita "comes straight from the five features lasso keeps at α = 0.01"</t>
  </si>
  <si>
    <t xml:space="preserve">The five features are never printed, so the reader can't check the sentence (hospitality, categories, late payment, complaints, plus revenue).</t>
  </si>
  <si>
    <t xml:space="preserve">Inside the α loop, or after it, print the names of the non-zero coefficients at α = 0.01 (names[m.named_steps["model"].coef_ != 0]) and show the output. Make the Anita sentence match those names exactly.</t>
  </si>
  <si>
    <t xml:space="preserve">37.19</t>
  </si>
  <si>
    <t xml:space="preserve">Chapter at a glance "see a tree overfit"; §37.2 "any time you'd otherwise overfit"; §37.6 "Depth, and overfitting"</t>
  </si>
  <si>
    <t xml:space="preserve">Overfitting and variance are used from §37.2 on but defined only in §37.10. Ch 36 mentions overfitting once and never defines it.</t>
  </si>
  <si>
    <t xml:space="preserve">Add a short "Two ways to be wrong" box to §37.0: underfitting (too simple; bad on training and new data) vs overfitting (memorizes training noise; good on training, poor on new data), with the "99% on training, poor on new data" example from Why this matters. §37.10 then formalizes this as bias and variance and points back to the box.</t>
  </si>
  <si>
    <t xml:space="preserve">37.20</t>
  </si>
  <si>
    <t xml:space="preserve">§37.3 odds ratios "doubles the odds of churning"</t>
  </si>
  <si>
    <t xml:space="preserve">Odds are never defined in the body. The definition odds = p/(1−p) and the odds→probability conversion appear only in Answer 2. Log-odds is named without a number.</t>
  </si>
  <si>
    <t xml:space="preserve">Before the code add a 4-line box (pointing back to Ch 30 §30.11): odds = p ÷ (1−p), so p = 0.10 gives odds 0.111 ("1 to 9"); log-odds = ln(odds) = −2.197 = z; p = odds ÷ (1+odds). An odds ratio of 2.10 turns odds 0.111 into 0.233, so p goes from 10% to 18.9%, not 21%. Move Answer 2's warning ("odds ratios multiply odds, not probabilities") into the body.</t>
  </si>
  <si>
    <t xml:space="preserve">37.21</t>
  </si>
  <si>
    <t xml:space="preserve">§37.3 clf_pipeline, clf_report, logistic fit, odds printing (one block)</t>
  </si>
  <si>
    <t xml:space="preserve">Eight new things at once: add_indicator=True in a new function, an optional scale flag, OneHotEncoder *without* drop (contradicting §37.1's "Linear regression needs this"), a global results dict mutated inside a function, predict_proba(...)[:, 1], log_loss, max_iter=2000, and np.exp(coef) + pd.concat(head, tail).</t>
  </si>
  <si>
    <t xml:space="preserve">Split into 4 cells with output. (1) clf_pipeline: compare it with reg_pipeline line by line. add_indicator=True adds a 0/1 "was blank" column (recall Ch 36 §36.7). scale=False will be used for trees. Explain why no drop here: "with regularization (next), the all-columns version is fine and easier to read". (2) clf_report: predict_proba returns two columns, P(stayed) and P(churned), and [:, 1] takes the second. results[name] = … stores each AUC for the comparison later. max_iter = the most optimizer steps allowed; 2,000 avoids a "did not converge" warning. (3) Fit logistic and show the output line. (4) Odds ratios: np.exp of each weight, .sort_values(), and head(3)/tail(4) = the three most protective and four riskiest.</t>
  </si>
  <si>
    <t xml:space="preserve">37.22</t>
  </si>
  <si>
    <t xml:space="preserve">§37.3 z = logit.decision_function(one)[0]; one = X_va.iloc[[0]]</t>
  </si>
  <si>
    <t xml:space="preserve">decision_function (returns z, the weighted sum before the sigmoid) and iloc[[0]] (double brackets keep a one-row table) are unexplained.</t>
  </si>
  <si>
    <t xml:space="preserve">Add one sentence for each under the code.</t>
  </si>
  <si>
    <t xml:space="preserve">37.23</t>
  </si>
  <si>
    <t xml:space="preserve">§37.3 "gives calibrated probabilities (usually)"; §37.5 "without calibration (Chapter 39)"</t>
  </si>
  <si>
    <t xml:space="preserve">"Calibrated" is used without definition. Calibration is Ch 39.</t>
  </si>
  <si>
    <t xml:space="preserve">At first use: "calibrated: when it says 20%, about 20 in 100 such accounts really churn (Chapter 39 checks this)".</t>
  </si>
  <si>
    <t xml:space="preserve">37.24</t>
  </si>
  <si>
    <t xml:space="preserve">§37.4 k-NN "How it works" then straight to code</t>
  </si>
  <si>
    <t xml:space="preserve">No by-hand step. The idea ("share of the k nearest that churned") is never computed on numbers, though it is the easiest algorithm in the chapter to do by hand.</t>
  </si>
  <si>
    <t xml:space="preserve">Add "k-NN by hand". Five training accounts with two scaled features: A (0.2, 0.1) stayed; B (0.5, 0.4) stayed; C (1.8, 1.5) churned; D (2.0, 2.2) churned; E (1.6, 1.9) stayed. New account (1.7, 1.6). Distances: A 2.121, B 1.697, C 0.141, D 0.671, E 0.316. The 3 nearest are C, E, D, so the prediction is 2/3 = 0.667. Then show the same with KNeighborsClassifier(n_neighbors=3).fit(...).predict_proba([[1.7, 1.6]]) → [0.333, 0.667]. Add a line on what an unscaled rupee column would do to these distances.</t>
  </si>
  <si>
    <t xml:space="preserve">37.25</t>
  </si>
  <si>
    <t xml:space="preserve">§37.4 KNeighborsClassifier(n_neighbors=k)</t>
  </si>
  <si>
    <t xml:space="preserve">Defaults the reader relies on are unstated: weights="uniform" (every neighbor counts equally; Exercise 6 changes it) and metric="minkowski", p=2 (= Euclidean, Ch 35). The unscaled k=25 model has a *better* log loss (0.4735) than the scaled one (0.5255), which will puzzle a careful reader.</t>
  </si>
  <si>
    <t xml:space="preserve">Add a two-row parameter note for the defaults. Add one sentence on the log loss: "unscaled neighbors are a vaguer mix, so fewer 0% predictions; better log loss, worse ranking; AUC is the fairer comparison here".</t>
  </si>
  <si>
    <t xml:space="preserve">37.26</t>
  </si>
  <si>
    <t xml:space="preserve">§37.5 "Naive Bayes applies Bayes' rule… multiplies: the prior · × the likelihood"</t>
  </si>
  <si>
    <t xml:space="preserve">Bayes' rule is not linked to Ch 21 §21.7, where the reader learned it. The formula is never written. "Posterior" is in Key terms but not in the text. "the prior · × the likelihood" reads oddly in the extract; it is probably a two-bullet list, so check the PDF layout.</t>
  </si>
  <si>
    <t xml:space="preserve">First-time reader / Polish</t>
  </si>
  <si>
    <t xml:space="preserve">Write: "P(churned \ | signs) ∝ P(churned) × P(sign₁ \ | churned) × P(sign₂ \ | churned)". Name each part (prior, likelihoods, posterior). Point back: "the same rule as §21.7, applied to each class and then rescaled so the two answers add to 1". If the PDF really shows "· ×", make it one sentence.</t>
  </si>
  <si>
    <t xml:space="preserve">37.27</t>
  </si>
  <si>
    <t xml:space="preserve">§37.5 crosstab block ("late small retail", "ordered in last 90 days")</t>
  </si>
  <si>
    <t xml:space="preserve">New pandas in one block: a two-key pd.crosstab with .rename() on Series, value_counts().to_dict(), ~recent, and boolean-mask means inside a loop over (Series, name) pairs. The two-level output table is not walked through. It isn't said why "late-paying small retailer" is the signal chosen (see 37.46).</t>
  </si>
  <si>
    <t xml:space="preserve">Split into 3 cells: (1) build the two flags and print late_small_retail.sum() and (~recent).sum(), explaining &amp; and ~ (recall Ch 18). (2) The crosstab, followed by a sentence walking one row ("late small retail = True, ordered recently = False: 10 stayed, 40 churned"). (3) The likelihoods, computed once explicitly for one flag before the loop: late_small_retail[train_acc["churned_2025"] == 1].mean() = "among churners, the share with this sign" = 60/290 = 0.207.</t>
  </si>
  <si>
    <t xml:space="preserve">37.28</t>
  </si>
  <si>
    <t xml:space="preserve">§37.5 / §37.6 train_acc["late_payment_days"] &gt; 25</t>
  </si>
  <si>
    <t xml:space="preserve">late_payment_days has blanks (Ch 38 fills them with the median). NaN &gt; 25 is silently False, so blank accounts count as "not late" in the hand examples and in the engineered features.</t>
  </si>
  <si>
    <t xml:space="preserve">Add one sentence where the flag is first built: "Blank late_payment_days count as not late here (a comparison with a blank is False)". Or fill blanks with the median first, as the pipeline does.</t>
  </si>
  <si>
    <t xml:space="preserve">37.29</t>
  </si>
  <si>
    <t xml:space="preserve">§37.5 "GaussianNB can't read the sparse one-hot output, so a FunctionTransformer converts it"</t>
  </si>
  <si>
    <t xml:space="preserve">Likely false for this pipeline. ColumnTransformer returns a dense array whenever the overall density is ≥ sparse_threshold = 0.3. Here that's 4 ones in 13 one-hot columns plus 11+ dense numeric columns, about 0.6 density. I reproduced this with a same-shaped frame in scikit-learn 1.8.0 and got a dense ndarray. So the step teaches four new ideas (FunctionTransformer, a lambda, hasattr, steps.insert) to solve a problem that doesn't occur.</t>
  </si>
  <si>
    <t xml:space="preserve">Correctness / Line-by-line code</t>
  </si>
  <si>
    <t xml:space="preserve">Remove the to_dense step and the steps.insert line, and fit clf_pipeline(GaussianNB()) directly (verify it runs and gives 0.740). If a dense guarantee is wanted, use OneHotEncoder(handle_unknown="ignore", sparse_output=False) and say why. Delete the "How it works" paragraph or rewrite it accordingly.</t>
  </si>
  <si>
    <t xml:space="preserve">37.30</t>
  </si>
  <si>
    <t xml:space="preserve">§37.5 "Now the full model. GaussianNB assumes each numeric feature follows a normal distribution"</t>
  </si>
  <si>
    <t xml:space="preserve">The by-hand example uses counted yes/no likelihoods, but the model used is Gaussian. The step from "count the share" to "normal-curve likelihood" isn't shown, and neither is a check that code reproduces the 0.765.</t>
  </si>
  <si>
    <t xml:space="preserve">Add a cell that reproduces the hand example in code: from sklearn.naive_bayes import BernoulliNB; fit on the two 0/1 flags with alpha=1e-9, force_alpha=True (no smoothing); predict_proba([[1, 1]]) should give ≈ 0.765 (verify). Then add one sentence and one number for the Gaussian version: "for a number like days since last order, the likelihood is read from a normal curve with the churners' mean and SD" (show both classes' mean/SD for that feature).</t>
  </si>
  <si>
    <t xml:space="preserve">37.31</t>
  </si>
  <si>
    <t xml:space="preserve">§37.6 "Purity is measured by Gini impurity or entropy (Chapter 35)"</t>
  </si>
  <si>
    <t xml:space="preserve">Ch 35 teaches entropy and information gain (§35.9) but not Gini (0 mentions). Gini is new here.</t>
  </si>
  <si>
    <t xml:space="preserve">Polish (cross-ref) / Sequence</t>
  </si>
  <si>
    <t xml:space="preserve">"…measured by entropy (Chapter 35 §35.9) or by Gini impurity, a simpler cousin that's new here." Add a 3-line Gini warm-up: p = 0 → 0; p = 0.5 → 0.5; p = 0.1 → 0.18.</t>
  </si>
  <si>
    <t xml:space="preserve">37.32</t>
  </si>
  <si>
    <t xml:space="preserve">§37.6 depth loop + export_text + depth-4 clf_report (one block)</t>
  </si>
  <si>
    <t xml:space="preserve">Three jobs in one block, with its three outputs printed together. New: str(depth) for None, get_n_leaves(), export_text(..., feature_names=list(...), show_weights=True), min_samples_leaf=20, and random_state on a tree (tie-breaking between equally good splits). criterion is discussed but never shown in code.</t>
  </si>
  <si>
    <t xml:space="preserve">Split into 3 cells: (1) the depth loop with its table; (2) the depth-2 tree printed, with a walk-through of how to read weights: [13.00, 39.00] class: 1 ("13 stayed, 39 churned; majority says churn"); (3) the depth-4, min_samples_leaf=20 model. Add a parameter table: max_depth, min_samples_leaf, criterion (default "gini"), random_state. Show criterion="entropy" once to support "they rarely differ".</t>
  </si>
  <si>
    <t xml:space="preserve">37.33</t>
  </si>
  <si>
    <t xml:space="preserve">§37.6 Figure 37.2 "best validation 0.752" at depth 3</t>
  </si>
  <si>
    <t xml:space="preserve">The figure uses depths 1, 3, 5, 8 and 14, which the code never runs. The reader can't reproduce it.</t>
  </si>
  <si>
    <t xml:space="preserve">Say "the figure's code, which adds depths 1, 3, 5, 8 and 14, is in the companion notebook". Or add 3 and 14 to the printed loop.</t>
  </si>
  <si>
    <t xml:space="preserve">37.34</t>
  </si>
  <si>
    <t xml:space="preserve">§37.7 "Bagging (bootstrap aggregating): each tree trains on a random sample… drawn with replacement"</t>
  </si>
  <si>
    <t xml:space="preserve">No by-hand step for the forest. "With replacement" and bootstrap are not explained (Ch 22 only names bootstrap). "Random features at each split" isn't illustrated.</t>
  </si>
  <si>
    <t xml:space="preserve">Add "A tiny forest by hand". Take the 8 toy accounts from §37.8 (moved earlier, or a new 8). Draw a bootstrap sample with rng.choice(8, size=8, replace=True) and show it, e.g. rows [3, 1, 3, 7, 2, 8, 5, 1]: some rows twice, rows 4 and 6 left out. Explain "with replacement". Fit 3 stumps on 3 such samples, show each stump's prediction for one account (e.g. 0.30, 0.50, 0.10), and average them → 0.30. Then state the random-features rule: "at each split a tree may look at only √(number of features) columns".</t>
  </si>
  <si>
    <t xml:space="preserve">37.35</t>
  </si>
  <si>
    <t xml:space="preserve">§37.7 "Chapter 39 uses permutation importance and SHAP, which are more reliable" (first SHAP mention of 6)</t>
  </si>
  <si>
    <t xml:space="preserve">M.11 (SHAP). All six SHAP mentions (§37.7, §37.8 "Chapter 39's SHAP values help", the algorithm table "With SHAP (Ch 39)", Answer 15) are forward pointers with no gloss. Decision: keep SHAP in Ch 39, but add a one-line plain-English gloss at first mention. Don't move it.</t>
  </si>
  <si>
    <t xml:space="preserve">At the §37.7 first mention add: "permutation importance: shuffle one column and see how much the validation score drops; SHAP: splits one account's prediction into a contribution from each feature. Both are taught in Chapter 39." Leave the later mentions as they are.</t>
  </si>
  <si>
    <t xml:space="preserve">37.36</t>
  </si>
  <si>
    <t xml:space="preserve">§37.8 "Three rounds by hand": the code prints targets but not x_toy</t>
  </si>
  <si>
    <t xml:space="preserve">The "by hand" section can't be done by hand: the eight days-since-last-order values are never shown. I reconstructed them from the outputs. The churner has days between 42 and 77.5, three non-churners are ≤ 42 days, and four non-churners are &gt; 77.5 days. So in this toy the long-silent accounts stayed, the opposite of the chapter's story. That will confuse a reader who works it out.</t>
  </si>
  <si>
    <t xml:space="preserve">(a) Print the eight rows as a table (toy[["days_since_last_order","churned_2025"]]). Better, pick 8 rows (e.g. by random_state) where the churner is the most silent account, so the stump reads "days &gt; X → churn". (b) Do round 1 fully by hand before the loop. Start at 0.125 for all. Residuals are 0.875 (churner) and −0.125 (others). The stump at 77.5 splits {churner + 3 others} (mean residual 0.125) from {4 others} (−0.125). Add ½ × those: predictions become 0.1875 and 0.0625. Squared error = (0.8125² + 3×0.1875² + 4×0.0625²)/8 = 0.0977 ✓. (c) Then run the loop for rounds 2–3. Explain np.full, .to_numpy().astype(float), and stump.tree_.threshold[0] ("the split point of the stump's first and only question; tree_ is scikit-learn's internal tree").</t>
  </si>
  <si>
    <t xml:space="preserve">37.37</t>
  </si>
  <si>
    <t xml:space="preserve">§37.8 "Real libraries do exactly this with log loss instead of squared error"</t>
  </si>
  <si>
    <t xml:space="preserve">Overstated. With log loss the trees fit gradients on the log-odds scale, and leaf values use a second-order (Newton) step. It is the same idea, not exactly this.</t>
  </si>
  <si>
    <t xml:space="preserve">"Real libraries do the same thing on the log-odds scale with log loss, and add refinements (second-order steps, regularized leaves), with deeper trees and hundreds of rounds."</t>
  </si>
  <si>
    <t xml:space="preserve">37.38</t>
  </si>
  <si>
    <t xml:space="preserve">§37.8 libraries code block (HGB default + tuned, XGBoost, LightGBM, CatBoost)</t>
  </si>
  <si>
    <t xml:space="preserve">Five models, four libraries and ~25 arguments in one block. Unexplained: n_jobs=1, random_state vs CatBoost's random_seed, subsample_freq=1 (LightGBM ignores subsample without it), verbose=-1, verbose=0, thread_count=1, num_leaves=8 (≈ a depth-3 tree, the link to max_depth=3), min_child_samples, colsample_bytree, depth=4, iterations=500 (why 500 when the others use 300?), cat_features=CATS, and the separate non-pipeline CatBoost code path. The L2-regularization setting is named in prose, but its per-library names aren't given.</t>
  </si>
  <si>
    <t xml:space="preserve">One cell per library, each with output and a parameter table (name, what it controls, value here, why). Explain the shared ones once, in a comparison table: trees (max_iter/n_estimators/iterations), learning rate, size (max_depth/num_leaves/depth), leaf size (min_samples_leaf/min_child_samples/min_data_in_leaf), row sampling (subsample + LightGBM's subsample_freq), column sampling (colsample_bytree), L2 (l2_regularization/reg_lambda/reg_lambda/l2_leaf_reg), reproducibility (random_state/random_seed), threads (n_jobs/thread_count: "1 so timings are comparable and runs repeatable"), and silence (verbose). Either use 300 iterations for CatBoost or explain the 500. Explain why CatBoost is fitted outside clf_report (it gets raw text columns, not the one-hot pipeline).</t>
  </si>
  <si>
    <t xml:space="preserve">37.39</t>
  </si>
  <si>
    <t xml:space="preserve">§37.9 SVM "How it works" (margin, support vectors, kernel) then code</t>
  </si>
  <si>
    <t xml:space="preserve">No by-hand step. "Margin", "support vector" and "kernel trick" remain words. gamma (the RBF width, default "scale") is never mentioned though it is the RBF's main setting. "Platt scaling" is named but not explained.</t>
  </si>
  <si>
    <t xml:space="preserve">Add a 1-D hand example. Stayed accounts at days 10, 20, 40; churned at 120, 150. The widest gap is between 40 and 120, so the boundary is at 80 and the margin is 40 on each side. 40 and 120 are the support vectors: move 10 or 150 and nothing changes; move 40 and the boundary moves. Then one picture sentence for the kernel ("an RBF kernel lets the boundary curve around groups"). Add parameter rows for kernel, C, gamma (default "scale"), class_weight, probability ("fits a small logistic curve on the SVM's distances: Platt scaling") and random_state (only used by that calibration step).</t>
  </si>
  <si>
    <t xml:space="preserve">37.40</t>
  </si>
  <si>
    <t xml:space="preserve">§37.10 "the fold spreads (0.007–0.020) are smaller than the gaps"</t>
  </si>
  <si>
    <t xml:space="preserve">Not true for all pairs. Boosting vs forest differ by 0.010, which is smaller than their fold SDs (0.017, 0.020). Also, comparing each model's own SD is the wrong yardstick for models scored on the same folds; the per-fold paired differences are. Boosting − logistic per fold = 0.056, 0.032, 0.027, 0.014, 0.014 (all positive, mean 0.029). Boosting − forest = 0.006, 0.010, 0.016, 0.014, 0.005 (all positive, mean 0.010).</t>
  </si>
  <si>
    <t xml:space="preserve">Replace with: "Because all three used the same folds, compare them fold by fold: boosting beats logistic regression in all five folds (by 0.014–0.056), and beats the forest in all five too, but only by 0.005–0.016." Add a two-line cell printing s_boost - s_logit (store each model's scores in a dict).</t>
  </si>
  <si>
    <t xml:space="preserve">37.41</t>
  </si>
  <si>
    <t xml:space="preserve">§37.10 learning_curve(... train_sizes=sizes, shuffle=True, random_state=37) and tr_s.mean(axis=1)</t>
  </si>
  <si>
    <t xml:space="preserve">The reader isn't told that sizes are fractions of each training fold (4,000 × 4/5 = 3,200, so 0.1 → 320 rows), what the three returned arrays are (sizes; a sizes × folds table of training scores; the same for CV), or what axis=1 averages (across the 5 folds).</t>
  </si>
  <si>
    <t xml:space="preserve">Add the arithmetic 0.1 × 3,200 = 320 … 1.0 × 3,200 = 3,200. Print tr_s.shape → (5, 5) and explain rows = sizes, columns = folds, so .mean(axis=1) = the average across folds for each size (link to NumPy basics, M.9). Split into (1) one model's curve with output, (2) the loop over both.</t>
  </si>
  <si>
    <t xml:space="preserve">37.42</t>
  </si>
  <si>
    <t xml:space="preserve">§37.10 "Fixing bias with features": four engineered features; §37.11 test "logistic + engineered 0.850"</t>
  </si>
  <si>
    <t xml:space="preserve">Honesty and data-snooping. The thresholds (&gt; 90 and &gt; 180 days; late &gt; 25 AND Small AND Retail; complaints ≥ 2 AND tenure &lt; 18) are said to come from "what the tree… and the odds ratios suggested". But the depth-2 tree showed &gt; 160 days and late &gt; 25 for *all* sizes. Nothing in the chapter points to "small retail" or to "new and complaining"; those match the generator's planted rules. The chapter's headline result ("simple model with good features beat both") and the AutoML story ("features built from the tree's first splits and the sales team's own warning signs") rest on this. The caveat paragraph helps but comes after the headline.</t>
  </si>
  <si>
    <t xml:space="preserve">Either (a) derive each feature on screen from train_acc only: print a depth-3 or depth-4 tree, or a crosstab of churn by segment × size among late payers, and a crosstab of churn by complaints × tenure band, then choose thresholds from those outputs. Or (b) say plainly before the result: "Two of these features come from the sales team's knowledge, which here matches how the data was generated; treat 0.849 as close to the best case". Make the AutoML story and the Recap line consistent with whichever is chosen. Also explain in §37.5 where "late-paying small retailer" came from.</t>
  </si>
  <si>
    <t xml:space="preserve">37.43</t>
  </si>
  <si>
    <t xml:space="preserve">§37.10 eng_pipe = Pipeline([... 30 lines ...])</t>
  </si>
  <si>
    <t xml:space="preserve">The block rebuilds clf_pipeline by hand, 30 nested lines, only to add 4 columns. That's a large, error-prone block for a one-word change.</t>
  </si>
  <si>
    <t xml:space="preserve">Give clf_pipeline a nums=NUMS parameter in §37.3 (("num", Pipeline(num_steps), nums)), then write eng_pipe = clf_pipeline(LogisticRegression(max_iter=2000), nums=NUMS + ENG). Split the feature-building loop into its own cell and print engineered[ENG].mean() (how common each flag is). Explain for df in (engineered, test_eng) changing both tables in place.</t>
  </si>
  <si>
    <t xml:space="preserve">37.44</t>
  </si>
  <si>
    <t xml:space="preserve">§37.11 random-search block</t>
  </si>
  <si>
    <t xml:space="preserve">New in one block: loguniform/randint objects, param_distributions with model__ names, n_iter, scoring, n_jobs=1, best_score_, best_params_, a dict comprehension with isinstance rounding, cv_results_ as a DataFrame and rank_test_score. The prose explains three of these.</t>
  </si>
  <si>
    <t xml:space="preserve">Split into 3 cells: (1) show what the distributions produce (loguniform(0.01, 0.3).rvs(5, random_state=1), randint(10,100).rvs(5, random_state=1)). (2) Build and fit the search, with a parameter table (param_distributions, n_iter, cv, scoring, random_state, n_jobs) and a note that refit=True (the default) refits the best settings on all of rest, which is why best_estimator_ is ready to use. (3) Print best_score_, then best_params_ plainly (drop the comprehension, or explain it), then the top five from cv_results_, explaining rank_test_score.</t>
  </si>
  <si>
    <t xml:space="preserve">37.45</t>
  </si>
  <si>
    <t xml:space="preserve">§37.11 "Optuna finds 0.844, a little above random search. With larger search spaces… the advantage… grows"</t>
  </si>
  <si>
    <t xml:space="preserve">By the chapter's own rule (differences below a fold SD of ~0.017 are noise), 0.844 vs 0.841 is a tie. The sentence nudges the reader to over-read it.</t>
  </si>
  <si>
    <t xml:space="preserve">"Optuna finds 0.844 against random search's 0.841, a tie by this chapter's rule. Its advantage appears with larger search spaces or slower models, where each trial is expensive." Also explain optuna.logging.set_verbosity, trial.suggest_float(..., log=True) (= loguniform), create_study(direction="maximize") and n_trials.</t>
  </si>
  <si>
    <t xml:space="preserve">37.46</t>
  </si>
  <si>
    <t xml:space="preserve">§37.11 test loop cols = CATS + NUMS + (ENG if "engineered" in name else [])</t>
  </si>
  <si>
    <t xml:space="preserve">Branching on text in a model name is fragile and hides which data each model uses.</t>
  </si>
  <si>
    <t xml:space="preserve">Store a tuple per model: final_models = {"logistic regression": (pipe, rest, test_acc, CATS+NUMS), …} and unpack pipe, train_df, test_df, cols in the loop.</t>
  </si>
  <si>
    <t xml:space="preserve">37.47</t>
  </si>
  <si>
    <t xml:space="preserve">Time needed "14–18 hours over two to three weeks"</t>
  </si>
  <si>
    <t xml:space="preserve">Load. Nine families, 24 body code blocks, three new libraries, learning curves, grid/random/Bayesian tuning and a project, in one sitting plan. With the by-hand steps added (37.5, 37.16, 37.24, 37.34, 37.36, 37.39) it grows by about 4–5 hours.</t>
  </si>
  <si>
    <t xml:space="preserve">Split into Part A "Linear family and neighbors" (§37.0–37.5, ~9–10 h, checkpoint: sigmoid, odds and a Naive Bayes posterior by hand on new numbers) and Part B "Trees, ensembles and tuning" (§37.6–37.12 + project, ~11–13 h, checkpoint: a Gini split and one boosting round by hand). Restate as "20–24 hours over three weeks".</t>
  </si>
  <si>
    <t xml:space="preserve">37.48</t>
  </si>
  <si>
    <t xml:space="preserve">§37.12 make_model(LEAD_CATS, LEAD_NUMS, HistGradientBoostingClassifier(...))</t>
  </si>
  <si>
    <t xml:space="preserve">Ch 36's make_model(categorical, numeric) takes two arguments and hard-codes LogisticRegression(max_iter=1000). Here it takes a third, so it's a different function the reader hasn't seen. What lead_data.py contains is never shown. TimeSeriesSplit needs rows in time order, which isn't said. The time-series CV AUC (0.769) is far below validation (0.829), unexplained.</t>
  </si>
  <si>
    <t xml:space="preserve">Show lead_data.py's make_model signature (def make_model(cats, nums, model=None), default logistic) and list load_leads()'s return values in one sentence. Add: "load_leads returns rows sorted by enquiry date, which TimeSeriesSplit needs". Explain the CV-vs-valid gap: early time-series folds train on only a fifth of 2023–24, so their scores are lower.</t>
  </si>
  <si>
    <t xml:space="preserve">37.49</t>
  </si>
  <si>
    <t xml:space="preserve">§37.12 "with about 580 wins in training"</t>
  </si>
  <si>
    <t xml:space="preserve">The number isn't printed anywhere.</t>
  </si>
  <si>
    <t xml:space="preserve">Print leads_train["won"].sum() in the §37.12 cell, or cite Ch 36's figure with its section.</t>
  </si>
  <si>
    <t xml:space="preserve">37.50</t>
  </si>
  <si>
    <t xml:space="preserve">"Which algorithm when" table: Naive Bayes "Needs scaling? No (Gaussian: helps)"</t>
  </si>
  <si>
    <t xml:space="preserve">Wrong. GaussianNB fits a separate mean and variance for each feature and class, so rescaling a feature has no effect on its predictions.</t>
  </si>
  <si>
    <t xml:space="preserve">Change to "No". Optionally add a stretch exercise showing GaussianNB AUC is identical with scale=True and scale=False.</t>
  </si>
  <si>
    <t xml:space="preserve">37.51</t>
  </si>
  <si>
    <t xml:space="preserve">In the real world: "She sets up a fair comparison on the same test accounts"</t>
  </si>
  <si>
    <t xml:space="preserve">The chapter says "score the test set once". The story then scores four candidates, plus the vendor's ensemble, on the same 1,000 test accounts. And "Meera does use an open-source AutoML library… on product demand (Chapter 40)", but Ch 40 has no AutoML (0 mentions).</t>
  </si>
  <si>
    <t xml:space="preserve">Consistency / Polish (cross-ref)</t>
  </si>
  <si>
    <t xml:space="preserve">Say the vendor was given the same train/test split and scored once, and that Meera's numbers are the single test scores from §37.11. Also say that with five models on one test set, 0.84 vs 0.85 is a tie. Change the Chapter 40 sentence to "…on product demand, as a quick way to see what's possible" with no chapter reference, or add that experiment to Ch 40.</t>
  </si>
  <si>
    <t xml:space="preserve">37.52</t>
  </si>
  <si>
    <t xml:space="preserve">Several terms are taught only in exercises or answers, or not at all: validation curve (Ex 10), stacking (Ex 11), early stopping (stretch), AutoML (story only), node, posterior, conditional independence, bootstrap sample, residual fitting.</t>
  </si>
  <si>
    <t xml:space="preserve">Either teach each in the body (posterior per 37.26; bootstrap per 37.34; node in §37.6) or move exercise-only terms to a "Also met in the exercises" line.</t>
  </si>
  <si>
    <t xml:space="preserve">37.53</t>
  </si>
  <si>
    <t xml:space="preserve">Answers "(In the finished book these move to Appendix G. …)"</t>
  </si>
  <si>
    <t xml:space="preserve">Delete the parenthetical; keep "Every calculation was checked…" if wanted.</t>
  </si>
  <si>
    <t xml:space="preserve">37.54</t>
  </si>
  <si>
    <t xml:space="preserve">Tools "Data spec: planning/data/riverstone-accounts.md"</t>
  </si>
  <si>
    <t xml:space="preserve">Internal planning file named as a reader file.</t>
  </si>
  <si>
    <t xml:space="preserve">Delete, or replace with the data dictionary added per 37.4.</t>
  </si>
  <si>
    <t xml:space="preserve">37.55</t>
  </si>
  <si>
    <t xml:space="preserve">Answer 5 code: REG_NUMS = [c for c in REG_NUMS_FULL if …] … REG_NUMS = REG_NUMS_FULL</t>
  </si>
  <si>
    <t xml:space="preserve">Works only because reg_report/reg_pipeline read the global REG_NUMS. That teaches a fragile pattern: rebinding a global to change a function's behaviour.</t>
  </si>
  <si>
    <t xml:space="preserve">Give reg_pipeline/reg_report a nums=REG_NUMS parameter in §37.1 and pass nums=[c for c in REG_NUMS if c != "log_revenue_2024"] in the answer.</t>
  </si>
  <si>
    <t xml:space="preserve">37.56</t>
  </si>
  <si>
    <t xml:space="preserve">Practice exercises (Warm-up)</t>
  </si>
  <si>
    <t xml:space="preserve">Hand exercises cover only the sigmoid, odds and Gini. Nothing for k-NN, ridge/lasso shrinkage, bootstrap or a boosting round, which the new by-hand sections introduce.</t>
  </si>
  <si>
    <t xml:space="preserve">Add 3 warm-ups with answers. (a) k-NN, k = 3, on 5 given points. (b) Ridge w = Σxy/(Σx²+α) for α = 0, 2, 10 on 4 given points. (c) One boosting round on 4 rows with learning rate 0.5.</t>
  </si>
  <si>
    <t xml:space="preserve">37.57</t>
  </si>
  <si>
    <t xml:space="preserve">§37.0 "A perfect model… would score an AUC of 0.858 on these accounts"</t>
  </si>
  <si>
    <t xml:space="preserve">It isn't said which accounts (all 5,000? the 1,000 test?). The value is later compared with CV on 4,000 (0.849) and test (0.850).</t>
  </si>
  <si>
    <t xml:space="preserve">"…0.858 on all 5,000 accounts (0.86 on the test 1,000)", with the actual test-set value from the generator.</t>
  </si>
  <si>
    <t xml:space="preserve">V37.1</t>
  </si>
  <si>
    <t xml:space="preserve">p. 12 · Figure 37.1 (lasso: features kept vs test R²)</t>
  </si>
  <si>
    <t xml:space="preserve">Tick labels 5.9 pt; axis titles 6.4–6.6 pt. It is a dual-axis chart whose two lines are told apart only by colour (blue vs teal, with axis titles tinted to match). The right axis starts at 0.90, which exaggerates the R² drop.</t>
  </si>
  <si>
    <t xml:space="preserve">Redraw at ≥ 7 pt. Label each line directly at its end ("features kept", "test R²") or split into two stacked panels.</t>
  </si>
  <si>
    <t xml:space="preserve">V37.2</t>
  </si>
  <si>
    <t xml:space="preserve">p. 20 · Figure 37.2 (tree depth vs AUC)</t>
  </si>
  <si>
    <t xml:space="preserve">Tick labels 5.9 pt; axis titles 6.4–6.6 pt.</t>
  </si>
  <si>
    <t xml:space="preserve">V37.3</t>
  </si>
  <si>
    <t xml:space="preserve">p. 28 · Figure 37.3 (learning curves, 2 panels)</t>
  </si>
  <si>
    <t xml:space="preserve">Ticks 5.5 pt; panel titles and end labels 5.7–6.0 pt.</t>
  </si>
  <si>
    <t xml:space="preserve">Stack the panels or enlarge them to ≥ 7 pt.</t>
  </si>
  <si>
    <t xml:space="preserve">V37.4</t>
  </si>
  <si>
    <t xml:space="preserve">p. 20 · Figure 37.2 label</t>
  </si>
  <si>
    <t xml:space="preserve">"best validation 0.752" starts on the depth-2 marker (0.709), with its "b" overprinting the point, and sits beside that point rather than the depth-3 peak it names.</t>
  </si>
  <si>
    <t xml:space="preserve">Anchor the label above the depth-3 point with a leader line, clear of the markers.</t>
  </si>
  <si>
    <t xml:space="preserve">V37.5</t>
  </si>
  <si>
    <t xml:space="preserve">p. 15→16 · Naive Bayes formula callout</t>
  </si>
  <si>
    <t xml:space="preserve">p. 15 ends "For each class (churned, stayed), it multiplies:" above a 20% blank. The one-line formula box is alone at the top of p. 16. The box reads "how common the class is · × the likelihood": a stray "·" before "×".</t>
  </si>
  <si>
    <t xml:space="preserve">Keep the lead-in with the box, and remove the stray "·".</t>
  </si>
  <si>
    <t xml:space="preserve">V37.6</t>
  </si>
  <si>
    <t xml:space="preserve">p. 7, 9, 12, 13, 42 · Formulas in prose and callouts</t>
  </si>
  <si>
    <t xml:space="preserve">Exponents use a caret: "e^11.0907 = ₹65,555", "(e^−0.097 = 0.908)", "probability = 1 ÷ (1 + e^(−z))", "1 ÷ (1 + e^2.124)", "1 + e^−z = 2, so e^−z = 1". Elsewhere the chapter uses real superscripts (R², p², 4⁵). In answer 1 (p. 42) the equation also breaks with "=" at the start of a line.</t>
  </si>
  <si>
    <t xml:space="preserve">Set exponents as superscripts (e&lt;sup&gt;−z&lt;/sup&gt;) and keep short equations on one line.</t>
  </si>
  <si>
    <t xml:space="preserve">V37.7</t>
  </si>
  <si>
    <t xml:space="preserve">p. 6, 7, 19, 23, 30 · Page breaks before long code blocks</t>
  </si>
  <si>
    <t xml:space="preserve">Pages end 25–35% short because the next code block (up to 60 lines) never splits: p. 6 (before the log-revenue block), p. 7 (before "Many features"), p. 19 (depth code, whose output moved to p. 20), p. 23 (before the 4-library block), p. 30 (before "Random search").</t>
  </si>
  <si>
    <t xml:space="preserve">Allow blocks over ~15 lines to split.</t>
  </si>
  <si>
    <t xml:space="preserve">V37.8</t>
  </si>
  <si>
    <t xml:space="preserve">p. 42, 43, 45 · Answers 5, 7, 11</t>
  </si>
  <si>
    <t xml:space="preserve">The answer number is stranded alone at the page foot ("5.", "7.", "11."), with its code block on the next page.</t>
  </si>
  <si>
    <t xml:space="preserve">Keep-with-next on answer numbers.</t>
  </si>
  <si>
    <t xml:space="preserve">V37.9</t>
  </si>
  <si>
    <t xml:space="preserve">"Approved chapter · v1", "21 September 2026".</t>
  </si>
  <si>
    <t xml:space="preserve">Remove for print / align.</t>
  </si>
  <si>
    <t xml:space="preserve">V37.10</t>
  </si>
  <si>
    <t xml:space="preserve">V37.11</t>
  </si>
  <si>
    <t xml:space="preserve">p. 6 · Linear-regression formula</t>
  </si>
  <si>
    <t xml:space="preserve">The subscript "ₙ" (featureₙ, wₙ) comes from the fallback serif and is lighter and lower than ₁/₂.</t>
  </si>
  <si>
    <t xml:space="preserve">Use real subscripts (&lt;sub&gt;) or a font with U+2099.</t>
  </si>
  <si>
    <t xml:space="preserve">V37.12</t>
  </si>
  <si>
    <t xml:space="preserve">The production note "(In the finished book these move to Appendix G…)" is visible.</t>
  </si>
  <si>
    <t xml:space="preserve">V37.13</t>
  </si>
  <si>
    <t xml:space="preserve">p. 8, 24, 29, 46 · Pipeline code</t>
  </si>
  <si>
    <t xml:space="preserve">The Black-style one-item-per-line layout stretches ColumnTransformer blocks to 25–45 lines with deep bracket nesting (p. 29's engineered pipeline is 35 lines).</t>
  </si>
  <si>
    <t xml:space="preserve">Name the sub-pipelines first, then assemble them.</t>
  </si>
  <si>
    <t xml:space="preserve">V37.14</t>
  </si>
  <si>
    <t xml:space="preserve">p. 23, 25, 41 · Inline code in prose</t>
  </si>
  <si>
    <t xml:space="preserve">Pill padding adds a space before punctuation: "( cat_features=CATS );", "( max_iter , n_estimators , iterations )", "( search.best_estimator_ )".</t>
  </si>
  <si>
    <t xml:space="preserve">Tighten the pill margin.</t>
  </si>
  <si>
    <t xml:space="preserve">V37.15</t>
  </si>
  <si>
    <t xml:space="preserve">p. 40, 41 · Exercise lists</t>
  </si>
  <si>
    <t xml:space="preserve">"10."–"16." hang about 3 pt into the left margin.</t>
  </si>
  <si>
    <t xml:space="preserve">Widen the list indent.</t>
  </si>
  <si>
    <t xml:space="preserve">V37.16</t>
  </si>
  <si>
    <t xml:space="preserve">p. 3→5 · Section numbering</t>
  </si>
  <si>
    <t xml:space="preserve">The first numbered section is "37.0 The data for this chapter". Ch36 starts at 36.1.</t>
  </si>
  <si>
    <t xml:space="preserve">Renumber, or use an unnumbered "The data" heading as in other chapters.</t>
  </si>
  <si>
    <t xml:space="preserve">38.1</t>
  </si>
  <si>
    <t xml:space="preserve">Tools "Run the chapter's code from companion/ch38/"; "pip install umap-learn", "pip install mlxtend"</t>
  </si>
  <si>
    <t xml:space="preserve">As in Ch 37: the folder to run from, the basket generator (generate_riverstone_baskets.py) and both installs appear only at the end. A reader following along fails on "../accounts/accounts.csv" (§38.0), import umap (§38.6), "../baskets/order_lines.csv" (§38.9) and from mlxtend… (§38.9).</t>
  </si>
  <si>
    <t xml:space="preserve">Add a "Setting up" box at the start of §38.0: open a terminal in companion/ch38/; run the two generators if the CSVs are missing; pip install umap-learn mlxtend (note that umap-learn pulls in numba and takes a minute); start Jupyter there. Keep the versions in Tools.</t>
  </si>
  <si>
    <t xml:space="preserve">38.2</t>
  </si>
  <si>
    <t xml:space="preserve">§38.0 setup block (log revenue, fillna, FEATURES, scale, describe, allclose)</t>
  </si>
  <si>
    <t xml:space="preserve">New in one block: a warnings filter (unexplained), np.log, .fillna(median) with no word on *why* late_payment_days has blanks, describe().loc[["mean","std"]], StandardScaler().fit_transform, np.allclose, X.mean(axis=0). The describe output wraps and is hard to read.</t>
  </si>
  <si>
    <t xml:space="preserve">Split into 3 cells. (1) The log and the fill: print accounts["late_payment_days"].isna().sum(), and say what a blank means (e.g. "no invoice fell due in 2024"). (2) FEATURES, plus accounts[FEATURES].describe().T[["mean","std"]] (transposed so it doesn't wrap). (3) Scaling and the check, explaining axis=0 = "down each column" and np.allclose = "equal apart from tiny rounding". Explain or remove the warnings filter.</t>
  </si>
  <si>
    <t xml:space="preserve">38.3</t>
  </si>
  <si>
    <t xml:space="preserve">§38.0 "Without scaling, order count and recency would drown out everything else"; Answer 5 "those two columns have the largest raw spread (about 79 and 17)"</t>
  </si>
  <si>
    <t xml:space="preserve">Wrong. The chapter's own output gives SDs of days_since_last_order 79.28, tenure_months 20.54, orders_2024 17.32. Tenure, not orders, is second. In variance terms, recency (≈ 6,285) is about 15× tenure (≈ 422) and 21× orders (≈ 300), which is why the unscaled clusters in Answer 5 are purely recency bands. Orders differ between them only because orders track recency.</t>
  </si>
  <si>
    <t xml:space="preserve">§38.0: "Without scaling, recency (SD 79 days) would dominate every distance, followed by tenure (21 months) and orders (17); log revenue (SD 1.1) and categories (1.1) would barely count." Answer 5: "…almost entirely bands of days_since_last_order, whose variance is 15 times the next largest (tenure). Orders differ between the bands because frequent buyers ordered recently, not because orders drove the split. Tenure medians are nearly equal (25–27), which shows it didn't."</t>
  </si>
  <si>
    <t xml:space="preserve">38.4</t>
  </si>
  <si>
    <t xml:space="preserve">§38.1 By hand "Doing the same for the rest gives A, B, E in cluster 1"</t>
  </si>
  <si>
    <t xml:space="preserve">Only account C's distances are shown. "Doing the same for the rest" is the step a beginner needs to see.</t>
  </si>
  <si>
    <t xml:space="preserve">Add the full distance table (to centroid 1 / centroid 2): A 0 / 12.04; B 0.54 / 11.87; C 7.21 / 5.00; D 9.22 / 3.16; E 1.40 / 13.12; F 12.04 / 0, with the nearest one in bold. Then the step-1 inertia by hand: 0 + 0.29 + 25 + 10 + 1.96 + 0 = 37.25, matching the code.</t>
  </si>
  <si>
    <t xml:space="preserve">38.5</t>
  </si>
  <si>
    <t xml:space="preserve">§38.1 NumPy loop np.linalg.norm(small[:, None, :] - centres[None, :, :], axis=2)</t>
  </si>
  <si>
    <t xml:space="preserve">Broadcasting with None (new axes), a 3-D difference array, norm(..., axis=2), argmin(axis=1), boolean-mask row selection, a list comprehension turned into an array, np.allclose and break: about 7 new NumPy ideas in 10 lines, none explained. Ch 35 used np.linalg.norm but not this broadcasting pattern.</t>
  </si>
  <si>
    <t xml:space="preserve">Two options (prefer A). (A) First write the assign step as a plain double loop, for i, row in enumerate(small): d = [np.linalg.norm(row - c) for c in centres]; labels[i] = np.argmin(d), with output after the first pass. Then show the one-line broadcast version as "the same thing without loops", printing (small[:, None, :] - centres[None, :, :]).shape → (6, 2, 2) and explaining rows × centroids × features. (B) Keep the current code, but give it a shape walk-through and a line-by-line table. In both, explain small[labels == c] ("the rows whose label is c") and .mean(axis=0).</t>
  </si>
  <si>
    <t xml:space="preserve">38.6</t>
  </si>
  <si>
    <t xml:space="preserve">§38.1 hand check "A is (1.0 − 1.17, 2.0 − 1.47)… 0.0289 + 0.2809 = 0.3098"</t>
  </si>
  <si>
    <t xml:space="preserve">The check uses the centroid rounded to 1.17. The exact centroid is 1.1667, giving 0.0278, so the hand terms differ from the code in the 3rd decimal. The total (1.313) happens to agree.</t>
  </si>
  <si>
    <t xml:space="preserve">Add "(using the rounded centroid; the exact 1.1667 gives the same total to three decimals)". Or use fractions: 7/6 and 22/15.</t>
  </si>
  <si>
    <t xml:space="preserve">38.7</t>
  </si>
  <si>
    <t xml:space="preserve">§38.1 np.sort(check.cluster_centers_, axis=0)</t>
  </si>
  <si>
    <t xml:space="preserve">np.sort(axis=0) sorts each *column* separately, which can pair one centroid's x with another's y. It gives the right answer here only because the cluster with smaller x also has smaller y. Readers will reuse the pattern.</t>
  </si>
  <si>
    <t xml:space="preserve">Replace with centres_sk = check.cluster_centers_[np.argsort(check.cluster_centers_[:, 0])], which orders whole rows by their first coordinate. Explain in one sentence.</t>
  </si>
  <si>
    <t xml:space="preserve">38.8</t>
  </si>
  <si>
    <t xml:space="preserve">§38.1 Key settings "n_init… random starts… random_state fixes the starts"</t>
  </si>
  <si>
    <t xml:space="preserve">scikit-learn doesn't start "at the first and last account" as the hand example did. Its default init="k-means++" spreads the starting centroids out, and the reader isn't told.</t>
  </si>
  <si>
    <t xml:space="preserve">Add: "scikit-learn's starting centroids aren't random rows: its default, k-means++, picks starting points far apart, which usually saves steps."</t>
  </si>
  <si>
    <t xml:space="preserve">38.9</t>
  </si>
  <si>
    <t xml:space="preserve">§38.2 silhouette "a is its average distance to its own cluster's members…"</t>
  </si>
  <si>
    <t xml:space="preserve">No by-hand example for the silhouette, the chapter's key judging tool. silhouette_score(..., sample_size=2000, random_state=38) is unexplained (it scores a random 2,000 rows to save time).</t>
  </si>
  <si>
    <t xml:space="preserve">Use the six accounts. For A: a = mean(A–B 0.54, A–E 1.40) = 0.97; b = mean(A–C 7.21, A–D 9.22, A–F 12.04) = 9.49; s = (9.49 − 0.97) ÷ 9.49 = 0.898. Then silhouette_samples(small, labels) → 0.898, 0.901, 0.472, 0.674, 0.872, 0.669 (C scores lowest; it's the loosest member), and silhouette_score → 0.748. "Compare that 0.75 with Riverstone's 0.20." Add a line for sample_size and random_state. Move the silhouette_samples import from Answer 8 to here.</t>
  </si>
  <si>
    <t xml:space="preserve">38.10</t>
  </si>
  <si>
    <t xml:space="preserve">§38.2 Figure 38.1 "k = 4 chosen: stable and usable"; The business test "that, plus the stability above, is why…k = 4"</t>
  </si>
  <si>
    <t xml:space="preserve">Stability was measured only at k = 4, so it can't be a reason to prefer 4 over 3 or 5. "Riverstone's sales team can handle four" is an assertion.</t>
  </si>
  <si>
    <t xml:space="preserve">Run the seed and 80%-sample ARI check for k = 2–6 in one small table (5 rows × mean ARI) and use it in the argument. If k = 3 or 5 is equally stable, say the choice is the business's, not the maths'. Change the figure annotation to match.</t>
  </si>
  <si>
    <t xml:space="preserve">38.11</t>
  </si>
  <si>
    <t xml:space="preserve">§38.2 "Adjusted Rand index (ARI) compares two groupings… 1 means identical, 0… chance"</t>
  </si>
  <si>
    <t xml:space="preserve">No by-hand illustration. fit_predict, rng.choice(..., replace=False) and base[rows] are unexplained.</t>
  </si>
  <si>
    <t xml:space="preserve">Add two one-line demos on the six accounts. adjusted_rand_score([0,0,1,1,0,1], [1,1,0,0,1,0]) → 1.0 (same groups, swapped names). Moving E to the other group, [0,0,1,1,1,1] → 0.32. Then explain fit_predict (= .fit(X).labels_), replace=False (no row twice) and base[rows] (the full run's labels for just those rows).</t>
  </si>
  <si>
    <t xml:space="preserve">38.12</t>
  </si>
  <si>
    <t xml:space="preserve">§38.3 profile code (groupby().agg(accounts=("account_id","size"), …), crosstab, revenue share)</t>
  </si>
  <si>
    <t xml:space="preserve">Three tables in one block. Named aggregation (Ch 18) is used without a reminder. A result column is named accounts, the same as the DataFrame. pd.crosstab(normalize="index") is new. The profile output wraps into an unreadable two-line layout.</t>
  </si>
  <si>
    <t xml:space="preserve">Split into 3 cells: profile, segment mix, revenue share. Rename the count column n_accounts. Add one sentence for normalize="index" ("each row adds to 100%"). Print profile.T or fewer columns so it fits the page.</t>
  </si>
  <si>
    <t xml:space="preserve">38.13</t>
  </si>
  <si>
    <t xml:space="preserve">§38.3 name "Growing regulars"</t>
  </si>
  <si>
    <t xml:space="preserve">Nothing profiled measures growth. There is no 2025-vs-2024 revenue column, and median tenure (26) equals the others'. The name makes a claim the numbers don't show.</t>
  </si>
  <si>
    <t xml:space="preserve">Either add growth=("revenue_2025","sum") ÷ revenue_2024 (for stayed accounts) to the profile and show the regulars really grow faster, or rename them "Steady regulars" in the table, Figure 38.2, the story and the answers.</t>
  </si>
  <si>
    <t xml:space="preserve">38.14</t>
  </si>
  <si>
    <t xml:space="preserve">§38.3 "buys 3.2 of 4 categories"; "The 570 drifting accounts are 2.3%"</t>
  </si>
  <si>
    <t xml:space="preserve">"of 4" assumes a catalog of four categories that §38.0 never states. "Are 2.3%" is ambiguous: they are 11.4% of accounts and 2.3% of revenue.</t>
  </si>
  <si>
    <t xml:space="preserve">State the category count when categories_bought is first used (data dictionary, per 37.4). Write "The 570 drifting accounts (11% of accounts) earn 2.3% of revenue".</t>
  </si>
  <si>
    <t xml:space="preserve">38.15</t>
  </si>
  <si>
    <t xml:space="preserve">§38.3 Watch out "Chapter 39's stability ideas and Chapter 52's monitoring apply here too"</t>
  </si>
  <si>
    <t xml:space="preserve">Both references are wrong. Ch 39 has no stability content (0 mentions). Ch 52 is cloud/containers/IaC and never mentions monitoring. Monitoring is Ch 56 (MLOps), with data observability in Ch 47.</t>
  </si>
  <si>
    <t xml:space="preserve">"…Section 38.2's stability check, re-run each quarter, and Chapter 56's model monitoring apply here too."</t>
  </si>
  <si>
    <t xml:space="preserve">38.16</t>
  </si>
  <si>
    <t xml:space="preserve">§38.1 Watch out "that's where DBSCAN (section 38.4) and hierarchical clustering (section 38.3) help"</t>
  </si>
  <si>
    <t xml:space="preserve">Wrong section numbers. Hierarchical is §38.4 and DBSCAN is §38.5; §38.3 is profiling.</t>
  </si>
  <si>
    <t xml:space="preserve">"…DBSCAN (section 38.5) and hierarchical clustering (section 38.4) help."</t>
  </si>
  <si>
    <t xml:space="preserve">38.17</t>
  </si>
  <si>
    <t xml:space="preserve">§38.4 Hierarchical clustering: code and Figure 38.3</t>
  </si>
  <si>
    <t xml:space="preserve">No by-hand merge example. dendrogram is imported but never called, so Figure 38.3 has no code. fcluster(t=k, criterion="maxclust") and np.bincount(labels)[1:] (fcluster numbers clusters from 1) are unexplained. AgglomerativeClustering is listed in Tools but never used.</t>
  </si>
  <si>
    <t xml:space="preserve">Add "Merging by hand" on the six accounts with single linkage (easiest by hand). Merge A+B at 0.54, then E joins at 1.30 (E–B), C+D at 3.00, F joins at 3.16 (D–F), and the two groups meet at 7.12 (B–C). Draw that 5-merge dendrogram. Cutting between 3.16 and 7.12 gives {A,B,E} and {C,D,F}, the same as k-means. Verified with scipy linkage(method="single"). Then explain that Ward on the same points gives heights 0.54, 1.53, 3.00, 4.51, 16.86 (a different scale, the same tree). Add the plotting cell (dendrogram(tree, truncate_mode="lastp", p=30), plt.axhline(...)) and explain maxclust, t=k and [1:]. Drop AgglomerativeClustering from Tools or show it once.</t>
  </si>
  <si>
    <t xml:space="preserve">38.18</t>
  </si>
  <si>
    <t xml:space="preserve">§38.5 DBSCAN "A row is a core point if at least min_samples rows lie within… eps"</t>
  </si>
  <si>
    <t xml:space="preserve">No by-hand example of core, border and noise. scikit-learn counts the point itself in min_samples, which the definition doesn't say.</t>
  </si>
  <si>
    <t xml:space="preserve">Add a 1-D example: points 1, 2, 3, 4, 10, 11, 12, 25 with eps = 1.5, min_samples = 3 (counting itself). Core points are 2, 3 and 11. 1 and 4 are border points of cluster 0; 10 and 12 are border points of cluster 1; 25 is noise. DBSCAN(eps=1.5, min_samples=3).fit(x).labels_ → [0 0 0 0 1 1 1 −1] (verified). Add "(the row itself counts toward min_samples)".</t>
  </si>
  <si>
    <t xml:space="preserve">38.19</t>
  </si>
  <si>
    <t xml:space="preserve">§38.5 Key settings "min_samples (a common starting point is twice the number of features)"</t>
  </si>
  <si>
    <t xml:space="preserve">That rule gives 14 for 7 features, but the code uses 10, with no reason given. There's also no principled way to pick eps (the k-distance plot).</t>
  </si>
  <si>
    <t xml:space="preserve">Use min_samples=14, or say "10, a little below the 2 × 7 rule, to allow smaller groups". Add a 3-line k-distance plot (NearestNeighbors(n_neighbors=10), sorted 10th-neighbor distances) as the standard way to choose eps.</t>
  </si>
  <si>
    <t xml:space="preserve">38.20</t>
  </si>
  <si>
    <t xml:space="preserve">§38.5 "There's no setting in between that gives several balanced clusters"</t>
  </si>
  <si>
    <t xml:space="preserve">eps = 0.8 gives 7 clusters, but their sizes are never printed, so "not balanced" is unshown.</t>
  </si>
  <si>
    <t xml:space="preserve">For eps = 0.8 print pd.Series(labels).value_counts(). Presumably one huge cluster plus a few tiny ones and 1,971 noise; quote those numbers in the text. Also explain len(set(labels)) - (1 if -1 in labels else 0) ("count distinct labels, not counting −1").</t>
  </si>
  <si>
    <t xml:space="preserve">38.21</t>
  </si>
  <si>
    <t xml:space="preserve">§38.6 PCA "its axes have meaning through their loadings"</t>
  </si>
  <si>
    <t xml:space="preserve">The loadings are never shown, so the reader can't see what PC1 means. "Reversible" is true only if all components are kept. No back-pointer to the PCA by hand in §35.10.</t>
  </si>
  <si>
    <t xml:space="preserve">Add a cell: pd.DataFrame(pca.components_[:2], columns=FEATURES, index=["PC1","PC2"]).round(2), with a sentence naming PC1 (probably size/activity: revenue, orders, categories together) and PC2. Change "reversible" to "reversible if you keep all components". Add "(the method you ran by hand in §35.10)".</t>
  </si>
  <si>
    <t xml:space="preserve">38.22</t>
  </si>
  <si>
    <t xml:space="preserve">§38.6 t-SNE/UMAP code and Figure 38.4</t>
  </si>
  <si>
    <t xml:space="preserve">The code prints only output shapes. The code that draws Figure 38.4 is missing. perplexity=30 and UMAP's n_neighbors (default 15, never shown) and min_dist are named but not explained. The text says t-SNE and UMAP give "prettier, more separated pictures", while the caption says "in all three they're touching, not separated".</t>
  </si>
  <si>
    <t xml:space="preserve">Add a plotting cell (three plt.scatter panels coloured by base[plot_rows]) or say it's in the companion notebook. Add a parameter table: n_components, perplexity ("roughly how many neighbours each point pays attention to"), n_neighbors, min_dist, random_state. Make the text and caption agree, e.g. "t-SNE and UMAP pull the groups a little further apart than PCA, but even there they touch".</t>
  </si>
  <si>
    <t xml:space="preserve">38.23</t>
  </si>
  <si>
    <t xml:space="preserve">§38.7 Isolation forests "The average number of splits needed becomes the anomaly score"</t>
  </si>
  <si>
    <t xml:space="preserve">No by-hand step. contamination=0.02 has no effect on this code: nsmallest(100, …) ranks by decision_function, and contamination only shifts the threshold used by predict. The reader will think it matters here.</t>
  </si>
  <si>
    <t xml:space="preserve">Add a tiny example: values 10, 11, 12, 13, 50. One random cut between 13 and 50 isolates 50 at once, while 11 needs several cuts. IsolationForest(random_state=0).fit(v).score_samples(v) → about −0.46, −0.37, −0.35, −0.41, −0.72 (lowest = strangest; verified). Rewrite the setting line: "contamination (2% here) sets where predict draws the line between normal and anomaly; the ranking we use is the same whatever its value. 2% of 5,000 = the 100 we inspect."</t>
  </si>
  <si>
    <t xml:space="preserve">38.24</t>
  </si>
  <si>
    <t xml:space="preserve">§38.7 "tiny accounts that ordered once long ago"</t>
  </si>
  <si>
    <t xml:space="preserve">The printed example is a Retail account with orders_2024 = 2 and days_since_last_order = 365. That's not "once", and two 2024 orders with the last one 365 days before 31 Dec 2024 is only possible if both fell on 1–2 Jan 2024. It is likely a generator cap at 365.</t>
  </si>
  <si>
    <t xml:space="preserve">"…tiny accounts with a couple of orders about a year ago". Check the generator and, if 365 is a cap, say so in the data dictionary ("365 means a year or more").</t>
  </si>
  <si>
    <t xml:space="preserve">38.25</t>
  </si>
  <si>
    <t xml:space="preserve">§38.8 external check "the clusters were built without any churn information"</t>
  </si>
  <si>
    <t xml:space="preserve">Technically true, but the features include days_since_last_order, which Ch 37 showed is the strongest churn signal (odds ratio 2.10; the tree's first split). So the check is weaker than it sounds. The AUC 0.759 is also in-sample on all 5,000 rows (the rates come from the same rows), while Ch 37's 0.80–0.85 are held-out test scores.</t>
  </si>
  <si>
    <t xml:space="preserve">Add: "Recency, the strongest churn signal in Chapter 37, was one of the clustering features, so some of this was built in. And the 0.759 is measured on the same accounts the rates came from; Chapter 37's scores are on unseen accounts." Optionally recompute on the 1,000 Ch 37 test accounts with rates from the other 4,000.</t>
  </si>
  <si>
    <t xml:space="preserve">38.26</t>
  </si>
  <si>
    <t xml:space="preserve">§38.8 "Internal measures (silhouette, Davies–Bouldin, inertia)"</t>
  </si>
  <si>
    <t xml:space="preserve">Davies–Bouldin is named but never defined or used.</t>
  </si>
  <si>
    <t xml:space="preserve">Give one phrase ("average ratio of within-cluster spread to between-cluster distance; lower is better, davies_bouldin_score"), or delete it.</t>
  </si>
  <si>
    <t xml:space="preserve">38.27</t>
  </si>
  <si>
    <t xml:space="preserve">§38.9 data load: two merges, value_counts</t>
  </si>
  <si>
    <t xml:space="preserve">The inner merges and their effect aren't explained. That only the 4,516 accounts that stayed appear (churned accounts placed no 2025 orders, a nice consistency check) isn't said. value_counts counts lines, which here equal orders because there is one line per product per order; also unstated.</t>
  </si>
  <si>
    <t xml:space="preserve">Add 2 sentences: "4,516 accounts = those that didn't churn: churners placed no 2025 orders"; "each order has at most one line per product, so these counts are also orders containing the product". Explain merge(..., on=…) keeping matching rows only (recall Ch 18).</t>
  </si>
  <si>
    <t xml:space="preserve">38.28</t>
  </si>
  <si>
    <t xml:space="preserve">§38.9 baskets.apply(lambda s, i=item: i in s)</t>
  </si>
  <si>
    <t xml:space="preserve">The default-argument trick (i=item) is unneeded here, because the lambda runs immediately inside the loop. It will baffle a beginner. groupby(...).apply(set) is also new.</t>
  </si>
  <si>
    <t xml:space="preserve">Use baskets.apply(lambda s: item in s). Explain .apply(set) once ("collect each order's products into a set, a bag with no duplicates; Ch 17 §17.7") and print baskets.head(3).</t>
  </si>
  <si>
    <t xml:space="preserve">38.29</t>
  </si>
  <si>
    <t xml:space="preserve">§38.9 Apriori: "if a set of items is rare, every larger set containing it is at least as rare"</t>
  </si>
  <si>
    <t xml:space="preserve">Good idea, but there's no by-hand pruning example. TransactionEncoder output is not shown. antecedents/consequents (frozensets) are unexplained, and so is min_threshold with metric="lift". The output table wraps badly.</t>
  </si>
  <si>
    <t xml:space="preserve">Add a 5-basket hand example ({chair, table}, {chair, table, cushion}, {chair}, {lid, crate}, {lid}) with min_support = 40%. Singles above 40%: chair 60%, table 40%, lid 40%. Pairs: only {chair, table} 40% survives; {cushion, …} is never checked because cushion (20%) failed. Print matrix.head(3) after TransactionEncoder. Explain antecedents = the "if" side, consequents = the "then" side, and frozenset = "a set that can't change". Print fewer columns so the table fits.</t>
  </si>
  <si>
    <t xml:space="preserve">38.30</t>
  </si>
  <si>
    <t xml:space="preserve">§38.9 What to tell the sales head "drums almost always come with a tap fitting"</t>
  </si>
  <si>
    <t xml:space="preserve">Contradicts the chapter's own output: 1,001 of 3,412 drum orders (29.3%) have no tap, so 70.7% do.</t>
  </si>
  <si>
    <t xml:space="preserve">"…and about 7 in 10 drum orders include a tap fitting. But 1,001 orders across 613 accounts, nearly all wholesale, had a 60-litre drum and no tap…"</t>
  </si>
  <si>
    <t xml:space="preserve">38.31</t>
  </si>
  <si>
    <t xml:space="preserve">Real world "Cluster 3's churn rate is 41%, against 2.6% for cluster 1"</t>
  </si>
  <si>
    <t xml:space="preserve">Wrong cluster. 2.6% is cluster 0 (Growing regulars); cluster 1 (Key accounts) is 3.5%.</t>
  </si>
  <si>
    <t xml:space="preserve">"…against 2.6% for cluster 0, the regulars." Or use names: "41% for Drifting away, against 2.6% for the regulars".</t>
  </si>
  <si>
    <t xml:space="preserve">38.32</t>
  </si>
  <si>
    <t xml:space="preserve">Real world "any rep can work out a customer's group from three numbers"</t>
  </si>
  <si>
    <t xml:space="preserve">The clustering uses 7 standardized features. No three-number rule is given, and none exists without extra work.</t>
  </si>
  <si>
    <t xml:space="preserve">Either add a short cell fitting DecisionTreeClassifier(max_depth=2) on the cluster labels using raw orders, days since order and revenue, print its rules and its accuracy in reproducing the clusters, and quote that. Or change the sentence to "from their order history, re-run each quarter".</t>
  </si>
  <si>
    <t xml:space="preserve">38.33</t>
  </si>
  <si>
    <t xml:space="preserve">Tools "In SQL: basket counts are a self-join… (Chapter 13's patterns)"</t>
  </si>
  <si>
    <t xml:space="preserve">Self-joins are taught in Ch 12 §12.10 (as Ch 28 says), not Ch 13. The SQL itself isn't shown.</t>
  </si>
  <si>
    <t xml:space="preserve">"(the self-join from §12.10)". Optionally add the 6-line query: SELECT a.product_id, b.product_id, COUNT(*) FROM order_lines a JOIN order_lines b ON a.order_id = b.order_id AND a.product_id &lt; b.product_id GROUP BY 1, 2.</t>
  </si>
  <si>
    <t xml:space="preserve">38.34</t>
  </si>
  <si>
    <t xml:space="preserve">Where this leads "Chapter 41… clusters support tickets by topic, using the same k-means on text features"</t>
  </si>
  <si>
    <t xml:space="preserve">Ch 41 uses topic modelling (LDA), not k-means (0 mentions of k-means or KMeans).</t>
  </si>
  <si>
    <t xml:space="preserve">"Chapter 41 groups support tickets by topic with topic modelling, the text cousin of clustering."</t>
  </si>
  <si>
    <t xml:space="preserve">38.35</t>
  </si>
  <si>
    <t xml:space="preserve">Common mistakes "Clustering unscaled features… Standardize inside a pipeline (Chapter 36)"</t>
  </si>
  <si>
    <t xml:space="preserve">The chapter's own code scales outside a pipeline (StandardScaler().fit_transform(...) on all rows), which is fine for a one-off unsupervised analysis. The fix column contradicts the code without explaining why.</t>
  </si>
  <si>
    <t xml:space="preserve">Fix column: "Standardize every feature first; use a pipeline when new accounts will be assigned to existing clusters later". Add one sentence in §38.0 on why fitting the scaler on all rows is fine here (no target, no test set to leak into).</t>
  </si>
  <si>
    <t xml:space="preserve">38.36</t>
  </si>
  <si>
    <t xml:space="preserve">§38.0 "Revenue is also skewed, so it goes in as a log"</t>
  </si>
  <si>
    <t xml:space="preserve">orders_2024 is also strongly skewed (mean 16.3, SD 17.3) and goes in raw, with no reason given. The key-accounts cluster may be partly an orders-outlier effect.</t>
  </si>
  <si>
    <t xml:space="preserve">One sentence explaining the choice (e.g. "orders are counts from 1 to about 100; we leave them raw, and Exercise X tries log1p"), or log it too and update the outputs.</t>
  </si>
  <si>
    <t xml:space="preserve">38.37</t>
  </si>
  <si>
    <t xml:space="preserve">§38.2 "a silhouette below about 0.3 means the groups overlap heavily"</t>
  </si>
  <si>
    <t xml:space="preserve">Rule of thumb given as fact, with no source.</t>
  </si>
  <si>
    <t xml:space="preserve">"A common rule of thumb (Kaufman and Rousseeuw): above 0.5 is clear structure, 0.25–0.5 weak, below 0.25 little. 0.20–0.28 here is weak at best."</t>
  </si>
  <si>
    <t xml:space="preserve">38.38</t>
  </si>
  <si>
    <t xml:space="preserve">Time needed "8–12 hours over one to two weeks"</t>
  </si>
  <si>
    <t xml:space="preserve">Load. Eight techniques (k-means, choosing k, hierarchical, DBSCAN, PCA/t-SNE/UMAP, isolation forest, Apriori, judging), two new libraries and a two-part project. The by-hand additions (38.9, 38.11, 38.17, 38.18, 38.23, 38.29) add about 2–3 hours.</t>
  </si>
  <si>
    <t xml:space="preserve">Restate as "11–14 hours over two weeks". Mark a checkpoint after §38.3 (k-means, silhouette and ARI by hand on new numbers) and another after §38.8.</t>
  </si>
  <si>
    <t xml:space="preserve">38.39</t>
  </si>
  <si>
    <t xml:space="preserve">Key terms: Gaussian mixture model, RFM, local outlier factor, FP-Growth, assignment/update step</t>
  </si>
  <si>
    <t xml:space="preserve">GMM and RFM appear only in stretch goals and exercises. LOF and FP-Growth are only named.</t>
  </si>
  <si>
    <t xml:space="preserve">Keep only terms taught in the body, and move the rest to an "Also met in the exercises" line. Or give RFM one sentence in §38.3 (recency, frequency, monetary = three of this chapter's features).</t>
  </si>
  <si>
    <t xml:space="preserve">38.40</t>
  </si>
  <si>
    <t xml:space="preserve">Answer 12 output columns "0 1 2 … 11"</t>
  </si>
  <si>
    <t xml:space="preserve">.to_numpy() drops the month labels, so column 0 = January. The answer's code prints a confusing header.</t>
  </si>
  <si>
    <t xml:space="preserve">Keep the columns: monthly.div(...).groupby(shape_labels).mean() (months 1–12), or pass columns=range(1,13).</t>
  </si>
  <si>
    <t xml:space="preserve">38.41</t>
  </si>
  <si>
    <t xml:space="preserve">Answers "(In the finished book these move to Appendix G. …)"; Tools "Data spec: planning/data/riverstone-baskets.md"</t>
  </si>
  <si>
    <t xml:space="preserve">Drafting leftovers (known); internal planning file shown to the reader.</t>
  </si>
  <si>
    <t xml:space="preserve">Delete both. Replace the data spec with a short data dictionary for order_lines/products (columns, one example row).</t>
  </si>
  <si>
    <t xml:space="preserve">V38.1</t>
  </si>
  <si>
    <t xml:space="preserve">p. 20 · Apriori rules output ("178 frequent item sets…")</t>
  </si>
  <si>
    <t xml:space="preserve">Every row wraps: "confidence lift" drops to a second header line at column 0, and each rule's confidence and lift ("0.555 8.899") sit on their own line under "if". The chapter's main basket result (lift 8.9, 5.6, 4.8) can't be read as a table.</t>
  </si>
  <si>
    <t xml:space="preserve">Print fewer columns ([["if","then","lift"]]), shorten product names, or set pd.set_option("display.width", 90) and check that every output line fits the ~95-character block.</t>
  </si>
  <si>
    <t xml:space="preserve">V38.2</t>
  </si>
  <si>
    <t xml:space="preserve">p. 5, 10, 16, 28 · Other pandas outputs</t>
  </si>
  <si>
    <t xml:space="preserve">Same wrap. describe() (p. 5): "59.86 / 79.28" orphaned. Cluster profile (p. 10): "tenure churn_rate" and each row's last two values on a separate line. Anomaly list (p. 16): the churned_2025 value (0/1) on its own line under the segment name. Answer 5 (p. 28): the same wrap as p. 10.</t>
  </si>
  <si>
    <t xml:space="preserve">As above: narrower frames, or to_string() on column subsets.</t>
  </si>
  <si>
    <t xml:space="preserve">V38.3</t>
  </si>
  <si>
    <t xml:space="preserve">p. 8 · Figure 38.1 (inertia &amp; silhouette vs k)</t>
  </si>
  <si>
    <t xml:space="preserve">Annotations collide with the data. The "s" of "silhouette peaks at k = 2 (0.277)" is under the k = 2 markers, and "k = 4 chosen: stable and usable" is crossed by the inertia line. It is a dual-axis chart with the two lines told apart by colour only (blue vs teal). Ticks 5.9 pt; axis titles 6.4–6.6 pt.</t>
  </si>
  <si>
    <t xml:space="preserve">Move the labels clear of the lines (use leader lines), label each line at its end, and redraw at ≥ 7 pt. Better: two stacked panels sharing the k axis.</t>
  </si>
  <si>
    <t xml:space="preserve">V38.4</t>
  </si>
  <si>
    <t xml:space="preserve">p. 15 · Figure 38.4 (PCA / t-SNE / UMAP)</t>
  </si>
  <si>
    <t xml:space="preserve">Legend 5.5 pt. "Growing regulars" (blue #1f5f8b-ish) and "Occasional buyers" (teal) are close in hue and lightness. In the PCA panel they overlap and can't be separated, and in greyscale all four collapse to two tones.</t>
  </si>
  <si>
    <t xml:space="preserve">Use more distinct hues or marker shapes. Enlarge the legend to ≥ 7 pt.</t>
  </si>
  <si>
    <t xml:space="preserve">V38.5</t>
  </si>
  <si>
    <t xml:space="preserve">p. 13 · Figure 38.3 (dendrogram)</t>
  </si>
  <si>
    <t xml:space="preserve">Matplotlib default style (black axes, DejaVu, outlined text) unlike every other figure. The cluster colours (orange/green/red/purple) don't match the cluster colours of Figs 38.2 and 38.4. A red cluster sits directly beside a green one (red–green pair).</t>
  </si>
  <si>
    <t xml:space="preserve">Restyle to the book palette and colour each branch with the same cluster colour as Fig 38.2/38.4.</t>
  </si>
  <si>
    <t xml:space="preserve">V38.6</t>
  </si>
  <si>
    <t xml:space="preserve">p. 16 · "38.8 Judging unsupervised results"</t>
  </si>
  <si>
    <t xml:space="preserve">The heading and its one-line lead-in ("…in rising order of usefulness:") are stranded at the page foot. The numbered list is on p. 17.</t>
  </si>
  <si>
    <t xml:space="preserve">V38.7</t>
  </si>
  <si>
    <t xml:space="preserve">p. 9 · Before the profile code</t>
  </si>
  <si>
    <t xml:space="preserve">"…on features left out, and on size and value:" ends the page above a 17% blank. The code is on p. 10.</t>
  </si>
  <si>
    <t xml:space="preserve">Keep the lead-in with the code, or allow the split.</t>
  </si>
  <si>
    <t xml:space="preserve">V38.8</t>
  </si>
  <si>
    <t xml:space="preserve">p. 29, 30, 31 · Answers 8, 10, 12</t>
  </si>
  <si>
    <t xml:space="preserve">Answer numbers are stranded alone at the page foot.</t>
  </si>
  <si>
    <t xml:space="preserve">Keep-with-next.</t>
  </si>
  <si>
    <t xml:space="preserve">V38.9</t>
  </si>
  <si>
    <t xml:space="preserve">Remove / align.</t>
  </si>
  <si>
    <t xml:space="preserve">V38.10</t>
  </si>
  <si>
    <t xml:space="preserve">V38.11</t>
  </si>
  <si>
    <t xml:space="preserve">p. 11 · Figure 38.2 (cluster profile bars)</t>
  </si>
  <si>
    <t xml:space="preserve">Sub-labels are 6.7 pt. The figure occupies only the left two-thirds of its frame, with a wide empty right band and top band.</t>
  </si>
  <si>
    <t xml:space="preserve">Widen the columns to use the frame and bring text to ≥ 7 pt.</t>
  </si>
  <si>
    <t xml:space="preserve">V38.12</t>
  </si>
  <si>
    <t xml:space="preserve">p. 4 · "In plain English" / 38.0</t>
  </si>
  <si>
    <t xml:space="preserve">The page ends about 35% short. The next page opens with a long code block that could not split.</t>
  </si>
  <si>
    <t xml:space="preserve">Allow the code block to split.</t>
  </si>
  <si>
    <t xml:space="preserve">V38.13</t>
  </si>
  <si>
    <t xml:space="preserve">p. 12→13 · Before Figure 38.3</t>
  </si>
  <si>
    <t xml:space="preserve">p. 12 ends 18% short because the dendrogram moved whole to p. 13.</t>
  </si>
  <si>
    <t xml:space="preserve">Acceptable; or shrink the figure height slightly.</t>
  </si>
  <si>
    <t xml:space="preserve">V38.14</t>
  </si>
  <si>
    <t xml:space="preserve">p. 21→22 · "Common mistakes" table</t>
  </si>
  <si>
    <t xml:space="preserve">Split 3 rows + 12 rows (the header is repeated).</t>
  </si>
  <si>
    <t xml:space="preserve">Start the table on p. 22, or accept.</t>
  </si>
  <si>
    <t xml:space="preserve">V38.15</t>
  </si>
  <si>
    <t xml:space="preserve">V38.16</t>
  </si>
  <si>
    <t xml:space="preserve">p. 24, 26, 27 · Exercise and answer lists</t>
  </si>
  <si>
    <t xml:space="preserve">"10."–"16." hang about 3 pt into the margin.</t>
  </si>
  <si>
    <t xml:space="preserve">V38.17</t>
  </si>
  <si>
    <t xml:space="preserve">p. 14, 23, 26 · Inline code</t>
  </si>
  <si>
    <t xml:space="preserve">Pill padding adds a space before punctuation: "( perplexity , n_neighbors )", "( pip install umap-learn )", "accounts , X , FEATURES ,".</t>
  </si>
  <si>
    <t xml:space="preserve">39.1</t>
  </si>
  <si>
    <t xml:space="preserve">Title "Evaluation, Tuning, Interpretation &amp; Honesty"; at-a-glance</t>
  </si>
  <si>
    <t xml:space="preserve">No hyperparameter tuning anywhere in the chapter: no GridSearchCV or RandomizedSearchCV, no validation-vs-test tuning discipline. Tuning is taught in Ch 37 §37.11 (RandomizedSearchCV). The only "tuning" here is threshold tuning.</t>
  </si>
  <si>
    <t xml:space="preserve">Choose one fix. (a) Retitle to "Evaluation, Thresholds, Interpretation &amp; Honesty" and update the spine, Part IV contents, Ch 36/37/44 references and the Ch 74 pointer. Or (b), recommended because the chapter already argues "choose on validation, test once", add a short §39.6a "Tuning honestly". Contents: (1) recap Ch 37 §37.11 in 3 lines; (2) the difference between tuning a hyperparameter and choosing a threshold, and why both must stay off the test set; (3) one small GridSearchCV on the lead model's C (for example param_grid={"model__C": [0.01, 0.1, 1, 10]}, cv=StratifiedKFold(5), scoring="neg_log_loss", refit=True). Explain every argument: estimator, param_grid and the step__param naming, cv, scoring (and why log loss rather than accuracy), refit, n_jobs. Show best_params_, best_score_ and a cv_results_ table. (4) One paragraph on why scoring=roc_auc vs neg_log_loss can pick different settings, tying back to 39.2/39.4.</t>
  </si>
  <si>
    <t xml:space="preserve">39.2</t>
  </si>
  <si>
    <t xml:space="preserve">39.1 "Four numbers, then everything else"; first code block precedes definitions</t>
  </si>
  <si>
    <t xml:space="preserve">Metrics are defined from real model output, with no tiny by-hand example first. The first code block does five new things: helper import, sys.path, fit, predict_proba(...)[:, 1], and a summary of predicted probabilities. The reader meets TP/FP/FN/TN only as a 2×2 label table.</t>
  </si>
  <si>
    <t xml:space="preserve">Before any code, add a 10-lead toy table with columns lead, predicted probability, actual won. For example probabilities 0.9, 0.8, 0.7, 0.6, 0.45, 0.4, 0.3, 0.2, 0.1, 0.05 with actual 1, 1, 0, 1, 0, 1, 0, 0, 0, 0. At threshold 0.5, the reader marks each row TP/FP/FN/TN by hand (TP 3, FP 1, FN 1, TN 5). Then compute accuracy 0.8, precision 0.75, recall 0.75, F1 0.75 and specificity 0.833 by hand. Repeat at threshold 0.35 to show precision falling and recall rising. Only then run confusion_matrix on the same 10 rows to show it gives the same counts, and explain that .ravel() returns tn, fp, fn, tp in that order (the label layout is sorted 0,1, which differs from the book's won-first table). After that, move to the 2,225 real leads.</t>
  </si>
  <si>
    <t xml:space="preserve">39.3</t>
  </si>
  <si>
    <t xml:space="preserve">39.1 matrix_at code: tn, fp, fn, tp = confusion_matrix(...).ravel()</t>
  </si>
  <si>
    <t xml:space="preserve">Several points are never explained: the order swap (the book's table puts TP top-left, while scikit-learn puts TN top-left), .astype(int) on a boolean array, (p_valid &gt;= threshold), and the f-string width specs :&gt;4/:&gt;5.</t>
  </si>
  <si>
    <t xml:space="preserve">Add a "How it works" with one bullet per line. Print confusion_matrix(y_valid, predicted) once raw so the reader sees [[TN FP] [FN TP]] and knows why the unpacking order is tn, fp, fn, tp. Note that :&gt;5 right-aligns in 5 characters (a pointer to Ch 17 f-strings).</t>
  </si>
  <si>
    <t xml:space="preserve">39.4</t>
  </si>
  <si>
    <t xml:space="preserve">39.1 "section 39.4 replaces it with something better"</t>
  </si>
  <si>
    <t xml:space="preserve">The cost-based replacement for F1 is §39.5 (39.4 is calibration).</t>
  </si>
  <si>
    <t xml:space="preserve">Change to "section 39.5 replaces it with something better".</t>
  </si>
  <si>
    <t xml:space="preserve">39.5</t>
  </si>
  <si>
    <t xml:space="preserve">39.2 "it leads straight into section 39.4"</t>
  </si>
  <si>
    <t xml:space="preserve">The top-N table leads into thresholds and capacity, which is §39.5.</t>
  </si>
  <si>
    <t xml:space="preserve">Change to "section 39.5".</t>
  </si>
  <si>
    <t xml:space="preserve">39.6</t>
  </si>
  <si>
    <t xml:space="preserve">39.2 ROC and PR curves defined in two sentences, then code</t>
  </si>
  <si>
    <t xml:space="preserve">The reader never sees how a curve is built. There is no by-hand threshold sweep, no by-hand explanation of what "area" means for AP, and no explanation of why a random model's PR-AUC equals the base rate. "240 points / 2226 points" is printed with no explanation (roc_curve drops intermediate points by default).</t>
  </si>
  <si>
    <t xml:space="preserve">Using the 10-lead toy table from 39.2: sweep thresholds 1.0 → 0, list (FPR, TPR) and (recall, precision) at each step in a small table, and sketch both curves. Show that ROC-AUC for the toy equals the share of (won, lost) pairs ranked correctly: count them (for the toy, 21 of 24 pairs = 0.875). Explain average precision as "the average of the precision at each rank where a win appears" and compute it for the toy (for example (1 + 1 + 3/4 + 4/6) ÷ 4). Explain why random AP ≈ base rate. Then run the code, and add a sentence: "roc_curve drops points that don't change the curve's shape (drop_intermediate=True), so it has fewer points than the PR curve."</t>
  </si>
  <si>
    <t xml:space="preserve">39.7</t>
  </si>
  <si>
    <t xml:space="preserve">39.2, 39.4, 39.5, 39.7 Figures 39.2–39.5</t>
  </si>
  <si>
    <t xml:space="preserve">Every figure is drawn, but no plotting code is shown. The project step 2 says "Draw ROC and PR curves", and step 4 asks for a reliability curve.</t>
  </si>
  <si>
    <t xml:space="preserve">After the curves code, add one short matplotlib cell (plt.plot(fpr, tpr), plt.plot([0,1],[0,1],"--"), axis labels) or RocCurveDisplay.from_predictions / PrecisionRecallDisplay.from_predictions, with output figure. Do the same for the reliability curve (CalibrationDisplay.from_predictions) and the profit curve (plt.plot(grid, profits)). Explain each argument.</t>
  </si>
  <si>
    <t xml:space="preserve">39.8</t>
  </si>
  <si>
    <t xml:space="preserve">39.3 regression metrics defined after the code block</t>
  </si>
  <si>
    <t xml:space="preserve">MAE, RMSE, MAPE and R² are defined only after code that uses all four plus a log model, train_test_split, np.exp back-transform and error sorting. There is no tiny example.</t>
  </si>
  <si>
    <t xml:space="preserve">Before the code, add a 4-account toy, e.g. actual ₹100k, ₹200k, ₹50k, ₹1,000k and predicted ₹110k, ₹180k, ₹70k, ₹700k. Compute each by hand: errors −10, 20, −20, 300 (k); MAE = 87.5k; RMSE = √((100+400+400+90,000)/4) = √22,725 = 150.7k; MAPE = (10% + 10% + 40% + 30%)/4 = 22.5%. Show that one big account drives RMSE. Compute R² on the toy (mean 337.5k). Then run the real code, split into 2 cells: (1) fit and predict with an explanation of test_size=0.25, random_state=37 and why exp(log prediction) returns rupees; (2) the four metrics plus the largest errors.</t>
  </si>
  <si>
    <t xml:space="preserve">39.9</t>
  </si>
  <si>
    <t xml:space="preserve">39.3 "Chapter 37's model predicting each account's 2025 revenue from its 2024 revenue"</t>
  </si>
  <si>
    <t xml:space="preserve">Ch 37's revenue model used 11 numeric features plus categories (MAE ₹87,471, log R² 0.9593). This block fits a one-feature model (MAE ₹92,933, log R² 0.955). A reader comparing the two will think one of them is wrong.</t>
  </si>
  <si>
    <t xml:space="preserve">Reword: "A simplified version of Chapter 37's revenue model, predicting 2025 revenue from 2024 revenue alone (Chapter 37's full model, with all features, had MAE ₹87,471)".</t>
  </si>
  <si>
    <t xml:space="preserve">39.10</t>
  </si>
  <si>
    <t xml:space="preserve">39.3 "MAPE … punishes over-prediction more than under-prediction, so it's biased"</t>
  </si>
  <si>
    <t xml:space="preserve">The claim is correct but not shown, and a beginner cannot see why.</t>
  </si>
  <si>
    <t xml:space="preserve">Add a two-line example: actual 100, forecast 150 → 50%; actual 150, forecast 100 → 33%. For positive actuals, under-forecast errors are capped at 100% and over-forecast errors are unbounded, so choosing by MAPE favours low forecasts.</t>
  </si>
  <si>
    <t xml:space="preserve">39.11</t>
  </si>
  <si>
    <t xml:space="preserve">39.3 "For forecasting over time, Chapter 40 adds WAPE" + Key terms "WAPE"</t>
  </si>
  <si>
    <t xml:space="preserve">WAPE is listed as a Ch 39 key term but only defined in Ch 40.</t>
  </si>
  <si>
    <t xml:space="preserve">Either remove WAPE from Ch 39 key terms, or give its one-line definition here ("sum of absolute errors ÷ sum of actuals") and let Ch 40 work it by hand.</t>
  </si>
  <si>
    <t xml:space="preserve">39.12</t>
  </si>
  <si>
    <t xml:space="preserve">39.4 "Brier score, the mean squared difference between predicted probability and outcome"</t>
  </si>
  <si>
    <t xml:space="preserve">Defined in one clause with no example. The base-rate benchmark 0.061 is stated without showing where it comes from.</t>
  </si>
  <si>
    <t xml:space="preserve">Add a 3-lead by-hand Brier: predictions 0.8, 0.1, 0.3 with outcomes 1, 0, 1 → ((0.2)² + (0.1)² + (0.7)²)/3 = 0.18. State that a constant prediction p gives p(1−p) on average when p is the base rate: 0.0656 × 0.9344 = 0.0613. Add a one-line reminder of the log-loss formula from Ch 35 §35.9.</t>
  </si>
  <si>
    <t xml:space="preserve">39.13</t>
  </si>
  <si>
    <t xml:space="preserve">39.4 calibration code block (≈40 lines)</t>
  </si>
  <si>
    <t xml:space="preserve">This block introduces all of the following at once: calibration_curve (and its (prob_true, prob_pred) return order), brier_score_loss, log_loss, GaussianNB with a FunctionTransformer densifier inserted by nb.steps.insert(1, …), HistGradientBoosting, a dict of three models, and a quantile-binned table. None of it is explained line by line.</t>
  </si>
  <si>
    <t xml:space="preserve">Split into 4 cells: (1) reliability table for logistic regression only, using calibration_curve(y, p, n_bins=10, strategy="quantile"), explaining n_bins, why quantile (equal-count bins on skewed probabilities) rather than uniform, and that it returns fraction positive first and then mean prediction; (2) log loss and Brier for the same model; (3) build NB. Point back to Ch 37 §37.5 for the densifier and explain steps.insert(1, …) (put the step second, after "prepare"); (4) the three-model comparison.</t>
  </si>
  <si>
    <t xml:space="preserve">39.14</t>
  </si>
  <si>
    <t xml:space="preserve">39.4 "It ranks reasonably (ROC-AUC 0.806)"</t>
  </si>
  <si>
    <t xml:space="preserve">The value 0.806 is stated before any code prints it. It first appears in the next block's output.</t>
  </si>
  <si>
    <t xml:space="preserve">Add roc_auc_score to the print in the three-model loop, or say "(ROC-AUC 0.806, printed below)".</t>
  </si>
  <si>
    <t xml:space="preserve">39.15</t>
  </si>
  <si>
    <t xml:space="preserve">39.4 "This is the overconfidence Chapter 37 warned about" / Why-this-matters "one of Chapter 37's models fails it badly"</t>
  </si>
  <si>
    <t xml:space="preserve">Ch 37's Naive Bayes was fitted to churn, not leads. The lead NB is built for the first time here.</t>
  </si>
  <si>
    <t xml:space="preserve">"Naive Bayes, one of Chapter 37's algorithms, fails it badly when fitted to the leads".</t>
  </si>
  <si>
    <t xml:space="preserve">39.16</t>
  </si>
  <si>
    <t xml:space="preserve">39.4 CalibratedClassifierCV paragraph</t>
  </si>
  <si>
    <t xml:space="preserve">The cv=5 behaviour is not explained. With the default ensemble="auto" it trains 5 calibrated copies and averages them. "Isotonic … needs more data" is given with no number.</t>
  </si>
  <si>
    <t xml:space="preserve">Add: "cv=5: the data is split 5 ways; each time NB is fitted on 4 parts and the calibrator on the 5th; the 5 pairs are averaged at prediction time." Move the "about a thousand positives" rule of thumb from answer 11 into the text here.</t>
  </si>
  <si>
    <t xml:space="preserve">39.17</t>
  </si>
  <si>
    <t xml:space="preserve">39.5 "The team can't work 660 leads in six months"</t>
  </si>
  <si>
    <t xml:space="preserve">The profit-maximising threshold 0.077 works 627 leads (TP 112 + FP 515, answer 5; 627 also in "from 627 leads" two paragraphs earlier).</t>
  </si>
  <si>
    <t xml:space="preserve">Change "660" to "627".</t>
  </si>
  <si>
    <t xml:space="preserve">39.18</t>
  </si>
  <si>
    <t xml:space="preserve">39.5 "thresholds from 0.05 to 0.10 are all within 6% of the best"</t>
  </si>
  <si>
    <t xml:space="preserve">At 0.10 profit is ₹2,296,500, which is 6.2% below ₹2,448,060. At 0.05 it is 5.85% below.</t>
  </si>
  <si>
    <t xml:space="preserve">"within about 6% of the best". The project step 6 asks for the 5% band, so either state the actual 5% band or align the wording.</t>
  </si>
  <si>
    <t xml:space="preserve">39.19</t>
  </si>
  <si>
    <t xml:space="preserve">39.5 "probabilities near 5% are slightly optimistic"</t>
  </si>
  <si>
    <t xml:space="preserve">This is given as the reason break-even (0.0496) and the best threshold (0.077) differ, but the chapter never shows it.</t>
  </si>
  <si>
    <t xml:space="preserve">Either show the reliability bin around 0.05 (mean predicted vs actual) or soften to "partly noise: with only 146 wins, the profit curve is jagged near its peak".</t>
  </si>
  <si>
    <t xml:space="preserve">39.20</t>
  </si>
  <si>
    <t xml:space="preserve">39.9 model card "capped by capacity of 4 leads per rep-day"</t>
  </si>
  <si>
    <t xml:space="preserve">The code and text say the team can work about four leads a day (LEADS_PER_DAY = 4, budget 504 = 126 × 4), not four per rep.</t>
  </si>
  <si>
    <t xml:space="preserve">Change to "capped by team capacity of about 4 leads per working day (504 per six months)".</t>
  </si>
  <si>
    <t xml:space="preserve">39.21</t>
  </si>
  <si>
    <t xml:space="preserve">39.6 imbalanced-learn code; Tools line "shap and imbalanced-learn (both free)"</t>
  </si>
  <si>
    <t xml:space="preserve">pip install imbalanced-learn and pip install shap appear only in the end-of-chapter Tools list. The reader hits ModuleNotFoundError at 39.6/39.7.</t>
  </si>
  <si>
    <t xml:space="preserve">At the top of 39.6 add a cell %pip install imbalanced-learn (or the terminal pip install imbalanced-learn), with version output. At the top of 39.7 do the same with %pip install shap. Explain that the import name differs from the install name (imblearn vs imbalanced-learn).</t>
  </si>
  <si>
    <t xml:space="preserve">39.22</t>
  </si>
  <si>
    <t xml:space="preserve">39.6 "SMOTE … invents new minority rows between existing ones"</t>
  </si>
  <si>
    <t xml:space="preserve">SMOTE here runs after one-hot encoding, so it interpolates 0/1 dummy columns. Synthetic leads can be "0.4 Referral + 0.6 Website", which is not a real category. A beginner will generalise this misuse.</t>
  </si>
  <si>
    <t xml:space="preserve">Add a Watch-out: "Because SMOTE interpolates, it produces fractional one-hot values here. For mixed categorical data use SMOTENC(categorical_features=…) before encoding, or stick to class weights." Optionally rerun with SMOTENC.</t>
  </si>
  <si>
    <t xml:space="preserve">39.23</t>
  </si>
  <si>
    <t xml:space="preserve">39.6 variants dict: class_weight="balanced", RandomUnderSampler, RandomOverSampler, ImbPipeline</t>
  </si>
  <si>
    <t xml:space="preserve">"balanced" is never computed, and nothing explains why imblearn's Pipeline is needed rather than sklearn's (sklearn's cannot hold a sampler). resampled() reaches into base.named_steps["prepare"] without explanation.</t>
  </si>
  <si>
    <t xml:space="preserve">Add a by-hand weight: with 7,291 training leads and 576 won, "balanced" gives won rows weight 7,291 ÷ (2 × 576) = 6.33 and lost rows 7,291 ÷ (2 × 6,715) = 0.54. Explain that undersampling keeps ~576 lost rows at random and oversampling copies won rows up to ~6,715. Add a "How it works" for resampled(): take the prepare step from the usual pipeline, insert the sampler, then the model. Samplers only run during fit, so validation rows are never resampled.</t>
  </si>
  <si>
    <t xml:space="preserve">39.24</t>
  </si>
  <si>
    <t xml:space="preserve">39.7 "SHAP values … assign each feature a share … Averaging their absolute values"</t>
  </si>
  <si>
    <t xml:space="preserve">SHAP and Shapley value (a key term) get no intuition and no tiny example. "Fair to features with few distinct values" is opaque.</t>
  </si>
  <si>
    <t xml:space="preserve">Before the code, add a by-hand SHAP for a 2-feature linear model: log-odds = −3 + 1.2 × referral + 0.8 × strong_text, with training means referral 0.1 and strong 0.3. For a lead with referral = 1 and strong = 0: base = −3 + 0.12 + 0.24 = −2.64; contributions: referral 1.2 × (1 − 0.1) = +1.08, strong 0.8 × (0 − 0.3) = −0.24; total −1.80 = the model's log-odds ✓. Then one paragraph of intuition: a Shapley value is "each feature's average extra contribution over all orders of adding features"; for linear models it reduces to coef × (x − mean). Replace "fair to features with few distinct values" with "not inflated for features with many distinct values, as impurity importance is (Chapter 37)".</t>
  </si>
  <si>
    <t xml:space="preserve">39.25</t>
  </si>
  <si>
    <t xml:space="preserve">39.7 SHAP global code</t>
  </si>
  <si>
    <t xml:space="preserve">LinearExplainer(model, background) arguments are not explained: the second argument is the background data that defines "average". The block also leaves unexplained get_feature_names_out(), the cat__/num__ prefixes, dense(), the shape of shap_values (rows × features), and np.abs(...).mean(axis=0).</t>
  </si>
  <si>
    <t xml:space="preserve">Add "How it works" bullets for each line. Print shap_values.shape → (2225, n_features). Explain that axis=0 averages down the rows.</t>
  </si>
  <si>
    <t xml:space="preserve">39.26</t>
  </si>
  <si>
    <t xml:space="preserve">39.7, Tools, Key terms, mistakes table "Use SHAP or permutation importance"; Ch 37 line 750 "Chapter 39 uses permutation importance"</t>
  </si>
  <si>
    <t xml:space="preserve">Permutation importance is never taught in the body. It appears only in exercise 12's answer, yet it is listed in Tools and Key terms and recommended in the mistakes table.</t>
  </si>
  <si>
    <t xml:space="preserve">Add a subsection to 39.7, "Permutation importance: what breaks when a column is scrambled". (1) By hand: shuffle one column of the 10-lead toy and recompute log loss; the increase is the importance. (2) Code: permutation_importance(model, valid[X_cols], y_valid, scoring="neg_log_loss", n_repeats=10, random_state=39), explaining each argument: estimator = whole pipeline so it works on raw columns; data = validation, not training; scoring sign convention; n_repeats averages the randomness; importances_mean/importances_std. (3) Output with a comparison to SHAP; the current answer-12 text is good here. Then turn exercise 12 into a variation (e.g. scoring="roc_auc").</t>
  </si>
  <si>
    <t xml:space="preserve">39.27</t>
  </si>
  <si>
    <t xml:space="preserve">39.7 partial-dependence block: sys.path.append("../ch37")</t>
  </si>
  <si>
    <t xml:space="preserve">This line is dead code: nothing is imported from ../ch37 afterwards.</t>
  </si>
  <si>
    <t xml:space="preserve">39.28</t>
  </si>
  <si>
    <t xml:space="preserve">39.7 churn model block (~50 lines)</t>
  </si>
  <si>
    <t xml:space="preserve">This block rebuilds Ch 37's churn pipeline from scratch in one go: 11-feature list, astype(str), stratified split, ColumnTransformer with sparse_output=False and add_indicator=True, HistGradientBoosting with 5 hyperparameters, TreeExplainer. There is no "How it works".</t>
  </si>
  <si>
    <t xml:space="preserve">Put the churn pipeline in the companion helper (e.g. churn_data.py with load_accounts(), make_churn_model()), as lead_data.py does for leads, and say "this is Chapter 37's tuned boosting model". Then split into cells: (1) load and fit (3 lines); (2) TreeExplainer and mean abs SHAP; (3) partial dependence. If the code stays inline, add one bullet per argument (add_indicator=True adds a was-missing column; sparse_output=False gives a dense array TreeExplainer can read).</t>
  </si>
  <si>
    <t xml:space="preserve">39.29</t>
  </si>
  <si>
    <t xml:space="preserve">39.7 partial_dependence(..., grid_resolution=12, kind="average", method="brute", response_method="predict_proba")</t>
  </si>
  <si>
    <t xml:space="preserve">None of the arguments is explained. The reader also can't tell why the grid runs 2 → 240 days: the default percentiles=(0.05, 0.95) trims extremes. There is no by-hand idea of PD before the code. The PD definition comes in the "Reading it" paragraph after the output.</t>
  </si>
  <si>
    <t xml:space="preserve">Before the code, add a by-hand PD on 3 accounts: set days_since_last_order = 30 for all three, average the predictions, then repeat for 120 and 200. After the code, explain each argument: features=[idx] (column position), grid_resolution (how many values), percentiles (why it starts at 2 and stops at 240), kind="average", method="brute" (actually re-predicts), response_method.</t>
  </si>
  <si>
    <t xml:space="preserve">39.30</t>
  </si>
  <si>
    <t xml:space="preserve">39.7 Watch-out "IndividualConditionalExpectation plots"</t>
  </si>
  <si>
    <t xml:space="preserve">No scikit-learn object has this name. ICE plots come from PartialDependenceDisplay.from_estimator(..., kind="individual") or kind="both". The code formatting makes it look like a class.</t>
  </si>
  <si>
    <t xml:space="preserve">Replace with "individual conditional expectation (ICE) plots (PartialDependenceDisplay.from_estimator(model, X, [feature], kind="both"))". Define ICE in one sentence: one line per account instead of the average.</t>
  </si>
  <si>
    <t xml:space="preserve">39.31</t>
  </si>
  <si>
    <t xml:space="preserve">39.7 local SHAP "That's the sentence for the rep: 'Referral, big company, and they asked for a bulk quote.'"</t>
  </si>
  <si>
    <t xml:space="preserve">The largest push was strong wording (+0.69). Quantity was +0.25, behind referral, marketplace and company size.</t>
  </si>
  <si>
    <t xml:space="preserve">"'Strongly worded enquiry, a referral, and a big company.'"</t>
  </si>
  <si>
    <t xml:space="preserve">39.32</t>
  </si>
  <si>
    <t xml:space="preserve">39.8 "Winnable inside-desk leads are being missed at twice the rate."</t>
  </si>
  <si>
    <t xml:space="preserve">Miss rates are 1 − 0.910 = 9% for reps and 1 − 0.571 = 43% for the desk, about 4.8×, not twice.</t>
  </si>
  <si>
    <t xml:space="preserve">"Winnable inside-desk leads are missed 43% of the time against 9% for reps' leads, nearly five times the rate." Also update exercise 16/answer if it relies on "twice".</t>
  </si>
  <si>
    <t xml:space="preserve">39.33</t>
  </si>
  <si>
    <t xml:space="preserve">39.8 segment table: Hospitality 728, Retail 941, Wholesale 448</t>
  </si>
  <si>
    <t xml:space="preserve">These sum to 2,117, not 2,225, and implied wins sum to ~138 of 146. About 108 leads (≈8 wins) disappear, almost certainly rows with missing segment, which groupby drops silently. The chapter says "report a table like this for every grouping", so the missing group itself is a fairness blind spot.</t>
  </si>
  <si>
    <t xml:space="preserve">Use groupby("segment", dropna=False) and show the "missing" row, or add a sentence: "108 leads have no segment recorded; groupby drops them unless you pass dropna=False, and they should be reported too."</t>
  </si>
  <si>
    <t xml:space="preserve">39.34</t>
  </si>
  <si>
    <t xml:space="preserve">39.8 groups.apply(lambda g: …); report.index = ["sales reps", "inside sales desk"]</t>
  </si>
  <si>
    <t xml:space="preserve">Neither line is explained. groupby(...).apply with a lambda returning a scalar is new. Hard-coding the index labels relies on the groupby sort order (0 then 1).</t>
  </si>
  <si>
    <t xml:space="preserve">Add "How it works": .size() counts rows per group; .mean() of a 0/1 column is a rate; the recall lambda keeps each group's won rows and averages called; the precision lambda keeps called rows and averages won. Replace the hard-coded index with .rename(index={0: "sales reps", 1: "inside sales desk"}) so the labels cannot be swapped.</t>
  </si>
  <si>
    <t xml:space="preserve">39.35</t>
  </si>
  <si>
    <t xml:space="preserve">39.9 model card "Fairness: Checked by segment, city, source, and owner (section 39.8)"</t>
  </si>
  <si>
    <t xml:space="preserve">Section 39.8 checks inside-desk vs reps and segment. Source appears only in exercise 10, and city is never checked. In the "Honesty" chapter, the model card overclaims.</t>
  </si>
  <si>
    <t xml:space="preserve">Change to "Checked by owner group (inside desk vs reps) and segment (section 39.8) and source (exercise 10); city not yet checked." Or add the city table to 39.8.</t>
  </si>
  <si>
    <t xml:space="preserve">39.36</t>
  </si>
  <si>
    <t xml:space="preserve">39.9 "retrain if the calibration drift exceeds 2 points (Chapter 52)"; Where this leads "Chapter 52, Deploying and Monitoring Models"</t>
  </si>
  <si>
    <t xml:space="preserve">Ch 52 is "The Cloud, Containers &amp; Infrastructure as Code". Deployment and monitoring are Ch 56 "MLOps: Making Models Survive Production".</t>
  </si>
  <si>
    <t xml:space="preserve">Change both to "Chapter 56 (MLOps)" and the list item to "Chapter 56, MLOps: Making Models Survive Production, …". (The same wrong "Chapter 52" appears in Ch 36 lines ~893 and ~1187 and Ch 38 ~366; flag for those reviews.)</t>
  </si>
  <si>
    <t xml:space="preserve">39.37</t>
  </si>
  <si>
    <t xml:space="preserve">Where this leads "Chapter 61, Ethics and Responsible Data Practice"</t>
  </si>
  <si>
    <t xml:space="preserve">Ch 61 is "Distributed Systems &amp; Tradeoffs". Fairness and responsible AI are Ch 64 "Security, Privacy, Governance &amp; Responsible AI".</t>
  </si>
  <si>
    <t xml:space="preserve">Change to "Chapter 64, Security, Privacy, Governance &amp; Responsible AI, covers fairness and model documentation in depth."</t>
  </si>
  <si>
    <t xml:space="preserve">39.38</t>
  </si>
  <si>
    <t xml:space="preserve">Answer 7 "the best profit falls by roughly ₹0.9 million"</t>
  </si>
  <si>
    <t xml:space="preserve">₹2,448,060 − ₹1,633,500 = ₹814,560, i.e. about ₹0.8 million (−33%).</t>
  </si>
  <si>
    <t xml:space="preserve">"falls by about ₹0.8 million (a third)".</t>
  </si>
  <si>
    <t xml:space="preserve">39.39</t>
  </si>
  <si>
    <t xml:space="preserve">Answer 11 "Sigmoid fits only three parameters"</t>
  </si>
  <si>
    <t xml:space="preserve">Platt scaling fits two parameters, a slope and an intercept: p = 1/(1+e^(a·s+b)).</t>
  </si>
  <si>
    <t xml:space="preserve">"Sigmoid fits only two parameters (a slope and an intercept)".</t>
  </si>
  <si>
    <t xml:space="preserve">39.40</t>
  </si>
  <si>
    <t xml:space="preserve">Answer 6 "The lists tie at the top 50"</t>
  </si>
  <si>
    <t xml:space="preserve">The output shows 22 (logistic) vs 23 (boosting): boosting is one ahead.</t>
  </si>
  <si>
    <t xml:space="preserve">"The lists are level at the top 50 (22 against 23)…".</t>
  </si>
  <si>
    <t xml:space="preserve">39.41</t>
  </si>
  <si>
    <t xml:space="preserve">Answers heading "(In the finished book these move to Appendix G. …)"</t>
  </si>
  <si>
    <t xml:space="preserve">This is a known drafting leftover.</t>
  </si>
  <si>
    <t xml:space="preserve">Delete the parenthetical; keep "Every calculation was checked…" if wanted. Move the answers per book decision.</t>
  </si>
  <si>
    <t xml:space="preserve">39.42</t>
  </si>
  <si>
    <t xml:space="preserve">Tools "scikit-learn (tested on 1.8.0; current release 1.9.1)"</t>
  </si>
  <si>
    <t xml:space="preserve">"Current release" goes stale on the day of printing.</t>
  </si>
  <si>
    <t xml:space="preserve">"tested on scikit-learn 1.8.0". Same for shap/imbalanced-learn: give only the tested version.</t>
  </si>
  <si>
    <t xml:space="preserve">39.43</t>
  </si>
  <si>
    <t xml:space="preserve">Section "In the real world" and Common-mistakes table</t>
  </si>
  <si>
    <t xml:space="preserve">Fine; one gap. The mistakes table recommends "if you rebalance, recalibrate", but 39.6 never shows recalibrating a rebalanced model.</t>
  </si>
  <si>
    <t xml:space="preserve">Add one line to 39.6: wrap the class-weighted model in CalibratedClassifierCV(method="sigmoid", cv=5) and print its log loss and mean probability back near 0.069. Or point to exercise 11's method.</t>
  </si>
  <si>
    <t xml:space="preserve">39.44</t>
  </si>
  <si>
    <t xml:space="preserve">39.1 first code block: warnings.filterwarnings("ignore", category=UserWarning), sys.path.append("."), from lead_data import …, make_model(...)</t>
  </si>
  <si>
    <t xml:space="preserve">These are used with no reminder of what lead_data.py provides or what make_model's optional third argument does (used later with GaussianNB and boosting).</t>
  </si>
  <si>
    <t xml:space="preserve">Add a "How it works" for the setup cell. lead_data.py is Ch 37's helper; load_leads() returns train/valid/test split by date; make_model(cats, nums, estimator=LogisticRegression(...)) returns prepare + model, and the third argument swaps the model. Explain why warnings are silenced (and that this hides only UserWarning).</t>
  </si>
  <si>
    <t xml:space="preserve">V39.1</t>
  </si>
  <si>
    <t xml:space="preserve">p. 8 · Figure 39.2 (ROC and PR curves)</t>
  </si>
  <si>
    <t xml:space="preserve">The in-plot labels are overprinted by the curves: the ROC curve runs through "ROC-AUC 0.823", and the PR curve's tail runs through "base rate 0.066". Ticks and axis titles are 5.5–6.2 pt.</t>
  </si>
  <si>
    <t xml:space="preserve">Move the labels into empty plot space (lower right of the ROC panel; above the PR curve's middle), and redraw at ≥ 7 pt.</t>
  </si>
  <si>
    <t xml:space="preserve">V39.2</t>
  </si>
  <si>
    <t xml:space="preserve">p. 12 · Figure 39.3 (reliability curves)</t>
  </si>
  <si>
    <t xml:space="preserve">Series are distinguished by colour only: logistic (blue), gradient boosting (teal) and Naive Bayes (red). Red vs teal is a red–green pair for colour-blind readers, and blue vs teal are similar. The two well-calibrated models overlap in the bottom-left 0–0.3 corner and can't be told apart. Text 5.9–6.4 pt.</t>
  </si>
  <si>
    <t xml:space="preserve">Use marker shapes plus direct end labels, and either zoom the axes to 0–0.4 or add an inset. Redraw at ≥ 7 pt.</t>
  </si>
  <si>
    <t xml:space="preserve">V39.3</t>
  </si>
  <si>
    <t xml:space="preserve">p. 6 · Figure 39.1 (confusion matrix)</t>
  </si>
  <si>
    <t xml:space="preserve">"(score ≥ 0.1)", "recall = …" and "specificity = …" annotations are 5.9–6.9 pt. The TP cell is teal and the FN cell red, stacked vertically (red–green pair). The cells are labelled, so this is not critical.</t>
  </si>
  <si>
    <t xml:space="preserve">Bring text to ≥ 7 pt. Consider tints of one hue for correct vs wrong cells.</t>
  </si>
  <si>
    <t xml:space="preserve">V39.4</t>
  </si>
  <si>
    <t xml:space="preserve">p. 14 · Figure 39.4 (profit vs threshold)</t>
  </si>
  <si>
    <t xml:space="preserve">Tick labels 5.9 pt; annotations 6.4 pt.</t>
  </si>
  <si>
    <t xml:space="preserve">V39.5</t>
  </si>
  <si>
    <t xml:space="preserve">p. 21 · Figure 39.5 (partial dependence)</t>
  </si>
  <si>
    <t xml:space="preserve">Tick labels 6.0 pt; annotations 6.5 pt. "planted step at 180 days" runs to the plot's right edge.</t>
  </si>
  <si>
    <t xml:space="preserve">Redraw at ≥ 7 pt, and right-align the second label to the left of its line.</t>
  </si>
  <si>
    <t xml:space="preserve">V39.6</t>
  </si>
  <si>
    <t xml:space="preserve">p. 10 (folio 9) · 39.4 Calibration</t>
  </si>
  <si>
    <t xml:space="preserve">The page ends after the "Two summary numbers…" paragraph and is 45% blank. The 40-line calibration code block is on p. 11.</t>
  </si>
  <si>
    <t xml:space="preserve">V39.7</t>
  </si>
  <si>
    <t xml:space="preserve">p. 19→20 · Partial-dependence code</t>
  </si>
  <si>
    <t xml:space="preserve">The churn-model code block runs to the foot of p. 19. Its last two lines (".to_string()" and ")") are orphaned at the top of p. 20.</t>
  </si>
  <si>
    <t xml:space="preserve">Keep at least 3 lines together, or break the block at a logical point.</t>
  </si>
  <si>
    <t xml:space="preserve">V39.8</t>
  </si>
  <si>
    <t xml:space="preserve">p. 20 · Before Figure 39.5</t>
  </si>
  <si>
    <t xml:space="preserve">The page ends with the output block, and the figure moved whole to p. 21, leaving a 30% blank.</t>
  </si>
  <si>
    <t xml:space="preserve">Allow the figure to shrink slightly or float, or pull the next paragraph up.</t>
  </si>
  <si>
    <t xml:space="preserve">V39.9</t>
  </si>
  <si>
    <t xml:space="preserve">p. 32, 33 · Answers 11, 13</t>
  </si>
  <si>
    <t xml:space="preserve">The answer number is stranded alone at the page foot, with its code on the next page.</t>
  </si>
  <si>
    <t xml:space="preserve">V39.10</t>
  </si>
  <si>
    <t xml:space="preserve">V39.11</t>
  </si>
  <si>
    <t xml:space="preserve">V39.12</t>
  </si>
  <si>
    <t xml:space="preserve">p. 4→5 · Confusion-matrix skeleton table and code</t>
  </si>
  <si>
    <t xml:space="preserve">p. 4 ends with a 3-row skeleton table and a 20% blank. The setup code is on p. 5.</t>
  </si>
  <si>
    <t xml:space="preserve">Allow the code to split.</t>
  </si>
  <si>
    <t xml:space="preserve">V39.13</t>
  </si>
  <si>
    <t xml:space="preserve">p. 27 · "Practice exercises"</t>
  </si>
  <si>
    <t xml:space="preserve">The heading and intro paragraph sit at the page foot, and "Warm-up" starts on p. 28.</t>
  </si>
  <si>
    <t xml:space="preserve">V39.14</t>
  </si>
  <si>
    <t xml:space="preserve">p. 29 · Answers heading</t>
  </si>
  <si>
    <t xml:space="preserve">V39.15</t>
  </si>
  <si>
    <t xml:space="preserve">p. 23 · Model card table</t>
  </si>
  <si>
    <t xml:space="preserve">The header cell reads "Lead-scoring model, v1". This is correct as content, but it echoes the cover's "v1" badge and could read as a draft marker.</t>
  </si>
  <si>
    <t xml:space="preserve">None needed if the cover badge is removed.</t>
  </si>
  <si>
    <t xml:space="preserve">V39.16</t>
  </si>
  <si>
    <t xml:space="preserve">p. 26, 28 · Exercise lists</t>
  </si>
  <si>
    <t xml:space="preserve">V39.17</t>
  </si>
  <si>
    <t xml:space="preserve">p. 25, 27 · Inline code</t>
  </si>
  <si>
    <t xml:space="preserve">Pill padding adds a space before punctuation: "( pip install shap ):", "p_valid , y_valid ,", "summary_plot , waterfall ),".</t>
  </si>
  <si>
    <t xml:space="preserve">40.1</t>
  </si>
  <si>
    <t xml:space="preserve">Before you start "Chapter 21 (means, standard deviations, autocorrelation as an idea)"</t>
  </si>
  <si>
    <t xml:space="preserve">No chapter from 1 to 39 mentions autocorrelation (searched). Yet the chapter uses it in "In plain English", in 40.2 (the stationarity definition) and in 40.5 (ACF/PACF), with only a one-clause definition.</t>
  </si>
  <si>
    <t xml:space="preserve">Remove "autocorrelation as an idea" from the Ch 21 prerequisite. Add a new short §40.2a "Autocorrelation: does last month predict this month?" before stationarity: (1) a 6-value toy series, e.g. 10, 12, 11, 14, 13, 15; (2) write it beside itself shifted by one row; (3) compute the correlation of the pairs by hand or with CORREL in a spreadsheet (Ch 21/22 correlation); (4) series.autocorr(lag=1) in pandas with its output; (5) extend to lag 12 on the Kitchen series. Only then define stationarity using it.</t>
  </si>
  <si>
    <t xml:space="preserve">40.2</t>
  </si>
  <si>
    <t xml:space="preserve">40.1 first code block (≈30 lines)</t>
  </si>
  <si>
    <t xml:space="preserve">Eight new things happen at once: import logging + logging.getLogger("cmdstanpy") (for a library not met until 40.5), warnings.filterwarnings("ignore"), parse_dates, duplicate check, drop_duplicates(subset), groupby(...).transform(lambda u: u.interpolate()), .asfreq("MS") (never taught before) and groupby by index.year. There is no "How it works".</t>
  </si>
  <si>
    <t xml:space="preserve">Split into 4 cells with output after each: (1) read both CSVs with parse_dates and print shape and date range; (2) problems check: missing and duplicates, printing the offending rows so the reader *sees* them; (3) fix: drop_duplicates(["category","week_start"]) (explain keep="first"), then interpolate within category (explain transform returns a same-length result and why interpolation happens per category); (4) Kitchen monthly series: .set_index("month")["units"].astype(float).asfreq("MS"), explaining that asfreq sets a regular monthly frequency, "MS" = month start, and why statsmodels needs it. Move the logging/cmdstanpy line to the Prophet cell in 40.5 with a one-line explanation.</t>
  </si>
  <si>
    <t xml:space="preserve">40.3</t>
  </si>
  <si>
    <t xml:space="preserve">40.1 warnings.filterwarnings("ignore")</t>
  </si>
  <si>
    <t xml:space="preserve">Silencing *all* warnings hides statsmodels ConvergenceWarnings. Those are relevant here: the SARIMA MA(1) coefficient is −0.997, at the invertibility boundary, and Holt–Winters fits with γ = 0. A beginner learns to hide the very signals the chapter later discusses.</t>
  </si>
  <si>
    <t xml:space="preserve">Don't silence globally. Silence only Prophet/cmdstanpy chatter. Where statsmodels warns, show the warning once and explain it ("the optimiser hit a boundary; see 40.5").</t>
  </si>
  <si>
    <t xml:space="preserve">40.4</t>
  </si>
  <si>
    <t xml:space="preserve">40.1 "Two things … planted: one missing week and one duplicated week"</t>
  </si>
  <si>
    <t xml:space="preserve">The output shows missing units 1: a row with a missing *value*, not a missing week row. interpolate() would not fill an absent row.</t>
  </si>
  <si>
    <t xml:space="preserve">"one week with its units missing and one week recorded twice". Optionally add a note on how to detect absent rows (asfreq("W-MON") then isna()).</t>
  </si>
  <si>
    <t xml:space="preserve">40.5</t>
  </si>
  <si>
    <t xml:space="preserve">40.1 Decomposition: seasonal_decompose(kitchen, model="multiplicative", period=12)</t>
  </si>
  <si>
    <t xml:space="preserve">There is no by-hand idea of how trend, seasonal index and residual are computed. "Centered moving average" appears only in a Watch-out afterwards. The multiplicative vs additive choice is asserted.</t>
  </si>
  <si>
    <t xml:space="preserve">Before the code, add a by-hand mini-decomposition on a 3-season toy, e.g. quarterly values over 2 years: 100, 120, 80, 100, 110, 132, 88, 110. (1) The trend is a centered moving average over one full season (show one value by hand). (2) Seasonal ratio = actual ÷ trend. (3) Average the ratios per season → seasonal index, normalised to average 1. (4) Residual = actual ÷ (trend × seasonal). Then run seasonal_decompose and explain model= (multiplicative = factors, additive = amounts) and period=12. Explain parts.seasonal[:12] and strftime("%b").</t>
  </si>
  <si>
    <t xml:space="preserve">40.6</t>
  </si>
  <si>
    <t xml:space="preserve">40.1 residual print: parts.resid.dropna().abs().max() → "largest 1.249 at Feb 2020"</t>
  </si>
  <si>
    <t xml:space="preserve">Bug. Multiplicative residuals are centred on 1.0, so abs().max() returns the largest *value*, not the largest *deviation*. Figure 40.1 shows a residual low of 0.63 (a 37% shortfall, surely during the Apr 2020 shutdown), which is a bigger excursion than 1.249 (+25%). The text then says "one enormous exception: February to June 2020, when the factory shut", which the printed month does not support (Feb 2020 is pre-shutdown and *above* normal).</t>
  </si>
  <si>
    <t xml:space="preserve">Change the code to dev = (parts.resid.dropna() - 1).abs() and print dev.max() and dev.idxmax(). Rerun and update the text (expected: about 0.37 in spring 2020). Also change "typical size 0.105 (as a multiplier)" to "typical deviation ±10.5%".</t>
  </si>
  <si>
    <t xml:space="preserve">40.7</t>
  </si>
  <si>
    <t xml:space="preserve">40.1 Reading it "The trend roughly doubles over the period"</t>
  </si>
  <si>
    <t xml:space="preserve">The trend goes from 55,477 to 86,938, ×1.57. Annual units go from 656,605 to 1,051,402, ×1.60. The same section says "grew from 657,000 … to 1,051,000".</t>
  </si>
  <si>
    <t xml:space="preserve">"The trend rises by about 60% over the period."</t>
  </si>
  <si>
    <t xml:space="preserve">40.8</t>
  </si>
  <si>
    <t xml:space="preserve">40.1 "Cycles … Harder to model, often ignored" + decomposition prints only trend/seasonal/residual</t>
  </si>
  <si>
    <t xml:space="preserve">The reader is not told that seasonal_decompose has no cycle component: cycles end up inside the trend (and residual). Key terms, You've-got-it and Recap all list four components.</t>
  </si>
  <si>
    <t xml:space="preserve">Add one sentence: "seasonal_decompose returns three parts; any cycle is absorbed into the trend line."</t>
  </si>
  <si>
    <t xml:space="preserve">40.9</t>
  </si>
  <si>
    <t xml:space="preserve">40.2 ADF: "its null hypothesis is 'not stationary', so a small p-value means stationary"</t>
  </si>
  <si>
    <t xml:space="preserve">Several things are unexplained: "augmented", the "ADF statistic" column, why [:2] takes two items from adfuller's tuple, and .dropna() (differencing creates NaNs). The four differencing variants are not shown by hand.</t>
  </si>
  <si>
    <t xml:space="preserve">(1) Show differencing by hand on 5 values (100, 110, 125, 130, 150 → 10, 15, 5, 20), and seasonal differencing as "this month minus the same month last year". Show one diff() output. (2) "How it works": adfuller returns a tuple (statistic, p-value, lags used, n, critical values, …); we keep the first two; the statistic is compared with critical values, and more negative = more evidence of stationarity. "Augmented" means it includes extra lagged differences so leftover autocorrelation doesn't fool it. Point back to Ch 22 for p-values.</t>
  </si>
  <si>
    <t xml:space="preserve">40.10</t>
  </si>
  <si>
    <t xml:space="preserve">40.3 baselines code uses wape(...)</t>
  </si>
  <si>
    <t xml:space="preserve">WAPE is used from 40.3 ("Section 40.8 works it by hand"), and MAPE/WAPE/MASE are only defined in 40.8. The reader interprets 10.0% vs 17.7% without knowing the measure.</t>
  </si>
  <si>
    <t xml:space="preserve">Move a tiny WAPE/MAPE example to the start of 40.3, e.g. 3 months: actual 100, 50, 150 and forecast 90, 60, 150. Errors 10, 10, 0; WAPE = 20/300 = 6.7%; MAPE = (10% + 20% + 0%)/3 = 10%. Show the difference, then define wape() line by line (np.asarray, why .sum() of absolute errors over .sum() of actuals). Keep 40.8 as the full comparison with MASE.</t>
  </si>
  <si>
    <t xml:space="preserve">40.11</t>
  </si>
  <si>
    <t xml:space="preserve">40.3 "Moving average: next month equals the average of the last 12"</t>
  </si>
  <si>
    <t xml:space="preserve">Stated in code only, with no hand example. "Moving average" is also used later with a different meaning (the MA term in ARIMA), and a beginner will conflate them.</t>
  </si>
  <si>
    <t xml:space="preserve">Add a 3-month by-hand moving average on the Oct–Dec 2024 values (101,587, 101,361, 72,627 → 91,858) and show that the baseline repeats one number for all 12 months. In 40.5 add a boxed warning: "The MA in ARIMA is not a moving average of values; it means 'uses past forecast errors'. The name is historical."</t>
  </si>
  <si>
    <t xml:space="preserve">40.12</t>
  </si>
  <si>
    <t xml:space="preserve">40.4 Holt–Winters: "Holt's method adds a second smoothed quantity for the trend (β)"</t>
  </si>
  <si>
    <t xml:space="preserve">At-a-glance promises "see the smoothing step on paper", but only simple smoothing is worked. The trend and seasonal update equations are never shown, so the reader can't understand "γ = 0 means the seasonal factors never update". The trend="add", seasonal="mul" arguments are not explained.</t>
  </si>
  <si>
    <t xml:space="preserve">Add the three update equations in words (level, trend, seasonal factor) and one by-hand Holt step. For example level₀ = 100, trend₀ = 5, next actual 112, α = 0.5, β = 0.2: level₁ = 0.5 × 112 + 0.5 × (100 + 5) = 108.5; trend₁ = 0.2 × (108.5 − 100) + 0.8 × 5 = 5.7. Then state: "γ is how much each season's factor moves toward the latest ratio; γ = 0 freezes them." Explain trend="add" (trend in units per month), seasonal="mul" (factor, like the decomposition), seasonal_periods=12, .fit() choosing α, β, γ, .params[...] keys and .forecast(12).</t>
  </si>
  <si>
    <t xml:space="preserve">40.13</t>
  </si>
  <si>
    <t xml:space="preserve">40.4 Reading it "the forecast for early 2025 runs 10–15% below actual"</t>
  </si>
  <si>
    <t xml:space="preserve">The four printed months are −11.2%, −7.0%, −14.7% and −19.7%.</t>
  </si>
  <si>
    <t xml:space="preserve">"runs 7–20% below actual".</t>
  </si>
  <si>
    <t xml:space="preserve">40.14</t>
  </si>
  <si>
    <t xml:space="preserve">40.5 "The most common seasonal model in practice, (1, 1, 1)(0, 1, 1)₁₂"</t>
  </si>
  <si>
    <t xml:space="preserve">The textbook "most common" is the airline model (0, 1, 1)(0, 1, 1)₁₂ (Box–Jenkins), which answer 3 calls "its simpler cousin". The ACF/PACF reading ("short lags all within the band, so p and q are small"; lag-1 ACF 0.06) points to p = q = 0 or the airline model, not to adding AR(1)+MA(1).</t>
  </si>
  <si>
    <t xml:space="preserve">Reword: "The classic seasonal model is the 'airline model' (0,1,1)(0,1,1)₁₂. Here we try (1,1,1)(0,1,1)₁₂, one AR and one MA term more, and exercise 7 compares them." Adjust the ACF reading to justify the extra terms honestly, or say they were chosen by AIC.</t>
  </si>
  <si>
    <t xml:space="preserve">40.15</t>
  </si>
  <si>
    <t xml:space="preserve">40.5 ACF/PACF: "partial autocorrelation … after removing the effect of shorter lags"</t>
  </si>
  <si>
    <t xml:space="preserve">There is no by-hand or plot code. acf(...)/pacf(...) and nlags are not explained, and "significance line ±2/√n" appears in the print with no explanation. Figure 40.2 is drawn, but plot_acf/plot_pacf is never shown.</t>
  </si>
  <si>
    <t xml:space="preserve">After 40.2a (autocorrelation), add: PACF intuition with one example (lag-2 correlation left after lag-1 is accounted for); acf(series, nlags=24) returns 25 numbers (lag 0 to 24); ±2/√n is an approximate 95% band (n = 59 here, so ±0.26), linking to Ch 22 confidence intervals. Show from statsmodels.graphics.tsaplots import plot_acf, plot_pacf with the resulting figure.</t>
  </si>
  <si>
    <t xml:space="preserve">40.16</t>
  </si>
  <si>
    <t xml:space="preserve">40.5 SARIMAX code + summary().tables[1]; "AIC -58.0"</t>
  </si>
  <si>
    <t xml:space="preserve">Several things are printed but never explained: the summary table columns (coef, std err, z, P&gt;\ | z\ | , [0.025 0.975]), sigma2, ar.L1/ma.L1/ma.S.L12 naming, disp=False, and AIC, which has never been taught in the book (searched Ch 1–39). AIC is then used in answer 7 to choose between models.</t>
  </si>
  <si>
    <t xml:space="preserve">Add "How it works" bullets: order=(p,d,q), seasonal_order=(P,D,Q,s) (4 numbers, s last), .fit(disp=False) = don't print optimiser progress, and the row names. Explain each summary column, pointing back to Ch 22/30 for z and p-values, and define sigma2 = variance of the model's one-step errors (on the log scale). Add a boxed definition of AIC: "a score for fit that charges a penalty per parameter; lower is better; only compare AICs of models fitted to the same data." Give the formula AIC = 2k − 2 ln L in words.</t>
  </si>
  <si>
    <t xml:space="preserve">40.17</t>
  </si>
  <si>
    <t xml:space="preserve">40.5 Reading it "A coefficient near the edge … inflates its standard error without making the term useless"</t>
  </si>
  <si>
    <t xml:space="preserve">ma.L1 = −0.997 is at the invertibility boundary. In standard practice, an MA(1) ≈ −1 after a regular difference is the classic sign of over-differencing: the model is effectively undoing the d = 1, i.e. modelling a trend-stationary series. That is a real, teachable diagnosis, and the chapter misses it.</t>
  </si>
  <si>
    <t xml:space="preserve">Add: "An MA coefficient of about −1 is a classic sign that one difference too many was taken; the model is cancelling the difference. An alternative is d = 0 with a trend term (trend="c" or "t"). Exercise 7 shows what happens if you simply drop terms." Consider adding that alternative to exercise 7.</t>
  </si>
  <si>
    <t xml:space="preserve">40.18</t>
  </si>
  <si>
    <t xml:space="preserve">40.5 Prophet code</t>
  </si>
  <si>
    <t xml:space="preserve">pip install prophet (CmdStan download, "a few minutes") appears only in the end-of-chapter Tools. The ds/y column naming convention, the three seasonality flags and predict(...)["yhat"] are not explained.</t>
  </si>
  <si>
    <t xml:space="preserve">Start the Prophet cell with an install cell (%pip install prophet, note the first-run CmdStan download) and the moved logging line. Add "How it works": Prophet demands columns named exactly ds (date) and y (value); weekly_seasonality=False/daily_seasonality=False because the data is monthly; predict returns many columns, yhat is the forecast and yhat_lower/yhat_upper the interval.</t>
  </si>
  <si>
    <t xml:space="preserve">40.19</t>
  </si>
  <si>
    <t xml:space="preserve">40.6 ML features code</t>
  </si>
  <si>
    <t xml:space="preserve">This block brings in shift(lag) in a loop, shift(1).rolling(4), index.isocalendar().week.to_numpy().astype(int), dropna, a partial-string date split, a list comprehension for X_cols, a new estimator and the seasonal-naive shift(52).reindex, all in one block. The "How it works" covers the shift logic only.</t>
  </si>
  <si>
    <t xml:space="preserve">Split into 3 cells. (1) Build features and print features.head(3) / .tail(3) so the reader *sees* lag_1 equal to last week's units and the NaNs at the top (why dropna() removes 52 rows → 261 + 52 = 313). (2) Split and fit, explaining loc[:"2024-12-31"] partial-string slicing and the 12 features. (3) Evaluate against seasonal naive. Add a note on year: trees can't extrapolate, so 2025 is treated like 2024.</t>
  </si>
  <si>
    <t xml:space="preserve">40.20</t>
  </si>
  <si>
    <t xml:space="preserve">40.6 Reading it after recursive: "Recursively, the weekly model scores 8.9% … still ahead"</t>
  </si>
  <si>
    <t xml:space="preserve">The recursive (fair, harder) test scores better (8.9%) than one-step-ahead (9.3%). The text framed recursive as the harder test and doesn't comment, so a beginner will be confused.</t>
  </si>
  <si>
    <t xml:space="preserve">Add a sentence: "Surprisingly, recursive is slightly better here: the model's own forecasts are smoother than the noisy actuals, and on this calm year that helped. Don't expect it in general; 52 weeks is a single sample."</t>
  </si>
  <si>
    <t xml:space="preserve">40.21</t>
  </si>
  <si>
    <t xml:space="preserve">40.6 "Summed into months it scores 13.6% … partly because weekly noise is harder … errors compound"</t>
  </si>
  <si>
    <t xml:space="preserve">This omits a mechanical cause. recursive.resample("MS").sum() assigns each whole week to the month its Monday falls in, so weeks straddling month ends are mis-allocated (and the 2025-12-29 week includes 2026 days). The monthly series counts calendar days. Part of the 13.6% is bookkeeping, not forecasting.</t>
  </si>
  <si>
    <t xml:space="preserve">Add: "Weekly totals don't add up to calendar months: a week that starts on 29 September is counted entirely in September. Some of this gap is that mismatch." Optionally allocate weeks to months by days (spread units evenly over the 7 days, then resample) and report both numbers.</t>
  </si>
  <si>
    <t xml:space="preserve">40.22</t>
  </si>
  <si>
    <t xml:space="preserve">40.6 "Chapter 48's sensor work and the capstone use it that way"</t>
  </si>
  <si>
    <t xml:space="preserve">Ch 48 (Big Data &amp; Distributed Compute) uses sensor data for PySpark/DuckDB/Polars aggregations, shuffles and skew. It contains no ML forecasting with external features (searched).</t>
  </si>
  <si>
    <t xml:space="preserve">Replace with "The capstone (Chapter 44) can use it that way", or name the chapter that actually does ML forecasting with external features.</t>
  </si>
  <si>
    <t xml:space="preserve">40.23</t>
  </si>
  <si>
    <t xml:space="preserve">40.7 backtest function and methods dict</t>
  </si>
  <si>
    <t xml:space="preserve">This is dense: cut arithmetic, iloc slicing, three multi-line chained lambdas, string building with " ".join(...). Neither the cut formula nor the fact that fold 1 trains on only 24 months is explained. Holt–Winters needs two full seasons, and SARIMA with d = 1, D = 1 on 24 points has 11 usable residuals.</t>
  </si>
  <si>
    <t xml:space="preserve">Add a small printed table of (fold, cut index, training months, forecast year) before running methods; for example for fold in range(5): print(fold, 84 - 12*(5-fold)) → 24, 36, 48, 60, 72. Explain that lambda h, n: is "a tiny function taking history and horizon" (Ch 17/18). Add one sentence that fold 1 has only two years of history, which partly explains its large errors for every method.</t>
  </si>
  <si>
    <t xml:space="preserve">40.24</t>
  </si>
  <si>
    <t xml:space="preserve">40.7 Reading it "The 2025 result overstated SARIMA's advantage by a factor of three"</t>
  </si>
  <si>
    <t xml:space="preserve">This is ambiguous. SARIMA's 2025 error (4.0%) is ~2.8× smaller than its 5-year mean (11.3%). Its *advantage* over seasonal naive fell from 6.0 points to 1.5 points, a factor of 4.</t>
  </si>
  <si>
    <t xml:space="preserve">"On 2025 alone SARIMA beat seasonal naive by 6 points; over five years, by 1.5."</t>
  </si>
  <si>
    <t xml:space="preserve">40.25</t>
  </si>
  <si>
    <t xml:space="preserve">40.8 MASE code: naive_in_sample = np.abs(train.to_numpy()[12:] - train.to_numpy()[:-12]).mean()</t>
  </si>
  <si>
    <t xml:space="preserve">The array-slicing trick for "same month last year" is not explained, and the MASE value 0.37 is not worked by hand.</t>
  </si>
  <si>
    <t xml:space="preserve">Add: "[12:] is months 13–72, [:-12] is months 1–60; subtracting pairs each month with the same month a year earlier." Print naive_in_sample (≈ the mean in-sample seasonal-naive error) and show MASE = mean \ | error\ | ÷ that number. Include the 3-month toy MASE in 40.3's toy.</t>
  </si>
  <si>
    <t xml:space="preserve">40.26</t>
  </si>
  <si>
    <t xml:space="preserve">40.9 table code: (table.drop(columns=...) * 100).round(1).astype(str).add("%").assign(units=...map("{:,}".format))</t>
  </si>
  <si>
    <t xml:space="preserve">A formatting chain with 7 new methods is used just to print percentages.</t>
  </si>
  <si>
    <t xml:space="preserve">Replace with print(table.style.format(...)) or simply print((table.drop(columns="2025 units")*100).round(1)) and a sentence. Or explain each link. Also explain that the loop body re-fits three models per category (reuse of earlier code).</t>
  </si>
  <si>
    <t xml:space="preserve">40.27</t>
  </si>
  <si>
    <t xml:space="preserve">40.9 "Chapter 45's business metrics put rupee values on both sides"; Where this leads "Chapter 45, Business Metrics"</t>
  </si>
  <si>
    <t xml:space="preserve">Ch 45 is "Data Ingestion &amp; Integration". Business metrics are Ch 23 "Business Acumen, KPIs &amp; Metrics" (earlier). No later chapter titled "Business Metrics" exists.</t>
  </si>
  <si>
    <t xml:space="preserve">Change to "Chapter 23's business metrics (carrying cost, stock-outs) put rupee values on both sides" and remove or retarget the Where-this-leads bullet. If the rupee costing of forecast error is actually in the capstone, point to Ch 44.</t>
  </si>
  <si>
    <t xml:space="preserve">40.28</t>
  </si>
  <si>
    <t xml:space="preserve">40.9 plan: error_allowance = mean + std as a fraction of forecast</t>
  </si>
  <si>
    <t xml:space="preserve">This is presented as "safety stock" without saying it is a simplified rule. Standard safety stock is z × σ(error) × √(lead time), and a planner or interviewer will know that.</t>
  </si>
  <si>
    <t xml:space="preserve">Add a Watch-out: "This is a simple rule of thumb. The textbook formula sets safety stock = z × standard deviation of forecast error × √lead time, where z comes from the service level you want (1.28 for 90%). Chapter 23 / the capstone uses …".</t>
  </si>
  <si>
    <t xml:space="preserve">40.29</t>
  </si>
  <si>
    <t xml:space="preserve">40.9 planner note "October and November need 40% more capacity than an average month"</t>
  </si>
  <si>
    <t xml:space="preserve">The seasonal indices are Oct 1.43 and Nov 1.30.</t>
  </si>
  <si>
    <t xml:space="preserve">"October needs about 40% more capacity than an average month, November about 30%".</t>
  </si>
  <si>
    <t xml:space="preserve">40.30</t>
  </si>
  <si>
    <t xml:space="preserve">40.10 heater reading: "crossed the 6 °C line at 22:37 … and stayed high until 23:04"; the rule "fires at 22:51"</t>
  </si>
  <si>
    <t xml:space="preserve">These don't fit together. If excess &gt; 6 from 22:37 onward, a 10-in-a-row rule would fire at 22:46, not 22:51. The episode filter selects every minute above 6 °C from 15 minutes before the alert, so excess must have dipped below 6 between 22:37 and 22:41. The "planted" fault is described as a 50-minute ramp, but the reported episode is 27 minutes.</t>
  </si>
  <si>
    <t xml:space="preserve">Print the minute-by-minute excess from 22:30 to 23:05 in a small table so the reader sees the first crossing, the dip and the unbroken 10-minute run. Reword to "first crossed 6 °C at 22:37, dipped back briefly, and stayed above it from 22:42 to 23:04". Reconcile "ramps up over 50 minutes" with the observed episode, or explain that the first ~20 minutes of the ramp are below the 6 °C line.</t>
  </si>
  <si>
    <t xml:space="preserve">40.31</t>
  </si>
  <si>
    <t xml:space="preserve">40.10 second sensor code block</t>
  </si>
  <si>
    <t xml:space="preserve">This block does three detectors at once: heater (24-h rolling median, boolean rolling(10).sum()==10, Timedelta window), pressure (where(running), ewm(halflife="30min", times=..., ignore_na=True), 5-sd threshold from day one) and stoppage. ewm/halflife is never taught (searched Ch 17–39), and there is no "How it works".</t>
  </si>
  <si>
    <t xml:space="preserve">Split into 3 cells with output after each. (1) Heater: explain rolling("24h").median() and why the median resists a ramp; show that (excess &gt; 6) is True/False and rolling(10).sum()==10 means "10 Trues in a row", with a 12-row printed example. (2) Pressure: define an exponentially weighted mean by hand (weights halve every 30 minutes; connect to α in 40.4) and explain each ewm argument. Explain that where(running) blanks stopped minutes and why the threshold uses day one only (a clean training day). (3) Stoppage from the status column.</t>
  </si>
  <si>
    <t xml:space="preserve">40.32</t>
  </si>
  <si>
    <t xml:space="preserve">40.10 z-score block: z = (temp - rolling_mean) / rolling_std</t>
  </si>
  <si>
    <t xml:space="preserve">The z-score was taught in Ch 21, but not pointed back to. Time-based rolling("120min") differs from Ch 18's row-count rolling(3).</t>
  </si>
  <si>
    <t xml:space="preserve">Add "(z-score, Chapter 21)" and one sentence: a string window like "120min" means "all readings in the last 120 minutes", even if some minutes are missing.</t>
  </si>
  <si>
    <t xml:space="preserve">40.33</t>
  </si>
  <si>
    <t xml:space="preserve">Answer 13 "A 4 °C threshold fires on Monday morning … because the machine's normal daily warm-up crosses that line"</t>
  </si>
  <si>
    <t xml:space="preserve">Monday is the first day of the file, so rolling("24h").median() at Mon 11:13 is based on only ~11 hours of data. An immature baseline is a likelier cause and a lesson in its own right. The explanation is unverified.</t>
  </si>
  <si>
    <t xml:space="preserve">Check the Monday excess against a baseline with min_periods=1440 (a full day). If the false alerts vanish, rewrite: "…because on Monday the 24-hour baseline has only a few hours of history; require a full day before alerting."</t>
  </si>
  <si>
    <t xml:space="preserve">40.34</t>
  </si>
  <si>
    <t xml:space="preserve">40.6 Where this leads / 40.10 "Chapter 48 runs this on 12 machines and 40 weeks … with PySpark, DuckDB, and Polars"; Practice data "the same generator builds the 4.8-million-row version used in Chapter 48"; Companion "--full builds the 4.8-million-row version for Chapter 48"</t>
  </si>
  <si>
    <t xml:space="preserve">This is false. Ch 48 uses "25 machines across two plants, one reading every 10 seconds from 1 October to 31 December 2025, 19,872,000 readings", from make_sensor_data.py, and does not run the anomaly rules. (4.8 M = 12 × 40 × 10,080 is internally consistent here but matches nothing in Ch 48.)</t>
  </si>
  <si>
    <t xml:space="preserve">Choose one: (a) change Ch 40's statements to "Chapter 48 uses a larger sensor dataset (25 machines, 10-second readings, ~20 million rows) to teach distributed processing; the anomaly rules here could be run on it as a stretch exercise" and drop the 4.8-million/--full claims; or (b) make Ch 48 use this generator. Fix all four places: Practice data (line ~20), 40.10 closing paragraph, Companion files, Where this leads; also stretch goal "Run the sensor anomaly rules on the --full dataset".</t>
  </si>
  <si>
    <t xml:space="preserve">40.35</t>
  </si>
  <si>
    <t xml:space="preserve">Where this leads "Chapter 52, Deploying and Monitoring Models, schedules the forecast, monitors its WAPE"</t>
  </si>
  <si>
    <t xml:space="preserve">Ch 52 is "The Cloud, Containers &amp; Infrastructure as Code". Deployment and monitoring are Ch 56 (MLOps); scheduling is Ch 46 (Pipelines &amp; Orchestration).</t>
  </si>
  <si>
    <t xml:space="preserve">"Chapter 46 (Pipelines &amp; Orchestration) schedules the forecast; Chapter 56 (MLOps) monitors its WAPE and retrains it."</t>
  </si>
  <si>
    <t xml:space="preserve">40.36</t>
  </si>
  <si>
    <t xml:space="preserve">Tools / Companion files "Data specs: planning/data/riverstone-demand.md and riverstone-sensors.md"</t>
  </si>
  <si>
    <t xml:space="preserve">These are internal planning files presented as reader files (a drafting leftover of the same kind as checks/, figures/make_figs).</t>
  </si>
  <si>
    <t xml:space="preserve">Delete the sentence, or ship the specs as companion/data/README.md and point there.</t>
  </si>
  <si>
    <t xml:space="preserve">40.37</t>
  </si>
  <si>
    <t xml:space="preserve">Remove the parenthetical, following the book-wide decision.</t>
  </si>
  <si>
    <t xml:space="preserve">40.38</t>
  </si>
  <si>
    <t xml:space="preserve">Exercise 2 "explain why one measure changed and the other didn't"; Answer 2</t>
  </si>
  <si>
    <t xml:space="preserve">The premise is false for the given numbers: both MAPE and WAPE are 6.7% in both cases, which the answer admits ("6.7% as well here"). The exercise is broken as set.</t>
  </si>
  <si>
    <t xml:space="preserve">Rewrite the second case to actuals 50, 100, 150 with forecasts 60, 100, 140 (errors 10, 0, 10). MAPE = (20% + 0 + 6.7%)/3 = 8.9% while WAPE = 20/300 = 6.7%. Or keep the numbers and change the question to "Do either change? Now try actuals 50, 100, 150." Also add an asymmetry case (actual 100, forecast 150 → 50%; actual 150, forecast 100 → 33%) since the chapter claims MAPE penalises over-forecasting.</t>
  </si>
  <si>
    <t xml:space="preserve">40.39</t>
  </si>
  <si>
    <t xml:space="preserve">Main text 40.5 "exercise 7 tests whether it can be dropped, and the answer is a clear no"; Answer 7 "Dropping the MA(1) term is a disaster … The term … was doing real work"</t>
  </si>
  <si>
    <t xml:space="preserve">The output shows (0,1,1) also scores 15.7%. That model keeps MA(1) and drops AR(1), and it is just as bad as dropping MA(1) (15.8%). So the evidence says *the AR+MA pair together* (near-cancelling the difference; see 40.17) matters, not the MA(1) term. The AIC difference (−58.0 vs −54.1) is ~4 points; describe it as "moderate", not a disaster.</t>
  </si>
  <si>
    <t xml:space="preserve">Rewrite answer 7: "Dropping either term hurts: (1,1,0) and (0,1,1) both score about 16%. The two terms work as a pair; with MA ≈ −1 they effectively undo the regular difference (see 40.5). AIC prefers the full model by about 4 points." Change the main-text sentence to "exercise 7 tests whether the model can be simplified, and the answer is no".</t>
  </si>
  <si>
    <t xml:space="preserve">40.40</t>
  </si>
  <si>
    <t xml:space="preserve">Answer 11 "The dummy helps folds 2 to 4 … by one to two points"</t>
  </si>
  <si>
    <t xml:space="preserve">The gains are 0.6 (fold 2), 1.3 (fold 3) and 1.9 (fold 4). Fold 5 also gets worse (4.0 → 4.8), which is not mentioned.</t>
  </si>
  <si>
    <t xml:space="preserve">"helps folds 2 to 4 by 0.6 to 1.9 points, and hurts fold 1 (+1.6) and fold 5 (+0.8)".</t>
  </si>
  <si>
    <t xml:space="preserve">40.41</t>
  </si>
  <si>
    <t xml:space="preserve">Exercise 11 dummy "March–September 2020" vs 40.1 "February to June 2020, when the factory shut"</t>
  </si>
  <si>
    <t xml:space="preserve">The two descriptions give different shutdown windows.</t>
  </si>
  <si>
    <t xml:space="preserve">Use one definition of the shutdown throughout (e.g. "the April–June 2020 shutdown and its recovery through September"), matching the residual after fix 40.6.</t>
  </si>
  <si>
    <t xml:space="preserve">40.42</t>
  </si>
  <si>
    <t xml:space="preserve">Answer 12 comparison table (direct vs recursive)</t>
  </si>
  <si>
    <t xml:space="preserve">The recursive column is WAPE over the *first h weeks* (1 week at h = 1 → 0.3%). The direct column is WAPE over *all 52 weeks* at horizon h. The answer admits the columns "aren't on the same footing", so the exercise's stated goal cannot be met with this code.</t>
  </si>
  <si>
    <t xml:space="preserve">Change the code to compare like with like. For each horizon h, compute the direct model's WAPE over 2025, and the recursive model's WAPE over 2025 when each forecast is made h weeks ahead. That needs recursive runs from multiple origins: loop origins over 2025 and keep the h-th step. If that's too heavy, change the exercise to "compare at the 52-week horizon only" and report both on the same 52 weeks.</t>
  </si>
  <si>
    <t xml:space="preserve">40.43</t>
  </si>
  <si>
    <t xml:space="preserve">Tools "pandas (3.0.2) … statsmodels 0.15.0 … Prophet 1.4.0"</t>
  </si>
  <si>
    <t xml:space="preserve">Fine (pandas 3.0.2 and statsmodels 0.15.0 verified installed). A gap remains: ewm(times=...), asfreq, isocalendar, Timedelta and time-based rolling were never taught in Ch 18 (Ch 18 covers resample, rolling(n) and shift only).</t>
  </si>
  <si>
    <t xml:space="preserve">Either note them in Ch 18's time-series section or give each a one-line definition at first use here (see 40.2, 40.19, 40.31).</t>
  </si>
  <si>
    <t xml:space="preserve">V40.1</t>
  </si>
  <si>
    <t xml:space="preserve">p. 12 · Figure 40.2 (ACF and PACF)</t>
  </si>
  <si>
    <t xml:space="preserve">The caption says "Almost everything sits inside the significance band except lag 12". The figure highlights, in red and outside the ±0.26 band, lag 9 (ACF +0.3, PACF +0.3) and lag 22 (PACF) as well as lag 12. The printed table above lists only lags 1–3, 6, 11–13 and 24, so the reader can't reconcile them. In the PACF panel the red highlight sits on green bars (red–green pair). Text 5.4–6.1 pt.</t>
  </si>
  <si>
    <t xml:space="preserve">Reword the caption to acknowledge lags 9 and 22 (e.g. "…a few isolated lags cross the band; lag 12 is the one that matters"), or colour only lag 12. Use a darker neutral for the ordinary bars. Redraw at ≥ 7 pt.</t>
  </si>
  <si>
    <t xml:space="preserve">V40.2</t>
  </si>
  <si>
    <t xml:space="preserve">p. 7 · Figure 40.1 (decomposition, 4 panels)</t>
  </si>
  <si>
    <t xml:space="preserve">Tick labels 5.4–5.6 pt. Each panel shows only its min and max as odd values ("125,660", "27,240", "86,938", "50,254"). The top panel's floor (27,240) sits well below the data, so the line floats.</t>
  </si>
  <si>
    <t xml:space="preserve">Redraw at ≥ 7 pt with 2–3 round ticks per panel (e.g. 50k / 100k).</t>
  </si>
  <si>
    <t xml:space="preserve">V40.3</t>
  </si>
  <si>
    <t xml:space="preserve">p. 17 · Figure 40.3 (rolling-origin folds)</t>
  </si>
  <si>
    <t xml:space="preserve">Ticks, fold end labels and legend are 5.3–6.0 pt.</t>
  </si>
  <si>
    <t xml:space="preserve">V40.4</t>
  </si>
  <si>
    <t xml:space="preserve">p. 25 · Figure 40.4 (sensor anomalies)</t>
  </si>
  <si>
    <t xml:space="preserve">Ticks and annotations 5.4–5.9 pt. The light baseline band spills below the temperature panel's frame at the left (Mon). The green 24-hour baseline line is barely visible over the blue signal. The caption says "stoppage minutes drawn as a gap", but the gap can't be seen at this size.</t>
  </si>
  <si>
    <t xml:space="preserve">Clip the band to the frame. Draw the baseline darker or thicker. Mark the stoppage with a shaded span. Redraw at ≥ 7 pt.</t>
  </si>
  <si>
    <t xml:space="preserve">V40.5</t>
  </si>
  <si>
    <t xml:space="preserve">p. 19 (folio 18) · 40.9 Demand forecasting</t>
  </si>
  <si>
    <t xml:space="preserve">The page ends with "…four methods against seasonal naive, on 2025:" and is 55% blank. The 45-line code block is on p. 20.</t>
  </si>
  <si>
    <t xml:space="preserve">V40.6</t>
  </si>
  <si>
    <t xml:space="preserve">p. 23 (folio 22) · Slow drift</t>
  </si>
  <si>
    <t xml:space="preserve">The page ends with "…which silences the blips:" and is 50% blank. The code block is on p. 24.</t>
  </si>
  <si>
    <t xml:space="preserve">Allow the split.</t>
  </si>
  <si>
    <t xml:space="preserve">V40.7</t>
  </si>
  <si>
    <t xml:space="preserve">p. 9→10, 10→11, 11→12, 16→17 · Lead-ins and heading at page foot</t>
  </si>
  <si>
    <t xml:space="preserve">Lead-ins stranded at the page foot: "…moves part of the way toward each new observation:" (formula box on p. 10); "…by minimizing the in-sample error:" (p. 10 ends 30% short, code on p. 11); "ARIMA models a stationary series as a combination of:" (bullets on p. 12). The "40.7 Backtesting" heading and its lead-in "…looks at all the scores:" sit at the foot of p. 16, with the code on p. 17.</t>
  </si>
  <si>
    <t xml:space="preserve">Keep "…:" lead-ins and headings with the next block.</t>
  </si>
  <si>
    <t xml:space="preserve">V40.8</t>
  </si>
  <si>
    <t xml:space="preserve">p. 31, 32, 33, 35 · Answers 5, 7, 9, 12</t>
  </si>
  <si>
    <t xml:space="preserve">The answer number is stranded alone at the page foot (p. 33 also ends 25% short).</t>
  </si>
  <si>
    <t xml:space="preserve">V40.9</t>
  </si>
  <si>
    <t xml:space="preserve">V40.10</t>
  </si>
  <si>
    <t xml:space="preserve">V40.11</t>
  </si>
  <si>
    <t xml:space="preserve">p. 4 · In plain English → 40.1</t>
  </si>
  <si>
    <t xml:space="preserve">The page ends about 35% short because 40.1's heading, "The data" and a 40-line code block moved together to p. 5.</t>
  </si>
  <si>
    <t xml:space="preserve">V40.12</t>
  </si>
  <si>
    <t xml:space="preserve">p. 14 · 40.6 ML for forecasting</t>
  </si>
  <si>
    <t xml:space="preserve">The page ends 25% short before the feature-building code.</t>
  </si>
  <si>
    <t xml:space="preserve">V40.13</t>
  </si>
  <si>
    <t xml:space="preserve">p. 24 · Anomaly output block</t>
  </si>
  <si>
    <t xml:space="preserve">The spike list wraps to column 0: "['Tue 12:00', 'Tue 12:01'," / "'Tue 12:02']".</t>
  </si>
  <si>
    <t xml:space="preserve">Shorten the print, or add a hanging indent.</t>
  </si>
  <si>
    <t xml:space="preserve">V40.14</t>
  </si>
  <si>
    <t xml:space="preserve">p. 12, 29, 31 · SARIMA notation</t>
  </si>
  <si>
    <t xml:space="preserve">The subscripts "ₛ" and "₁₂" in "(P, D, Q)ₛ" and "(0, 1, 1)₁₂" come from the fallback font and are lighter and smaller than the surrounding Lora.</t>
  </si>
  <si>
    <t xml:space="preserve">Use &lt;sub&gt; with the body font.</t>
  </si>
  <si>
    <t xml:space="preserve">V40.15</t>
  </si>
  <si>
    <t xml:space="preserve">p. 25→26 · "Common mistakes" table</t>
  </si>
  <si>
    <t xml:space="preserve">Split 3 rows + 11 rows (the header is repeated).</t>
  </si>
  <si>
    <t xml:space="preserve">Start the table on p. 26, or accept.</t>
  </si>
  <si>
    <t xml:space="preserve">V40.16</t>
  </si>
  <si>
    <t xml:space="preserve">p. 31 · Answers heading</t>
  </si>
  <si>
    <t xml:space="preserve">V40.17</t>
  </si>
  <si>
    <t xml:space="preserve">p. 30 · Exercise list</t>
  </si>
  <si>
    <t xml:space="preserve">V40.18</t>
  </si>
  <si>
    <t xml:space="preserve">p. 27, 28, 29 · Inline code</t>
  </si>
  <si>
    <t xml:space="preserve">Pill padding adds a space before punctuation: "( pip install prophet ;", "( auto_arima ),", "( exog= )", "kitchen , monthly ,".</t>
  </si>
  <si>
    <t xml:space="preserve">41.1</t>
  </si>
  <si>
    <t xml:space="preserve">Header "Tools: Python 3 with scikit-learn, NLTK, and gensim"; §41.2 import nltk</t>
  </si>
  <si>
    <t xml:space="preserve">NLTK and gensim are used with no install step in the body. pip install nltk / pip install gensim appear only in the Tools box at the end (line 882). The NLTK data downloads for tokenizer models, stop words, and WordNet are never run before word_tokenize / stopwords.words / WordNetLemmatizer, so a reader's first cell raises LookupError. Only vader_lexicon is downloaded, and only in §41.5.</t>
  </si>
  <si>
    <t xml:space="preserve">Add a new "41.0 Setting up" cell before §41.1. (1) In the terminal (Ch 17 §17.0 / Ch 26 §26.0 skills): pip install nltk gensim, then python -c "import nltk, gensim; print(nltk.__version__, gensim.__version__)" with its output. (2) A notebook cell: import nltk, then for pkg in ["punkt_tab", "stopwords", "wordnet", "omw-1.4", "vader_lexicon"]: nltk.download(pkg). Show the output and explain each package in one line: tokenizer model, stop-word list, lemma dictionary, WordNet's multilingual data, sentiment lexicon. Say this is a one-time download to the user's home folder.</t>
  </si>
  <si>
    <t xml:space="preserve">41.2</t>
  </si>
  <si>
    <t xml:space="preserve">Tools box "needs nltk.download(...) for punkt"</t>
  </si>
  <si>
    <t xml:space="preserve">NLTK 3.10.3, the version the book names, uses punkt_tab. Downloading punkt alone leaves word_tokenize failing with "Resource punkt_tab not found".</t>
  </si>
  <si>
    <t xml:space="preserve">Replace "punkt" with "punkt_tab" in the Tools box and in the new §41.0 cell.</t>
  </si>
  <si>
    <t xml:space="preserve">41.3</t>
  </si>
  <si>
    <t xml:space="preserve">§41.1 pd.read_csv("../tickets/tickets.csv")</t>
  </si>
  <si>
    <t xml:space="preserve">The relative path only works if the reader has (a) run companion/generate_riverstone_tickets.py and (b) started Jupyter from companion/ch41/. Both instructions appear only in the Tools box at the end of the chapter.</t>
  </si>
  <si>
    <t xml:space="preserve">Move the "Companion files" paragraph into §41.0. Add the command python generate_riverstone_tickets.py with its printed confirmation. Explain ../ as "one folder up" (Ch 26 §26.0).</t>
  </si>
  <si>
    <t xml:space="preserve">41.4</t>
  </si>
  <si>
    <t xml:space="preserve">Practice data / Tools "Data spec: planning/data/riverstone-tickets.md"</t>
  </si>
  <si>
    <t xml:space="preserve">A drafting/build document is presented as if it were a reader file.</t>
  </si>
  <si>
    <t xml:space="preserve">Delete "Data spec: planning/data/riverstone-tickets.md". If a data dictionary is wanted, print the columns in §41.1 (tickets.dtypes) and list them in a small table: ticket_id, created_at, order_id, subject, body, topic, sentiment, satisfaction, resolution_hours.</t>
  </si>
  <si>
    <t xml:space="preserve">41.5</t>
  </si>
  <si>
    <t xml:space="preserve">§41.1 first code block (import re, warnings, filterwarnings)</t>
  </si>
  <si>
    <t xml:space="preserve">The block does five things at once: imports, suppresses warnings, loads, two value_counts, string-length statistics, and .loc on a row. re and warnings are never explained, and suppressing all warnings is a bad habit to teach beginners, because it hides ConvergenceWarning from LogisticRegression.</t>
  </si>
  <si>
    <t xml:space="preserve">Split into 3 cells: (1) load and len + date range; (2) the two value_counts calls; (3) body length and the first ticket. Remove warnings.filterwarnings("ignore"), or explain it in one line and say why it is used. Move import re to §41.7, where it is first needed.</t>
  </si>
  <si>
    <t xml:space="preserve">41.6</t>
  </si>
  <si>
    <t xml:space="preserve">§41.2 "NLTK's tokenizer knows the difference between a sentence-ending period and a decimal point"</t>
  </si>
  <si>
    <t xml:space="preserve">The claim is never demonstrated, because the example has no decimal. The Reading-it paragraph also calls the tokenizer's handling of "sales rep" notable, but that pair is simply two ordinary words.</t>
  </si>
  <si>
    <t xml:space="preserve">Either add a demonstration line, e.g. word_tokenize("the 2.5 kg crate arrived. thanks") with output ['the', '2.5', 'kg', 'crate', 'arrived', '.', 'thanks'], or delete the claim. Replace "kept sales and rep apart correctly" with something the output shows, such as "split #108347 into # and 108347, and made ? and . their own tokens".</t>
  </si>
  <si>
    <t xml:space="preserve">41.7</t>
  </si>
  <si>
    <t xml:space="preserve">§41.2 "removing 10 stop words"</t>
  </si>
  <si>
    <t xml:space="preserve">Recomputed ✓. The 10 removed words include not ("does not match"). The chapter drops "not" silently here and only warns about negation later, in the mistakes table and Ex 3.</t>
  </si>
  <si>
    <t xml:space="preserve">After the output, add: "Look at what went: you, the, for, the, does, not, what, we, with, the. 'not' is on NLTK's stop-word list — for sentiment that is a problem (see Ex 3)." Also show len(stop_words), which is 198 in NLTK 3.10, and the first 20 words.</t>
  </si>
  <si>
    <t xml:space="preserve">41.8</t>
  </si>
  <si>
    <t xml:space="preserve">§41.2 "(better as an adjective has no simpler form; as nothing in particular, WordNet leaves it alone)"</t>
  </si>
  <si>
    <t xml:space="preserve">The sentence is garbled, and its claim is wrong. WordNet lemmatizes better with pos='a' to good. The table shows "better" unchanged only because the code asks for verb and noun lemmas.</t>
  </si>
  <si>
    <t xml:space="preserve">Replace the sentence with: "Lemmatization looks up the dictionary base form (the lemma) and needs the part of speech: lemmatize('better', pos='a') returns 'good', while as a verb or noun WordNet leaves 'better' alone." Add a fourth column lemma (adj) to the table, or a one-line demonstration. Explain pos='v'/'n'/'a'. Explain the f-string width codes :&lt;12 (they may be taught in Ch 17/18; if so, point back).</t>
  </si>
  <si>
    <t xml:space="preserve">41.9</t>
  </si>
  <si>
    <t xml:space="preserve">§41.2 "Stemming (Porter's algorithm) chops suffixes with fixed rules"</t>
  </si>
  <si>
    <t xml:space="preserve">Porter's rules are never shown, so "deliveri" looks arbitrary. There is no by-hand step.</t>
  </si>
  <si>
    <t xml:space="preserve">Add a 3-line box: "Porter step 1: 'ing'/'ed' removed if a vowel remains (delivering→deliver→deliv after the 'er' rule); step 1c: final 'y'→'i' (delivery→deliveri)." Keep it illustrative, not complete.</t>
  </si>
  <si>
    <t xml:space="preserve">41.10</t>
  </si>
  <si>
    <t xml:space="preserve">§41.3 "Bag of words, by hand"</t>
  </si>
  <si>
    <t xml:space="preserve">This is done in code, not by hand. It also uses a nested list comprehension with .count inside a DataFrame constructor. That is dense for a beginner.</t>
  </si>
  <si>
    <t xml:space="preserve">First show the 3×10 count table as a plain table built on paper: read each sentence and put a 1 under each word. Then give the code in two cells: (1) vocab = sorted(set(...)) with its output, explaining set (removes duplicates) and sorted; (2) one row built for document 0 only, [mini[0].split().count(w) for w in vocab], with output [0,1,1,1,0,0,0,0,1,0], then all three rows.</t>
  </si>
  <si>
    <t xml:space="preserve">41.11</t>
  </si>
  <si>
    <t xml:space="preserve">§41.3 formula "idf(word) = log((1 + N) ÷ (1 + documents containing word)) + 1"</t>
  </si>
  <si>
    <t xml:space="preserve">"log" is not specified. Ex 2 later writes it as "ln". The worked idf values in the code are not shown as arithmetic.</t>
  </si>
  <si>
    <t xml:space="preserve">Write "ln (natural log, Chapter 35)" in the formula. Add the arithmetic for N = 3: crate ln(4/4)+1 = 1.000; the/arrived ln(4/3)+1 = 1.288; broken ln(4/2)+1 = 1.693 (all ✓ re-computed). Show this before the code, so the code confirms numbers the reader already has.</t>
  </si>
  <si>
    <t xml:space="preserve">41.12</t>
  </si>
  <si>
    <t xml:space="preserve">§41.3 "(The "+1"s … no division fails on a word that's in every document.)"</t>
  </si>
  <si>
    <t xml:space="preserve">The explanation is wrong. The +1 inside the fraction protects against df = 0 (a word in no document, which only happens with a fixed vocabulary). A word in every document gives ln(1) = 0, and it is the trailing +1 that stops its weight becoming zero.</t>
  </si>
  <si>
    <t xml:space="preserve">Replace with: "The +1 inside the fraction acts as if one extra document contained every word, so a word with df = 0 never divides by zero; the trailing +1 keeps a word found in every document (ln 1 = 0) from getting zero weight."</t>
  </si>
  <si>
    <t xml:space="preserve">41.13</t>
  </si>
  <si>
    <t xml:space="preserve">§41.3 TfidfVectorizer output "vocabulary: ['arrived' 'broken' 'crate' 'on' …]"</t>
  </si>
  <si>
    <t xml:space="preserve">The hand-built vocabulary had 10 words, including a. The library's has 9. The reader is not told why: token_pattern ignores 1-character tokens by default.</t>
  </si>
  <si>
    <t xml:space="preserve">After the output add: "Where did 'a' go? TfidfVectorizer lowercases text and keeps only tokens of two or more letters or digits by default (token_pattern), so 'a' is dropped. Idf values don't change." Explain fit_transform (learn vocabulary + idf, then convert) and .toarray() (a sparse matrix, as in Ch 36 §36.6, turned into a normal table).</t>
  </si>
  <si>
    <t xml:space="preserve">41.14</t>
  </si>
  <si>
    <t xml:space="preserve">§41.3 "rescales each document's row to length 1 (its Euclidean norm)"</t>
  </si>
  <si>
    <t xml:space="preserve">The normalization step is not done by hand, so a reader cannot connect 1.693 to 0.632.</t>
  </si>
  <si>
    <t xml:space="preserve">Add a worked line: "doc 1 raw tf-idf = [arrived 1.288, broken 1.693, crate 1.000, the 1.288]; length = √(1.288² + 1.693² + 1² + 1.288²) = √7.184 = 2.680; 1.693 ÷ 2.680 = 0.632, 1.288 ÷ 2.680 = 0.480, 1 ÷ 2.680 = 0.373." (all ✓ re-computed). Name the parameter: norm='l2' is the default.</t>
  </si>
  <si>
    <t xml:space="preserve">41.15</t>
  </si>
  <si>
    <t xml:space="preserve">§41.3 "Documents as vectors, again"</t>
  </si>
  <si>
    <t xml:space="preserve">Cosine similarity is used on 3,000 tickets but never computed by hand on the mini example. That is the obvious bridge back to Ch 35.</t>
  </si>
  <si>
    <t xml:space="preserve">Before the full-data cell, compute cos(doc 1, doc 2) from the normalized rows: 0.480×0.406 + 0.373×0.315 + 0.480×0.406 = 0.508, and cos(doc 1, doc 3) = 0.373×0.323 = 0.120 (✓ re-computed with sklearn). Then cosine_similarity(matrix) shows the same 3×3 table. Only then go to the tickets.</t>
  </si>
  <si>
    <t xml:space="preserve">41.16</t>
  </si>
  <si>
    <t xml:space="preserve">§41.3 "order numbers and amounts get almost no weight (they're unique … idf is high but their tf is 1"</t>
  </si>
  <si>
    <t xml:space="preserve">The explanation is wrong. With min_df=2 in full_tfidf, any number that appears in only one ticket is removed from the vocabulary entirely, so the vectors are literally identical and the similarity is exactly 1.000. The same code sets stop_words="english" (sklearn's list, not NLTK's) and max_features=3000, and none of these three parameters is explained.</t>
  </si>
  <si>
    <t xml:space="preserve">Explain each parameter in a bullet list: stop_words="english" = scikit-learn's own list of 318 words, slightly different from NLTK's; max_features=3000 = keep the 3,000 most frequent terms; min_df=2 = drop terms found in fewer than 2 documents. Rewrite the Reading-it sentence: "Order numbers and amounts appear in only one ticket each, so min_df=2 drops them from the vocabulary; what's left is the identical template, so the similarity is exactly 1." Add len(full_tfidf.vocabulary_) with its output. Explain np.argsort(-sim)[1:4]: minus sign = descending; [1:4] skips position 0, which is the ticket itself.</t>
  </si>
  <si>
    <t xml:space="preserve">41.17</t>
  </si>
  <si>
    <t xml:space="preserve">§41.4 "no time-ordering concern here … since each ticket is independent"</t>
  </si>
  <si>
    <t xml:space="preserve">This contradicts the chapter itself. The real-world story finds repeat contacts on the same order_id, so tickets are not independent, and Ex 15 discusses drift over time. A random split can put the first and second contacts about one order in train and test respectively.</t>
  </si>
  <si>
    <t xml:space="preserve">Replace with: "We use a stratified random split for simplicity. In production you'd split by date (Chapter 36), and keep all tickets for one order on the same side, because repeat contacts share wording." Explain stratify=tickets["topic"] by pointing back to Ch 36 §36.3.</t>
  </si>
  <si>
    <t xml:space="preserve">41.18</t>
  </si>
  <si>
    <t xml:space="preserve">§41.4 MultinomialNB()</t>
  </si>
  <si>
    <t xml:space="preserve">Ch 37 §37.5 taught only GaussianNB. MultinomialNB, which multiplies per-word probabilities with Laplace smoothing, is never explained, and it is fed TF-IDF weights rather than counts without comment. This is the "Naive Bayes on text" the chapter promises, and it is not built from zero.</t>
  </si>
  <si>
    <t xml:space="preserve">Add a by-hand box before the pipeline. Label the three mini sentences (doc 1 = Defect, doc 2 = Delivery, doc 3 = Defect). Compute P(word \ | class) = (count + 1) ÷ (words in class + vocabulary size) for "broken" and "time". Score the new text "crate broken" for each class (prior × likelihoods) and pick the larger. Then say: "MultinomialNB does exactly this for every word; fed TF-IDF instead of counts it uses weighted counts — common in practice though the theory assumes counts." Point back to Ch 37 §37.5's Bayes rule.</t>
  </si>
  <si>
    <t xml:space="preserve">41.19</t>
  </si>
  <si>
    <t xml:space="preserve">§41.4 LogisticRegression(max_iter=1000) on five topics</t>
  </si>
  <si>
    <t xml:space="preserve">Ch 37 §37.3 taught binary logistic regression. How it handles five classes is not explained.</t>
  </si>
  <si>
    <t xml:space="preserve">Add 3 sentences: "With five classes, scikit-learn fits one set of weights per class, turns the five scores into five probabilities that sum to 1 (the softmax function, which Chapter 54 revisits), and predicts the highest. max_iter=1000 lets the solver take more steps; without it you may see a ConvergenceWarning (which warnings.filterwarnings was hiding)."</t>
  </si>
  <si>
    <t xml:space="preserve">41.20</t>
  </si>
  <si>
    <t xml:space="preserve">§41.4 ngram_range=(1, 2)</t>
  </si>
  <si>
    <t xml:space="preserve">Bigrams and n-grams are used here but never defined in the body. They appear first in the stretch goals and Ex 3/Ex 11, and "n-gram · bigram" is listed as a key term.</t>
  </si>
  <si>
    <t xml:space="preserve">Before topic_pipeline, add a short subsection "Adding word pairs (n-grams)". Take one mini sentence: CountVectorizer(ngram_range=(1,2)).fit(["the crate arrived broken"]).get_feature_names_out() → ['arrived', 'arrived broken', 'crate', 'crate arrived', 'the', 'the crate']. Explain that (1, 2) means single words plus adjacent pairs, and that this is how "not good" can survive as one feature.</t>
  </si>
  <si>
    <t xml:space="preserve">41.21</t>
  </si>
  <si>
    <t xml:space="preserve">§41.4 def topic_pipeline(model): return Pipeline([( "tfidf", TfidfVectorizer(...)), ("model", model)])</t>
  </si>
  <si>
    <t xml:space="preserve">Black-formatted nested tuples spread over 15 lines. The block also defines a function, fits two models, loops, prints, and calls classification_report, which is about five new ideas at once.</t>
  </si>
  <si>
    <t xml:space="preserve">Split into 3 cells: (1) define topic_pipeline, reformatted with the vectorizer as a named variable, and explain that each tuple is (step name, step object), per Ch 36 §36.8; (2) fit NB and LR, and print accuracy and macro F1; (3) classification_report on its own.</t>
  </si>
  <si>
    <t xml:space="preserve">41.22</t>
  </si>
  <si>
    <t xml:space="preserve">§41.4 "accuracy … macro F1 …" and classification_report</t>
  </si>
  <si>
    <t xml:space="preserve">"Macro F1" and classification_report are used without definition. Ch 39 §39.1 taught binary precision/recall/F1 only, and "macro" appears in no earlier ML chapter. The report's rows (support, macro avg, weighted avg) are not explained, even though the chapter-at-a-glance promises "read a confusion matrix for more than two classes".</t>
  </si>
  <si>
    <t xml:space="preserve">Before the report, add "Precision, recall and F1 for five classes". Each class is scored one-vs-rest. Compute one class by hand from the confusion matrix: Delivery precision = 223 ÷ (223 + 2 + 1 + 1) = 0.982, recall = 223 ÷ 223 = 1.000. Define macro average (plain mean of the five F1s, every class equal) and weighted average (mean weighted by support = true count). Define "support". This requires moving the confusion matrix before the classification report (see 41.23).</t>
  </si>
  <si>
    <t xml:space="preserve">41.23</t>
  </si>
  <si>
    <t xml:space="preserve">§41.4 "The confusion matrix, and one thing it can't explain"</t>
  </si>
  <si>
    <t xml:space="preserve">The per-class report is printed before the confusion matrix that explains it. The multi-class layout (rows = true, columns = predicted) is not stated.</t>
  </si>
  <si>
    <t xml:space="preserve">Reorder: confusion matrix first, with a sentence saying rows = true topic, columns = predicted, and the diagonal = correct. Then the classification report, read against it.</t>
  </si>
  <si>
    <t xml:space="preserve">41.24</t>
  </si>
  <si>
    <t xml:space="preserve">§41.4 "never uses the words that anchor "Product Defect" clearly"</t>
  </si>
  <si>
    <t xml:space="preserve">The explanation names the wrong topic. The example is true = Billing, predicted = Delivery; Product Defect is irrelevant.</t>
  </si>
  <si>
    <t xml:space="preserve">Replace with: "…mentions a late delivery and an invoice problem in the same message; 'delivery' and 'late' pull it toward Delivery even though it was labeled Billing."</t>
  </si>
  <si>
    <t xml:space="preserve">41.25</t>
  </si>
  <si>
    <t xml:space="preserve">§41.4 printed ticket "The you was fine but the delivery was late"</t>
  </si>
  <si>
    <t xml:space="preserve">A template bug in the generator: "The you" is an unfilled placeholder, presumably "The {product} was fine". It is shown to the reader as a real ticket.</t>
  </si>
  <si>
    <t xml:space="preserve">Polish / Correctness</t>
  </si>
  <si>
    <t xml:space="preserve">Fix the generator template, regenerate, and rerun the chapter's outputs. If kept, add "(a template glitch in the generator — real data has these too)".</t>
  </si>
  <si>
    <t xml:space="preserve">41.26</t>
  </si>
  <si>
    <t xml:space="preserve">§41.4 "they couldn't, since each number appears in only one ticket in the whole dataset"</t>
  </si>
  <si>
    <t xml:space="preserve">The check is weaker than claimed. With min_df=2, order numbers that appear once were never in the vocabulary, so replacing them cannot change anything. This also contradicts the real-world story, where the same order_id recurs across tickets. import re as _re re-imports a module already imported as re.</t>
  </si>
  <si>
    <t xml:space="preserve">Rewrite: "Numbers that occur in only one ticket were already dropped by min_df=2, so this check mainly tests amounts and repeated order numbers; the unchanged score says the model relies on words." Use re.compile rather than _re. Explain str.replace(pattern, "0", regex=True), pointing back to the Ch 18 regex use, and \d+. Resolve the order-number contradiction with 41.17/41.40.</t>
  </si>
  <si>
    <t xml:space="preserve">41.27</t>
  </si>
  <si>
    <t xml:space="preserve">§41.5 sia.polarity_scores(b)["compound"] and pd.cut(bins=[-2, -0.05, 0.05, 2])</t>
  </si>
  <si>
    <t xml:space="preserve">The compound score's range (−1 to +1) and the ±0.05 cut-offs (VADER's documented convention) are not explained. Nor is why the outer edges are ±2.</t>
  </si>
  <si>
    <t xml:space="preserve">Show sia.polarity_scores("the crate arrived broken") → a dict with neg/neu/pos/compound, and explain each key. State that compound runs from −1 to +1, that ±0.05 is VADER's own suggested threshold, and that ±2 are just edges wider than any possible score. Split the cell: (1) score and groupby; (2) pd.cut + accuracy; (3) crosstab.</t>
  </si>
  <si>
    <t xml:space="preserve">41.28</t>
  </si>
  <si>
    <t xml:space="preserve">§41.5 sentiment_pipeline</t>
  </si>
  <si>
    <t xml:space="preserve">An exact copy of topic_pipeline under a new name. It is 15 more lines for the reader to compare, and the split was stratified on topic, not sentiment, which is never mentioned.</t>
  </si>
  <si>
    <t xml:space="preserve">Load / Consistency</t>
  </si>
  <si>
    <t xml:space="preserve">Reuse topic_pipeline, renaming it text_pipeline from the start. Add one sentence: "The split was stratified by topic; sentiment proportions in train and test are close anyway (show value_counts(normalize=True))."</t>
  </si>
  <si>
    <t xml:space="preserve">41.29</t>
  </si>
  <si>
    <t xml:space="preserve">§41.6 LDA/NMF introduction ("Dirichlet", "decomposing the TF-IDF matrix directly")</t>
  </si>
  <si>
    <t xml:space="preserve">Both algorithms are described in one sentence each. There is no by-hand picture of "document = mixture of topics" or of what factorization means. "Dirichlet" is never explained. This is the heaviest conceptual jump in the chapter.</t>
  </si>
  <si>
    <t xml:space="preserve">Add a by-hand box using the 3 mini sentences + 1 more ("invoice amount wrong"). Show a 4 × vocab count table ≈ (4 × 2 document-topic table) × (2 × vocab topic-word table), with small made-up numbers that multiply back approximately. Say in plain words: "LDA: each document is, say, 70% 'damage' and 30% 'delivery'; each topic is a list of word probabilities. 'Dirichlet' is just the name of the distribution LDA uses for those mixtures — you don't need its formula." Say that NMF is the same picture with non-negative numbers fitted to TF-IDF, and that Chapter 42 §42.4 uses the same factorization idea for recommenders.</t>
  </si>
  <si>
    <t xml:space="preserve">41.30</t>
  </si>
  <si>
    <t xml:space="preserve">§41.6 CountVectorizer(..., token_pattern=r"\b[a-z]{3,}\b") and component.argsort()[-8:][::-1], lda.transform(counts).argmax(axis=1)</t>
  </si>
  <si>
    <t xml:space="preserve">The regex, the slicing trick, the components_ attribute, and transform().argmax are all new and unexplained. Nor is it said why LDA gets raw counts and NMF gets TF-IDF.</t>
  </si>
  <si>
    <t xml:space="preserve">Explain the regex (\b = word boundary, [a-z]{3,} = three or more lowercase letters, so numbers and "rs" are dropped). Explain the slicing (argsort = positions from smallest to largest; [-8:] = last 8 = largest; [::-1] = reverse into descending order). Explain components_ (one row per topic, one column per word, bigger = more typical) and transform(...).argmax(axis=1) (each ticket's most likely topic). Add: "LDA models word counts, so it gets CountVectorizer; NMF works on any non-negative matrix and TF-IDF usually gives cleaner topics."</t>
  </si>
  <si>
    <t xml:space="preserve">41.31</t>
  </si>
  <si>
    <t xml:space="preserve">§41.6 Reading it: "LDA topic 2 ("days, just, team, time, called, ago, tracking") is mostly Delivery, but with a third of Product Defect…"</t>
  </si>
  <si>
    <t xml:space="preserve">"tracking" is not in LDA topic 2's printed list (order, days, just, team, dear, time, called, ago). Topic 2 is 415/1,020 = 41% Delivery, not "mostly". General Enquiry is 29% of it. The share of Product Defect in topic 2 is 242/625 = 39% ("a third" is loose).</t>
  </si>
  <si>
    <t xml:space="preserve">Replace with: "LDA topic 2 ('days, just, team, time, called, ago') is the largest share of Delivery tickets (415), but also takes 299 General Enquiry and 242 Product Defect tickets — about four in ten of each of those categories — wherever they mention days and time."</t>
  </si>
  <si>
    <t xml:space="preserve">41.32</t>
  </si>
  <si>
    <t xml:space="preserve">§41.6 NMF crosstab</t>
  </si>
  <si>
    <t xml:space="preserve">NMF topic 0 absorbs 1,604 of 3,000 tickets (53%), including 560/625 Product Defect and 390/409 Order Change. This catch-all topic is the most important thing in the NMF table and it is not mentioned.</t>
  </si>
  <si>
    <t xml:space="preserve">Add a sentence: "NMF topic 0 swallows over half of all tickets — a 'catch-all' topic is a common sign that the vocabulary or the number of topics needs work."</t>
  </si>
  <si>
    <t xml:space="preserve">41.33</t>
  </si>
  <si>
    <t xml:space="preserve">Figure 41.1 caption "LDA and NMF topics, and how each maps onto the five real categories"</t>
  </si>
  <si>
    <t xml:space="preserve">The figure shows only LDA's words and LDA's row-share table.</t>
  </si>
  <si>
    <t xml:space="preserve">Either add the NMF panel or change the caption to "LDA's topics and how they map onto the five real categories".</t>
  </si>
  <si>
    <t xml:space="preserve">41.34</t>
  </si>
  <si>
    <t xml:space="preserve">§41.7 "training a small network to predict a word from its neighbors … the hidden layer's weights"</t>
  </si>
  <si>
    <t xml:space="preserve">"Network" and "hidden layer" are used two chapters before neural networks are taught (Ch 43).</t>
  </si>
  <si>
    <t xml:space="preserve">Rephrase without network terms: "word2vec gives every word a short list of numbers, starts them random, and nudges them so that a word's numbers are good at predicting the words around it (within a 'window' of 5 words either side). After many passes, words used in similar places end up with similar numbers." Add a forward pointer: "Chapter 43 shows the small neural network that does this."</t>
  </si>
  <si>
    <t xml:space="preserve">41.35</t>
  </si>
  <si>
    <t xml:space="preserve">§41.7 "From counting words to placing them"</t>
  </si>
  <si>
    <t xml:space="preserve">There is no by-hand embedding example. The reader never sees why "broken" and "damaged" can be close even without co-occurring.</t>
  </si>
  <si>
    <t xml:space="preserve">Add a by-hand mini example: count, within a ±1-word window over 4 tiny sentences ("crate arrived broken", "crate arrived damaged", "invoice amount wrong", "invoice amount incorrect"), the neighbours of "broken" and "damaged". Both have neighbour vector {arrived: 1}, so cosine = 1 even though they never appear together. Then say: "word2vec learns a compressed version of this neighbour table."</t>
  </si>
  <si>
    <t xml:space="preserve">41.36</t>
  </si>
  <si>
    <t xml:space="preserve">§41.7 Word2Vec(sentences, vector_size=50, window=5, min_count=5, seed=41, workers=1) and re.findall(r"[a-z]+", ...)</t>
  </si>
  <si>
    <t xml:space="preserve">Five parameters and a regex, none explained. workers=1 (needed with seed for repeatable results) is not justified. model.wv and most_similar are not explained.</t>
  </si>
  <si>
    <t xml:space="preserve">Split into 2 cells: (1) build sentences and print sentences[0] (explain re.findall = every run of letters); (2) train and print the vocabulary size. Then a bullet per parameter: vector_size = numbers per word; window = words either side counted as context; min_count=5 = ignore rarer words (which is why "catalog" disappears; see 41.38); seed + workers=1 = the same result every run; .wv = the word-vector table; most_similar = top-n by cosine.</t>
  </si>
  <si>
    <t xml:space="preserve">41.37</t>
  </si>
  <si>
    <t xml:space="preserve">§41.7 Reading it "the neighbors it finds for "broken" (completely, received, crack)"</t>
  </si>
  <si>
    <t xml:space="preserve">"crack" is not in the printed top 5 (completely, received, right, down, is). "is", a stop word, is a neighbour, which the text ignores.</t>
  </si>
  <si>
    <t xml:space="preserve">Replace with "(completely, received, right, down — and even 'is', a sign of how small the model is)". Or show topn=10 if "crack" appears there.</t>
  </si>
  <si>
    <t xml:space="preserve">41.38</t>
  </si>
  <si>
    <t xml:space="preserve">§41.7 "Seeing the space": code lists 15 words incl. "catalog"; output has 14 rows; figure lists "catalogue" and is titled "Fifteen ticket words"</t>
  </si>
  <si>
    <t xml:space="preserve">"catalog" is filtered out by if w in model.wv. It is not in the vocabulary (min_count=5), so only 14 points exist. The figure's word list spells it "catalogue" and claims fifteen.</t>
  </si>
  <si>
    <t xml:space="preserve">Either drop "catalog" from the list and retitle the figure and caption "Fourteen ticket words", or explain that the filter removed "catalog" because it appears fewer than 5 times. Use one spelling (US "catalog", matching the code). Explain the list-comprehension-with-if, and PCA(n_components=2) as a pointer back to Ch 35 §35.10.</t>
  </si>
  <si>
    <t xml:space="preserve">41.39</t>
  </si>
  <si>
    <t xml:space="preserve">§41.7 "the dot product between two embeddings is the same cosine similarity from section 41.3"</t>
  </si>
  <si>
    <t xml:space="preserve">This is only true when the vectors have length 1.</t>
  </si>
  <si>
    <t xml:space="preserve">"…the dot product between two length-1 embeddings is exactly the cosine similarity from section 41.3…"</t>
  </si>
  <si>
    <t xml:space="preserve">41.40</t>
  </si>
  <si>
    <t xml:space="preserve">Real world "whether the ticket's order_id appears more than once in the ticket log"</t>
  </si>
  <si>
    <t xml:space="preserve">This contradicts §41.4 ("each number appears in only one ticket in the whole dataset"), and "every number in this chapter was calculated": the repeat-contact finding is not computed anywhere.</t>
  </si>
  <si>
    <t xml:space="preserve">Either (a) have the generator plant repeat contacts, compute them (tickets["order_id"].duplicated(keep=False) crossed with the NMF topic 4 cluster), and print the result; or (b) set the story on the real inbox and state that the practice data has no repeats. Then fix §41.4's sentence to match.</t>
  </si>
  <si>
    <t xml:space="preserve">41.41</t>
  </si>
  <si>
    <t xml:space="preserve">Real world: cluster words "immediately", "unacceptable", "second time", "escalate"</t>
  </si>
  <si>
    <t xml:space="preserve">These don't match the topic words printed in §41.6. NMF topic 4 is "called, twice, acceptable…", and "escalate" and "second time" appear in no output.</t>
  </si>
  <si>
    <t xml:space="preserve">Use the words the chapter actually printed ("called, twice, acceptable, deducted, charged"), or show the story's model output.</t>
  </si>
  <si>
    <t xml:space="preserve">41.42</t>
  </si>
  <si>
    <t xml:space="preserve">Before you start "Chapter 35 (log loss, entropy)"</t>
  </si>
  <si>
    <t xml:space="preserve">The chapter never uses log loss or entropy. It uses Ch 35's dot product, vector length/normalization, cosine similarity, and PCA. Ch 39 (F1, calibration) is used but not listed.</t>
  </si>
  <si>
    <t xml:space="preserve">Replace with "Chapter 35 (dot product, vector length, cosine similarity, PCA), Chapter 36 (splits, pipelines, sparse matrices), Chapter 37 (Naive Bayes, logistic regression), Chapter 38 (judging clusters), Chapter 39 (precision, recall, F1)".</t>
  </si>
  <si>
    <t xml:space="preserve">41.43</t>
  </si>
  <si>
    <t xml:space="preserve">Why this matters "Which team should route a new ticket to?"</t>
  </si>
  <si>
    <t xml:space="preserve">Ungrammatical.</t>
  </si>
  <si>
    <t xml:space="preserve">"Which team should a new ticket be routed to?"</t>
  </si>
  <si>
    <t xml:space="preserve">41.44</t>
  </si>
  <si>
    <t xml:space="preserve">Where this leads "Chapter 55 and 58 use document embeddings"</t>
  </si>
  <si>
    <t xml:space="preserve">Grammar. Ch 39 is listed under "leads" although it comes before this chapter.</t>
  </si>
  <si>
    <t xml:space="preserve">"Chapters 55 and 58 use…". Move the Ch 39 line to "Before you start".</t>
  </si>
  <si>
    <t xml:space="preserve">41.45</t>
  </si>
  <si>
    <t xml:space="preserve">Answers intro "(In the finished book these move to Appendix G.)"</t>
  </si>
  <si>
    <t xml:space="preserve">Drafting leftover (known family).</t>
  </si>
  <si>
    <t xml:space="preserve">Delete the parenthesis, or move the answers now.</t>
  </si>
  <si>
    <t xml:space="preserve">41.46</t>
  </si>
  <si>
    <t xml:space="preserve">Ex 3 answer "the two sentences share every single word … in the same counts — their vectors are identical"</t>
  </si>
  <si>
    <t xml:space="preserve">Wrong. "not" appears twice in the first review and zero times in the second. The counts are [again 1, buy 1, good 1, not 2, would 1] vs [1, 1, 1, 0, 1], giving cosine 0.707 (✓ re-computed). The real lesson is that with NLTK stop-word removal ("not" is a stop word) they become identical.</t>
  </si>
  <si>
    <t xml:space="preserve">Rewrite: "Without stop-word removal the vectors differ only in 'not' (2 vs 0): cosine ≈ 0.71, 'fairly similar' for opposite meanings. Remove NLTK's stop words and 'not' disappears — the two vectors become identical. Bag-of-words can't attach 'not' to 'good'; bigrams ('not good') or sequence models (Chapter 54) can."</t>
  </si>
  <si>
    <t xml:space="preserve">41.47</t>
  </si>
  <si>
    <t xml:space="preserve">Ex 5 answer "the vocabulary shrinks noticeably, because stemming folds related word forms together"</t>
  </si>
  <si>
    <t xml:space="preserve">Contradicts the printed output: stemmed 1,360 vs original 1,331, so the vocabulary grew. The cause is a code bug. stem_text splits on whitespace, so tokens like "invoice," keep their punctuation and escape stemming ("invoice," stays, while "invoice"→"invoic"), and stemmed stop words ("thi", "wa") no longer match the stop list.</t>
  </si>
  <si>
    <t xml:space="preserve">Correctness / Code</t>
  </si>
  <si>
    <t xml:space="preserve">Fix the code: " ".join(stemmer_.stem(w) for w in word_tokenize(text.lower()) if w.isalpha()), which reuses §41.2's cleaning. Rerun it and report the real vocabulary sizes. If the vocabulary still grows, explain why (the stop-word mismatch) instead of claiming it shrinks.</t>
  </si>
  <si>
    <t xml:space="preserve">41.48</t>
  </si>
  <si>
    <t xml:space="preserve">Ex 6 answer "several times larger"</t>
  </si>
  <si>
    <t xml:space="preserve">2,770 ÷ 1,331 = 2.08×. The comparison also changes four settings at once (stop words, max_features, ngram_range (1,2)→(1,1), min_df 2→1), not the two the exercise asks for.</t>
  </si>
  <si>
    <t xml:space="preserve">Change the code to TV(ngram_range=(1, 2), min_df=2) (only stop words and the cap removed) and report the result. Or keep it and say "about twice as large, and note that ngram_range and min_df also changed".</t>
  </si>
  <si>
    <t xml:space="preserve">41.49</t>
  </si>
  <si>
    <t xml:space="preserve">Ex 7 question "why does that match what section 41.4 found?"; answers 4(c) and 7 "section 41.4"</t>
  </si>
  <si>
    <t xml:space="preserve">Sentiment/VADER is §41.5.</t>
  </si>
  <si>
    <t xml:space="preserve">Change to "section 41.5" in the question and both answers.</t>
  </si>
  <si>
    <t xml:space="preserve">41.50</t>
  </si>
  <si>
    <t xml:space="preserve">Ex 12 answer "completely, received, right, down, crack all appear in both lists"</t>
  </si>
  <si>
    <t xml:space="preserve">"crack" is not in the vector_size=100 list, which ends with "is".</t>
  </si>
  <si>
    <t xml:space="preserve">"…completely, received, right and down appear in both lists; 'crack' appears only at size 10."</t>
  </si>
  <si>
    <t xml:space="preserve">41.51</t>
  </si>
  <si>
    <t xml:space="preserve">Ex 13 ["resolution_hours", "body_length"]</t>
  </si>
  <si>
    <t xml:space="preserve">resolution_hours is never shown or defined in the chapter (§41.1 mentions only topic, sentiment, and a satisfaction score). Passing "body" as a string rather than a list is required for a text transformer inside ColumnTransformer, which is a known trap, and it is not mentioned.</t>
  </si>
  <si>
    <t xml:space="preserve">Show the columns in §41.1 (see 41.4). In the answer add: "Note 'body' is a string, not ['body']: a text vectorizer needs one column of strings, not a table."</t>
  </si>
  <si>
    <t xml:space="preserve">41.52</t>
  </si>
  <si>
    <t xml:space="preserve">Ex 15 answer "exactly as Chapter 39's monitoring section recommends"</t>
  </si>
  <si>
    <t xml:space="preserve">Ch 39 has no monitoring section. Monitoring appears only in its model card (§39.9) and as a key term.</t>
  </si>
  <si>
    <t xml:space="preserve">"…as Chapter 39's model card (§39.9) and Chapter 56 (MLOps) recommend."</t>
  </si>
  <si>
    <t xml:space="preserve">41.53</t>
  </si>
  <si>
    <t xml:space="preserve">Common-mistakes row "Comparing stemmed and unstemmed vocabularies — vocabulary size looks inconsistent between runs"</t>
  </si>
  <si>
    <t xml:space="preserve">The symptom and the fix don't match the mistake. The real mistake is applying different cleaning to training and new text.</t>
  </si>
  <si>
    <t xml:space="preserve">Rename the mistake: "Cleaning new text differently from training text". Symptom: "Model accuracy drops on live data; words unseen". Fix: "Put all cleaning inside the pipeline so fit and predict share it."</t>
  </si>
  <si>
    <t xml:space="preserve">V41.1</t>
  </si>
  <si>
    <t xml:space="preserve">p. 20 · Figure 41.2 (word2vec PCA scatter)</t>
  </si>
  <si>
    <t xml:space="preserve">The labels "pricing" and "cancel" overprint each other, so neither word is readable. The dots are coloured in four groups (blue, orange, green, grey), but no legend or caption explains the colours.</t>
  </si>
  <si>
    <t xml:space="preserve">Offset or leader-line the colliding labels, and add a legend such as "delivery words / billing words / defect words / other", or say what the colours mean in the caption.</t>
  </si>
  <si>
    <t xml:space="preserve">V41.2</t>
  </si>
  <si>
    <t xml:space="preserve">p. 17 · Figure 41.1 (LDA topics + heat map)</t>
  </si>
  <si>
    <t xml:space="preserve">The caption reads "LDA and NMF topics, and how each maps…", but the figure shows only LDA topics and an LDA heat map. Text is 5.9–7.2 pt. The heat-map sub-title sits tight under the word lists with no gap. White percentages on pale-blue cells have low contrast (e.g. 11%, 16%).</t>
  </si>
  <si>
    <t xml:space="preserve">Add the NMF panel or change the caption to "LDA topics…". Redraw at 7 pt minimum with a gap before the heat map, and use dark text on light cells.</t>
  </si>
  <si>
    <t xml:space="preserve">V41.3</t>
  </si>
  <si>
    <t xml:space="preserve">p. 19 · Page foot after the PCA output</t>
  </si>
  <si>
    <t xml:space="preserve">The page ends at 66% (a third blank) because Figure 41.2 moves whole to p. 20.</t>
  </si>
  <si>
    <t xml:space="preserve">Let the figure float, or move the "Reading it" paragraph up to fill the gap.</t>
  </si>
  <si>
    <t xml:space="preserve">V41.4</t>
  </si>
  <si>
    <t xml:space="preserve">p. 4 · "In plain English" end</t>
  </si>
  <si>
    <t xml:space="preserve">The page ends at 57% because 41.1 starts on a new page, leaving 43% blank.</t>
  </si>
  <si>
    <t xml:space="preserve">Drop the forced page break before the h2, or keep with the previous content.</t>
  </si>
  <si>
    <t xml:space="preserve">V41.5</t>
  </si>
  <si>
    <t xml:space="preserve">p. 27 · Answers, exercise 6</t>
  </si>
  <si>
    <t xml:space="preserve">"6." is stranded alone at the foot of the page, and its code block is on p. 28.</t>
  </si>
  <si>
    <t xml:space="preserve">V41.6</t>
  </si>
  <si>
    <t xml:space="preserve">p. 31 · Answers, exercise 13</t>
  </si>
  <si>
    <t xml:space="preserve">"13." is stranded at the page foot, and its code is on p. 32.</t>
  </si>
  <si>
    <t xml:space="preserve">V41.7</t>
  </si>
  <si>
    <t xml:space="preserve">The badge reads "Approved chapter · v1", with the date "21 September 2026" at the foot. The title reads "Chapter 41" with no full stop, while the Part V covers read "Chapter 45."</t>
  </si>
  <si>
    <t xml:space="preserve">Remove the draft/approval badge and date for print, and standardise the title punctuation.</t>
  </si>
  <si>
    <t xml:space="preserve">V41.8</t>
  </si>
  <si>
    <t xml:space="preserve">V41.9</t>
  </si>
  <si>
    <t xml:space="preserve">p. 19→20 · PCA code vs Figure 41.2</t>
  </si>
  <si>
    <t xml:space="preserve">The code list uses "catalog", and the printed output has 14 rows with no catalog row. The figure is titled "Fifteen ticket words" and plots a word "catalogue".</t>
  </si>
  <si>
    <t xml:space="preserve">Make the code, output and figure agree on one spelling and word count.</t>
  </si>
  <si>
    <t xml:space="preserve">V41.10</t>
  </si>
  <si>
    <t xml:space="preserve">p. 8, 10, 12 · Wide output lines</t>
  </si>
  <si>
    <t xml:space="preserve">Some output lines wrap to column 0 with no marker: the vocabulary list "'time']" (p. 8), the "example: …" line (p. 12) and the ticket text lines (p. 10).</t>
  </si>
  <si>
    <t xml:space="preserve">Shorten the printed lines, or add a continuation marker to the output style.</t>
  </si>
  <si>
    <t xml:space="preserve">V41.11</t>
  </si>
  <si>
    <t xml:space="preserve">p. 25→26 · Key terms</t>
  </si>
  <si>
    <t xml:space="preserve">The key-terms paragraph splits across the page break (two lines on p. 26).</t>
  </si>
  <si>
    <t xml:space="preserve">Keep the Key terms block together.</t>
  </si>
  <si>
    <t xml:space="preserve">V41.12</t>
  </si>
  <si>
    <t xml:space="preserve">p. 20 · Figure 41.2</t>
  </si>
  <si>
    <t xml:space="preserve">The plot uses about 55% of the text width, with wide empty margins inside the frame, so the labels are smaller than they need to be.</t>
  </si>
  <si>
    <t xml:space="preserve">Scale the plot to the full text width.</t>
  </si>
  <si>
    <t xml:space="preserve">42.1</t>
  </si>
  <si>
    <t xml:space="preserve">§42.3 "If a 5-item list contains 1 product … precision@5 is 20%" vs return hits / n → "precision@5 61.4%"</t>
  </si>
  <si>
    <t xml:space="preserve">The metric is misnamed throughout. With one held-out item per account, evaluate returns hits ÷ accounts, which is the hit rate@5 (= recall@5 when there is one relevant item). True precision@5 = hits ÷ (5 × accounts), so the figures should be popularity 12.3%, item-CF 13.5%, SVD-4 13.2%, ALS-8 14.0%, content 10.8%, hybrid 13.1%, segment popularity 14.4%. The chapter's own 20% definition makes 61.4% impossible, so a careful reader will be confused. Ex 6's "a list of all 24 products has 100% precision@24" is also wrong: precision@24 would be ≈ 1/24.</t>
  </si>
  <si>
    <t xml:space="preserve">Rename the returned value to hit_rate and the column to "hit rate@5" everywhere: §42.3–42.7, the summary table, Ex 6/7/8/10/12, answers 6/7/8/10/12/14, the mistakes table, the recap, the key terms, "You've got it when", and the real-world story ("68–70% hit rate"). Add a short definitions box in §42.3: hit rate@k = share of users with at least one relevant item in the top k; recall@k = relevant items found ÷ relevant items that exist (with one hidden item, recall@k = hit rate@k); precision@k = relevant items found ÷ k (with one hidden item, it can be at most 1/k = 20%). Show the true precision@5 once (61.4% ÷ 5 = 12.3%) to make the point. Optionally have evaluate return all three.</t>
  </si>
  <si>
    <t xml:space="preserve">42.2</t>
  </si>
  <si>
    <t xml:space="preserve">Chapter at a glance "evaluate recommendations with precision@k and NDCG@k"; key terms</t>
  </si>
  <si>
    <t xml:space="preserve">Recall@k, MAP (mean average precision) and MRR, the standard ranking metrics alongside NDCG, are not taught. With one relevant item per user, MAP equals MRR (1 ÷ rank), which is easy to add.</t>
  </si>
  <si>
    <t xml:space="preserve">In §42.3, after NDCG by hand, add "Two more ranking metrics". Recall@k is defined in 42.1. Reciprocal rank / MAP: a hit at position 2 scores 1/2 = 0.5, at position 5 it scores 0.2; average across users. Work one hand example with 3 relevant items at positions 1, 3 and 6 in a top-6 list: AP = (1/1 + 2/3 + 3/6) ÷ 3 = 0.722. Add a line to evaluate computing MRR, and add a column to the summary table. Add recall@k and MAP to the key terms.</t>
  </si>
  <si>
    <t xml:space="preserve">42.3</t>
  </si>
  <si>
    <t xml:space="preserve">§42.4 "Matrix factorization compresses the account-by-product matrix into two smaller matrices"</t>
  </si>
  <si>
    <t xml:space="preserve">There is no by-hand example. The reader never sees two small matrices multiplying back into an approximation of a big one, so "factors" and "reconstructed" stay abstract. This is the chapter's hardest idea.</t>
  </si>
  <si>
    <t xml:space="preserve">Before TruncatedSVD, add "Factorization by hand". Reuse §42.2's 5×4 toy. Show that it is approximately A (5×2) × B (2×4), with A = accounts' scores on "storage" and "food" factors (e.g. Sharma [0.8, 0]; Coastal [0, 0.9]…) and B = each product's loading on each factor. Multiply one cell by hand: Sharma × Storage Crate = 0.8×4.9 + 0×0 ≈ 3.9 vs actual 3. Then point to the key idea: a customer with a 0 cell gets a non-zero reconstructed score, that is the recommendation. Then run TruncatedSVD(n_components=2).fit(toy) and print transform and components_ to show the library finds such A and B. Point back to Ch 41 §41.6 (NMF is the same idea) and to Ch 35 §35.10 (PCA).</t>
  </si>
  <si>
    <t xml:space="preserve">42.4</t>
  </si>
  <si>
    <t xml:space="preserve">§42.4 TruncatedSVD, svd.transform, @ svd.components_, explained_variance_ratio_</t>
  </si>
  <si>
    <t xml:space="preserve">These are new sklearn pieces with no line-by-line explanation. How TruncatedSVD differs from PCA (no centering, so it works on sparse data) is not said.</t>
  </si>
  <si>
    <t xml:space="preserve">Before the loop, fit once with n_components=4 and print the shapes: account_factors.shape → (4516, 4), svd.components_.shape → (4, 24), reconstructed.shape → (4516, 24). Explain each line. Add: "TruncatedSVD is PCA without first subtracting the column means (Chapter 35 §35.10), which keeps zeros as zeros." Only then run the loop over 4/8/12.</t>
  </si>
  <si>
    <t xml:space="preserve">42.5</t>
  </si>
  <si>
    <t xml:space="preserve">§42.4 evaluate(lambda i, r=reconstructed: r[i]); def als_score(i, m=model); Ex 7/10 lambdas m=reg_model, w=cf_weight</t>
  </si>
  <si>
    <t xml:space="preserve">The default-argument trick, which freezes the loop variable's current value, is used repeatedly and never explained. It is a known Python trap: without it, every lambda would use the last loop value. It is not taught in Ch 17–18.</t>
  </si>
  <si>
    <t xml:space="preserve">At first use add a "How it works" box. "r=reconstructed copies this loop's matrix into the function at the moment it's made. Without it, Python looks up reconstructed when the function *runs* — after the loop has moved on. Try removing it and compare." Show the two-line demonstration: fs = [lambda: k for k in range(3)] → all return 2, vs lambda k=k: k.</t>
  </si>
  <si>
    <t xml:space="preserve">42.6</t>
  </si>
  <si>
    <t xml:space="preserve">§42.4 import implicit; Tools "implicit 0.7.3 (pip install implicit)"</t>
  </si>
  <si>
    <t xml:space="preserve">A third-party library is used without an install step in the body. implicit needs a compiled wheel. It installs cleanly on common platforms with Python 3.12, but some platforms or Python versions need a build toolchain, and this is not mentioned. scipy.sparse.csr_matrix is new too: Ch 36 §36.6 named sparse matrices but never built one.</t>
  </si>
  <si>
    <t xml:space="preserve">Add a "Setting up" cell at the start of §42.4 (or a §42.0). Terminal: pip install implicit, then python -c "import implicit; print(implicit.__version__)" with its output. Add one line of help for install failures ("if pip tries to compile and fails, check that your Python version has a ready-made wheel"). Explain csr_matrix(...): "store only the non-zero cells — the format implicit expects; rows = accounts, columns = products".</t>
  </si>
  <si>
    <t xml:space="preserve">42.7</t>
  </si>
  <si>
    <t xml:space="preserve">§42.4 ALS block, AlternatingLeastSquares(factors=, regularization=, iterations=, random_state=)</t>
  </si>
  <si>
    <t xml:space="preserve">The four parameters and the algorithm itself are not explained. The confidence scheme is described (Hu, Koren &amp; Volinsky), but the code uses log1p as confidence with no α scaling and no "1 +" baseline, and the text doesn't say it deviates. m.user_factors[i] @ m.item_factors.T is not explained.</t>
  </si>
  <si>
    <t xml:space="preserve">Add bullets: factors = the number of columns in A and B (as in 42.3); regularization = the ridge-style penalty from Ch 37 §37.2; iterations = how many times it alternates. Explain "alternating": fix B, solve A by least squares (Ch 37 §37.1); fix A, solve B; repeat. Add: "Hu et al. use confidence = 1 + α × quantity; here we pass log(1 + quantity) directly, a simple variant." Explain the score line: an account's factor row · every product's factor row = a predicted score for each product.</t>
  </si>
  <si>
    <t xml:space="preserve">42.8</t>
  </si>
  <si>
    <t xml:space="preserve">§42.4 "Reading it. With 8 factors, implicit's ALS reaches the best result in this chapter: 69.8%"</t>
  </si>
  <si>
    <t xml:space="preserve">Not true on the chapter's own numbers. ALS-8's NDCG is 0.489, below item-CF's 0.510, and Ex 8's segment popularity scores 71.9% / 0.534, beating both. The mistakes table and §42.3 also claim NDCG is "the standard reported metric", yet the chapter ranks methods by hit rate.</t>
  </si>
  <si>
    <t xml:space="preserve">Rewrite: "ALS with 8 factors has the highest hit rate of the models so far (69.8%), though item-based CF still leads on NDCG (0.510 vs 0.489) — the two metrics can disagree, which is why you report both." Put ALS rows into the §42.5 summary table so all methods sit in one place.</t>
  </si>
  <si>
    <t xml:space="preserve">42.9</t>
  </si>
  <si>
    <t xml:space="preserve">§42.3 "Each hit's value is discounted by 1 ÷ log₂(rank + 2)"</t>
  </si>
  <si>
    <t xml:space="preserve">A 0-based rank is used in prose, where it is unusual and confusing. The standard textbook formula uses 1-based position: 1 ÷ log₂(position + 1). "Divided by the best possible score (a hit at rank 1)" is true only because there is one relevant item.</t>
  </si>
  <si>
    <t xml:space="preserve">In prose use position counted from 1: "a hit at position p is worth 1 ÷ log₂(p + 1): position 1 → 1.000, 2 → 0.631, 3 → 0.500, 5 → 0.387". In the code, add a comment that Python's index is p − 1, hence idx + 2. Add: "With several relevant items, the ideal DCG puts them all at the top; here there is only one, so the ideal is 1." Make Ex 2 1-based ("rank 3" = position 3).</t>
  </si>
  <si>
    <t xml:space="preserve">42.10</t>
  </si>
  <si>
    <t xml:space="preserve">§42.3 order: evaluate computes NDCG, then "NDCG by hand"</t>
  </si>
  <si>
    <t xml:space="preserve">The worked example comes after the function that uses it.</t>
  </si>
  <si>
    <t xml:space="preserve">Move "NDCG by hand" (and the new hit rate/recall/precision/MRR box) directly after the definitions, before the leave-one-out setup. Then build evaluate.</t>
  </si>
  <si>
    <t xml:space="preserve">42.11</t>
  </si>
  <si>
    <t xml:space="preserve">§42.3 evaluate (loop, .copy(), -np.inf, np.argsort(-scores)[:k], np.where(...)[0][0], np.log2)</t>
  </si>
  <si>
    <t xml:space="preserve">About six new ideas in one function. score_fn as a function passed as an argument, and lambda i: pop_counts, are not explained.</t>
  </si>
  <si>
    <t xml:space="preserve">Teach in 3 cells. (1) Run the body once for a single account i = eligible[0]: print its scores, its top-5 IDs and names, and its held-out product, and say hit or miss. (2) Explain -np.inf (it ranks owned items last, so they are never recommended) and argsort(-scores) (descending). (3) Wrap it in the function. Explain that score_fn is "any function that turns an account row number into 24 scores", and that lambda i: pop_counts ignores i because popularity is the same for everyone.</t>
  </si>
  <si>
    <t xml:space="preserve">42.12</t>
  </si>
  <si>
    <t xml:space="preserve">§42.3 eligible = np.where(n_owned &gt;= 2)[\n0\n]  # accounts with …</t>
  </si>
  <si>
    <t xml:space="preserve">A code-formatter artifact splits [0] over three lines, and the comment hangs off the bracket.</t>
  </si>
  <si>
    <t xml:space="preserve">eligible = np.where(n_owned &gt;= 2)[0]  # accounts with 2+ products on one line. Explain np.where(...)[0] = the row positions where the condition is true. Explain rng = np.random.default_rng(42) and rng.choice(owned).</t>
  </si>
  <si>
    <t xml:space="preserve">42.13</t>
  </si>
  <si>
    <t xml:space="preserve">§42.3 "Reading it. The popularity baseline (block F above) scores…"</t>
  </si>
  <si>
    <t xml:space="preserve">"block F" is a drafting leftover label. It is also the second "Reading it." paragraph in a row.</t>
  </si>
  <si>
    <t xml:space="preserve">Delete "(block F above)". Merge it into the preceding flow as "Recall that the popularity baseline scored…", or move the sentence up to follow the popularity output.</t>
  </si>
  <si>
    <t xml:space="preserve">42.14</t>
  </si>
  <si>
    <t xml:space="preserve">§42.1 sys.path.append("."), from products_text import load_products</t>
  </si>
  <si>
    <t xml:space="preserve">A companion helper module is imported and its contents are never shown. The product descriptions that §42.5 depends on are never printed, so the reader cannot check claims like "share generic words like airtight and plastic".</t>
  </si>
  <si>
    <t xml:space="preserve">Explain sys.path.append(".") ("let Python import .py files from this folder"), or drop it: Jupyter's working folder is already on the path. Print products[["product_id","product_name","category","description"]] as a 24-row table in §42.1, or at least the 6 rows used later (P01, the two lids, the 80L crate, the 2L and 5L food containers).</t>
  </si>
  <si>
    <t xml:space="preserve">42.15</t>
  </si>
  <si>
    <t xml:space="preserve">§42.1 popularity output "P09 64.9% … P13 23.5%"; §42.7 "P16 46.7% P18 24.0% …"</t>
  </si>
  <si>
    <t xml:space="preserve">The outputs show product IDs, while the prose names products ("Airtight Seal Pack is bought by 65%", "the tap fitting", "a crate lid"). The reader cannot map IDs to names (Ch 38 used names only). In §42.7 the top partner, P16 at 46.7%, is not mentioned at all, and which ID is the tap fitting is unclear.</t>
  </si>
  <si>
    <t xml:space="preserve">Map to names in both outputs: .rename(index=names), as Ex 11 already does. Rewrite the §42.7 paragraph to cover the top partner (P16's name and 46.7%) and to check it against Ch 38's planted rule (Drum 60L + Drum Tap Fitting + Industrial Crate 200L). If the tap fitting is P16, the "less than a quarter" sentence is wrong.</t>
  </si>
  <si>
    <t xml:space="preserve">42.16</t>
  </si>
  <si>
    <t xml:space="preserve">§42.7 account_baskets = lines.groupby("order_id")…</t>
  </si>
  <si>
    <t xml:space="preserve">The variable is named "account" but holds order baskets (grouped by order_id).</t>
  </si>
  <si>
    <t xml:space="preserve">Rename to order_baskets throughout (§42.7, Ex 11).</t>
  </si>
  <si>
    <t xml:space="preserve">42.17</t>
  </si>
  <si>
    <t xml:space="preserve">§42.2 "the top match … is its own lid, exactly as section 42.1's popularity numbers would predict from Chapter 38's planted co-purchase rule"</t>
  </si>
  <si>
    <t xml:space="preserve">Popularity numbers predict nothing about pairs. The support is Ch 38 §38.9's crate→lid rule (2,785 shared orders, lift 3.49).</t>
  </si>
  <si>
    <t xml:space="preserve">Correctness / Cross-ref</t>
  </si>
  <si>
    <t xml:space="preserve">"…is its own lid, the same pair Chapter 38 §38.9 found (2,785 orders contain both; lift 3.49)."</t>
  </si>
  <si>
    <t xml:space="preserve">42.18</t>
  </si>
  <si>
    <t xml:space="preserve">§42.4 "log-transforms raw counts first, exactly as Chapter 35 log-transformed skewed order values"; code comment "(Chapter 35's log transform)"</t>
  </si>
  <si>
    <t xml:space="preserve">Wrong chapter. np.log1p for skewed numbers is taught in Ch 36 §36.6. Ch 35 has no log transform.</t>
  </si>
  <si>
    <t xml:space="preserve">Change both mentions to "Chapter 36 §36.6".</t>
  </si>
  <si>
    <t xml:space="preserve">42.19</t>
  </si>
  <si>
    <t xml:space="preserve">§42.2–42.3 item-CF on raw summed quantities vs §42.4 "someone who buys 40 crate lids isn't '40 times more satisfied'"</t>
  </si>
  <si>
    <t xml:space="preserve">An internal inconsistency. §42.4 argues quantity is not a rating, yet cosine CF in §42.2–42.3 uses raw quantities, so a few very large wholesale buyers dominate the item similarities.</t>
  </si>
  <si>
    <t xml:space="preserve">Either compute item-CF on binary (X &gt; 0) or log1p(X) data and report the change, or add a sentence in §42.2: "We use raw quantities here for simplicity; §42.4 explains why that over-weights big buyers — Exercise N: rerun with (X_train &gt; 0) and compare."</t>
  </si>
  <si>
    <t xml:space="preserve">42.20</t>
  </si>
  <si>
    <t xml:space="preserve">§42.1 "density … 38.4%"; key term "density (sparsity)"</t>
  </si>
  <si>
    <t xml:space="preserve">Sparsity is in the key terms but never defined.</t>
  </si>
  <si>
    <t xml:space="preserve">Add: "Sparsity is the opposite: the share of empty cells, 1 − 0.384 = 61.6% here, often above 99% in real catalogs." Explain (matrix &gt; 0).mean().mean() (the first mean is per column, the second averages the columns; with equal-length columns that is the overall share). Explain pivot(...).fillna(0) (an absent pair means it was never bought).</t>
  </si>
  <si>
    <t xml:space="preserve">42.21</t>
  </si>
  <si>
    <t xml:space="preserve">Key terms "user-based collaborative filtering", "explicit feedback", "latent factors"</t>
  </si>
  <si>
    <t xml:space="preserve">User-based CF is never taught. Explicit feedback and latent factors are only implied.</t>
  </si>
  <si>
    <t xml:space="preserve">Add a paragraph plus a 3-line code variant to §42.2: "User-based CF flips it: find accounts similar to this account (cosine on rows) and recommend what they bought — cosine_similarity(X_train) is 4,516×4,516, which is why item-based is preferred when accounts ≫ products." Define explicit feedback (star ratings) in §42.4, and use "latent factors" when introducing factors. Or delete the terms that aren't taught.</t>
  </si>
  <si>
    <t xml:space="preserve">42.22</t>
  </si>
  <si>
    <t xml:space="preserve">§42.5 normalize(scores) in hybrid</t>
  </si>
  <si>
    <t xml:space="preserve">Why the scores are scaled (CF and content scores are on different scales), and why by maximum absolute value, is not explained. The default weight=0.5 parameter is not explained.</t>
  </si>
  <si>
    <t xml:space="preserve">Add a sentence and a print: item_cf_score(0).max() vs content_score(0).max(), showing different scales, so each is divided by its own maximum to put both on 0–1 before mixing. Explain weight=0.5 as a default argument (pointing back to Ch 17 if taught there; otherwise explain it here).</t>
  </si>
  <si>
    <t xml:space="preserve">42.23</t>
  </si>
  <si>
    <t xml:space="preserve">§42.5 summary table</t>
  </si>
  <si>
    <t xml:space="preserve">ALS, the SVD variants and segment popularity (Ex 8) are missing, so there is no single scoreboard. The real-world story depends on segment popularity, but it is evaluated only in an exercise.</t>
  </si>
  <si>
    <t xml:space="preserve">Move segment-level popularity evaluation from Ex 8 into §42.7 (it is ~10 lines). Build one final summary table in §42.7 with all methods × {hit rate@5, NDCG@5, MRR}. Replace Ex 8 with a variant (e.g. per-segment item-CF).</t>
  </si>
  <si>
    <t xml:space="preserve">42.24</t>
  </si>
  <si>
    <t xml:space="preserve">Real world "Segment-level popularity scores close to item-based collaborative filtering"</t>
  </si>
  <si>
    <t xml:space="preserve">Contradicts Ex 8, where it beats item-CF (71.9% vs 67.6%) and ALS (69.8%). Ex 8's answer even notes the story understated it. "Three lines of pandas" is also inaccurate: the Ex 8 code is about 12 lines.</t>
  </si>
  <si>
    <t xml:space="preserve">Rewrite: "Segment-level popularity actually edges ahead of item-based collaborative filtering on this catalog (71.9% vs 67.6% hit rate@5)…". Change "three lines of pandas" to "a dozen lines of pandas". Then delete the "stronger result than the chapter's real-world story even needed" sentence in answer 8.</t>
  </si>
  <si>
    <t xml:space="preserve">42.25</t>
  </si>
  <si>
    <t xml:space="preserve">§42.5 "the weakest of the personalized methods, behind even the popularity baseline"</t>
  </si>
  <si>
    <t xml:space="preserve">The claim is fine, but the SVD-12 (49.0%) and ALS-16 (46.6%) results are lower, so "weakest" is only true among the four in the table.</t>
  </si>
  <si>
    <t xml:space="preserve">"…the weakest of the four methods in the table…".</t>
  </si>
  <si>
    <t xml:space="preserve">42.26</t>
  </si>
  <si>
    <t xml:space="preserve">§42.5 "most similar products … by description text alone"</t>
  </si>
  <si>
    <t xml:space="preserve">TF-IDF parameters (stop_words="english") are used on 24 descriptions without saying that idf here is computed over only 24 documents. .loc[items, "description"] aligns descriptions to matrix column order, which matters but is not explained. content_similarity's diagonal is not zeroed, which is harmless but should be noted.</t>
  </si>
  <si>
    <t xml:space="preserve">Add one sentence each: "idf is learned from just these 24 descriptions"; ".loc[items] puts descriptions in the same order as the matrix columns, so product j's text lines up with column j"; "the diagonal (a product with itself) is 1 — harmless here because owned items are excluded anyway".</t>
  </si>
  <si>
    <t xml:space="preserve">42.27</t>
  </si>
  <si>
    <t xml:space="preserve">§42.6 cold-start code (pd.concat, refit TF-IDF, [:-1], new_index)</t>
  </si>
  <si>
    <t xml:space="preserve">Five steps in one cell. The refit changes the idf of every word, so the scores are not comparable with §42.5's. Neither point is explained.</t>
  </si>
  <si>
    <t xml:space="preserve">Split into 2 cells: (1) build extended_descriptions and show its last 2 rows; (2) vectorize and compute similarity. Explain [:-1] (drop the new product's similarity to itself). Add: "We refit TF-IDF so the new product's words are in the vocabulary; in production you'd refit nightly."</t>
  </si>
  <si>
    <t xml:space="preserve">42.28</t>
  </si>
  <si>
    <t xml:space="preserve">In plain English "everyone buys food container lids"; "show them the matching cushions"</t>
  </si>
  <si>
    <t xml:space="preserve">Neither product exists in the 24-item catalog. The most popular item is the Airtight Seal Pack, and the garden range is chairs and tables (Ch 38 §38.9).</t>
  </si>
  <si>
    <t xml:space="preserve">"…'well, everyone buys the airtight seal packs'…"; "…buys a garden chair … 'show them the matching table'…"</t>
  </si>
  <si>
    <t xml:space="preserve">42.29</t>
  </si>
  <si>
    <t xml:space="preserve">§42.1 "a wholesale drum buyer gets pointed at garden furniture accessories just because they're popular overall"</t>
  </si>
  <si>
    <t xml:space="preserve">The top-5 popular products (P09, P03, P04, P06, P08, seal pack and lids per §42.7) are not garden furniture.</t>
  </si>
  <si>
    <t xml:space="preserve">"…gets pointed at food-storage seal packs and crate lids just because they're popular overall." Check against the mapped names once 42.15 is fixed.</t>
  </si>
  <si>
    <t xml:space="preserve">42.30</t>
  </si>
  <si>
    <t xml:space="preserve">Before you start "Chapter 35 … Chapter 37 (accounts data), Chapter 38 … Chapter 41"</t>
  </si>
  <si>
    <t xml:space="preserve">Ch 36 (baselines §36.9, log1p §36.6, sparse matrix, train/test discipline), Ch 39 (precision/recall) and Ch 40 (seasonal-naive, referenced in §42.1) are all used but not listed. Ch 35's PCA (§35.10) is needed for the SVD analogy.</t>
  </si>
  <si>
    <t xml:space="preserve">"Chapter 35 (cosine similarity, dot product, PCA), Chapter 36 (baselines, log transform, sparse matrices), Chapter 37 (accounts data, ridge penalty, least squares), Chapter 38 (basket data, market-basket rules), Chapter 39 (precision and recall), Chapter 41 (TF-IDF, NMF)."</t>
  </si>
  <si>
    <t xml:space="preserve">42.31</t>
  </si>
  <si>
    <t xml:space="preserve">Ex 9 answer output "ValueError: underlying array is read-only" followed by prose describing the pair found</t>
  </si>
  <si>
    <t xml:space="preserve">Broken code. With pandas copy-on-write, DataFrame.values can be read-only, so np.fill_diagonal fails. The prose then describes a result that was never produced, which breaks the "every output shown is real" promise. The prose also cites "section 42.2's watch-out", which is in §42.5.</t>
  </si>
  <si>
    <t xml:space="preserve">Replace with: arr = content_similarity.copy(); np.fill_diagonal(arr, 0); content_no_diagonal = pd.DataFrame(arr, index=items, columns=items). Rerun, print the real pair, their descriptions and the similarity, and rewrite the prose around the actual output. Change "section 42.2's watch-out" to "section 42.5's watch-out".</t>
  </si>
  <si>
    <t xml:space="preserve">42.32</t>
  </si>
  <si>
    <t xml:space="preserve">Ex 12 answer: time-based holdout output "popularity precision@5 61.4%" then "The ranking of methods typically holds up…"</t>
  </si>
  <si>
    <t xml:space="preserve">Only popularity is evaluated, and it gives exactly the same 61.4% as leave-one-out, which is suspicious and worth checking. The prose claims the ranking of methods holds without evaluating any other method. groupby(...).last() takes one product line of the last order, not "each account's chronologically last order" as the exercise states. NDCG is dropped.</t>
  </si>
  <si>
    <t xml:space="preserve">Hold out all products in the account's last order_id (or state clearly that it holds out one product from the last order). Run popularity, item-CF and ALS-8 through time_evaluate and print a 3-row comparison. Confirm or explain the identical 61.4%. Base the prose on the printed numbers.</t>
  </si>
  <si>
    <t xml:space="preserve">42.33</t>
  </si>
  <si>
    <t xml:space="preserve">Ex 6 answer "at the extreme, a list of all 24 products has 100% precision@24 by construction"</t>
  </si>
  <si>
    <t xml:space="preserve">Wrong under either name. With owned items excluded, the candidate list is shorter than 24, and as a precision it would be ≈ 1/24.</t>
  </si>
  <si>
    <t xml:space="preserve">"…at the extreme, recommending every product the account doesn't own guarantees a hit (hit rate 100%) — which is why k must always be stated." Tie this to the renaming in 42.1.</t>
  </si>
  <si>
    <t xml:space="preserve">42.34</t>
  </si>
  <si>
    <t xml:space="preserve">Ex 13 "Build a tiny LightFM model (pip install lightfm)"; answer "(No worked output…)"</t>
  </si>
  <si>
    <t xml:space="preserve">LightFM's last release (1.17) often fails to build on current Python versions (it needs a C compiler). The exercise has no worked answer, even though the book promises one for every exercise.</t>
  </si>
  <si>
    <t xml:space="preserve">Mark it "Optional — may not install on Python 3.12; if it fails, skip". Or replace it with an exercise that uses only installed tools, e.g. a hybrid fallback that uses content scores only for accounts with fewer than 3 products.</t>
  </si>
  <si>
    <t xml:space="preserve">42.35</t>
  </si>
  <si>
    <t xml:space="preserve">Ex 11 answer "cosine similarity corrects for a product's overall popularity"</t>
  </si>
  <si>
    <t xml:space="preserve">Partly true. The two methods also measure different units: co-occurrence counts are per order, while cosine is on per-account summed quantities. The comparison mixes both effects.</t>
  </si>
  <si>
    <t xml:space="preserve">Add: "Note the two also count differently — co-occurrence counts orders; §42.2's cosine uses each account's total quantities — so some disagreement comes from that, not only from popularity."</t>
  </si>
  <si>
    <t xml:space="preserve">42.36</t>
  </si>
  <si>
    <t xml:space="preserve">§42.3 "The evaluation setup: leave-one-out"</t>
  </si>
  <si>
    <t xml:space="preserve">The name collides with leave-one-out cross-validation, which readers may know from Ch 36 §36.4. That is a different procedure.</t>
  </si>
  <si>
    <t xml:space="preserve">Add: "Not the same as leave-one-out cross-validation: here we hide one item per user, once, and score the whole ranking."</t>
  </si>
  <si>
    <t xml:space="preserve">42.37</t>
  </si>
  <si>
    <t xml:space="preserve">42.38</t>
  </si>
  <si>
    <t xml:space="preserve">Tools "Surprise (a research-oriented library…)"</t>
  </si>
  <si>
    <t xml:space="preserve">Surprise is fine as a mention. No other library issue, but see 42.6 for implicit and 42.34 for LightFM.</t>
  </si>
  <si>
    <t xml:space="preserve">No change beyond 42.6/42.34. Optionally add "(pip install scikit-surprise)" so the name is findable.</t>
  </si>
  <si>
    <t xml:space="preserve">V42.1</t>
  </si>
  <si>
    <t xml:space="preserve">p. 24 · Answer 9 output block</t>
  </si>
  <si>
    <t xml:space="preserve">The output reads only "ValueError: underlying array is read-only". The answer's code failed, but the prose on p. 25 goes on to describe "the highest-similarity pair… (plastic, food safe, litre)", a result that is not printed.</t>
  </si>
  <si>
    <t xml:space="preserve">Fix the code (e.g. np.fill_diagonal(content_no_diagonal.values.copy()…) or build the frame from a copy) and print the real output.</t>
  </si>
  <si>
    <t xml:space="preserve">V42.2</t>
  </si>
  <si>
    <t xml:space="preserve">p. 7 · 42.3 "The evaluation setup"</t>
  </si>
  <si>
    <t xml:space="preserve">"…check whether it appears in the top k:" ends the page at 67%, leaving a third of the page blank. The code is on p. 8.</t>
  </si>
  <si>
    <t xml:space="preserve">Let the code block split, or move the lead-in to p. 8.</t>
  </si>
  <si>
    <t xml:space="preserve">V42.3</t>
  </si>
  <si>
    <t xml:space="preserve">p. 23→24 · Answers, exercise 8</t>
  </si>
  <si>
    <t xml:space="preserve">"8." is stranded at the foot of p. 23 (page ends at 71%), and its code starts p. 24.</t>
  </si>
  <si>
    <t xml:space="preserve">Keep the answer number with its block.</t>
  </si>
  <si>
    <t xml:space="preserve">V42.4</t>
  </si>
  <si>
    <t xml:space="preserve">p. 11 · 42.5 "Reusing Chapter 41"</t>
  </si>
  <si>
    <t xml:space="preserve">"…needs no purchase history at all:" ends the page at 69%, and the code is on p. 12.</t>
  </si>
  <si>
    <t xml:space="preserve">Keep the lead-in with the code, or allow a split.</t>
  </si>
  <si>
    <t xml:space="preserve">V42.5</t>
  </si>
  <si>
    <t xml:space="preserve">p. 16→17 · Common mistakes table</t>
  </si>
  <si>
    <t xml:space="preserve">The last row ("No held-out evaluation at all") runs alone onto p. 17 under a repeated header.</t>
  </si>
  <si>
    <t xml:space="preserve">Keep the table together (it has 9 rows), or break it at a better point.</t>
  </si>
  <si>
    <t xml:space="preserve">V42.6</t>
  </si>
  <si>
    <t xml:space="preserve">"Approved chapter · v1" and "21 September 2026" are visible. The title "Chapter 42" has no full stop (Part V covers use "Chapter 45.").</t>
  </si>
  <si>
    <t xml:space="preserve">Remove the badge and date for print, and standardise the title.</t>
  </si>
  <si>
    <t xml:space="preserve">V42.7</t>
  </si>
  <si>
    <t xml:space="preserve">V42.8</t>
  </si>
  <si>
    <t xml:space="preserve">p. 8 · Held-out setup code</t>
  </si>
  <si>
    <t xml:space="preserve">The formatter splits np.where(n_owned &gt;= 2)[0] across three lines ("[" / "0" / "] # accounts…"), which reads oddly for a one-token index.</t>
  </si>
  <si>
    <t xml:space="preserve">Hand-format as one line with the comment on the line above.</t>
  </si>
  <si>
    <t xml:space="preserve">V42.9</t>
  </si>
  <si>
    <t xml:space="preserve">p. 7, 20, 22 · log₂ in prose</t>
  </si>
  <si>
    <t xml:space="preserve">The subscript ₂ comes from a fallback serif font.</t>
  </si>
  <si>
    <t xml:space="preserve">Use a Lora-supported subscript or &lt;sub&gt;2&lt;/sub&gt;.</t>
  </si>
  <si>
    <t xml:space="preserve">V42.10</t>
  </si>
  <si>
    <t xml:space="preserve">p. 12, 15 · Page feet</t>
  </si>
  <si>
    <t xml:space="preserve">Pages end at 73–79% after a callout, or before an h3 that moves to the next page.</t>
  </si>
  <si>
    <t xml:space="preserve">Accept, or tighten with the fixes above.</t>
  </si>
  <si>
    <t xml:space="preserve">43.1</t>
  </si>
  <si>
    <t xml:space="preserve">§43.2 "import torch" / Tools "PyTorch 2.14.0 ( pip install torch ; CPU-only build…"</t>
  </si>
  <si>
    <t xml:space="preserve">PyTorch is used from §43.2, but the only install instruction is one parenthesis in the end-of-chapter Tools box. On Linux and WSL, plain pip install torch downloads the CUDA build (several GB of NVIDIA libraries). The CPU-only build needs a different index URL. The reader gets no install step, no check, and no "what is PyTorch / what is a tensor".</t>
  </si>
  <si>
    <t xml:space="preserve">Add a new §43.0 "Installing PyTorch (CPU) and your first tensor" before §43.1, following Ch 17's setup pattern: (1) activate the course venv; (2) Windows/macOS: pip install torch; Linux/WSL: pip install torch --index-url https://download.pytorch.org/whl/cpu, with a note on why (skips GPU libraries of several GB); (3) check cell import torch; print(torch.__version__, torch.cuda.is_available()) with the output shown (False is expected and fine); (4) a 4-line tensor cell: t = torch.tensor([1.0, 0.5]), t.shape, t * 2, t.tolist(), compared with a NumPy array from Ch 35 ("a tensor is PyTorch's version of a NumPy array that can also track gradients"). Move the version line out of the end box into §43.0. Check that "2.14.0" is the version actually current at print time.</t>
  </si>
  <si>
    <t xml:space="preserve">43.2</t>
  </si>
  <si>
    <t xml:space="preserve">§43.2 "single_neuron = nn.Sequential(nn.Linear(2, 1), nn.Sigmoid())" training cell</t>
  </si>
  <si>
    <t xml:space="preserve">This is the reader's first PyTorch model, and one 10-line cell introduces torch.nn, nn.Sequential, nn.Linear(2,1) (in/out sizes), nn.Sigmoid, .parameters(), torch.optim.SGD(lr=…), nn.BCELoss, the four-step loop zero_grad → forward → loss → backward → step, .item(), .detach().numpy(), and .ravel(). None of it is explained line by line. Only the output gets a "Reading it".</t>
  </si>
  <si>
    <t xml:space="preserve">Split into 4 cells, each with output and a line-by-line explanation: (1) single_neuron = nn.Sequential(nn.Linear(2, 1), nn.Sigmoid()) then print(single_neuron) and print(list(single_neuron.parameters())). Explain that Linear(2, 1) holds 2 weights + 1 bias (= §43.1's w, b, starting random because of manual_seed), and that Sequential means "apply in order". (2) One forward pass: prediction = single_neuron(X_xor) and its 4×1 output. (3) loss_fn = nn.BCELoss() and loss_fn(prediction, y_xor), stated as Ch 35's log loss (binary cross-entropy = log loss). (4) One training step shown on its own, printing the weights before and after optimizer.step(): zero_grad() clears old gradients, backward() computes them, step() moves each weight by −lr × gradient, which is Ch 35's gradient-descent update. Only then wrap it in for step in range(2000). Define lr (Ch 35's learning rate), .item(), and .detach() (drop gradient tracking before converting to NumPy).</t>
  </si>
  <si>
    <t xml:space="preserve">43.3</t>
  </si>
  <si>
    <t xml:space="preserve">Intro "This chapter has you do it by hand once, on a tiny example"; §43.4</t>
  </si>
  <si>
    <t xml:space="preserve">The promised by-hand backward pass never happens. §43.4 runs loss.backward() and compares it with a numerical nudge, so the chain rule is named but never used. "Chain rule" is never taught anywhere earlier (grep: no occurrence in Ch 1–42), yet it's in Key terms and the Recap.</t>
  </si>
  <si>
    <t xml:space="preserve">Add a subsection "The backward pass by hand" between the autograd print and the nudge. (a) One paragraph on the chain rule in plain words: "if a changes b and b changes c, then how much a changes c = (how much a changes b) × (how much b changes c)", with a numeric example. (b) The hand computation for the output weights, using the book's own numbers: loss L = −ln a2 = −ln 0.5359 = 0.6238. For sigmoid + log loss, dL/dz2 = a2 − y = 0.5359 − 1 = −0.4641. dL/dW2 = (a2 − y) × a1 = −0.4641 × [0.2913, 0.3364] = [−0.1352, −0.1561], which matches autograd exactly. (c) Optionally one hidden weight: dL/dz1 = (a2 − y) × W2 × (1 − a1²) = [−0.2124, 0.2470], so dL/dW1[0,0] = −0.2124 × 1.0. (d) A python cell printing these next to W1g.grad, W2g.grad. Explain "(a2 − y)" as the simplification you get when sigmoid and log loss are combined, the same reason BCEWithLogitsLoss exists (§43.5).</t>
  </si>
  <si>
    <t xml:space="preserve">43.4</t>
  </si>
  <si>
    <t xml:space="preserve">§43.4 "small remaining difference explained entirely by the nudge ( epsilon ) not being infinitesimally small"</t>
  </si>
  <si>
    <t xml:space="preserve">Wrong explanation. The central difference (L(w+ε) − L(w−ε)) / 2ε has error of order ε² ≈ 1e-8. In float64 it gives −0.13519938, the same as the chain-rule value to 9 digits. The −0.1350 vs −0.1352 gap comes from float32 rounding: PyTorch tensors default to 32-bit, and a loss difference of ~2.7e-5 divided by 2e-4 amplifies float32 round-off. A reader who "fixes" it by shrinking ε makes it worse.</t>
  </si>
  <si>
    <t xml:space="preserve">Either (a) build the tiny network in float64 (torch.tensor(..., dtype=torch.float64) for x_tiny, W1, b1, W2, b2, target_tiny), show that autograd and the nudge agree to 8+ decimals, and say so; or (b) keep float32 and rewrite the sentence: "The small gap is rounding: PyTorch stores numbers in 32-bit precision by default (about 7 significant digits), and subtracting two almost-equal losses magnifies that rounding. Redo it in 64-bit and they agree to 8 decimal places." Add a one-line note on float32 vs float64 (also needed for 43.6).</t>
  </si>
  <si>
    <t xml:space="preserve">43.5</t>
  </si>
  <si>
    <t xml:space="preserve">§43.3 output "z1 = [0.30000001192092896, 0.3500000238418579]" and "Every digit matches"</t>
  </si>
  <si>
    <t xml:space="preserve">The PyTorch output shows 0.30000001192092896 against the by-hand 0.30. A beginner will think something is wrong. The text says "every digit matches", which is visibly false at full precision.</t>
  </si>
  <si>
    <t xml:space="preserve">Round the PyTorch print ([round(v, 4) for v in z1.tolist()]), or keep it and add: "The long tail (…0001192…) is float32 storage: PyTorch keeps about 7 significant digits by default. Rounded to 4 places both agree." Change "Every digit matches" to "Every number matches to the precision shown".</t>
  </si>
  <si>
    <t xml:space="preserve">43.6</t>
  </si>
  <si>
    <t xml:space="preserve">§43.7 rng = np.random.default_rng(43) shared by small_training_set in both train_transfer and train_scratch</t>
  </si>
  <si>
    <t xml:space="preserve">The comparison is not controlled. For each n, train_transfer(n) draws one random subset, then train_scratch(n) draws a *different* subset from the same moving rng, and torch is never reseeded, so fresh heads and scratch weights also differ per call. Each table cell is one noisy run on different data, which explains the zig-zag (transfer 85.7% vs scratch 94.2% at n=5, then 90.6% vs 92.4% at n=10). The text then draws a trend ("from scratch catches up and eventually overtakes") from single draws. Exercise 10's numbers also depend on the rng state left by the main table.</t>
  </si>
  <si>
    <t xml:space="preserve">Draw the sample once per n and pass it to both: Xs, ys = small_training_set(n), then train_transfer(Xs, ys) and train_scratch(Xs, ys). Reseed torch.manual_seed(43) inside each function before creating layers. Better: repeat each n over 5 seeds and report mean ± range (a for seed in range(5) loop). Re-run and rewrite the table and "Reading it, honestly" from the new numbers, and state that each cell is the average of 5 runs. This is the chapter's own "check, don't assume" lesson applied to itself.</t>
  </si>
  <si>
    <t xml:space="preserve">43.7</t>
  </si>
  <si>
    <t xml:space="preserve">Answer 5 "a slightly-better-than-guessing compromise (since a single neuron can partially exploit any imbalance…)"</t>
  </si>
  <si>
    <t xml:space="preserve">False. XOR's four points are balanced, and logistic loss is convex. At w = 0, b = 0 the gradient is exactly zero (Σ(p−y)x = [0,0], Σ(p−y) = 0), so ln 2 = 0.6931 is the global minimum for a single neuron. The lr=0.01 run (0.6951) is simply sliding down to the same floor. The answer's contrast between "stuck and converged" and "still moving toward something better" is wrong: both runs head for the same floor, and neither ever does better.</t>
  </si>
  <si>
    <t xml:space="preserve">Rewrite answer 5: "No. The loss 0.6951 is slightly *above* ln 2 = 0.6931 and still falling, so it is still on its way to the same place the lr=0.5 run reached. For a single neuron on XOR, 0.6931 (predict 0.5 for every row) is the best possible loss; with more steps it gets there and stops. That's the difference: 'not enough training' means the loss is still falling toward a better value; 'cannot represent the pattern' means the best possible value is itself no better than guessing." Optionally add a 5,000-step run showing 0.6931.</t>
  </si>
  <si>
    <t xml:space="preserve">43.8</t>
  </si>
  <si>
    <t xml:space="preserve">§43.5 "narrowly beats logistic regression (0.764)"; Recap "narrowly beats logistic regression"</t>
  </si>
  <si>
    <t xml:space="preserve">Ch 37 itself says that with 1,000 validation accounts and 97 churners, "differences of 0.01 are within noise". So 0.773 vs 0.764 (Δ 0.009) is a tie, and 0.788 vs 0.773 is borderline. "Matches Chapter 37's finding exactly" is also loose: Ch 37's boosting libraries ranged 0.780–0.796.</t>
  </si>
  <si>
    <t xml:space="preserve">Reword: "The small network (0.773) and logistic regression (0.764) are effectively tied; Ch 37 showed differences under about 0.01 are noise at this sample size. Tuned boosting (0.788) is ahead, but only cross-validation (Ch 37 §37.10) would confirm it." Optionally add a 5-fold CV comparison, or a bootstrap interval on the AUC difference (Ch 39). Change the Recap line to "roughly ties logistic regression and trails tuned gradient boosting".</t>
  </si>
  <si>
    <t xml:space="preserve">43.9</t>
  </si>
  <si>
    <t xml:space="preserve">§43.5 loss_fn3, optimizer3 = torch.optim.Adam(...), for epoch in range(200), unsqueeze(1)</t>
  </si>
  <si>
    <t xml:space="preserve">New ideas used with no explanation: Adam (named once in Ch 35 as "optimizers such as Adam"), "epoch" (in Key terms but never defined; here each epoch is one full-batch step, not mini-batches), unsqueeze(1) (shape (3000,) → (3000,1) to match the network's output), torch.no_grad(), and why validation AUC is computed only every 40 epochs.</t>
  </si>
  <si>
    <t xml:space="preserve">Split the cell into (1) tensors: show Xtr_t.shape, then ytr_t.shape before and after unsqueeze(1), with a sentence on why the shapes must match; (2) the model definition with print(network) and a parameter count by layer: 25×16+16 = 416, 16×8+8 = 136, 8×1+1 = 9, total 561; (3) optimizer and loss: "Adam is gradient descent that adapts each weight's step size automatically; lr=0.01 is its starting step"; (4) the loop. Define an epoch: "one pass over all training rows; here we use all 3,000 rows in every step (full batch), so one epoch = one step. Real networks usually split the data into mini-batches (Ch 53)." Explain with torch.no_grad(): as "don't track gradients while we only evaluate".</t>
  </si>
  <si>
    <t xml:space="preserve">43.10</t>
  </si>
  <si>
    <t xml:space="preserve">§43.6 class SmallCNN(nn.Module): … super().__init__()</t>
  </si>
  <si>
    <t xml:space="preserve">The first class-based model. Prerequisites don't list Ch 29, where classes are taught, and super() / inheriting from a library class appear nowhere earlier (grep: no super() in Ch 1–42). forward, features, self.conv1, and flatten(1) are all unexplained.</t>
  </si>
  <si>
    <t xml:space="preserve">Add Ch 29 (classes) to "Before you start". Before the class, add a paragraph plus a mini-cell: "nn.Sequential can't express the two-part model used for transfer learning, so we write a class. class SmallCNN(nn.Module) means 'a SmallCNN is a PyTorch module'; super().__init__() runs PyTorch's own setup first (always required); layers stored on self are found by .parameters(); forward is what runs when you call model(x)." Explain flatten(1) (keep the batch dimension, flatten the rest: 16×2×2 = 64).</t>
  </si>
  <si>
    <t xml:space="preserve">43.11</t>
  </si>
  <si>
    <t xml:space="preserve">§43.6 nn.Conv2d(1, 8, kernel_size=3, padding=1), nn.MaxPool2d(2), fc1 = nn.Linear(16 * 2 * 2, 32)</t>
  </si>
  <si>
    <t xml:space="preserve">The shape arithmetic that justifies 16*2*2 is only hinted at in two comments. padding=1 isn't explained, and neither is where 3,493 parameters come from.</t>
  </si>
  <si>
    <t xml:space="preserve">Add a shape-trace cell, x = Xb_train_t[:1]; print(x.shape); x = model.conv1(x); print(x.shape) …, showing (1,1,8,8) → (1,8,8,8) → pool (1,8,4,4) → conv2 (1,16,4,4) → pool (1,16,2,2) → flatten (1,64) → fc1 (1,32) → fc2 (1,5). Explain the arguments: Conv2d(in_channels=1, out_channels=8, kernel_size=3, padding=1), where padding=1 adds a border of zeros so 8×8 stays 8×8. Give the parameter table: conv1 1·8·9+8 = 80; conv2 8·16·9+16 = 1,168; fc1 64·32+32 = 2,080; fc2 32·5+5 = 165; total 3,493.</t>
  </si>
  <si>
    <t xml:space="preserve">43.12</t>
  </si>
  <si>
    <t xml:space="preserve">§43.6 loss_fn4 = nn.CrossEntropyLoss(), .argmax(1), .long()</t>
  </si>
  <si>
    <t xml:space="preserve">Multi-class output (5 logits per image), softmax inside CrossEntropyLoss, argmax(1) as "pick the class with the highest score", and integer labels via .long() are all new and unexplained. So far the chapter has only done binary sigmoid output.</t>
  </si>
  <si>
    <t xml:space="preserve">Add a short "From two classes to five" paragraph before the CNN training cell. The last layer outputs 5 scores (logits), one per digit. CrossEntropyLoss turns them into 5 probabilities that sum to 1 (softmax, the many-class version of the sigmoid) and takes −ln of the true class's probability, which is Ch 35's log loss generalised. argmax(1) picks the highest-scoring class per row. Labels must be whole-number class ids (.long()). Show one image's 5 logits, their softmax, and the argmax.</t>
  </si>
  <si>
    <t xml:space="preserve">43.13</t>
  </si>
  <si>
    <t xml:space="preserve">§43.6 edge kernel "convolving with a horizontal-edge kernel: -0.56"</t>
  </si>
  <si>
    <t xml:space="preserve">The result is never interpreted. The chosen patch (rows 2–4, cols 2–4) sits on the *left side* of the "0", a vertical stroke, so the "horizontal-edge" kernel gives a small negative number, and the reader can't tell whether −0.56 is "large" or "small". In digits data, high values mean *ink*, so "dark to light going downward" is ambiguous. Calling one patch product a "convolution" also skips the sliding.</t>
  </si>
  <si>
    <t xml:space="preserve">Show the whole slide: from scipy.signal import correlate2d (or a 2-loop version) producing the 6×6 response map (verified: bottom of the 0 gives +1.31, the top stroke gives −2.00). Then explain: "positive where ink increases going down (the bottom curve of the 0), negative where ink decreases going down (just under the top stroke), near 0 on the flat left side, which is why our first patch gave only −0.56." Define "high values = more ink". Add one sentence saying PyTorch's Conv2d technically computes this sliding weighted sum (cross-correlation) and that everyone calls it convolution.</t>
  </si>
  <si>
    <t xml:space="preserve">43.14</t>
  </si>
  <si>
    <t xml:space="preserve">§43.6 output "digits [np.int64(0), np.int64(1), …]"</t>
  </si>
  <si>
    <t xml:space="preserve">Genuine NumPy 2 output (verified), but noisy and confusing to a beginner.</t>
  </si>
  <si>
    <t xml:space="preserve">Print sorted(set(labels.tolist())) or np.unique(labels) → [0 1 2 … 9].</t>
  </si>
  <si>
    <t xml:space="preserve">43.15</t>
  </si>
  <si>
    <t xml:space="preserve">§43.5 warnings.filterwarnings("ignore")</t>
  </si>
  <si>
    <t xml:space="preserve">Silences *all* warnings, including convergence and deprecation warnings a learner needs to see. Ch 37 used the narrower category=UserWarning.</t>
  </si>
  <si>
    <t xml:space="preserve">Remove it, or match Ch 37 (category=UserWarning) and say which warning it hides and why.</t>
  </si>
  <si>
    <t xml:space="preserve">43.16</t>
  </si>
  <si>
    <t xml:space="preserve">§43.5 comparison on valid only; test_acc created, never used</t>
  </si>
  <si>
    <t xml:space="preserve">The split creates a test set that is never used. The 200 epochs and the architecture were chosen by looking at validation AUC, so the "honest comparison" reuses the tuning data. Ch 39's discipline is a one-time final test.</t>
  </si>
  <si>
    <t xml:space="preserve">Correctness (method)</t>
  </si>
  <si>
    <t xml:space="preserve">After the comparison, add one final cell scoring all three models once on test_acc (transform with prepare), with a sentence: "validation guided our choices; the test set, touched once, is the honest final number." Or say explicitly that this is a validation comparison, and why that's acceptable for an illustration.</t>
  </si>
  <si>
    <t xml:space="preserve">43.17</t>
  </si>
  <si>
    <t xml:space="preserve">§43.1 x = np.array([16, 5.03]) # … orders, revenue and "sigmoid(z) = 0.984"</t>
  </si>
  <si>
    <t xml:space="preserve">Revenue's unit (₹ lakh, from Ch 35) isn't stated, and the weights are invented. A 98.4% "probability" for a named Riverstone customer reads like a real churn prediction.</t>
  </si>
  <si>
    <t xml:space="preserve">Comment: # Sharma Hardware: 16 orders, ₹5.03 lakh revenue (Ch 35). Add: "The weights here are made up for illustration; the 0.984 is not a real prediction about Sharma."</t>
  </si>
  <si>
    <t xml:space="preserve">43.18</t>
  </si>
  <si>
    <t xml:space="preserve">§43.1 ReLU "its gradient is either exactly 0 or exactly 1"</t>
  </si>
  <si>
    <t xml:space="preserve">"Gradient" of an activation function (the slope of the curve) is a new use of the word. Ch 35 taught the gradient of a loss. "Vanishing gradient" is a Key term but only described in passing.</t>
  </si>
  <si>
    <t xml:space="preserve">Add: "The slope of sigmoid is at most 0.25 (at z = 0) and near 0 for large | z | ; stacking 10 layers multiplies ten such slopes, e.g. 0.25¹⁰ ≈ 0.000001, and the signal vanishes. That's the *vanishing gradient*. ReLU's slope is 1 for positive z, so nothing shrinks." Include a 3-line cell printing the sigmoid slope s(1−s) at z = −2, 0, 3 next to ReLU's.</t>
  </si>
  <si>
    <t xml:space="preserve">43.19</t>
  </si>
  <si>
    <t xml:space="preserve">§43.2 nn.Tanh() in the two-layer net; §43.3 "tanh activation"</t>
  </si>
  <si>
    <t xml:space="preserve">tanh is used as the hidden activation in 43.2–43.4, although §43.1 just said modern networks use ReLU in hidden layers. tanh is never defined (range −1 to 1).</t>
  </si>
  <si>
    <t xml:space="preserve">In §43.1, add tanh next to ReLU and sigmoid in the comparison cell (math.tanh(z)), described as "an S-curve like sigmoid, but from −1 to 1, centred on 0". Add one line in §43.2 explaining why tanh is used here: it trains reliably on a 4-row toy problem, and ReLU with 4 units can get stuck (dead units).</t>
  </si>
  <si>
    <t xml:space="preserve">43.20</t>
  </si>
  <si>
    <t xml:space="preserve">§43.4 W1.clone().requires_grad_(), nn.functional.binary_cross_entropy, W2g.grad, with torch.no_grad():, W2_plus[0, 0] += epsilon</t>
  </si>
  <si>
    <t xml:space="preserve">Five new mechanics in one cell, none explained line by line.</t>
  </si>
  <si>
    <t xml:space="preserve">Split into (1) the autograd cell: explain .clone() (copy, so the original stays untouched), .requires_grad_() ("track how this tensor affects anything computed from it"), nn.functional.binary_cross_entropy (the function form of BCELoss), and .grad (where backward() stores the gradient); (2) the nudge cell: explain no_grad and [0, 0] indexing.</t>
  </si>
  <si>
    <t xml:space="preserve">43.21</t>
  </si>
  <si>
    <t xml:space="preserve">Key terms list: "feature map", "pooling", "fine-tuning", "decision boundary", "epoch"</t>
  </si>
  <si>
    <t xml:space="preserve">"Feature map" never appears in the text. "Pooling" gets only a parenthesis. "Fine-tuning" appears only in exercises 11 and 16. "Epoch" is never defined.</t>
  </si>
  <si>
    <t xml:space="preserve">Define each where first used: feature map = "the grid a convolution produces" (in §43.6 after the edge kernel); pooling = its own sentence with a 4×4 → 2×2 example; fine-tuning = in §43.7 ("unfreezing some pretrained layers and training them a little"); epoch = see 43.9. Otherwise drop them from Key terms.</t>
  </si>
  <si>
    <t xml:space="preserve">43.22</t>
  </si>
  <si>
    <t xml:space="preserve">"Where this leads" "Chapter 53, Deep Learning in Practice (later in the book)"</t>
  </si>
  <si>
    <t xml:space="preserve">Ch 53's title is "Deep Learning in Depth".</t>
  </si>
  <si>
    <t xml:space="preserve">Change to "Chapter 53, Deep Learning in Depth".</t>
  </si>
  <si>
    <t xml:space="preserve">43.23</t>
  </si>
  <si>
    <t xml:space="preserve">Remove the parenthesis, per the book-wide fix.</t>
  </si>
  <si>
    <t xml:space="preserve">43.24</t>
  </si>
  <si>
    <t xml:space="preserve">"Before you start: Chapter 35 (gradients, gradient descent, the sigmoid)"</t>
  </si>
  <si>
    <t xml:space="preserve">The sigmoid isn't in Ch 35 (grep: no occurrence). It's taught in Ch 37 ("The sigmoid by hand", §37 logistic regression). Log loss/cross-entropy is Ch 35 §35.9 and should be listed, since BCELoss relies on it.</t>
  </si>
  <si>
    <t xml:space="preserve">Consistency / cross-ref</t>
  </si>
  <si>
    <t xml:space="preserve">"Chapter 35 (vectors, matrix products, gradients, gradient descent, log loss), Chapter 37 (logistic regression and the sigmoid, gradient boosting, bias and variance), Chapter 29 (classes), Chapter 39 (AUC, accuracy on imbalanced data)".</t>
  </si>
  <si>
    <t xml:space="preserve">43.25</t>
  </si>
  <si>
    <t xml:space="preserve">§43.7 filter(lambda p: p.requires_grad, model.parameters()), copy.deepcopy(base_model)</t>
  </si>
  <si>
    <t xml:space="preserve">filter + lambda on parameters, and copy.deepcopy, are new and unexplained. lambda was seen only inside pandas .assign (Ch 18).</t>
  </si>
  <si>
    <t xml:space="preserve">Explain: "copy.deepcopy makes a full independent copy, so freezing and replacing layers doesn't damage base_model"; "param.requires_grad = False freezes a weight: backward() no longer computes its gradient, so it never changes". Replace the filter/lambda with a list comprehension the reader knows: trainable = [p for p in model.parameters() if p.requires_grad].</t>
  </si>
  <si>
    <t xml:space="preserve">43.26</t>
  </si>
  <si>
    <t xml:space="preserve">§43.7 train_transfer and train_scratch defined together, then called in a loop</t>
  </si>
  <si>
    <t xml:space="preserve">Two 12-line functions plus a sweep, in two cells, with no walk-through.</t>
  </si>
  <si>
    <t xml:space="preserve">Line-by-line code / Load</t>
  </si>
  <si>
    <t xml:space="preserve">Show one transfer run first as plain cells (copy, freeze, replace head, train 80 steps, score) at n = 10 with output, explaining each line. Only then wrap it into train_transfer(n), add train_scratch(n) as "the same, minus the copy and freezing", and run the sweep (with the 43.6 fix).</t>
  </si>
  <si>
    <t xml:space="preserve">43.27</t>
  </si>
  <si>
    <t xml:space="preserve">Answer 12 "the direction matches what section 43.7 already showed"</t>
  </si>
  <si>
    <t xml:space="preserve">The answer admits that transfer-from-richer-base (93.3%, 8 vs 9) can't be compared with §43.7, yet still claims the direction matches. There is no from-scratch baseline for the same 8-vs-9 task at 10/class, so the exercise's question ("does a richer base improve results?") goes unanswered.</t>
  </si>
  <si>
    <t xml:space="preserve">Add a train_scratch-style baseline on the same 8-vs-9 data and the same 10/class sample, plus a transfer from the original 0–4 base to 8-vs-9, and compare all three on one test set. Rewrite the answer from those numbers.</t>
  </si>
  <si>
    <t xml:space="preserve">43.28</t>
  </si>
  <si>
    <t xml:space="preserve">Answer 8 "Validation AUC rises to a peak of 0.774 around epoch 200"</t>
  </si>
  <si>
    <t xml:space="preserve">AUC is sampled only every 100 epochs, so "peak around 200" can't be located. Training loss is printed *before* the step and AUC *after* it, which is a small inconsistency.</t>
  </si>
  <si>
    <t xml:space="preserve">Correctness (minor)</t>
  </si>
  <si>
    <t xml:space="preserve">Print every 20 epochs, or say "the best of the checkpoints we printed". Link to early stopping as already done.</t>
  </si>
  <si>
    <t xml:space="preserve">43.29</t>
  </si>
  <si>
    <t xml:space="preserve">Exercise 13 answer "the same gap Chapter 37 noted between an iterative and an exact solver"</t>
  </si>
  <si>
    <t xml:space="preserve">Ch 37 only says linear regression has an exact formula and that logistic uses "an optimizer, a smarter relative of gradient descent". It never shows a gap between the two solvers.</t>
  </si>
  <si>
    <t xml:space="preserve">Change to "because 500 gradient-descent steps (Ch 35) haven't fully reached the minimum that LinearRegression's exact formula (Ch 37) finds directly".</t>
  </si>
  <si>
    <t xml:space="preserve">43.30</t>
  </si>
  <si>
    <t xml:space="preserve">Chapter at a glance / whole chapter: embeddings</t>
  </si>
  <si>
    <t xml:space="preserve">Learned representations/embeddings are cited only as Ch 41 background. No section connects a network's hidden layer, or an embedding layer, to Ch 41's word embeddings, although "Before you start" lists Ch 41 for that purpose.</t>
  </si>
  <si>
    <t xml:space="preserve">Add a 4–6 line box after §43.6: "The 32 numbers features() produces for each image are a learned representation, the image version of Ch 41's word embeddings; transfer learning (§43.7) works by reusing them." Optionally print base_model.features(x) for one image. Otherwise drop Ch 41 from prerequisites.</t>
  </si>
  <si>
    <t xml:space="preserve">43.31</t>
  </si>
  <si>
    <t xml:space="preserve">Real-world box "In October 2026, a vendor pitches…"</t>
  </si>
  <si>
    <t xml:space="preserve">The run date stated in Tools is 18 September 2026; the story is set in the future relative to it. Other chapters set Meera's stories in 2025–26.</t>
  </si>
  <si>
    <t xml:space="preserve">Check against the book's story timeline and use a date consistent with Ch 37's AutoML story (e.g. the month after it).</t>
  </si>
  <si>
    <t xml:space="preserve">43.32</t>
  </si>
  <si>
    <t xml:space="preserve">Common mistakes row "Applying sigmoid and then BCELoss mismatched with logits — Numerical instability, especially with BCEWithLogitsLoss"</t>
  </si>
  <si>
    <t xml:space="preserve">The row is garbled. The real mistake is either (a) applying nn.Sigmoid() and then BCEWithLogitsLoss, which squashes twice, trains badly and gives wrong probabilities, or (b) feeding raw logits to BCELoss, which errors or returns nonsense.</t>
  </si>
  <si>
    <t xml:space="preserve">Split into two rows. "Sigmoid layer + BCEWithLogitsLoss (double sigmoid)": outputs stuck near 0.5–0.73, poor training; fix: remove the final Sigmoid. "Raw logits into BCELoss": error 'all elements of input should be between 0 and 1'; fix: use BCEWithLogitsLoss, or add the Sigmoid.</t>
  </si>
  <si>
    <t xml:space="preserve">43.33</t>
  </si>
  <si>
    <t xml:space="preserve">§43.5 intro "the same data and the same pipeline, feeding a small neural network"</t>
  </si>
  <si>
    <t xml:space="preserve">This cell (≈50 lines) re-types Ch 37's whole preparation. Without explanation, .astype("float32") and .to_numpy() are new: PyTorch needs float32 NumPy arrays, not DataFrames.</t>
  </si>
  <si>
    <t xml:space="preserve">Say "Lines 1–40 are Ch 37 §37.0 and §37.4 unchanged". Explain the two new lines only: .astype("float32") (PyTorch's default number type; see 43.4) and .to_numpy() (a Series becomes a plain array so torch.tensor can read it).</t>
  </si>
  <si>
    <t xml:space="preserve">V43.1</t>
  </si>
  <si>
    <t xml:space="preserve">p. 9 · 43.5 "A network on tabular data"</t>
  </si>
  <si>
    <t xml:space="preserve">The heading plus a 2-line lead-in ("…feeding a small neural network instead:") sit on a page that is otherwise empty (84% blank). The 45-line setup code is on p. 10.</t>
  </si>
  <si>
    <t xml:space="preserve">Allow the long code block to split across pages, or move the heading and lead-in to p. 10.</t>
  </si>
  <si>
    <t xml:space="preserve">V43.2</t>
  </si>
  <si>
    <t xml:space="preserve">p. 28 · Answers, exercise 12</t>
  </si>
  <si>
    <t xml:space="preserve">"12." is stranded at the top quarter of a page that is otherwise 75% blank. Its code block is on p. 29.</t>
  </si>
  <si>
    <t xml:space="preserve">Keep the number with its block, and let the block split.</t>
  </si>
  <si>
    <t xml:space="preserve">V43.3</t>
  </si>
  <si>
    <t xml:space="preserve">p. 25 · Answers, exercise 8</t>
  </si>
  <si>
    <t xml:space="preserve">"8." is stranded at the page foot (page ends at 69%), and its code is on p. 26.</t>
  </si>
  <si>
    <t xml:space="preserve">V43.4</t>
  </si>
  <si>
    <t xml:space="preserve">p. 15 · End of 43.7 setup</t>
  </si>
  <si>
    <t xml:space="preserve">The page ends at 70% after the one-line output. The import copy block (41 lines) moves whole to p. 16.</t>
  </si>
  <si>
    <t xml:space="preserve">Let the block split.</t>
  </si>
  <si>
    <t xml:space="preserve">V43.5</t>
  </si>
  <si>
    <t xml:space="preserve">"Approved chapter · v1" and "21 September 2026" are visible. The title "Chapter 43" has no full stop.</t>
  </si>
  <si>
    <t xml:space="preserve">V43.6</t>
  </si>
  <si>
    <t xml:space="preserve">V43.7</t>
  </si>
  <si>
    <t xml:space="preserve">p. 23 · Answer 1</t>
  </si>
  <si>
    <t xml:space="preserve">The formula is set as plain text with a caret: "sigmoid(0.4) = 1 ÷ (1 + e^−0.4)". Elsewhere the book uses proper superscripts or a formula box.</t>
  </si>
  <si>
    <t xml:space="preserve">Set it as e&lt;sup&gt;−0.4&lt;/sup&gt;.</t>
  </si>
  <si>
    <t xml:space="preserve">V43.8</t>
  </si>
  <si>
    <t xml:space="preserve">p. — (chapter) · Figures</t>
  </si>
  <si>
    <t xml:space="preserve">There are no figures. XOR's four points ("Plot those four points…", p. 5), a neuron/layer diagram and a convolution kernel sliding over a grid are all described in words only.</t>
  </si>
  <si>
    <t xml:space="preserve">Consider adding 2–3 small figures (XOR plot, 2-2-1 network, 3×3 kernel on an 8×8 digit).</t>
  </si>
  <si>
    <t xml:space="preserve">V43.9</t>
  </si>
  <si>
    <t xml:space="preserve">p. 7, 13 · Output wraps</t>
  </si>
  <si>
    <t xml:space="preserve">Long output lines wrap to column 0 with no marker: "a1 = tanh(z1) = / [0.2913…]" (p. 7), and the digit-label list and "…being hand- / designed)" (p. 13).</t>
  </si>
  <si>
    <t xml:space="preserve">Shorten the prints, or add a continuation marker.</t>
  </si>
  <si>
    <t xml:space="preserve">V43.10</t>
  </si>
  <si>
    <t xml:space="preserve">p. 22 · Exercises 10–16</t>
  </si>
  <si>
    <t xml:space="preserve">Two-digit list numbers hang into the left margin.</t>
  </si>
  <si>
    <t xml:space="preserve">As V27.17.</t>
  </si>
  <si>
    <t xml:space="preserve">44.1</t>
  </si>
  <si>
    <t xml:space="preserve">§44.3 CALL_COST = (1200 …); §44.6 def build_call_list(accounts_df, call_cost=1200, …); Ex 1, 3 "per-account break-even rule from section 44.3"</t>
  </si>
  <si>
    <t xml:space="preserve">CALL_COST/call_cost is never used in any calculation. §44.3 defines no break-even rule, yet the settings table says "Higher: fewer accounts clear the break-even bar", Key terms list "break-even per row", and Exercises 1 and 3 ask the reader to apply "the break-even rule from section 44.3". Ex 3's answer hard-codes 15000 outside the function, and passing call_cost=15000 changes nothing. A reader who checks will find a dead parameter.</t>
  </si>
  <si>
    <t xml:space="preserve">Add to §44.3, after the value-at-risk cell, a "Break-even per account" subsection. In words: calling is worth it when the value at risk exceeds the cost of the call, i.e. p × revenue × margin &gt; CALL_COST (the same logic as Ch 39's "p × ₹30,255 &gt; ₹1,500"). At ₹1,200 and 15% margin that's p × revenue &gt; ₹8,000. Code: valid["worth_calling"] = valid["value_at_risk"] &gt; CALL_COST and print(valid["worth_calling"].sum(), "of", len(valid), "clear break-even"), with the output. In §44.4, build the list as "rank by value, then drop any below break-even, then take the top CAPACITY". In build_call_list, use the parameter: call_list = valid_split[valid_split["value_at_risk"] &gt; call_cost].sort_values(...).head(capacity), and return the count dropped. Re-run all outputs and rewrite Ex 3's answer to call build_call_list(accounts, call_cost=15000) directly: the list should now have 27 accounts, not 40 (the chapter's 13 fail).</t>
  </si>
  <si>
    <t xml:space="preserve">44.2</t>
  </si>
  <si>
    <t xml:space="preserve">§44.3 "Riverstone has just over ₹3 million of revenue genuinely on the line"; memo "₹1.16 million of revenue we'd expect to lose"; "less than a third of the value protected"</t>
  </si>
  <si>
    <t xml:space="preserve">Unit error. value_at_risk = p × revenue × margin, so ₹3.09M and ₹1.16M are expected lost *gross margin (profit)*, not revenue. Expected lost revenue on the list would be 1/0.15 ≈ 6.7× larger (₹7.7M; ₹20.6M across validation). It's also "at risk", not "protected": nothing is protected unless a call changes the outcome, which the memo's own limitations paragraph says is unproven. A sales head reading "₹1.16 million of revenue" is misled by a factor of 6.7.</t>
  </si>
  <si>
    <t xml:space="preserve">Rename throughout to "expected margin at risk" (or "expected profit at risk") and fix the prose. §44.3: "just over ₹3 million of expected gross margin on the line (about ₹20.6 million of revenue)". Memo: "these 40 accounts carry about ₹1.16 million of expected gross margin at risk (roughly ₹7.7 million of revenue) if nothing changes. Ranking by risk alone would have targeted ₹374,000 of margin at risk." Replace "value protected" with "value targeted" everywhere (memo, §44.4, Recap "three times the value protected" → "three times the value targeted").</t>
  </si>
  <si>
    <t xml:space="preserve">44.3</t>
  </si>
  <si>
    <t xml:space="preserve">§44.1 table "Prediction moment: As of 31 December 2024"; memo "Re: February 2026 retention call list"; code scores valid</t>
  </si>
  <si>
    <t xml:space="preserve">Timeline and population are incoherent. The model predicts 2025 churn from 2024 data, and the call list is drawn from the 1,000 *validation* accounts, whose 2025 outcome is already known in the data. That's only 20% of accounts, chosen at random by the split. A February 2026 list should score *all current* accounts with 2025 features, using a model refit on all labelled history. As written, the "reusable" function can never produce a real list, because it always returns the top of a random 20% validation slice.</t>
  </si>
  <si>
    <t xml:space="preserve">Add a paragraph and cell at the start of §44.4 or §44.6: "In this chapter we build the list on the validation accounts, because they're the ones whose outcome we can check afterwards. That's a rehearsal. For the real February 2026 list you would (1) refit the pipeline on all labelled accounts (train+valid+test, as Ch 36 did), and (2) score every active account using its 2025 features, as of 31 Dec 2025." Change the memo's heading to "Pilot: retention call list (rehearsed on 2025 outcomes)", or keep February 2026 and show the refit-and-score-all step. Split build_call_list into fit_churn_model(labelled_df) and rank_accounts(model, current_df, margin, call_cost, capacity) so the ranking step is genuinely reusable on new data (see 44.12).</t>
  </si>
  <si>
    <t xml:space="preserve">44.4</t>
  </si>
  <si>
    <t xml:space="preserve">§44.3 formula "value at risk = P(churn) × 2024 revenue × margin"; Key term "value at risk"</t>
  </si>
  <si>
    <t xml:space="preserve">(a) In finance, "value at risk (VaR)" means a loss quantile, not an expected loss. Readers who meet VaR later (Ch 65 FinOps, finance colleagues) will be confused. Ch 25 also uses "value at risk" with yet another meaning ("last twelve months' revenue"). (b) The formula treats a call as saving 100% of the account's margin. The decision quantity is expected *gain from calling* = p × margin value × save rate − cost.</t>
  </si>
  <si>
    <t xml:space="preserve">Add a "Watch out" box: "We call this *value at risk* in the everyday sense: the expected margin you'd lose. Finance uses 'VaR' for a different thing (a worst-case loss at a given confidence). Ch 25's user story used the phrase loosely for revenue." Then add one line of the full expected-value rule: "A call is worth making when p × revenue × margin × save rate &gt; call cost. We don't know the save rate yet; the Ch 30 test in the memo is how we'd measure it. Until then, ranking by p × revenue × margin gives the same order as long as the save rate is similar across accounts." Worked example: p = 0.30, revenue ₹500,000, margin 15%, save rate 20% → 0.30 × 500,000 × 0.15 × 0.20 = ₹4,500 &gt; ₹1,200.</t>
  </si>
  <si>
    <t xml:space="preserve">44.5</t>
  </si>
  <si>
    <t xml:space="preserve">§44.3 value at risk uses p_churn as a number</t>
  </si>
  <si>
    <t xml:space="preserve">Ch 39 §39.4 says calibration matters "whenever the probability is used as a number: expected value calculations… When only the order matters, such as a call list, it doesn't." Here the probability is multiplied by revenue, so calibration matters, but the churn model's calibration is never checked. Ch 39 checked boosting on *leads*, not on this churn model.</t>
  </si>
  <si>
    <t xml:space="preserve">Correctness / Sequence (use of Ch 39)</t>
  </si>
  <si>
    <t xml:space="preserve">Add one recap cell after §44.2: print(valid["p_churn"].mean(), valid["churned_2025"].mean()) plus Ch 39's reliability table (5 bins), with a sentence: "Because §44.3 multiplies the probability by rupees, we check it's honest (Ch 39 §39.4). Mean prediction x vs actual 9.7%." If it's off, apply Ch 39's calibration fix.</t>
  </si>
  <si>
    <t xml:space="preserve">44.6</t>
  </si>
  <si>
    <t xml:space="preserve">§44.1 "Chapter 36 taught the five things to pin down"; table rows Unit/Target/Prediction moment/Success measure/Capacity</t>
  </si>
  <si>
    <t xml:space="preserve">Ch 36's five rows are unit, target, prediction moment, allowed information, success measure (Ch 36 §36.1 and its project step 1). Ch 44 drops "allowed information" and adds "capacity", which contradicts the chapter's promise to say exactly which chapter taught each step.</t>
  </si>
  <si>
    <t xml:space="preserve">Consistency (claimed back-reference)</t>
  </si>
  <si>
    <t xml:space="preserve">Use Ch 36's five rows, with "Allowed information: only account data recorded by 31 Dec 2024 (no 2025 orders, no complaints logged after the cut-off)", then add a sixth row labelled "Capacity (new here): 40 calls this month". Change the lead-in to "Chapter 36 taught five things to pin down; this project adds a sixth". Fix project step 2 the same way.</t>
  </si>
  <si>
    <t xml:space="preserve">44.7</t>
  </si>
  <si>
    <t xml:space="preserve">§44.3 CALL_COST = (1200 # … roughly Chapter 39's lead-work cost)</t>
  </si>
  <si>
    <t xml:space="preserve">Ch 39's WORK_COST is ₹1,500 (about 2 rep-hours, including samples). "Roughly" hides an unexplained change.</t>
  </si>
  <si>
    <t xml:space="preserve">Either use 1,500 with "same as Chapter 39's WORK_COST", or explain the difference: "₹1,200: a retention call is shorter than working a new lead (no quote or samples), about 1.5 rep-hours at Ch 39's rate".</t>
  </si>
  <si>
    <t xml:space="preserve">44.8</t>
  </si>
  <si>
    <t xml:space="preserve">§44.2 "every line here is Chapter 37's, unchanged"</t>
  </si>
  <si>
    <t xml:space="preserve">Not quite. Ch 37 fitted the tuned HistGradientBoostingClassifier with clf_pipeline(..., scale=False) (no StandardScaler), while Ch 44 adds StandardScaler. Ch 37's warning filter was category=UserWarning; Ch 44 uses a blanket filterwarnings("ignore"). The result is identical (trees don't care about scaling), but the claim is false and a careful reader will notice.</t>
  </si>
  <si>
    <t xml:space="preserve">Either drop the ("scale", StandardScaler()) step to match Ch 37's scale=False, or change the sentence to "…the same pipeline as Ch 37's logistic model; scaling has no effect on trees (Ch 37), so the AUC is identical". Use category=UserWarning, as Ch 37 did.</t>
  </si>
  <si>
    <t xml:space="preserve">44.9</t>
  </si>
  <si>
    <t xml:space="preserve">§44.2–44.7: the test set test is created but never used</t>
  </si>
  <si>
    <t xml:space="preserve">The capstone's "evaluate" stage uses the validation AUC (0.788), which Ch 37 already used to choose this tuned model among several. Ch 36 and Ch 39's discipline is to report the untouched test set once at the end. An end-to-end capstone should model that step.</t>
  </si>
  <si>
    <t xml:space="preserve">Correctness (method) / Flow</t>
  </si>
  <si>
    <t xml:space="preserve">Add a short §44.2 cell or a §44.7 pre-step: "Final check, done once: refit on train+valid, score test, AUC = x (Ch 36/39: test is touched once)". Use that figure in the memo ("about x% of the time").</t>
  </si>
  <si>
    <t xml:space="preserve">44.10</t>
  </si>
  <si>
    <t xml:space="preserve">§44.6 "The next eight lines are sections 44.2's model-fitting steps, unchanged"</t>
  </si>
  <si>
    <t xml:space="preserve">About 40 lines, not eight. "sections 44.2's" is a typo. The explanation skips accounts_df.copy() (why copy: don't modify the caller's table), the reliance on global CATS/NUMS, call_cost (unused), and the _ placeholder in _, default_list, default_auc = ….</t>
  </si>
  <si>
    <t xml:space="preserve">Line-by-line code / Polish</t>
  </si>
  <si>
    <t xml:space="preserve">Rewrite the bullets: "Lines 2–3: accounts_df.copy() works on a copy so the function never changes the table you passed in; converts rep_id as §44.2 did." "The next ~40 lines are section 44.2's split, preparation and model, unchanged…" Add: "_ is Python's convention for 'a value I'm not using'; here we ignore the fitted model." Explain call_cost once it's used (44.1).</t>
  </si>
  <si>
    <t xml:space="preserve">44.11</t>
  </si>
  <si>
    <t xml:space="preserve">§44.6 function reads CATS and NUMS from outside</t>
  </si>
  <si>
    <t xml:space="preserve">A "reusable pipeline function" that silently depends on global variables breaks when copied into another notebook or script (NameError). This is the exact failure Ch 29 teaches readers to avoid.</t>
  </si>
  <si>
    <t xml:space="preserve">Correctness (design) / Consistency with Ch 29</t>
  </si>
  <si>
    <t xml:space="preserve">Add parameters cats=CATS, nums=NUMS, or define the lists inside the function. Add a sentence: "Everything the function needs comes in through its arguments; that's what makes it safe to hand off or schedule (Ch 29)."</t>
  </si>
  <si>
    <t xml:space="preserve">44.12</t>
  </si>
  <si>
    <t xml:space="preserve">§44.6 capacity loop calls build_call_list 3 times</t>
  </si>
  <si>
    <t xml:space="preserve">Each call re-splits and re-fits the whole model just to change capacity. That's wasteful, and it models the wrong habit: settings that don't affect the model shouldn't trigger a refit.</t>
  </si>
  <si>
    <t xml:space="preserve">Line-by-line code (design)</t>
  </si>
  <si>
    <t xml:space="preserve">Split into fit_churn_model(accounts_df) → (model, valid_scored, auc) and make_call_list(scored_df, margin, call_cost, capacity). Fit once, then loop make_call_list over capacities. Explain "fit once, decide many times". This also fixes 44.3's reuse problem.</t>
  </si>
  <si>
    <t xml:space="preserve">44.13</t>
  </si>
  <si>
    <t xml:space="preserve">§44.5 "largest pushes (positive = toward churning)" with values 0.922, 0.760 …</t>
  </si>
  <si>
    <t xml:space="preserve">SHAP units aren't stated. Ch 39 printed "log-odds units"; here the numbers look like probabilities (0.922 would read as "92%"). There's also no base value, so the reader can't see how an 8.4% account has pushes summing to +1.49.</t>
  </si>
  <si>
    <t xml:space="preserve">Label them "(log-odds units, Ch 39)", print explainer.expected_value and the sum of all contributions, and add one line: "base log-odds x + all 30 pushes = log-odds of −2.39 = 8.4%; the four largest pushes are toward churn, but many small ones pull the other way." Remove the redundant print(...index.tolist()) line (line 248), which repeats the next print.</t>
  </si>
  <si>
    <t xml:space="preserve">44.14</t>
  </si>
  <si>
    <t xml:space="preserve">§44.5 opening line "Their payment timing has slipped and their discount has crept up"</t>
  </si>
  <si>
    <t xml:space="preserve">The data is a single 2024 snapshot (late_payment_days, avg_discount_pct). "Slipped" and "crept up" claim a change over time the data can't show. SHAP says these *levels* push toward churn relative to the average account, not that they changed. This overclaims in the chapter that warns against overclaiming.</t>
  </si>
  <si>
    <t xml:space="preserve">Replace with: "Their payments run later than most accounts', and they get a higher average discount than most — worth asking whether anything's straining the relationship." Add one sentence: "SHAP compares this account with the typical account, not with its own past."</t>
  </si>
  <si>
    <t xml:space="preserve">44.15</t>
  </si>
  <si>
    <t xml:space="preserve">Real-world box: Farah on a "large account … haven't ordered as much this quarter because of a plant shutdown"</t>
  </si>
  <si>
    <t xml:space="preserve">Contradicts §44.5: the model's features are 2024 annual values, and for the top account units_2024 pushes *toward staying* (−0.673). A shutdown "this quarter" (early 2026) is not in the data at all. The story says Farah opens the call "differently than the model's SHAP explanation would have suggested", but the SHAP explanation was about late payments and discount, not order volume. Farah is also a sales rep in Ch 2–11 ("account managers" here).</t>
  </si>
  <si>
    <t xml:space="preserve">Rewrite so it matches §44.5: "…flagged for late payments. 'That's their plant shutdown — they told me in January; payments will normalise by April.'" Use "sales reps" (or say that reps act as account managers) to match earlier chapters.</t>
  </si>
  <si>
    <t xml:space="preserve">44.16</t>
  </si>
  <si>
    <t xml:space="preserve">§44.7 memo first paragraph "The churn model correctly separates…"; text "Lead with the decision; mention the metric once"</t>
  </si>
  <si>
    <t xml:space="preserve">The memo opens with model quality, then the decision. That contradicts the chapter's own rule and the Common-mistakes row. The note "no AUC in the second paragraph (it's mentioned once…)" is also confusing, since the word AUC never appears in the memo.</t>
  </si>
  <si>
    <t xml:space="preserve">Correctness (internal) / Polish</t>
  </si>
  <si>
    <t xml:space="preserve">Reorder: paragraph 1 = the decision ("This month, call these 40 accounts; they carry ~₹1.16M of expected margin at risk, 3× what a risk-only list would target"). Paragraph 2 = how confident to be (the pairwise-79% sentence). Paragraphs 3–5 as now. Change the note to "Notice: the model's quality appears once, in plain words, with no metric name".</t>
  </si>
  <si>
    <t xml:space="preserve">44.17</t>
  </si>
  <si>
    <t xml:space="preserve">§44.8 table rows 38, 40, 41</t>
  </si>
  <si>
    <t xml:space="preserve">Padding that contradicts the "says exactly which chapter taught each step" promise. 38 (clustering) contributes nothing (the "low-touch process" was never built). 40 (time series) did not teach "testing an assumption with a real re-run", and the capacity sweep uses §44.6's function. 41 says "not used directly". 35's "dot products and gradients inside the model" is wrong: gradient boosting uses trees, not dot products or gradient descent on weights.</t>
  </si>
  <si>
    <t xml:space="preserve">Correctness (claimed back-references)</t>
  </si>
  <si>
    <t xml:space="preserve">Keep only true rows: 35 (log loss / probability thinking; vectorised arithmetic), 36 (framing, split, pipeline, leakage), 37 (tuned model, bias–variance choice), 39 (calibration, cost-based break-even, SHAP), 42 (ranking a fixed-length list, precision@k), 43 (the decision to stay with boosting), 30 (experiment to test calls). Mark 38, 40, 41 as "not needed for this question — and that's normal: a capstone uses what the question needs". Optionally add a Ch 38 stretch goal (segment the smaller high-risk accounts for the email campaign).</t>
  </si>
  <si>
    <t xml:space="preserve">44.18</t>
  </si>
  <si>
    <t xml:space="preserve">"Where this leads": "business metrics that connect a model's output to money (Chapter 45)… deploying and monitoring models… (Chapter 52)"; "Part V moves from single models…"</t>
  </si>
  <si>
    <t xml:space="preserve">Broken cross-references. Ch 45 is *Data Ingestion &amp; Integration*; Ch 52 is *The Cloud, Containers &amp; Infrastructure as Code*; deployment and monitoring of models is Ch 56 (MLOps, Part VI). Ch 30 is Part III (earlier), not part of "Part V". Business metrics are Ch 23.</t>
  </si>
  <si>
    <t xml:space="preserve">Polish (cross-ref) / Flow</t>
  </si>
  <si>
    <t xml:space="preserve">Rewrite: "This chapter closes Part IV. Part V (Ch 45–52) builds the data systems that would feed this model fresh accounts every month: ingestion (45), pipelines and scheduling (46), data quality (47). Part VI takes the model itself into production: MLOps, deployment and drift monitoring (Ch 56). Whether a retention call actually works is an experiment, the Ch 30 test the memo recommends."</t>
  </si>
  <si>
    <t xml:space="preserve">44.19</t>
  </si>
  <si>
    <t xml:space="preserve">§44.4 "Then look at block D's output"; §44.6 "In block F's loop"</t>
  </si>
  <si>
    <t xml:space="preserve">Code blocks are not labelled A–F anywhere in the chapter.</t>
  </si>
  <si>
    <t xml:space="preserve">Label the blocks ("Block A — refit" … "Block F — capacity sweep") as captions, or replace with "§44.5's output" / "the loop just above".</t>
  </si>
  <si>
    <t xml:space="preserve">44.20</t>
  </si>
  <si>
    <t xml:space="preserve">§44.3 "Reading the output… multiply this across 1,000 accounts and Riverstone has just over ₹3 million"</t>
  </si>
  <si>
    <t xml:space="preserve">"Multiply" is wrong (it's a sum), and the 1,000 are the validation 20% only. Across all 5,000 accounts the figure would be roughly 5× larger.</t>
  </si>
  <si>
    <t xml:space="preserve">"Add this up across the 1,000 validation accounts and it's just over ₹3 million of expected margin at risk; these are 20% of Riverstone's accounts, so the whole book is roughly five times that."</t>
  </si>
  <si>
    <t xml:space="preserve">44.21</t>
  </si>
  <si>
    <t xml:space="preserve">§44.6 "doubling the team's capacity from 40 to 80 calls roughly captures more value"</t>
  </si>
  <si>
    <t xml:space="preserve">Garbled sentence.</t>
  </si>
  <si>
    <t xml:space="preserve">"Doubling capacity from 40 to 80 calls captures more value (₹1.52M vs ₹1.16M), about 31% more, not twice as much, because…". Add the per-call figures: the first 20 calls average ₹43,091 each; calls 21–40 average ₹14,711; calls 41–80 average ₹9,080. That makes diminishing returns concrete and links to break-even (44.1).</t>
  </si>
  <si>
    <t xml:space="preserve">44.22</t>
  </si>
  <si>
    <t xml:space="preserve">§44.3 valid[["account_id", …]].head(3).to_string(index=False) output "80400.0 0.058636 707.153017"</t>
  </si>
  <si>
    <t xml:space="preserve">Unformatted floats (six decimals, ".0" on rupees). Previous chapters format money as ₹ with commas.</t>
  </si>
  <si>
    <t xml:space="preserve">Format the output (.round({"p_churn": 3, "value_at_risk": 0})), or print an f-string table. Check one row by hand in the text: 0.0586 × 80,400 × 0.15 = ₹707.</t>
  </si>
  <si>
    <t xml:space="preserve">44.23</t>
  </si>
  <si>
    <t xml:space="preserve">Ex 2 "Rebuild the call list with MARGIN set to 0.25"</t>
  </si>
  <si>
    <t xml:space="preserve">The function doesn't read MARGIN; the reader must pass margin=0.25. Changing the constant silently does nothing.</t>
  </si>
  <si>
    <t xml:space="preserve">Reword: "Call build_call_list(accounts, margin=0.25)…". Once break-even is added (44.1), note that margin *does* change who clears break-even even though it doesn't change the ranking, which makes a better exercise.</t>
  </si>
  <si>
    <t xml:space="preserve">44.24</t>
  </si>
  <si>
    <t xml:space="preserve">Recap / Common mistakes "No cost or capacity constraint — A list of thousands, useless to a team with 40 hours"</t>
  </si>
  <si>
    <t xml:space="preserve">"40 hours" vs "40 calls". Each call is costed at ~1.5–2 rep-hours in Ch 39's terms.</t>
  </si>
  <si>
    <t xml:space="preserve">"…useless to a team that can make 40 calls".</t>
  </si>
  <si>
    <t xml:space="preserve">44.25</t>
  </si>
  <si>
    <t xml:space="preserve">§44.7 "overclaiming this book has argued against since Chapter 1"</t>
  </si>
  <si>
    <t xml:space="preserve">Ch 1 discusses honest summaries (line ~318), but "since Chapter 1" is a loose claim; the explicit anti-overclaiming thread is Ch 22/30/31/39.</t>
  </si>
  <si>
    <t xml:space="preserve">"…the kind of overclaiming Chapters 22, 30 and 39 warned against".</t>
  </si>
  <si>
    <t xml:space="preserve">44.26</t>
  </si>
  <si>
    <t xml:space="preserve">Ex 3 answer "13 of the top 40… would actually lose Riverstone money if called"</t>
  </si>
  <si>
    <t xml:space="preserve">That's only true if a call either saves the whole margin or costs ₹15,000 for nothing. With a realistic save rate (44.4), many more would fail.</t>
  </si>
  <si>
    <t xml:space="preserve">"…would not pay for the call even if every call saved the account; with a realistic save rate the number is higher."</t>
  </si>
  <si>
    <t xml:space="preserve">V44.1</t>
  </si>
  <si>
    <t xml:space="preserve">p. 12 · Model memo (44.7)</t>
  </si>
  <si>
    <t xml:space="preserve">The header runs on as one bold line: "To: Anita Rao, Sales Head From: Analytics Re: February 2026 retention call list". Readers are meant to copy this format. This is the same defect as V27.9.</t>
  </si>
  <si>
    <t xml:space="preserve">Put To / From / Re (and Date) on separate lines.</t>
  </si>
  <si>
    <t xml:space="preserve">V44.2</t>
  </si>
  <si>
    <t xml:space="preserve">p. 7 · 44.4 opener</t>
  </si>
  <si>
    <t xml:space="preserve">The heading plus one line ("With only 40 calls available, which 40 accounts?") end the page at 72%, and the code is on p. 8.</t>
  </si>
  <si>
    <t xml:space="preserve">Keep the heading with the code, or let the preceding content flow.</t>
  </si>
  <si>
    <t xml:space="preserve">V44.3</t>
  </si>
  <si>
    <t xml:space="preserve">p. 8 · 44.5 opener</t>
  </si>
  <si>
    <t xml:space="preserve">The heading plus "Chapter 39 taught SHAP for exactly this:" end the page at 73%, and the code is on p. 9.</t>
  </si>
  <si>
    <t xml:space="preserve">V44.4</t>
  </si>
  <si>
    <t xml:space="preserve">p. 10 · "How it works, line by line:"</t>
  </si>
  <si>
    <t xml:space="preserve">The label is stranded at the page foot, and its bullets are on p. 11.</t>
  </si>
  <si>
    <t xml:space="preserve">V44.5</t>
  </si>
  <si>
    <t xml:space="preserve">p. 16 · Answers, exercise 3</t>
  </si>
  <si>
    <t xml:space="preserve">"3." is stranded at the page foot, and its code is on p. 17.</t>
  </si>
  <si>
    <t xml:space="preserve">V44.6</t>
  </si>
  <si>
    <t xml:space="preserve">The subtitle is truncated mid-list: "…can miss most of the value · wrap a…". There is also a badge, "Approved chapter · v1", and "21 September 2026". The title breaks as "End-to-" / "End", and "Chapter 44" has no full stop.</t>
  </si>
  <si>
    <t xml:space="preserve">Write a complete cover subtitle, or let it wrap to fit. Remove the badge and date, and avoid the hyphen break in the title.</t>
  </si>
  <si>
    <t xml:space="preserve">V44.7</t>
  </si>
  <si>
    <t xml:space="preserve">V44.8</t>
  </si>
  <si>
    <t xml:space="preserve">p. 7 · "Setting" table (CALL_COST / MARGIN)</t>
  </si>
  <si>
    <t xml:space="preserve">The numeric "Value used here" column (1,200; 0.15 (15%)) is left-aligned.</t>
  </si>
  <si>
    <t xml:space="preserve">Right-align the values.</t>
  </si>
  <si>
    <t xml:space="preserve">V44.9</t>
  </si>
  <si>
    <t xml:space="preserve">p. 14 · "You've got it when…"</t>
  </si>
  <si>
    <t xml:space="preserve">The heading and one checkbox sit at the page foot, and the other four items are on p. 15.</t>
  </si>
  <si>
    <t xml:space="preserve">Keep at least 2 items with the heading, or move it.</t>
  </si>
  <si>
    <t xml:space="preserve">V44.10</t>
  </si>
  <si>
    <t xml:space="preserve">p. 7, 9, 11, 12, 15–17 · ₹ in prose</t>
  </si>
  <si>
    <t xml:space="preserve">Fallback glyph from DejaVu Serif / Serif-Bold.</t>
  </si>
  <si>
    <t xml:space="preserve">Use a body font with ₹, or map ₹ to a matched font.</t>
  </si>
  <si>
    <t xml:space="preserve">45.1</t>
  </si>
  <si>
    <t xml:space="preserve">§45.5 "Chapter 2 introduced hashes: short fingerprints… Chapter 2 also said pipelines use them"</t>
  </si>
  <si>
    <t xml:space="preserve">Hashing move (approved fix 2.11). Ch 2 now keeps only three sentences and one truncated example. It no longer names SHA-256, shows full hashes, or explains MD5, passwords or checksums. §45.5 still assumes all of that ("MD5… isn't safe for security, which Chapter 2 explained"), and Ch 2 never mentioned MD5 at all.</t>
  </si>
  <si>
    <t xml:space="preserve">Insert a new first subsection at the top of §45.5, before "Row hashes", titled "What a hash is" (about 1.5 pages). Content, in order. (a) The plain idea, from Ch 2: "a fixed-length fingerprint of any data; same data → same fingerprint; the smallest change → a completely different one". Point back: "Chapter 2 showed two payment lines with different fingerprints; here is how they were made." (b) Cell 1: import hashlib / text = "Pay Rs 14,700 to Riverstone Supplies" / print(hashlib.sha256(text.encode("utf-8")).hexdigest()) → f4251ff3fb7191f7e79677f3b1871db06c0935c3cc08164496995f1f909f6f71 (verified). Explain each part: .encode("utf-8") turns text into bytes (Ch 2's bytes), because hashes work on bytes; sha256() is the algorithm; .hexdigest() gives 64 hexadecimal characters (256 bits, 4 bits per character). (c) Cell 2: the same for "Pay Rs 17,400…" → 9d2f842c50110e140abd578e7e8460d1f6f2bbca7eba341ce1e5bee43566d0fa (verified), plus the first string run again to show it is identical. (d) Cell 3: hash one word and a 1 MB string to show the length is always 64. (e) A four-property box: deterministic, fixed length, avalanche (a tiny change changes everything), one-way (you can't recover the text). Collisions are possible in theory but not something you will meet with SHA-256. (f) "Where hashes are used" (Ch 2's list, expanded): checking downloads against a published checksum (for example, the SHA-256 listed next to the Python installer); checking a backup matches the original (Ch 2 exercise 9); passwords. Say plainly that real systems store a *slow, salted* password hash (bcrypt, Argon2), never plain SHA-256 or MD5 (Ch 64). Then pipelines: rows and files, the rest of this section. (g) An "MD5 vs SHA-256" two-row table: MD5, 32 hex characters, fast, broken for security (collisions can be manufactured), fine for change detection; SHA-256, 64 characters, use it for anything security-related. Then change "which Chapter 2 explained" to "as the box above explains". Also: add "SHA-256 · MD5 · checksum · hexdigest" to Key terms. Add a Recap bullet ("A hash is a fixed-length fingerprint…"). Add "You can compute a SHA-256 fingerprint in Python and explain why a one-character change alters all of it" to You've got it. Add warm-up exercise 3a: "Hash Pay Rs 14,700 to Riverstone Supplies with and without a trailing space. How many characters of the two fingerprints match?" Change the prerequisite line to "Chapter 2 (formats, the idea of a file fingerprint, and APIs)". Add "compute and use SHA-256 and MD5 fingerprints" to Chapter at a glance.</t>
  </si>
  <si>
    <t xml:space="preserve">45.2</t>
  </si>
  <si>
    <t xml:space="preserve">Tools box "Install with pip install psycopg2-binary duckdb requests"</t>
  </si>
  <si>
    <t xml:space="preserve">The install appears only at the end of the chapter. §45.2 says "Start Python in the companion/ch45 folder" but never says: where the companion folder comes from, to activate the Ch 17 venv, that the code is a Jupyter notebook (state is shared across blocks: wh, rows, new_rows), or how to check the install worked. psycopg2 and DuckDB have never been installed before.</t>
  </si>
  <si>
    <t xml:space="preserve">Open §45.2 with numbered steps. 1. Download/unzip the companion folder to …/riverstone/companion/ch45. 2. In the terminal (Ch 26 §26.0): cd there and activate your Ch 17 venv. 3. pip install psycopg2-binary==2.9.13 duckdb==1.5.5 requests (requests is already there from Ch 18). 4. Check: python -c "import psycopg2, duckdb; print(duckdb.__version__)" → 1.5.5. 5. Open a new notebook ch45.ipynb in that folder (Ch 17) and run each block below as its own cell, top to bottom, without restarting. Explain psycopg2-binary in one line: "the PostgreSQL driver, pre-built so nothing needs compiling". Keep the Tools box as a summary.</t>
  </si>
  <si>
    <t xml:space="preserve">45.3</t>
  </si>
  <si>
    <t xml:space="preserve">§45.2 SRC = "dbname=riverstone_source" vs Tools "set the environment variable RIVERSTONE_SOURCE"</t>
  </si>
  <si>
    <t xml:space="preserve">These contradict each other: the code never reads RIVERSTONE_SOURCE. The text says to edit the string and the Tools box says to set a variable. The connection-string format (key=value pairs) is never explained. On Windows the default install needs a password, so most readers must change it.</t>
  </si>
  <si>
    <t xml:space="preserve">Code: SRC = os.environ.get("RIVERSTONE_SOURCE", "dbname=riverstone_source"). Explain: "a PostgreSQL connection string is space-separated key=value pairs: dbname, user, password, host, port. Missing keys use defaults (your login name, localhost, 5432)." Show setting it with export (§26.0) or in the .env from Ch 18, and never in the notebook. Say whether reset() reads the same variable.</t>
  </si>
  <si>
    <t xml:space="preserve">45.4</t>
  </si>
  <si>
    <t xml:space="preserve">§45.2 "Change detection in section 45.5 needs one PostgreSQL setting: wal_level = logical"</t>
  </si>
  <si>
    <t xml:space="preserve">Wrong section. wal_level is needed for CDC, which is §45.6. §45.5 is hashes.</t>
  </si>
  <si>
    <t xml:space="preserve">"Change data capture in section 45.6 needs one PostgreSQL setting…"</t>
  </si>
  <si>
    <t xml:space="preserve">45.5</t>
  </si>
  <si>
    <t xml:space="preserve">§45.2 setup block import os, hashlib, time, json … reset()</t>
  </si>
  <si>
    <t xml:space="preserve">json is never used. reset() quietly needs three things: permission to create databases, no other session connected to riverstone_2025 (an open DBeaver tab makes CREATE DATABASE … TEMPLATE fail with "source database is being accessed by other users"), and a warehouse/ folder. "How it works" explains only reset() and duckdb.connect.</t>
  </si>
  <si>
    <t xml:space="preserve">Remove json. Add a sentence to How it works: "reset() copies riverstone_2025 with CREATE DATABASE … TEMPLATE. Close DBeaver (or any tab connected to riverstone_2025) first, or PostgreSQL refuses the copy. It also creates warehouse/, exports/ and the practice files." Add one line per import: what each library is for.</t>
  </si>
  <si>
    <t xml:space="preserve">45.6</t>
  </si>
  <si>
    <t xml:space="preserve">§45.3 with conn, conn.cursor() as cur: … cols = [d[0] for d in cur.description]</t>
  </si>
  <si>
    <t xml:space="preserve">This is the book's first use of psycopg2. Ch 18 connected with SQLAlchemy. The block brings in five new things at once: connect, a cursor, a double context manager, fetchall(), and cur.description. Later, dict(fetch_rows(…)[1]) builds a dict from 2-tuples without comment. psycopg2 uses %s placeholders and DuckDB uses ?, and the difference is never stated.</t>
  </si>
  <si>
    <t xml:space="preserve">Before fetch_rows, add a 4-line cell with output: conn = psycopg2.connect(SRC); cur = conn.cursor(); cur.execute("SELECT COUNT(*) FROM orders"); print(cur.fetchone()) → (175,). Explain connection vs cursor ("the line to the database vs the pen you write queries with"), and that a row comes back as a tuple. Then show fetch_rows and explain: with conn commits on success and rolls back on error but does not close, hence conn.close(); cur.description is one entry per column, and d[0] is its name. At the first dict(...[1]): "rows like ('Delivered', 171) become dictionary entries: status → count". Add a two-row box: psycopg2 %s, DuckDB ?.</t>
  </si>
  <si>
    <t xml:space="preserve">45.7</t>
  </si>
  <si>
    <t xml:space="preserve">§45.4 reconciliation loop for s in sorted(src_status):</t>
  </si>
  <si>
    <t xml:space="preserve">Bug. The loop only visits statuses present in the source. After day 1 the source has no 'Shipped' order but the warehouse still has one (10175), so that mismatch is never printed. The text says "three status counts don't" match; in fact four differ (Shipped: source 0, warehouse 1). A check that can't see warehouse-only values is exactly the silent failure the chapter warns about.</t>
  </si>
  <si>
    <t xml:space="preserve">Change both §45.3 and §45.4 loops to for s in sorted(set(src_status) \ | set(wh_status)): and use src_status.get(s, 0) on the source side too. The corrected §45.4 output adds Shipped    source=  0 warehouse=  1 &lt;-- differs. Reword: "four status counts don't". Add to How it works: "loop over statuses from *both* sides, or a status that exists only in the warehouse is invisible".</t>
  </si>
  <si>
    <t xml:space="preserve">45.8</t>
  </si>
  <si>
    <t xml:space="preserve">§45.4 WHERE order_id &gt; {watermark}; §45.5 WHERE order_id IN ({ids})</t>
  </si>
  <si>
    <t xml:space="preserve">Values are pasted into SQL with f-strings a page after §45.3 teaches that placeholders "avoid quoting mistakes and SQL injection". A beginner copies the pattern.</t>
  </si>
  <si>
    <t xml:space="preserve">Give fetch_rows a params=None argument (cur.execute(sql, params)). Use WHERE order_id &gt; %s with (watermark,) and WHERE order_id = ANY(%s) with (changed,). Explain ANY(%s): psycopg2 turns a Python list into a PostgreSQL array. (Ch 46 already uses a params version, 46.4.)</t>
  </si>
  <si>
    <t xml:space="preserve">45.9</t>
  </si>
  <si>
    <t xml:space="preserve">§45.4 "it keeps a watermark: a stored value marking how far the previous load got"</t>
  </si>
  <si>
    <t xml:space="preserve">Watermark, incremental load and the missed update are defined in words and then shown at full scale. There is no tiny by-hand example first, and the author's rule is idea → by hand → tool. Figure 45.2 comes *after* the code.</t>
  </si>
  <si>
    <t xml:space="preserve">Before apply_day(1), add a hand example with two small tables. Day 1 warehouse: ids 1–4 (3 = Pending). Day 2 source: id 5 new, id 3 now Cancelled. Ask "the watermark is 4; which rows does id &gt; 4 read?", answer "only 5", and "what does the warehouse now say about 3?", answer "Pending: wrong". Then move Figure 45.2 above the code as the picture of what is about to happen. Reuse the same 5 rows at the start of §45.5: compute the hash by hand for row 3 before and after ("3\ | Pending" vs "3\ | Cancelled" → different fingerprints).</t>
  </si>
  <si>
    <t xml:space="preserve">45.10</t>
  </si>
  <si>
    <t xml:space="preserve">§45.5 "An upsert inserts a row if its key is new… A load that can be run twice… is idempotent"</t>
  </si>
  <si>
    <t xml:space="preserve">Both are presented as new. Upsert was taught in Ch 12 (Step 7, ON CONFLICT … DO UPDATE, EXCLUDED) and idempotency in Ch 18 and Ch 20 (run key). DuckDB's INSERT OR REPLACE replaces the whole row, while Ch 12's form updates chosen columns. Nobody says so.</t>
  </si>
  <si>
    <t xml:space="preserve">"You wrote an upsert in Chapter 12 (ON CONFLICT … DO UPDATE). DuckDB also accepts that form; its shorthand INSERT OR REPLACE replaces the whole row, which is what a raw copy wants." Show the long form once for raw.orders: INSERT INTO raw.orders VALUES (?, ?, ?, ?, ?) ON CONFLICT (order_id) DO UPDATE SET status = EXCLUDED.status, …. For idempotency: "Chapter 20 made the Flash email idempotent with a run key; here is the same property for a table load."</t>
  </si>
  <si>
    <t xml:space="preserve">45.11</t>
  </si>
  <si>
    <t xml:space="preserve">§45.5 print("plain INSERT, second run:", str(e).splitlines()[0][:80]) → "…primary key constrain"</t>
  </si>
  <si>
    <t xml:space="preserve">The [:80] cuts the message mid-word, so the printed output looks broken (reproduced exactly with DuckDB 1.5.5). splitlines()[0] and the slice are two unexplained operations inside a print.</t>
  </si>
  <si>
    <t xml:space="preserve">Use print("plain INSERT, second run:", e). The full output is Constraint Error: Duplicate key "order_id: 10176" violates primary key constraint. Explain except duckdb.ConstraintException as e: catch only this kind of error, and name it e.</t>
  </si>
  <si>
    <t xml:space="preserve">45.12</t>
  </si>
  <si>
    <t xml:space="preserve">§45.5 md5(concat_ws('\</t>
  </si>
  <si>
    <t xml:space="preserve">', order_id, customer_id, order_date, status, sales_rep_id)) | concat_ws skips NULLs in both PostgreSQL and DuckDB (verified: concat_ws('\ | ', 1, NULL, 3) → 1\ | 3). Two rows that differ only in which nullable column is NULL can produce the same string. A value changing between NULL and '' is also invisible. The PostgreSQL side also depends on the DateStyle setting (default ISO).</t>
  </si>
  <si>
    <t xml:space="preserve">Add to How it works: "concat_ws skips NULLs, so wrap nullable columns: coalesce(sales_rep_id::text, '∅') on both sides." Update both queries. Add a line: "PostgreSQL writes the date in its DateStyle (ISO by default: 2025-12-21); strftime makes DuckDB write the same." Add a Common-mistakes row: "NULLs dropped from the hash string → a change to or from NULL goes unnoticed".</t>
  </si>
  <si>
    <t xml:space="preserve">45.13</t>
  </si>
  <si>
    <t xml:space="preserve">§45.6 "Both methods agree" repeats the whole hash comparison</t>
  </si>
  <si>
    <t xml:space="preserve">The 10-line hash block is copied verbatim.</t>
  </si>
  <si>
    <t xml:space="preserve">Line-by-line (load)</t>
  </si>
  <si>
    <t xml:space="preserve">In §45.5 wrap it as def compare_hashes(): … return inserted, deleted, changed and explain it once. In §45.6 call print(compare_hashes()). The project and Ch 46's sync_table then have a named function to point back to.</t>
  </si>
  <si>
    <t xml:space="preserve">45.14</t>
  </si>
  <si>
    <t xml:space="preserve">§45.5 sha256 VARCHAR PRIMARY KEY … should_load() inserts into file_log before loading</t>
  </si>
  <si>
    <t xml:space="preserve">Two design bugs. (1) The primary key on the hash alone makes the very next Watch-out (identical files for two different days) impossible to handle: the second day's row would violate the key. (2) should_load() records the file as loaded *before* anything is loaded. If the load then fails, every later run skips the file as "already loaded" and the data is lost silently.</t>
  </si>
  <si>
    <t xml:space="preserve">Split into already_loaded(path, loaded_for) (read only) and record_loaded(path, digest, loaded_for, rows), called after a successful load. Key the table on (sha256, loaded_for), and add rows_loaded INTEGER and loaded_at TIMESTAMP. Update the Watch-out to point at the composite key: "that's why the key includes the date". Show two cells: first run → load (then record), second run → skip.</t>
  </si>
  <si>
    <t xml:space="preserve">45.15</t>
  </si>
  <si>
    <t xml:space="preserve">§45.5 for chunk in iter(lambda: f.read(65536), b""):</t>
  </si>
  <si>
    <t xml:space="preserve">Four new ideas in one line: two-argument iter with a sentinel, lambda, a bytes literal b"", and binary mode "rb". None is explained except "64 KB chunks".</t>
  </si>
  <si>
    <t xml:space="preserve">Show the small-file version first: with open(path, "rb") as f: h.update(f.read()), explaining "rb" (read bytes, not text, so nothing is changed by decoding). Then the chunked form as a plain loop: while True: chunk = f.read(65536) / if not chunk: break / h.update(chunk). Explain that 65,536 bytes = 64 KB and that update can be called many times and gives the same result as hashing everything at once.</t>
  </si>
  <si>
    <t xml:space="preserve">45.16</t>
  </si>
  <si>
    <t xml:space="preserve">§45.6 "in psql, run SHOW config_file; … Set wal_level = logical… Restart PostgreSQL"</t>
  </si>
  <si>
    <t xml:space="preserve">psql has never been taught (Ch 12 uses DBeaver). Editing a file under Program Files or /etc needs admin rights. The restart isn't shown for any OS. Creating a slot needs the REPLICATION attribute or superuser. A first-timer is stuck at this step.</t>
  </si>
  <si>
    <t xml:space="preserve">Replace with: "In DBeaver's SQL editor (or psql), run ALTER SYSTEM SET wal_level = logical; (this writes postgresql.auto.conf for you), then restart. Windows: Services app → postgresql-x64-16 → Restart. macOS (Homebrew): brew services restart postgresql@16; Postgres.app: Stop/Start. Linux: sudo systemctl restart postgresql. Check with SHOW wal_level; → logical." Add: "Your local postgres user is a superuser, so it can create slots; on a company server, slots need a user with REPLICATION."</t>
  </si>
  <si>
    <t xml:space="preserve">45.17</t>
  </si>
  <si>
    <t xml:space="preserve">§45.6 conn = psycopg2.connect(SRC); conn.autocommit = True … for (line,) in cur.fetchall():</t>
  </si>
  <si>
    <t xml:space="preserve">Unexplained: two statements joined by ;, autocommit, one-element tuple unpacking (line,), and startswith. autocommit is essential, not incidental. Without it psycopg2 opens a transaction that is never committed, so pg_logical_slot_get_changes doesn't advance the bookmark and the "changes waiting: 0" result would not reproduce.</t>
  </si>
  <si>
    <t xml:space="preserve">Put the two statements on separate lines. Explain: "autocommit = True makes each statement permanent immediately. Reading from a slot moves its bookmark only when committed, and slot creation refuses to run inside an open transaction that has written." Explain (line,): "each row is a one-item tuple; this unpacks the item". Name the connection cdc_conn so it doesn't shadow other names.</t>
  </si>
  <si>
    <t xml:space="preserve">45.18</t>
  </si>
  <si>
    <t xml:space="preserve">§45.6 output table public.orders: UPDATE: order_id[integer]:10176 …</t>
  </si>
  <si>
    <t xml:space="preserve">The test_decoding format isn't read for the reader. There's no word on what DELETE lines look like: with default replica identity, only the key. That matters because the chapter's selling point is "CDC sees deletes".</t>
  </si>
  <si>
    <t xml:space="preserve">Add a two-line "Reading a change line" note: table &lt;schema&gt;.&lt;table&gt;: &lt;INSERT\ | UPDATE\ | DELETE&gt;: column[type]:value …. "An UPDATE carries the new row; a DELETE carries only the primary key (for example DELETE: order_id[integer]:10150), which is all you need to delete it from the warehouse."</t>
  </si>
  <si>
    <t xml:space="preserve">45.19</t>
  </si>
  <si>
    <t xml:space="preserve">§45.6 "Monitor slot lag (Chapter 47)"; Where this leads "Chapter 47… slot-lag alerts"</t>
  </si>
  <si>
    <t xml:space="preserve">Ch 47 has no slot, replication or WAL content (checked). The promise is broken twice.</t>
  </si>
  <si>
    <t xml:space="preserve">Either ask the Ch 47 author to add a slot-lag freshness check, or teach it here and drop the Ch 47 promise. Add a cell: SELECT slot_name, active, pg_size_pretty(pg_wal_lsn_diff(pg_current_wal_lsn(), confirmed_flush_lsn)) AS behind FROM pg_replication_slots; with its output, plus "alert when behind grows day after day". Change both references to match.</t>
  </si>
  <si>
    <t xml:space="preserve">45.20</t>
  </si>
  <si>
    <t xml:space="preserve">§45.7 "DuckDB handled the byte-order mark, the day-first dates, the quoted commas…"</t>
  </si>
  <si>
    <t xml:space="preserve">Misleading. Every date in the file is 02-01-2026, which is ambiguous. DuckDB 1.5.5 simply prefers day-first when it can't tell (verified: 03-01-2026 → 3 January). A US-format file would be read wrong with no error. The chapter's own Common-mistakes row ("2 January loaded as 1 February") depends on the reader knowing this.</t>
  </si>
  <si>
    <t xml:space="preserve">Rewrite: "DuckDB handled the byte-order mark, the quoted commas and the blank line. For the dates it *guessed* day-first. It had no way to know, because 02-01-2026 fits both orders. It happened to be right for an Indian file; a file from a US system would have been silently wrong." Keep the rest.</t>
  </si>
  <si>
    <t xml:space="preserve">45.21</t>
  </si>
  <si>
    <t xml:space="preserve">§45.7 CREATE OR REPLACE TABLE raw.dispatch AS SELECT * FROM read_csv(…)</t>
  </si>
  <si>
    <t xml:space="preserve">This contradicts Figure 45.1 ("Raw: as it arrived, plus file and load date") and checklist step 3 ("plus the file name and load date on every row"). The raw table has neither. CREATE OR REPLACE also throws away every earlier day's dispatches, so raw doesn't keep history.</t>
  </si>
  <si>
    <t xml:space="preserve">Create raw.dispatch once, with the declared columns plus source_file VARCHAR, loaded_at TIMESTAMP. Load each file with DELETE FROM raw.dispatch WHERE source_file = ? then INSERT INTO raw.dispatch SELECT *, current_timestamp FROM read_csv(…, filename = true) (DuckDB's filename = true adds the file path as a column). Explain filename = true and why delete-by-file makes a reload idempotent (link to §45.5).</t>
  </si>
  <si>
    <t xml:space="preserve">45.22</t>
  </si>
  <si>
    <t xml:space="preserve">§45.7 with open(…, encoding="utf-8-sig") as f: data_lines = [l for l in …splitlines()[1:] if l.strip()]</t>
  </si>
  <si>
    <t xml:space="preserve">utf-8-sig is the fix for the BOM trap just described but goes unmentioned. l is easily misread as 1. splitlines()[1:] (skip the header) and strip() (ignore blank lines) are unexplained.</t>
  </si>
  <si>
    <t xml:space="preserve">Rename l to line. Add three bullets: utf-8-sig = read UTF-8 and drop the invisible BOM if present; [1:] = everything after the header line; if line.strip() = skip lines that are empty or only spaces (the trailing blank line).</t>
  </si>
  <si>
    <t xml:space="preserve">45.23</t>
  </si>
  <si>
    <t xml:space="preserve">§45.7 "Chapter 2 introduced Parquet… Chapter 2 measured the opposite result on large files"</t>
  </si>
  <si>
    <t xml:space="preserve">The approved Ch 2 cut moves the format timing table and compression detail to Ch 49. Ch 2 will no longer have measured anything, and Ch 49 comes later.</t>
  </si>
  <si>
    <t xml:space="preserve">Sequence (knock-on of Ch 2 fix)</t>
  </si>
  <si>
    <t xml:space="preserve">"Chapter 2 introduced Parquet… Chapter 49 measures large files, where Parquet is far smaller and faster than CSV." Keep "don't expect it to shrink a tiny file".</t>
  </si>
  <si>
    <t xml:space="preserve">45.24</t>
  </si>
  <si>
    <t xml:space="preserve">§45.8 "A load that matched columns by position would still run, and would put remarks values…"</t>
  </si>
  <si>
    <t xml:space="preserve">Wrong for this file. In dispatch_id,order_id,dispatch_date,warehouse,units,remarks,vehicle_no, units sits exactly where qty_units was, so a positional load would put the quantities in the right place. The file has 7 columns against 6 declared, and DuckDB's read_csv(columns=…) stops with "Error when sniffing file… not possible to automatically detect the CSV parsing dialect" (verified).</t>
  </si>
  <si>
    <t xml:space="preserve">Rewrite: "Matching by position happens to work *today*, because units sits where qty_units was. The extra seventh column makes DuckDB's declared-columns read stop with a confusing sniffing error, not a clear message. And the next time someone inserts a column before units, a positional load would put remarks where quantities belong. Matching by name finds no qty_units at all. The column check turns all of these into one clear message, before loading."</t>
  </si>
  <si>
    <t xml:space="preserve">45.25</t>
  </si>
  <si>
    <t xml:space="preserve">§45.9 if resp.status_code == 429:; checklist "Retry 429, 503, and timeouts with increasing waits"; Recap "retries for 429 and 503 only"</t>
  </si>
  <si>
    <t xml:space="preserve">The code retries only 429, with no backoff. A timeout or connection error raises immediately. The prose rule, the checklist, the Recap ("429 and 503 only") and answer 2 ("500 is borderline… and timeouts") all say different things.</t>
  </si>
  <si>
    <t xml:space="preserve">Either extend the §45.9 code (retry status_code in (429, 503) and except (requests.Timeout, requests.ConnectionError), wait Retry-After or 2  (attempt-1)), or say explicitly "this first version retries only 429; exercise 8 adds 503, timeouts and backoff". Make one rule and use it everywhere: "Retry 429, 503 and timeouts/connection errors (500: at most once or twice); fail fast on other 4xx." Fix the Recap wording ("…retries only for temporary failures: 429, 503, timeouts").</t>
  </si>
  <si>
    <t xml:space="preserve">45.26</t>
  </si>
  <si>
    <t xml:space="preserve">§45.9 checklist "fail fast on 4xx errors"; mistakes table "fail fast on 4xx"</t>
  </si>
  <si>
    <t xml:space="preserve">429 is itself a 4xx code, so the rule contradicts itself.</t>
  </si>
  <si>
    <t xml:space="preserve">Correctness (wording)</t>
  </si>
  <si>
    <t xml:space="preserve">"fail fast on other 4xx errors (400, 401, 403, 404)".</t>
  </si>
  <si>
    <t xml:space="preserve">45.27</t>
  </si>
  <si>
    <t xml:space="preserve">§45.9 resp = requests.get(BASE, params={"page": 1})</t>
  </si>
  <si>
    <t xml:space="preserve">No timeout=, right after "timeout=10 stops it waiting forever" and the checklist "Always set timeouts".</t>
  </si>
  <si>
    <t xml:space="preserve">Add timeout=10.</t>
  </si>
  <si>
    <t xml:space="preserve">45.28</t>
  </si>
  <si>
    <t xml:space="preserve">§45.9 HEADERS = {"Authorization": "Bearer practice-token-45"}</t>
  </si>
  <si>
    <t xml:space="preserve">The token is written into code in the block directly under "Real tokens are secrets: never write them into code". Ch 18 taught .env files.</t>
  </si>
  <si>
    <t xml:space="preserve">TOKEN = os.environ.get("CRM_API_TOKEN", "practice-token-45")  # practice default only; HEADERS = {"Authorization": f"Bearer {TOKEN}"}. Explain "Bearer": the standard word saying "the holder of this token". Point to Ch 18's .env.</t>
  </si>
  <si>
    <t xml:space="preserve">45.29</t>
  </si>
  <si>
    <t xml:space="preserve">§45.9 src_count = fetch_rows("SELECT COUNT(*) FROM leads")[1][0][0]; server.shutdown(); conn.close()</t>
  </si>
  <si>
    <t xml:space="preserve">Triple indexing isn't explained. conn here silently refers to the §45.6 CDC connection.</t>
  </si>
  <si>
    <t xml:space="preserve">cols, rows = fetch_rows(…); src_count = rows[0][0]  # first row, first column. Split the shutdown line in two and say which connection is being closed (the CDC one, renamed per 45.17).</t>
  </si>
  <si>
    <t xml:space="preserve">45.30</t>
  </si>
  <si>
    <t xml:space="preserve">§45.9 wait = int(resp.headers.get("Retry-After", "1"))</t>
  </si>
  <si>
    <t xml:space="preserve">Retry-After may also be an HTTP date, and int() would crash on it. It's fine for the mock.</t>
  </si>
  <si>
    <t xml:space="preserve">Correctness (edge)</t>
  </si>
  <si>
    <t xml:space="preserve">Add a sentence: "Some APIs send Retry-After as a date instead of seconds; production code handles both (the tenacity package does this for you)."</t>
  </si>
  <si>
    <t xml:space="preserve">45.31</t>
  </si>
  <si>
    <t xml:space="preserve">Where this leads "data engineering and ingestion questions appear in Chapter 72"</t>
  </si>
  <si>
    <t xml:space="preserve">Ch 72 is the Python &amp; pandas question bank and has no ingestion content (checked). The data engineering bank is Ch 77 (CDC, updated-at, ingestion questions); webhook and API idempotency are in Ch 78.</t>
  </si>
  <si>
    <t xml:space="preserve">"Part VIII: ingestion and system design questions appear in Chapter 77, and API/webhook integration questions in Chapter 78." Add to the sequence map's cross-reference table.</t>
  </si>
  <si>
    <t xml:space="preserve">45.32</t>
  </si>
  <si>
    <t xml:space="preserve">45.33</t>
  </si>
  <si>
    <t xml:space="preserve">Answer 12 "Suppose there are 45 leads, sorted by lead_id… if the API sorts by newest first"</t>
  </si>
  <si>
    <t xml:space="preserve">Muddled. It says 45 leads, but the practice API has 43. It says "sorted by lead_id", then "newest first". It describes a *duplicate* when the exercise asks for a *skip*. Then it says a "sort where the new record comes first makes you skip", which is the same case it just showed gives a duplicate.</t>
  </si>
  <si>
    <t xml:space="preserve">Rewrite: "43 leads, newest first, 20 per page. You read page 1 (positions 1–20). Before page 2, a lead is deleted or merged from positions 1–20. Everything after it moves up one, so the lead that was 21 is now 20, and page 2 (positions 21–40) never returns it: skipped. (A new lead arriving at position 1 does the opposite: old 20 becomes 21 and is read twice.) Fixes: (1) cursor pagination, or a stable filter lead_id &gt; last_seen_id in lead_id order; (2) de-duplicate on lead_id and reconcile against the API's total, re-reading if it doesn't match."</t>
  </si>
  <si>
    <t xml:space="preserve">45.34</t>
  </si>
  <si>
    <t xml:space="preserve">Answer 1(d) "Incremental by timestamp on entered_at"</t>
  </si>
  <si>
    <t xml:space="preserve">entered_at appears nowhere else. The exercise only says "a row with a timestamp".</t>
  </si>
  <si>
    <t xml:space="preserve">"…on the stage-change timestamp column (in Riverstone's CRM, changed_at)", using the real column name from riverstone_2025's lead stage table.</t>
  </si>
  <si>
    <t xml:space="preserve">45.35</t>
  </si>
  <si>
    <t xml:space="preserve">Answer 8 max_attempts=5 … "waits… are 1, 2, 4, 8, and 16 seconds"</t>
  </si>
  <si>
    <t xml:space="preserve">The exercise asks for 1, 2, 4, 8. With 5 attempts the code sleeps 16 s after the final failure and then gives up anyway, which is wasted time.</t>
  </si>
  <si>
    <t xml:space="preserve">Keep max_attempts=4, or add if attempt == max_attempts: break before sleeping. Say "waits 1, 2, 4 s between the four attempts".</t>
  </si>
  <si>
    <t xml:space="preserve">45.36</t>
  </si>
  <si>
    <t xml:space="preserve">Story: "eleven open orders for Hotel Sai Palace… It found 214 orders"</t>
  </si>
  <si>
    <t xml:space="preserve">The practice database has 175 orders from 24 key accounts, with 1 Pending order. 214 mismatched orders and eleven open orders for one hotel only make sense for the full-size ERP (riverstone_full: 46,356 orders in 2025, Ch 16). The reader isn't told which. "Hotel Sai Palace" doesn't appear in earlier chapters.</t>
  </si>
  <si>
    <t xml:space="preserve">Add "(the real ERP, which takes about 3,800 orders a month, not the 175-order practice copy)". Use a customer the reader already knows from Ch 10–13, or introduce Hotel Sai Palace in a clause.</t>
  </si>
  <si>
    <t xml:space="preserve">45.37</t>
  </si>
  <si>
    <t xml:space="preserve">§45.9 "Chapter 29 built a reusable API client with the same retry and pagination logic"</t>
  </si>
  <si>
    <t xml:space="preserve">The reader wonders why they're rewriting it.</t>
  </si>
  <si>
    <t xml:space="preserve">Add: "We write it out again here so every line is visible; in your project, reuse Chapter 29's CrmClient, pointing it at port 8045."</t>
  </si>
  <si>
    <t xml:space="preserve">45.38</t>
  </si>
  <si>
    <t xml:space="preserve">§45.2 "DuckDB is an analytical database that runs inside your Python process"</t>
  </si>
  <si>
    <t xml:space="preserve">This is DuckDB's first real use (Ch 18 only mentioned it). Its Python API is never explained: execute() returns a result, .fetchone() and .fetchall() give tuples, and executemany takes a list of tuples.</t>
  </si>
  <si>
    <t xml:space="preserve">After the setup cell, add a 3-call demo cell: wh.execute("SELECT 1 + 1").fetchone() → (2,); wh.execute("SELECT 42 AS x, 'a' AS y").fetchall() → [(42, 'a')]; wh.execute("SELECT ?::INTEGER * 2", [21]).fetchone() → (42,). One line each: the result comes back as tuples; ? marks a value you pass separately.</t>
  </si>
  <si>
    <t xml:space="preserve">45.39</t>
  </si>
  <si>
    <t xml:space="preserve">§45.7 strptime(dispatch_date, '%d-%m-%Y')::DATE</t>
  </si>
  <si>
    <t xml:space="preserve">The :: cast was taught in Ch 28 as PostgreSQL syntax. Nothing says DuckDB accepts it, or that strptime returns a timestamp (hence the cast).</t>
  </si>
  <si>
    <t xml:space="preserve">"strptime returns a date *and time* (midnight); ::DATE keeps only the date. :: is the cast shorthand from Chapter 28; DuckDB accepts it too."</t>
  </si>
  <si>
    <t xml:space="preserve">V45.1</t>
  </si>
  <si>
    <t xml:space="preserve">p. 5 · Figure 45.1 (sources → ingestion → warehouse)</t>
  </si>
  <si>
    <t xml:space="preserve">Box sub-labels are 5.7 pt and the red "difficulty" lines 5.7 pt, which is too small for print. The five source boxes and the three layer boxes take about 75% of the width.</t>
  </si>
  <si>
    <t xml:space="preserve">Redraw at 7 pt minimum; the layout has room if the fan-in lines are shortened.</t>
  </si>
  <si>
    <t xml:space="preserve">V45.2</t>
  </si>
  <si>
    <t xml:space="preserve">p. 10 · Figure 45.2 (ID-watermark misses updates)</t>
  </si>
  <si>
    <t xml:space="preserve">Text is 5.8–6.5 pt. The READ and NOT READ bands differ mainly by green versus red tint and label colour, so in greyscale or for colour-blind readers only the dashed line separates them. The grey footnote inside the figure is 5.8 pt at low contrast.</t>
  </si>
  <si>
    <t xml:space="preserve">Enlarge to 7 pt or more. Add a pattern/hatch or ✓/✗ marks to the bands, and drop or enlarge the grey footnote (the caption already says it).</t>
  </si>
  <si>
    <t xml:space="preserve">V45.3</t>
  </si>
  <si>
    <t xml:space="preserve">p. 14 · Figure 45.3 (four load strategies)</t>
  </si>
  <si>
    <t xml:space="preserve">This is a table drawn as a figure. It is 6.0–6.2 pt, smaller than the book's 8.3 pt tables. "Yes" and "No" and the good/bad cells are encoded only by green versus red text. It has a black header, while every other table in the book has a blue header.</t>
  </si>
  <si>
    <t xml:space="preserve">Set it as a normal table (8.3 pt, blue header), and add ✓/✗ or bold/italic so meaning survives without colour.</t>
  </si>
  <si>
    <t xml:space="preserve">V45.4</t>
  </si>
  <si>
    <t xml:space="preserve">p. 19 · Figure 45.4 (reliable file load, 6 steps)</t>
  </si>
  <si>
    <t xml:space="preserve">Text is 5.5–6.0 pt. "delimiter, header, types" runs into the right border of box 2, and "Records = rows loaded" touches box 5.</t>
  </si>
  <si>
    <t xml:space="preserve">Use 3 × 2 boxes at 7 pt or more, and size the boxes to their text.</t>
  </si>
  <si>
    <t xml:space="preserve">V45.5</t>
  </si>
  <si>
    <t xml:space="preserve">p. 4 · 45.1 opener</t>
  </si>
  <si>
    <t xml:space="preserve">The heading and a 2-line lead-in end the page at 64%, and Figure 45.1 moves whole to p. 5 (36% blank).</t>
  </si>
  <si>
    <t xml:space="preserve">Let the figure float, or pull the "Two terms…" text back.</t>
  </si>
  <si>
    <t xml:space="preserve">V45.6</t>
  </si>
  <si>
    <t xml:space="preserve">p. 9 · Before Figure 45.2</t>
  </si>
  <si>
    <t xml:space="preserve">The page ends at 63% after "Reading it", and Figure 45.2 moves to p. 10.</t>
  </si>
  <si>
    <t xml:space="preserve">Float the figure, or place it before the Reading-it paragraph.</t>
  </si>
  <si>
    <t xml:space="preserve">V45.7</t>
  </si>
  <si>
    <t xml:space="preserve">p. 6, 8, 11, 12, 13, 14, 15, 17, 18, 20, 22, 23, 32 · Code blocks</t>
  </si>
  <si>
    <t xml:space="preserve">Long lines wrap back to column 0 with no continuation marker, e.g. "sales_rep_id))", "!= / wh_hashes[k])", "ORDER BY / order_id\").fetchall())", "loaded_for])", "{attempt})\")". This breaks the visual indentation of SQL-in-Python.</t>
  </si>
  <si>
    <t xml:space="preserve">Hard-wrap the code to the block width (about 95 chars at 7.9 pt) with proper indentation, or add a ↩ marker and hanging indent.</t>
  </si>
  <si>
    <t xml:space="preserve">V45.8</t>
  </si>
  <si>
    <t xml:space="preserve">p. 16 · "What an automatic reader does"</t>
  </si>
  <si>
    <t xml:space="preserve">The h3 and its one-line lead-in ("…DuckDB's read_csv is good at it:") end the page, and the code is on p. 17.</t>
  </si>
  <si>
    <t xml:space="preserve">V45.9</t>
  </si>
  <si>
    <t xml:space="preserve">Shows "Draft chapter", "16 September 2026" and "Every output from a real run". The Part IV covers in this batch read "Approved chapter · v1" and "21 September 2026".</t>
  </si>
  <si>
    <t xml:space="preserve">Remove the badge and date for print, and use one label scheme book-wide.</t>
  </si>
  <si>
    <t xml:space="preserve">V45.10</t>
  </si>
  <si>
    <t xml:space="preserve">V45.11</t>
  </si>
  <si>
    <t xml:space="preserve">p. 21 · 45.9 opener</t>
  </si>
  <si>
    <t xml:space="preserve">The page ends at 74% after the section intro, and the retry code moves to p. 22.</t>
  </si>
  <si>
    <t xml:space="preserve">V45.12</t>
  </si>
  <si>
    <t xml:space="preserve">p. 25→26 · Common mistakes table</t>
  </si>
  <si>
    <t xml:space="preserve">The table splits 4 rows / 11 rows across pages; the header is repeated, which is good.</t>
  </si>
  <si>
    <t xml:space="preserve">Start the table on p. 26 if the space allows.</t>
  </si>
  <si>
    <t xml:space="preserve">V45.13</t>
  </si>
  <si>
    <t xml:space="preserve">p. 17, 18 · read_csv / DESCRIBE output</t>
  </si>
  <si>
    <t xml:space="preserve">Python tuple output wraps mid-tuple to column 0 (e.g. "('D-/ 2603', …").</t>
  </si>
  <si>
    <t xml:space="preserve">Print one row per line with a small loop.</t>
  </si>
  <si>
    <t xml:space="preserve">46.1</t>
  </si>
  <si>
    <t xml:space="preserve">§46.5 late-correction block ends api.shutdown(); §46.6 output "run succeeded: False"</t>
  </si>
  <si>
    <t xml:space="preserve">The mock CRM API is stopped at the end of §46.5, and every later run needs it. (a) §46.6 retry demo: the output shows only "connection dropped (attempt 1)" and "run succeeded: False", yet the prose says "the second attempt loaded all 43 leads. The run succeeded". (b) §46.7 bad morning: the log has no raw_crm_leads line and the alert lists 'raw_crm_leads' under Failed steps, yet the prose says "raw_crm_leads succeeded". (c) Fix-and-rerun: "run succeeded: False" with no raw_crm_leads line, while the prose implies all is well. I verified with Dagster 1.13.23 that RetryPolicy retries do work inside dg.materialize (a test asset failed on attempt 1 and ran on attempt 2), so the cause is the shutdown, not Dagster.</t>
  </si>
  <si>
    <t xml:space="preserve">Move api.shutdown() to the end of §46.7, after the final re-run, and regenerate the outputs. Expected: §46.6 → [2026-01-02] raw_crm_leads: connection dropped (attempt 1) / [2026-01-02] raw_crm_leads: 43 leads (attempt 2) / run succeeded: True. §46.7 bad morning → add [2026-01-05] raw_crm_leads: 43 leads (attempt 1); Failed steps ['daily_flash_flash_matches_erp', 'raw_dispatch']. Fix-and-rerun → add the crm line and run succeeded: True. Add a check to the author's build: every "Reading it" claim must match its printed output.</t>
  </si>
  <si>
    <t xml:space="preserve">46.2</t>
  </si>
  <si>
    <t xml:space="preserve">§46.3 "Install Dagster with pip install dagster"; Tools "dagster dev -f yourfile.py opens the local web interface"</t>
  </si>
  <si>
    <t xml:space="preserve">Orchestrator installation is one clause, with no venv and no version. pip install dagster (1.13.23) installs only dagster, dagster-pipes and dagster-shared. dagster-webserver is not included (verified), so dagster dev fails. Nothing tells the reader how to check the install worked.</t>
  </si>
  <si>
    <t xml:space="preserve">Add a "Setting up" step list before the first code. 1. Activate the Ch 45 venv (Ch 17 §17.0). 2. pip install dagster==1.13.23 dagster-webserver==1.13.23. 3. Check: dagster --version → dagster, version 1.13.23. 4. Open a new notebook ch46.ipynb in companion/ch46 (or restart the Ch 45 kernel first: a notebook still holding riverstone_wh.duckdb open blocks reset()). One line each on what the two packages are: the library you write pipelines with, and the local web page that shows them. Say Dagster works on Windows, macOS and Linux. Update the Tools box to the same two-package command.</t>
  </si>
  <si>
    <t xml:space="preserve">46.3</t>
  </si>
  <si>
    <t xml:space="preserve">§46.3 "save the definitions in a file and run dagster dev -f yourfile.py"; Project step 11</t>
  </si>
  <si>
    <t xml:space="preserve">This can't work with the chapter's code as written. Imported by dagster dev, the file would: run reset() (wiping the warehouse and outbox); run start_server() (port 8045 already taken by the notebook); open riverstone_wh.duckdb, which the notebook process already holds (DuckDB allows only one writing process); and depend on module globals (wh, RUN_LOG, CRASH) that don't carry across the separate processes dagster dev runs steps in. Schedules are also created stopped (verified: default_status = STOPPED), and the text never says to turn one on. Project step 11 depends on all of this.</t>
  </si>
  <si>
    <t xml:space="preserve">Add a subsection "Running it in Dagster's web interface" with a complete riverstone_pipeline.py (≈50 lines). No reset/start_server at import time. A helper def warehouse(): return duckdb.connect("warehouse/riverstone_wh.duckdb") called *inside* each asset (and closed), or a dg.ConfigurableResource. The same assets, check, job and schedule; defs = dg.Definitions(...) at the bottom. Steps: shut down the notebook kernel → dagster dev -f riverstone_pipeline.py → open http://127.0.0.1:3000 → Assets → Materialize → pick partition 2026-01-02 → Schedules → toggle daily_flash_job_schedule on (or pass default_status=dg.DefaultScheduleStatus.RUNNING). Include one screenshot of the asset graph. Explain that dagster dev runs a web server and the daemon that fires schedules and sensors.</t>
  </si>
  <si>
    <t xml:space="preserve">46.4</t>
  </si>
  <si>
    <t xml:space="preserve">§46.3 "ingest.py: The Chapter 45 loads packaged as functions: sync_table()…"; later ingest.BROKEN_ITEMS_SYNC, ingest.CONFIRMED_RENAMES, ingest.fetch_rows(sql, [day])[0], ingest.psycopg2</t>
  </si>
  <si>
    <t xml:space="preserve">Every asset calls code the reader never sees. sync_table returns (new, changed, deleted) by some method. load_dispatch returns "5 rows", raises ValueError on a schema change, and uses a renames map. fetch_rows now takes params and returns *rows only*: Ch 45's version returned (cols, rows), so with it [0] would unpack the column names. Two module-level switches appear without introduction in §46.7. Re-running raw_dispatch prints "5 rows" again, not the Ch 45 "skip: same content", so it's unclear whether file hashing is used.</t>
  </si>
  <si>
    <t xml:space="preserve">Show ingest.py in §46.3 (≈60 lines, or at least fetch_rows, sync_table, load_dispatch), headed "your Chapter 45 project, tidied into functions", with a short walkthrough. State the changed signature: "fetch_rows(sql, params=None) now returns just the rows". Introduce BROKEN_ITEMS_SYNC and CONFIRMED_RENAMES there ("two switches this chapter flips to simulate faults and fixes"). Say whether load_dispatch replaces the day's rows (idempotent) or skips by file hash, and make its message say which.</t>
  </si>
  <si>
    <t xml:space="preserve">46.5</t>
  </si>
  <si>
    <t xml:space="preserve">§46.3 "creates a schedule that runs the job every day at 6:30 for the day's partition"; Figure 46.1 "one daily partition per run (e.g. 2026-01-05)"</t>
  </si>
  <si>
    <t xml:space="preserve">build_schedule_from_partitioned_job on daily partitions builds the last complete day. Verified: a tick at 06:30 IST on 3 Jan 2026 requests partition 2026-01-02. That is correct for a Flash about yesterday, but the text says "the day's partition". §46.3's "It's 2 January… run the whole pipeline for that day's partition" reinforces the wrong model. §46.8 presents Airflow's "logical date is the start of the interval" as a surprise peculiar to Airflow, when Dagster's schedule does the same.</t>
  </si>
  <si>
    <t xml:space="preserve">Rewrite: "…runs every day at 6:30 IST and builds yesterday's partition, the last complete day: the 6:30 run on 3 January builds 2 January." Figure 46.1: "the 6:30 run on 6 Jan builds partition 2026-01-05". In §46.3's first run, change to "It's the morning of 3 January; build 2 January" (or keep manual runs but say that manual runs can target any day). In §46.8's Watch-out add: "Dagster's partitioned schedule behaves the same way; Airflow just names it differently."</t>
  </si>
  <si>
    <t xml:space="preserve">46.6</t>
  </si>
  <si>
    <t xml:space="preserve">§46.3 "Every step uses [context.partition_key] instead of reading the clock"; §46.5 "Keep days independent… gives every backfilled day today's numbers"</t>
  </si>
  <si>
    <t xml:space="preserve">raw_orders, raw_order_items and raw_crm_leads are partitioned but ignore the partition key. They sync the *current* state of the whole table (the key only appears in the log message). This contradicts both sentences, and a backfill re-scans the whole ERP once per day (5×), which the chapter itself warns against ("Mind the source"). Readers learn "partition = the slice of data this run processes" and then see partitions that don't slice anything.</t>
  </si>
  <si>
    <t xml:space="preserve">Correctness (concept) / Consistency</t>
  </si>
  <si>
    <t xml:space="preserve">Say it plainly after the ingestion block: "These three ingestion assets always bring the warehouse up to date with the source (hash + upsert); the partition only labels the run. The Flash is truly per-day, because it filters on order_date." Better still, and simpler for the backfill: make the ingestion assets unpartitioned and let the partitioned daily_flash depend on them (Dagster allows this). Explain the choice in two sentences and adjust the backfill (46.7) and exercise 10's answer ("ingestion once, it isn't per-day" already hints at it).</t>
  </si>
  <si>
    <t xml:space="preserve">46.7</t>
  </si>
  <si>
    <t xml:space="preserve">§46.5 "No new files appeared in the outbox: the only two reports are the ones…"; Figure 46.3 "5 Jan 2026 1 · Rs 18,750 sent by daily run"</t>
  </si>
  <si>
    <t xml:space="preserve">The output lists one file (['flash_2026-01-02.txt']) and shows 5 January as 0 orders, ₹0.00. The 5 January business day (apply_day(2)) only happens later, in §46.7. The figure and the prose describe a state the reader never reaches.</t>
  </si>
  <si>
    <t xml:space="preserve">Prose: "…the only report is the one the 2 January daily run delivered." Figure 46.3, 5 Jan box: "0 orders (the ERP's 5 January day hasn't happened yet: §46.7)", and remove "sent by daily run". Or backfill only 1–4 January, where every box is final. Keep the late-correction panel.</t>
  </si>
  <si>
    <t xml:space="preserve">46.8</t>
  </si>
  <si>
    <t xml:space="preserve">§46.5 backfill loop dg.materialize(BACKFILL, …) … RUN_LOG.clear()</t>
  </si>
  <si>
    <t xml:space="preserve">The loop throws away every result and message. On 1, 3 and 4 January there is no dispatch file (and 5 January's is the renamed one), so raw_dispatch almost certainly fails in several runs, and the reader never sees it. That contradicts the chapter's own "never judge a pipeline by whether it finished" discipline.</t>
  </si>
  <si>
    <t xml:space="preserve">for day in …: r = dg.materialize(BACKFILL, partition_key=day, raise_on_error=False); print(day, "ok" if r.success else "FAILED") and show the output. Then either explain the expected raw_dispatch failures ("no dispatches on a holiday or weekend: load_dispatch should record 'no file' instead of failing"), or exclude raw_dispatch from BACKFILL (it isn't needed to rebuild the Flash).</t>
  </si>
  <si>
    <t xml:space="preserve">46.9</t>
  </si>
  <si>
    <t xml:space="preserve">§46.4 build_flash_safely: crash raised after both DELETE and INSERT</t>
  </si>
  <si>
    <t xml:space="preserve">The test doesn't prove the transaction matters. With the crash placed after both statements, re-running delete-then-insert gives one row whether or not a transaction was used. The danger the transaction guards against is a crash *between* DELETE and INSERT (the day's row gone), and the table is never inspected before the retry.</t>
  </si>
  <si>
    <t xml:space="preserve">Correctness (test design)</t>
  </si>
  <si>
    <t xml:space="preserve">Move if crash: raise … between the DELETE and the INSERT. After the crashed call, print the day's row count before retrying: with the transaction it is 1 (rolled back, old row intact). Add a no-transaction variant build_flash_no_txn showing 0 rows after the crash, the "empty day" a dashboard would show at 6:31. Then retry and show 1 row, ₹38,710.00. Keep Figure 46.2 but label its safe path "worker lost between DELETE and INSERT".</t>
  </si>
  <si>
    <t xml:space="preserve">46.10</t>
  </si>
  <si>
    <t xml:space="preserve">§46.3 "The ingestion assets" block (4 assets, partitions, retry policy, flaky switch)</t>
  </si>
  <si>
    <t xml:space="preserve">About ten new ideas in one block: DailyPartitionsDefinition, a decorator with arguments, the context parameter, partition_key, group_name, retry_policy, retry_number, a dict used as a mutable flag, try/except with a bare raise, and module calls. The explanation skips the bare raise, why a dict and not a variable, why the parameter must be called context, and the decorator itself (Ch 29 review 29.4 adds a decorator primer).</t>
  </si>
  <si>
    <t xml:space="preserve">Split into four cells, each run with dg.materialize and its output. (1) One unpartitioned asset, @dg.asset def raw_orders(): …, plus dg.materialize([raw_orders]); recap decorators: "@dg.asset hands the function to Dagster, which runs it and records the result". (2) Add daily partitions and context.partition_key; run for 2026-01-02. (3) Add raw_order_items and raw_dispatch; explain bare raise: "log it, then re-raise the same error so Dagster marks the step failed". (4) raw_crm_leads with RetryPolicy; explain CRM_FLAKY ("a dict, so the function can change it without global").</t>
  </si>
  <si>
    <t xml:space="preserve">46.11</t>
  </si>
  <si>
    <t xml:space="preserve">§46.3 "INSERT INTO mart.daily_flash SELECT DATE '" + day + "', * FROM (" + FLASH_SQL.format(…, day="?") + ")"</t>
  </si>
  <si>
    <t xml:space="preserve">Three string techniques in one expression: concatenation, str.format with table names, and a ? placeholder. The date is pasted in by hand, one chapter after Ch 45 taught placeholders. The same query becomes day="%s" for psycopg2 in the check, with no explanation of why the placeholder changes. deliver_flash adds any(…) over a generator, log(…); return on one line, a conditional expression for the file name, and os.path.join.</t>
  </si>
  <si>
    <t xml:space="preserve">Use "INSERT INTO mart.daily_flash SELECT CAST(? AS DATE), * FROM (" + FLASH_SQL.format(orders="raw.orders", items="raw.order_items", day="?") + ")" with [day, day]. Explain: ".format fills in *table names* (which placeholders can't do); the ? values are passed separately; psycopg2 spells the placeholder %s, hence day="%s" in the check." Split deliver_flash into two cells, (a) build the body and hash, (b) log check, write, record, with one line per statement. Put return on its own line.</t>
  </si>
  <si>
    <t xml:space="preserve">46.12</t>
  </si>
  <si>
    <t xml:space="preserve">§46.3 revenue_booked DECIMAL(12,2) vs ERP SUM(i.quantity * i.unit_price * (1 - i.discount_pct / 100))</t>
  </si>
  <si>
    <t xml:space="preserve">The check compares a value rounded to 2 decimals (warehouse) with PostgreSQL's exact NUMERIC (ERP). Any discount that produces fractions of a paisa (e.g. 7.5% on ₹333) gives, say, 12345.6789 vs 12345.68, and the check fails on a correct day. It passes here only because the practice lines are round.</t>
  </si>
  <si>
    <t xml:space="preserve">Put ROUND(…, 2) around the revenue expression in FLASH_SQL, so both sides round identically. Add one sentence: "compare numbers the way they'll be reported: rounded to paise on both sides". Ch 45's hash lesson ("both sides must build the value identically") is the same idea; point to it.</t>
  </si>
  <si>
    <t xml:space="preserve">46.13</t>
  </si>
  <si>
    <t xml:space="preserve">§46.3 "excluding cancelled orders: Riverstone's 'bookings' definition from Chapter 3"</t>
  </si>
  <si>
    <t xml:space="preserve">Ch 3 defines bookings as *every order placed, cancelled ones included* ("the cancelled order is in"; bookings − cancelled − pending = billings). Ch 20's Flash also had four numbers, not two.</t>
  </si>
  <si>
    <t xml:space="preserve">"Revenue booked, net of cancellations. Chapter 3's bookings count every order placed; the Flash excludes cancelled ones, as Chapter 20's Flash did." Add: "We keep only two of Chapter 20's numbers so the outputs stay short." Rename the body line "Net bookings (excl. cancelled, net of discounts)".</t>
  </si>
  <si>
    <t xml:space="preserve">46.14</t>
  </si>
  <si>
    <t xml:space="preserve">§46.3 selection=dg.AssetSelection.assets(*ALL[:5], deliver_flash), partitions_def=daily … defs.resolve_asset_graph().get_all_asset_keys()</t>
  </si>
  <si>
    <t xml:space="preserve">Slicing plus * unpacking, with no reason given for skipping ALL[5] (the check). In Dagster 1.13.23, partitions_def= on define_asset_job raises a DeprecationWarning (verified: "Partitioning is inferred from the selected assets"), which the reader will see and the book doesn't show. The print chains three unexplained API calls.</t>
  </si>
  <si>
    <t xml:space="preserve">flash_job = dg.define_asset_job("daily_flash_job", selection=[raw_orders, raw_order_items, raw_dispatch, raw_crm_leads, daily_flash, deliver_flash]), and say: "checks on selected assets come along automatically; the partitions come from the assets". Drop partitions_def. Replace the last print with print("assets :", [a.key.to_user_string() for a in ALL if a is not flash_matches_erp]), or drop it and say "Definitions validates the graph when built". Explain is not: "not the same object".</t>
  </si>
  <si>
    <t xml:space="preserve">46.15</t>
  </si>
  <si>
    <t xml:space="preserve">§46.3 first run output (only RUN_LOG lines)</t>
  </si>
  <si>
    <t xml:space="preserve">dg.materialize also prints dozens of Dagster DEBUG/INFO/ERROR lines (with stack traces on failures) into the notebook, and the reader is never warned. It uses a temporary instance, so run history disappears when Python stops. That contradicts "keeps a record of every run", unless DAGSTER_HOME is set or dagster dev is used.</t>
  </si>
  <si>
    <t xml:space="preserve">After the first run, add: "Below your printed lines you'll also see Dagster's own event log, one line per step event. That is its record of the run, and the book leaves it out. materialize() keeps that record only while Python is running; dagster dev (see 'Running it in Dagster's web interface') stores every run permanently."</t>
  </si>
  <si>
    <t xml:space="preserve">46.16</t>
  </si>
  <si>
    <t xml:space="preserve">§46.1 table "Failure hooks and sensors"; §46.6 "a run failure sensor, which the Dagster daemon checks"</t>
  </si>
  <si>
    <t xml:space="preserve">"Sensor" and "daemon" are never defined in general, and the only sensor isn't executed. The chapter's own motivating problem ("The dispatch file arrives late") is the classic sensor use and is never solved. The requirement to build each new concept from a small example first isn't met for sensors.</t>
  </si>
  <si>
    <t xml:space="preserve">In §46.2 add "Sensors: runs triggered by events", defined as "a small function the orchestrator calls every few minutes; if it finds something (a new file, a finished upstream job), it asks for a run". Define daemon as "the background process that checks schedules and sensors". In §46.6 (or §46.3) add a runnable sensor: @dg.sensor(job=dispatch_job, minimum_interval_seconds=300) def dispatch_file_sensor(context): / for name in sorted(os.listdir("exports")): / if name.startswith("dispatch_"): / yield dg.RunRequest(run_key=name, partition_key=name[9:19]). Evaluate it in the notebook with dg.build_sensor_context() and show the RunRequests. Explain run_key: the same file never triggers twice, which is idempotency again. Then show the failure sensor as a second kind, registered with dg.Definitions(sensors=[…]).</t>
  </si>
  <si>
    <t xml:space="preserve">46.17</t>
  </si>
  <si>
    <t xml:space="preserve">§46.2 "A pipeline is a directed acyclic graph (DAG)…"</t>
  </si>
  <si>
    <t xml:space="preserve">DAG was introduced in Ch 32 (dbt's lineage graph and ref), and the chapter doesn't point back. There is no by-hand example: which orders are valid, and what a cycle looks like. "Partition" also collides with PARTITION BY in Ch 13/28's window functions, and later Ch 48 uses partition in a third sense.</t>
  </si>
  <si>
    <t xml:space="preserve">Add: "You met a DAG in Chapter 32: dbt built models in the order its ref()s implied. Here, draw four boxes (orders, order lines, Flash, deliver) and list a valid run order (orders, lines, Flash, deliver; or lines, orders, Flash, deliver). Now add an arrow deliver → orders: there is no valid order, which is why cycles aren't allowed." One sentence under Partition: "Not the PARTITION BY of Chapter 13's window functions: here a partition is one day's slice of the pipeline's work. (Chapter 48 uses the word for pieces of a large dataset.)"</t>
  </si>
  <si>
    <t xml:space="preserve">46.18</t>
  </si>
  <si>
    <t xml:space="preserve">§46.3 retry_policy=dg.RetryPolicy(max_retries=3, delay=1); §46.6 "retry timeouts and service errors; fail fast on everything else"</t>
  </si>
  <si>
    <t xml:space="preserve">Dagster's RetryPolicy retries every exception: a 401, a missing column, a bug. That goes against the section's own rule and answer 8 ("401 shouldn't be retried at all"). ingest's API function (Ch 45's get_with_retry) already retries 429s, so attempts multiply (up to 4 × 4). Neither point is mentioned.</t>
  </si>
  <si>
    <t xml:space="preserve">Show how to fail fast: in raw_crm_leads, catch the permanent case, except requests.HTTPError as e: if e.response.status_code in (400, 401, 403, 404): raise dg.Failure(description=f"CRM refused: {e}", allow_retries=False). Explain allow_retries=False. Add a line: "retries at two levels multiply: the request retries 429s inside the step, and Dagster retries the step; keep total waiting time bounded". Optionally show backoff=dg.Backoff.EXPONENTIAL.</t>
  </si>
  <si>
    <t xml:space="preserve">46.19</t>
  </si>
  <si>
    <t xml:space="preserve">Before you start "Chapter 45…, Chapter 29…, and Chapter 20"</t>
  </si>
  <si>
    <t xml:space="preserve">Incomplete. The chapter uses transactions (Ch 12), the DAG idea (Ch 32), decorators (Ch 29, with its primer), the terminal for pip and dagster dev (Ch 26 §26.0), venv and Jupyter (Ch 17), and Ch 3's bookings.</t>
  </si>
  <si>
    <t xml:space="preserve">"Chapter 45 (ingestion, hashes, upserts, idempotency; your ingestion project). Chapter 20 (the Daily Sales Flash, cron, run keys). Chapter 29 (packages, decorators, tests). Chapter 32 (dbt's DAG). Chapter 12 (transactions: BEGIN, COMMIT, ROLLBACK). Chapter 26 §26.0 (terminal). Chapter 17 (venv, Jupyter)."</t>
  </si>
  <si>
    <t xml:space="preserve">46.20</t>
  </si>
  <si>
    <t xml:space="preserve">§46.1 "Windows Task Scheduler and Chapter 20's scheduled Apps Script triggers do the same job"</t>
  </si>
  <si>
    <t xml:space="preserve">Apps Script triggers are Ch 19. Ch 20 taught cron and Task Scheduler (and already used a 5-field cron line, 0 7 * * 1-5). The chapter re-introduces cron as if new.</t>
  </si>
  <si>
    <t xml:space="preserve">"The simplest scheduler is cron, which you used in Chapter 20… Windows Task Scheduler (Chapter 20) and Apps Script's time-driven triggers (Chapter 19) do the same job." In §46.2, "the five fields you met in Chapter 20". Point to Ch 20's time-zone note.</t>
  </si>
  <si>
    <t xml:space="preserve">46.21</t>
  </si>
  <si>
    <t xml:space="preserve">§46.1 30 6 * * * python3 daily_flash.py</t>
  </si>
  <si>
    <t xml:space="preserve">Cron starts in the home folder with a minimal PATH, so this line fails. Ch 20 correctly used cd /opt/riverstone &amp;&amp; ….</t>
  </si>
  <si>
    <t xml:space="preserve">30 6 * * * cd /opt/riverstone &amp;&amp; .venv/bin/python daily_flash.py, plus a clause: "cron starts in your home folder, so give full paths (Chapter 20)".</t>
  </si>
  <si>
    <t xml:space="preserve">46.22</t>
  </si>
  <si>
    <t xml:space="preserve">§46.5 conn = ingest.psycopg2.connect(ingest.SRC) … WHERE order_item_id = 333</t>
  </si>
  <si>
    <t xml:space="preserve">It reaches into another module's imports (ingest.psycopg2), which is a pattern Ch 29 teaches against. The magic id 333 isn't tied to order 10177.</t>
  </si>
  <si>
    <t xml:space="preserve">Add ingest.run_sql(sql, params) to ingest.py (or import psycopg2 in the notebook). First show SELECT order_item_id, order_id, product_id, quantity, unit_price FROM order_items WHERE order_id = 10177 with its output, then update by that id with a %s placeholder.</t>
  </si>
  <si>
    <t xml:space="preserve">46.23</t>
  </si>
  <si>
    <t xml:space="preserve">§46.8 from airflow.decorators import dag, task … "written for Airflow 2" … airflow dags backfill -s …</t>
  </si>
  <si>
    <t xml:space="preserve">By the book's date (2026), Airflow 3 (released April 2025) is the current major version. It moves the decorators to airflow.sdk and replaces airflow dags backfill with airflow backfill create --dag-id … --from-date … --to-date …. Readers following the job-market advice ("most often named in job descriptions") will install 3.x and hit different commands.</t>
  </si>
  <si>
    <t xml:space="preserve">Correctness (currency)</t>
  </si>
  <si>
    <t xml:space="preserve">Either update the block to Airflow 3 (from airflow.sdk import dag, task; backfill command as above; keep schedule=, catchup, ds) and keep a two-row "Airflow 2 spelling" note, or pin explicitly: "Airflow 2.10 (install with the constraints file)". Update the mapping table's Backfill and test rows to match.</t>
  </si>
  <si>
    <t xml:space="preserve">46.24</t>
  </si>
  <si>
    <t xml:space="preserve">§46.8 default_args={"retries": 3, …}; "Here's Riverstone's pipeline written for Airflow"</t>
  </si>
  <si>
    <t xml:space="preserve">The Airflow version retries every task, including build and deliver, which contradicts "add a retry policy to the API step only" (project step 7). It also omits raw_dispatch and raw_crm_leads, yet is called "the same pipeline". There is no install pointer, and Airflow doesn't run natively on Windows (it needs WSL2 or Docker), which matters for the stretch goal "run it with airflow dags test".</t>
  </si>
  <si>
    <t xml:space="preserve">Drop default_args retries; put @task(retries=3, retry_delay=timedelta(seconds=60)) on a raw_crm_leads task and add raw_dispatch/raw_crm_leads tasks with no arrow into build_flash, as in Figure 46.1. In the Simplification note add: "to try it: pip install "apache-airflow==&lt;version&gt;" --constraint &lt;url&gt; then airflow standalone; on Windows, inside WSL2 (Chapter 34) or Docker (Chapter 52)."</t>
  </si>
  <si>
    <t xml:space="preserve">46.25</t>
  </si>
  <si>
    <t xml:space="preserve">§46.7 alert_on_failure: "Next step: compare raw.order_items with the ERP…"</t>
  </si>
  <si>
    <t xml:space="preserve">The next step is hard-coded. For a CRM 401 or a dispatch rename it would give the wrong instruction, which undercuts the chapter's "actionable alert" rule. result.success is also checked after the lists are built.</t>
  </si>
  <si>
    <t xml:space="preserve">Correctness (design)</t>
  </si>
  <si>
    <t xml:space="preserve">Check if result.success: return None first. Build next steps from a small dict, NEXT_STEP = {"flash_matches_erp": "compare raw.order_items with the ERP, fix, re-run the day", "raw_dispatch": "confirm the column change with Bhiwandi Main, add the mapping, re-run", "raw_crm_leads": "check the CRM token/API status"}, and join the entries for what failed. Show the output (two next steps on the bad morning).</t>
  </si>
  <si>
    <t xml:space="preserve">46.26</t>
  </si>
  <si>
    <t xml:space="preserve">§46.5 file name flash_2026-01-02_correction_1.txt; body unchanged</t>
  </si>
  <si>
    <t xml:space="preserve">The correction is labeled only in the file name. The body is identical in form to an original, while the story and the patterns table promise a "CORRECTION" subject and a first line saying what changed.</t>
  </si>
  <si>
    <t xml:space="preserve">When sent is not empty, prefix the body with CORRECTION to the Flash sent earlier for {day}: revenue changed from Rs {old:,.2f} to Rs {rev:,.2f}. (store revenue in delivery_log to get old). Show the corrected output.</t>
  </si>
  <si>
    <t xml:space="preserve">46.27</t>
  </si>
  <si>
    <t xml:space="preserve">§46.4 Try it "Change CRASH["now"] = True to crash before the insert…"</t>
  </si>
  <si>
    <t xml:space="preserve">The instruction is garbled: the thing to change is the position of the if CRASH["now"]: raise lines, not the assignment.</t>
  </si>
  <si>
    <t xml:space="preserve">"Try it. In flash_naive, move the two lines if CRASH["now"]: raise … above the INSERT, reset, and run the test again…"</t>
  </si>
  <si>
    <t xml:space="preserve">46.28</t>
  </si>
  <si>
    <t xml:space="preserve">§46.3 raw_crm_leads CREATE TABLE IF NOT EXISTS raw.crm_leads (lead_id INTEGER PRIMARY KEY, company_name VARCHAR, source VARCHAR)</t>
  </si>
  <si>
    <t xml:space="preserve">This has 3 columns where Ch 45's raw.crm_leads had 7. With an existing Ch 45 warehouse, IF NOT EXISTS keeps the old 7-column table and the 3-value insert fails. It works only because reset() empties the warehouse.</t>
  </si>
  <si>
    <t xml:space="preserve">Reuse the Ch 45 definition (move the DDL into ingest.py), or say "reset() starts from an empty warehouse; this simplified table keeps the outputs short".</t>
  </si>
  <si>
    <t xml:space="preserve">46.29</t>
  </si>
  <si>
    <t xml:space="preserve">§46.6 run failure sensor send_message(…)</t>
  </si>
  <si>
    <t xml:space="preserve">It isn't registered anywhere (it needs sensors=[flash_failure_alert] in Definitions), and send_message doesn't exist. The reader can't tell which part is Dagster and which is theirs.</t>
  </si>
  <si>
    <t xml:space="preserve">Add defs = dg.Definitions(…, sensors=[flash_failure_alert]). Give send_message as a 3-line stub that writes to alerts/, so the sensor can be run under dagster dev (46.3). Keep "needs the daemon".</t>
  </si>
  <si>
    <t xml:space="preserve">46.30</t>
  </si>
  <si>
    <t xml:space="preserve">Where this leads "Chapter 63, Designing Automation &amp; Integration Architecture"</t>
  </si>
  <si>
    <t xml:space="preserve">Ch 63's title is "Automation Architecture &amp; Governance".</t>
  </si>
  <si>
    <t xml:space="preserve">Use the real title.</t>
  </si>
  <si>
    <t xml:space="preserve">46.31</t>
  </si>
  <si>
    <t xml:space="preserve">Story "The first said ₹3,12,400… The second said ₹3,24,900"</t>
  </si>
  <si>
    <t xml:space="preserve">Lakh grouping. The rest of the book, this chapter included (₹38,710, ₹154,840), uses thousands grouping.</t>
  </si>
  <si>
    <t xml:space="preserve">"₹312,400" and "₹324,900".</t>
  </si>
  <si>
    <t xml:space="preserve">46.32</t>
  </si>
  <si>
    <t xml:space="preserve">V46.1</t>
  </si>
  <si>
    <t xml:space="preserve">p. 5 · Figure 46.1 (daily pipeline DAG)</t>
  </si>
  <si>
    <t xml:space="preserve">Box sub-labels ("hash + upsert from ERP", "file, column check") are 5.5 pt, and the note box is 5.7 pt.</t>
  </si>
  <si>
    <t xml:space="preserve">Redraw at 7 pt minimum.</t>
  </si>
  <si>
    <t xml:space="preserve">V46.2</t>
  </si>
  <si>
    <t xml:space="preserve">p. 13 · Figure 46.2 (naive vs safe step)</t>
  </si>
  <si>
    <t xml:space="preserve">Step text is 5.9 pt. The two columns are coded red (naive) versus green (safe), and the outcomes as a red versus a green bar. The column titles say what each is, but the outcome bars rely on colour.</t>
  </si>
  <si>
    <t xml:space="preserve">Enlarge to 7 pt or more, and add ✗ / ✓ to the result bars.</t>
  </si>
  <si>
    <t xml:space="preserve">V46.3</t>
  </si>
  <si>
    <t xml:space="preserve">p. 16 · Figure 46.3 (backfill + late correction)</t>
  </si>
  <si>
    <t xml:space="preserve">Text is 5.4–6.4 pt. The correction arrow stops in empty space below the "2 Jan" envelope label, so it is unclear what it points to. About 40% of the frame is empty.</t>
  </si>
  <si>
    <t xml:space="preserve">Enlarge; run the arrow into the 2 Jan box or its envelope, and tighten the frame.</t>
  </si>
  <si>
    <t xml:space="preserve">V46.4</t>
  </si>
  <si>
    <t xml:space="preserve">p. 19 · Figure 46.4 (checks gate delivery)</t>
  </si>
  <si>
    <t xml:space="preserve">Text is 5.5–6.6 pt, and passed/failed is shown by green versus red arrows (the labels help).</t>
  </si>
  <si>
    <t xml:space="preserve">Enlarge to 7 pt or more.</t>
  </si>
  <si>
    <t xml:space="preserve">V46.5</t>
  </si>
  <si>
    <t xml:space="preserve">p. 8, 11 · Code blocks "The ingestion assets" and "The Flash, its check, and delivery"</t>
  </si>
  <si>
    <t xml:space="preserve">Each is followed by an empty output box (a grey bar with a rule and no text). Readers will assume output is missing.</t>
  </si>
  <si>
    <t xml:space="preserve">Drop the output block when a cell prints nothing, or print a one-line confirmation.</t>
  </si>
  <si>
    <t xml:space="preserve">V46.6</t>
  </si>
  <si>
    <t xml:space="preserve">p. 9 · Page after the ingestion assets</t>
  </si>
  <si>
    <t xml:space="preserve">One bullet ("raw_crm_leads has a retry policy…") sits at the top of a page that is otherwise 88% blank. The next section's 50-line code block starts p. 10.</t>
  </si>
  <si>
    <t xml:space="preserve">Let the long block split, or pull the bullet back to p. 8.</t>
  </si>
  <si>
    <t xml:space="preserve">V46.7</t>
  </si>
  <si>
    <t xml:space="preserve">p. 8, 10, 11, 12, 13, 16, 17, 20, 21 · Code and log output</t>
  </si>
  <si>
    <t xml:space="preserve">Long lines wrap to column 0 with no marker, e.g. "AS / orders_booked,", "(attempt / {context.retry_number + 1})", "warehouse: / orders=2, …". In FLASH_SQL (p. 10) the SELECT list becomes hard to read.</t>
  </si>
  <si>
    <t xml:space="preserve">Hard-wrap to the block width with indentation, or add a continuation marker.</t>
  </si>
  <si>
    <t xml:space="preserve">V46.8</t>
  </si>
  <si>
    <t xml:space="preserve">p. 13 · "A step that isn't idempotent"</t>
  </si>
  <si>
    <t xml:space="preserve">The page ends at 62% after the h3 and 3 lines, and the code moves to p. 14.</t>
  </si>
  <si>
    <t xml:space="preserve">V46.9</t>
  </si>
  <si>
    <t xml:space="preserve">p. 22 · 46.8 opener</t>
  </si>
  <si>
    <t xml:space="preserve">The page ends at 56% after the "What to check" table and a 3-line intro, and the Airflow DAG code is on p. 23.</t>
  </si>
  <si>
    <t xml:space="preserve">Allow the split, or move the intro with the code.</t>
  </si>
  <si>
    <t xml:space="preserve">V46.10</t>
  </si>
  <si>
    <t xml:space="preserve">p. 23→24 · "How it maps to the Dagster version" table</t>
  </si>
  <si>
    <t xml:space="preserve">The table splits with 2 rows (Backfill, Run one day for testing) on p. 24. In those rows the inline commands wrap mid-token: "…-e 2026- / 01-05 daily_flash_pipeline", "…daily_flash_pipeline 2026- / 01-02".</t>
  </si>
  <si>
    <t xml:space="preserve">Keep the table together (9 rows). Make the code cells no-wrap or set the commands as a small code block.</t>
  </si>
  <si>
    <t xml:space="preserve">V46.11</t>
  </si>
  <si>
    <t xml:space="preserve">Shows "Draft chapter", "17 September 2026" and "Every output from a real run".</t>
  </si>
  <si>
    <t xml:space="preserve">Remove for print, and align the label scheme.</t>
  </si>
  <si>
    <t xml:space="preserve">V46.12</t>
  </si>
  <si>
    <t xml:space="preserve">V46.13</t>
  </si>
  <si>
    <t xml:space="preserve">p. 24→25 · "Choosing an orchestrator" table</t>
  </si>
  <si>
    <t xml:space="preserve">It splits 4 rows / 2 rows; the header is repeated.</t>
  </si>
  <si>
    <t xml:space="preserve">Keep together if possible.</t>
  </si>
  <si>
    <t xml:space="preserve">V46.14</t>
  </si>
  <si>
    <t xml:space="preserve">p. 13, 16, 19 · Figures vs prose</t>
  </si>
  <si>
    <t xml:space="preserve">The figures print amounts as "Rs 38,710", while the prose uses "₹38,710.00". The Dialect note (p. 12) explains Rs only for code output.</t>
  </si>
  <si>
    <t xml:space="preserve">Use ₹ in the figures.</t>
  </si>
  <si>
    <t xml:space="preserve">V46.15</t>
  </si>
  <si>
    <t xml:space="preserve">p. 30–31 · Exercises 10–14</t>
  </si>
  <si>
    <t xml:space="preserve">47.1</t>
  </si>
  <si>
    <t xml:space="preserve">§47.5 "its data should be under 24 hours old at 6:30 a.m."</t>
  </si>
  <si>
    <t xml:space="preserve">freshness_check turns a DATE into midnight (datetime.combine(newest, datetime.min.time())). So yesterday's data is 30.5 h old at 6:30 a.m. (the chapter's own output shows raw.orders … 2026-01-05 age: 30.5 h). A 24-hour limit would mark perfectly fresh data STALE every morning. The real-world fix ("fails… if its newest day is more than 24 hours old") and Answer 8(a) ("26 hours") have the same bug.</t>
  </si>
  <si>
    <t xml:space="preserve">Pick one of two fixes and use it everywhere. (A) Measure in business days, not hours, for date-grain tables. Add expected_newest = previous_working_day(now.date()) and status = "PASS" if newest &gt;= expected_newest else "STALE", with a 4-line previous_working_day helper, shown and explained. (B) Keep hours but state the rule: "a DATE column is treated as midnight, so yesterday's data is already 24 + 6.5 = 30.5 h old at 6:30; a limit of 'yesterday must be present' is 30.5 h plus slack, e.g. 32 h." Then fix the prose ("its newest date should be yesterday at 6:30 a.m."), the real-world bullet ("fails if its newest day is older than the previous working day") and Answer 8 (see 47.3). Recommend (A), because it also solves weekends (47.2).</t>
  </si>
  <si>
    <t xml:space="preserve">47.2</t>
  </si>
  <si>
    <t xml:space="preserve">§47.5 "the limit above (48 hours) is deliberately loose to allow for weekends"</t>
  </si>
  <si>
    <t xml:space="preserve">False. 2 Jan 2026 is a Friday and 5 Jan a Monday. On the Monday 6:30 run the newest order_date is Friday: 78.5 h &gt; 48 h → STALE every Monday, and after any holiday.</t>
  </si>
  <si>
    <t xml:space="preserve">Replace with: "A plain hour limit can't handle weekends: on Monday at 6:30 the newest orders are from Friday, 78.5 hours earlier. Either compare with the previous working day (fix 47.1 A), or use 80 h on Mondays and 32 h on other days." Show both numbers worked out: (6 Jan 06:30 − 5 Jan 00:00) = 30.5 h; (5 Jan 06:30 − 2 Jan 00:00) = 78.5 h.</t>
  </si>
  <si>
    <t xml:space="preserve">47.3</t>
  </si>
  <si>
    <t xml:space="preserve">Answer 8 "Assuming Riverstone doesn't dispatch or book orders on Sundays… (a) 26 hours… (b) 12 hours at 8:00 a.m."</t>
  </si>
  <si>
    <t xml:space="preserve">Three contradictions. (1) §47.5's own output shows the two biggest 2025 days were Sundays (16 Nov, 9 Nov; 13 Sep is a Saturday). (2) 26 h fails daily for a date column (yesterday = 30.5 h at 6:30). (3) The checks run at 6:30 in this chapter, not 8:00. Also, a date-based dispatch file from the previous evening is 32 h old at 8:00, not "12 hours".</t>
  </si>
  <si>
    <t xml:space="preserve">Rewrite Answer 8. "Assumption: orders can arrive any day (2025 had big Sunday orders), but the Flash is promised only on working days. (a) raw.orders: on a working-day 6:30 run, newest order_date must be ≥ yesterday (≈ 30.5 h for a date column; use 32 h). (b) raw.dispatch: the file for day D is due at 20:00 on D; at the next 6:30 run, newest file_day must be ≥ D (30.5 h, use 32 h), checked only after working days. (c) raw.crm_leads: must include last Friday by Monday 6:30 (≤ 78.5 h, use 80 h); warn on other days." Keep "any answer is acceptable if the limit comes from a promise".</t>
  </si>
  <si>
    <t xml:space="preserve">47.4</t>
  </si>
  <si>
    <t xml:space="preserve">§47.4 flash_matches_erp: n.revenue_booked &lt;&gt; e.revenue_booked</t>
  </si>
  <si>
    <t xml:space="preserve">audit.daily_flash_new.revenue_booked is DOUBLE. Verified on DuckDB 1.5.5: SUM(quantity * unit_price * (1 - discount_pct / 100)) over DECIMAL inputs returns DOUBLE (/ produces DOUBLE), and the output itself shows 0.0, a float. It is compared exactly with ?::DECIMAL(12,2). Any day with a fractional result (e.g. 3 × ₹1,234.50 at 7.5% off = 3,425.4375) fails the test and blocks publishing, even though the numbers agree. It passes in the book only because the two sample days have round totals. Answer 4's test has the same pattern.</t>
  </si>
  <si>
    <t xml:space="preserve">In build_flash_staging wrap the sum as ROUND(COALESCE(SUM(...), 0), 2)::DECIMAL(12,2) AS revenue_booked. On the ERP side round to 2 dp in the Postgres query (ROUND(..., 2)). Add one "How it works" sentence: "Money is compared at 2 decimal places. Comparing a floating-point sum with &lt;&gt; can fail on a difference of 0.000000001." Optionally use a tolerance (ABS(n.revenue_booked - e.revenue_booked) &gt; 0.005) and explain why. Apply the same to Answer 4. The published output should then read Decimal('38710.00') for both.</t>
  </si>
  <si>
    <t xml:space="preserve">47.5</t>
  </si>
  <si>
    <t xml:space="preserve">§47.4 whole block def build_flash_staging … def publish_flash … AUDIT_TESTS</t>
  </si>
  <si>
    <t xml:space="preserve">One block introduces about eight things. CREATE SCHEMA; CREATE TABLE IF NOT EXISTS with DECIMAL(12,2); CREATE OR REPLACE TABLE … AS built by string concatenation with an f-string; a comma (implicit cross) join FROM a, b; ingest.fetch_rows with psycopg2's %s placeholder next to DuckDB's ? in the same function; a scratch erp_expected table in the default schema; the ?::DECIMAL(12,2) cast; and a manual BEGIN/DELETE/INSERT … SELECT */COMMIT transaction. "How it works" is one paragraph.</t>
  </si>
  <si>
    <t xml:space="preserve">Split into four cells, each with output. (1) build_flash_staging("2026-01-02"), then print(wh.execute("SELECT * FROM audit.daily_flash_new").fetchall()) → [(date(2026,1,2), 2, 38710.0)]. Explain CREATE SCHEMA IF NOT EXISTS, CTAS and "why a separate audit schema". (2) Compute the ERP's answer alone: print(ingest.fetch_rows(...)) → [(2, Decimal('38710.00'))]. Explain that fetch_rows runs a query on the ERP (Ch 45) and that psycopg2 uses %s while DuckDB uses ? ("two libraries, two placeholder styles; both keep values out of the SQL text"). (3) Create erp_expected and run run_tests(AUDIT_TESTS) alone. Explain FROM a, b ("a one-row table next to a one-row table: every combination, here exactly one row") and the :: cast. (4) The publish transaction: explain BEGIN/COMMIT, why DELETE + INSERT (idempotent, as in Ch 46), and replace SELECT * with explicit columns. Also use a parameter instead of the f-string for day in the CTAS (WHERE o.order_date = ?).</t>
  </si>
  <si>
    <t xml:space="preserve">47.6</t>
  </si>
  <si>
    <t xml:space="preserve">§47.4 "Now repeat Chapter 46's 5 January failure" … (never fixed)</t>
  </si>
  <si>
    <t xml:space="preserve">The chapter blocks 5 January but never fixes and republishes it under WAP. Ch 46 showed the fix (BROKEN_ITEMS_SYNC = False, re-run → 1 order, ₹18,750.00). Here ingest.BROKEN_ITEMS_SYNC stays True for every later section, and incident step 4 ("Fix and verify… publish") is never demonstrated. It is also the natural proof that WAP publishes once data is right.</t>
  </si>
  <si>
    <t xml:space="preserve">After the blocked run add a cell: ingest.BROKEN_ITEMS_SYNC = False; ingest.sync_table(wh, "order_items"); build_flash_staging("2026-01-05"); publish_flash("2026-01-05"). Expected output: three PASS lines, PUBLISHED, mart.daily_flash: [(2026-01-02, 2, 38710.00), (2026-01-05, 1, 18750.00)]. Place it either at the end of §47.4 or as the "Fix and verify" demonstration in §47.8. If it goes in §47.8, state at the end of §47.4 that the flag stays on until then, so §47.5–47.9's outputs remain valid.</t>
  </si>
  <si>
    <t xml:space="preserve">47.7</t>
  </si>
  <si>
    <t xml:space="preserve">§47.3 Reading it: "Seven rules, covering five of the six dimensions"</t>
  </si>
  <si>
    <t xml:space="preserve">Wrong count. The seven tests cover uniqueness (1), completeness (2), validity (2) and consistency (2): four dimensions. Accuracy (reconciliation) arrives only in §47.4, and timeliness in §47.5.</t>
  </si>
  <si>
    <t xml:space="preserve">Change to "Seven rules, covering four of the six dimensions: uniqueness, completeness, validity, and consistency. Accuracy (reconciliation with the ERP) comes in section 47.4, and timeliness (freshness) in 47.5." Optionally tag each test's description with its dimension, as already done.</t>
  </si>
  <si>
    <t xml:space="preserve">47.8</t>
  </si>
  <si>
    <t xml:space="preserve">§47.3 def run_tests(tests, show_rows=2): … "a teaching version, in about 15 lines"</t>
  </si>
  <si>
    <t xml:space="preserve">Explanations are too thin for the code. Unexplained: the nested format spec {r['name']:&lt;{width}} and {status:&lt;5}; max(len(r["name"]) for r in results) (a generator); two list comprehensions with a condition; the conditional expression "PASS" if … else …; + (f" e.g. …" if … else ""); rows[:show_rows]; .fetchall(); the module-level wh read inside a function; and the docstring. The two functions are ~20 lines, not 15.</t>
  </si>
  <si>
    <t xml:space="preserve">Expand "How it works, line by line" to one bullet per line group. Cover: wh.execute(sql).fetchall() returns a list of tuples; len(rows) is the failing count; rows[:2] keeps two examples; width = max(...) finds the longest name so the columns line up; :&lt;{width} means "left-align in width characters"; status becomes PASS, ERROR or WARN; the summary counts. Point back to Ch 17/29 for comprehensions and f-strings. Say that wh is the connection from the setup cell (and that passing it in as an argument would be cleaner, Ch 29). Change "about 15 lines" to "about 20 lines".</t>
  </si>
  <si>
    <t xml:space="preserve">47.9</t>
  </si>
  <si>
    <t xml:space="preserve">§47.3 Setup: import os, json / from datetime import datetime, timedelta / import duckdb, dagster as dg</t>
  </si>
  <si>
    <t xml:space="preserve">json, timedelta and dagster as dg are never used in the chapter, and Dagster is not in the Tools list. The cell also does six things at once (reset, connect, apply_day, two syncs, a dispatch load, a three-subquery count). "Start Python in that folder" doesn't say Jupyter (the book's standard since Ch 17).</t>
  </si>
  <si>
    <t xml:space="preserve">Remove the unused imports (import os, from datetime import datetime, import duckdb is enough). Say "Open a Jupyter notebook in companion/ch47/ (Chapter 17), and make sure PostgreSQL is running (Chapter 45)". Split into (1) imports + reset() + connect; (2) apply_day(1) and the loads, with a one-line reminder of what each helper does (point to Ch 45 §/Ch 46 §); (3) the row-count query, with the three scalar subqueries explained ("three COUNTs in one SELECT, each in its own brackets").</t>
  </si>
  <si>
    <t xml:space="preserve">47.10</t>
  </si>
  <si>
    <t xml:space="preserve">§47.3 cur.execute("INSERT INTO order_items VALUES (335, 99999, 101, 12, 430.00, 0.00)")</t>
  </si>
  <si>
    <t xml:space="preserve">Positional VALUES with no column list, so the reader can't tell what 335, 99999, 101, 12, 430.00 and 0.00 are. ingest.psycopg2.connect(ingest.SRC) reaches into another module's imports. If the INSERT raises, which is the point of the cell, conn.close() is skipped (psycopg2's with conn commits or rolls back but does not close).</t>
  </si>
  <si>
    <t xml:space="preserve">Write INSERT INTO order_items (order_item_id, order_id, product_id, quantity, unit_price, discount_pct) VALUES (...) in all three inserts. Import psycopg2 directly (import psycopg2; conn = psycopg2.connect(ingest.SRC)) and explain ingest.SRC (the connection string from Ch 45). Use try: … except … finally: conn.close(), and explain what with conn does in psycopg2 (transaction, not closing). Explain str(e).splitlines()[0] ("keep the first line of the error message").</t>
  </si>
  <si>
    <t xml:space="preserve">47.11</t>
  </si>
  <si>
    <t xml:space="preserve">§47.3 "The same tests as dbt tests" tests: [unique, not_null], accepted_values: values:</t>
  </si>
  <si>
    <t xml:space="preserve">Inconsistent with Ch 32, which teaches the current syntax: data_tests: and generic-test arguments nested under arguments: (Ch 32 lines 548–576). Here the old tests: key and top-level values:/to:/field:/min_value: appear. In dbt 1.10+ these raise deprecation warnings, and a reader copying from Ch 32 will think one of them is wrong.</t>
  </si>
  <si>
    <t xml:space="preserve">Rewrite the YAML in Ch 32's style: data_tests: [unique, not_null]; - accepted_values: → arguments: → values: [...]; - relationships: → arguments: → to: ref('stg_orders'), field: order_id; - dbt_utils.accepted_range: → arguments: → min_value: 1. Add "dbt_utils must be listed in packages.yml and installed with dbt deps (Chapter 32)".</t>
  </si>
  <si>
    <t xml:space="preserve">47.12</t>
  </si>
  <si>
    <t xml:space="preserve">§47.3 "Custom rules … are written as a SQL file… Run them with dbt test"</t>
  </si>
  <si>
    <t xml:space="preserve">The dbt block is never run and no output is shown. The custom (singular) test is described but not shown, though it is the direct counterpart of data_test().</t>
  </si>
  <si>
    <t xml:space="preserve">Add the singular test file tests/assert_orders_have_lines.sql, containing the same SELECT as orders_have_at_least_one_line but using {{ ref('stg_orders') }} and {{ ref('stg_order_items') }}. Then show a trimmed dbt test --select stg_orders stg_order_items output (PASS unique_stg_orders_order_id … Done. PASS=8 WARN=0 ERROR=0). Show severity in dbt: config: {severity: warn}, the counterpart of severity="warn". If the dbt project is not in companion/ch47, label the block "for reference; runs in your Chapter 32 project".</t>
  </si>
  <si>
    <t xml:space="preserve">47.13</t>
  </si>
  <si>
    <t xml:space="preserve">Chapter at a glance: "compare dbt tests, Great Expectations, Soda"; Recap: "Great Expectations, and Soda work this way underneath"</t>
  </si>
  <si>
    <t xml:space="preserve">(1) Ch 14 promises "Chapter 47: data-quality testing in pipelines (dbt tests, Great Expectations)", but GE and Soda appear only as table rows: never installed, never shown. (2) The claim that they "run tests exactly like these" is overstated. dbt generic tests do compile to failing-rows queries, but GE expectations compute metrics (e.g. unexpected_count, unexpected_percent) and return samples, and Soda checks are mostly metric thresholds (row_count &gt; 0, missing_count(customer_id) = 0), with failed-row queries as one option.</t>
  </si>
  <si>
    <t xml:space="preserve">Either (a) add an optional box "The same rule in Great Expectations and Soda", with pip install great_expectations soda-core-duckdb and one check each on raw.orders.status with output, plus a sentence on version churn (GE's 1.x API differs from 0.x). Or (b) change the goal to "know where dbt tests, Great Expectations, Soda, and observability platforms fit", and change Ch 14 line 1535 to "(dbt tests; Great Expectations and Soda are compared)". Either way, reword the §47.3 and Recap claims to: "dbt's tests compile to failing-rows queries like these; Great Expectations and Soda compute counts of failing values and report them, which is the same rule expressed as a metric."</t>
  </si>
  <si>
    <t xml:space="preserve">47.14</t>
  </si>
  <si>
    <t xml:space="preserve">§47.5 freshness_check block</t>
  </si>
  <si>
    <t xml:space="preserve">Not explained line by line: NOW as a fixed clock, f"SELECT MAX({date_column}) FROM {table}" (identifiers pasted into SQL), datetime.combine(newest, datetime.min.time()), the isinstance conditional expression, .total_seconds() / 3600, and the {age_hours:&gt;6.1f} format.</t>
  </si>
  <si>
    <t xml:space="preserve">Add "How it works": one bullet for each of the above. Explain why a fixed NOW makes the output repeatable (in production use datetime.now()), and why table names can't be ? parameters ("parameters are for values, not names; only pass names you control"). Show the midnight conversion with a worked number: 2026-01-05 → 2026-01-05 00:00 → 30.5 h at 6:30 on the 6th. That sets up fix 47.1.</t>
  </si>
  <si>
    <t xml:space="preserve">47.15</t>
  </si>
  <si>
    <t xml:space="preserve">§47.5 freshness_check("raw.dispatch", "file_day", 48)</t>
  </si>
  <si>
    <t xml:space="preserve">The file_day column of raw.dispatch is used here for the first time. Ch 45 and Ch 46 never show or name it (grep finds no file_day in either), so the reader can't know it exists or what it means.</t>
  </si>
  <si>
    <t xml:space="preserve">Before the freshness cell, show print(wh.execute("DESCRIBE raw.dispatch").fetchall()), or say "load_dispatch (Chapter 45) stamps every row with file_day, the date in the file's name". If Ch 45's loader doesn't actually add it, add it there.</t>
  </si>
  <si>
    <t xml:space="preserve">47.16</t>
  </si>
  <si>
    <t xml:space="preserve">§47.5 "the dispatch file hasn't arrived since 2 January"</t>
  </si>
  <si>
    <t xml:space="preserve">Inaccurate. The 5 January file did arrive (§47.7 reads exports/dispatch_2026-01-05.csv; Ch 46 loaded it once the rename was confirmed). raw.dispatch is stale because that file broke the contract and wasn't loaded, which in this chapter's sequence was never attempted.</t>
  </si>
  <si>
    <t xml:space="preserve">Reword: "raw.dispatch hasn't been loaded since 2 January: the 5 January file arrived, but with changed columns (section 47.7), so it wasn't loaded. Freshness catches that too: a load that fails or never runs looks exactly like a file that never came."</t>
  </si>
  <si>
    <t xml:space="preserve">47.17</t>
  </si>
  <si>
    <t xml:space="preserve">§47.5 median = revenues[len(revenues) // 2]; sorted(unusual, key=lambda x: -x[1])</t>
  </si>
  <si>
    <t xml:space="preserve">(1) The index trick gives the true median only for an odd count. It works for 131 days, but for an even count it returns the upper middle value, and this isn't said. (2) The reader already knows SQL and DuckDB, which has MEDIAN(). (3) Tuple unpacking for d, n, rev in daily, lambda, key= with a minus sign for descending, float(rev) (Decimal → float), and "Rs" vs ₹ are unexplained.</t>
  </si>
  <si>
    <t xml:space="preserve">Compute the median in SQL (SELECT MEDIAN(revenue) FROM (…daily…)) or with statistics.median(revenues) (Ch 21), and state the odd/even rule if the index trick stays. Add bullets for the tuple unpacking, the lambda sort ("sort by revenue, largest first"), and why float() is needed. Keep the output (131, 27,442.50, 10 days).</t>
  </si>
  <si>
    <t xml:space="preserve">47.18</t>
  </si>
  <si>
    <t xml:space="preserve">§47.6 "Chapter 46's pipeline already declares its dependencies, so lineage is free"; GRAPH = {…}</t>
  </si>
  <si>
    <t xml:space="preserve">The dict is typed by hand. So lineage is not "free" as shown, and the reader isn't shown how to get it from Dagster. downstream_of (a while loop over a work list, queue.pop() taking from the end, a set to avoid repeats, two statements on one line with ;) is not explained. The "Cause" question (upstream) is promised but not demonstrated.</t>
  </si>
  <si>
    <t xml:space="preserve">(1) Say "Here the graph is copied by hand from Chapter 46's asset definitions. Dagster can list it for you, and its UI draws it." Optionally show the one-liner that reads each asset's dependencies from the Ch 46 definitions. (2) Add a line-by-line explanation of downstream_of: start with the broken asset; repeatedly take one name; find every asset that lists it as a parent; add it once; keep going until nothing new is found. Walk raw_order_items → daily_flash → deliver_flash by hand. (3) Add a 5-line upstream_of(asset) (follow graph[asset] recursively) with output upstream_of("deliver_flash") → ['daily_flash', 'raw_order_items', 'raw_orders'], to answer the "Cause" question.</t>
  </si>
  <si>
    <t xml:space="preserve">47.19</t>
  </si>
  <si>
    <t xml:space="preserve">§47.7 def check_contract(path, contract): compares column names only</t>
  </si>
  <si>
    <t xml:space="preserve">The contract declares types, unique, nullable, a delivery deadline and a date format, but the check only compares column names. The text says contracts are "checked automatically" and the project says "check it in the pipeline", yet most of what was just written is never checked. DESCRIBE SELECT * FROM read_csv(…, all_varchar = true) is also unexplained (why all_varchar, what DESCRIBE returns, r[0]).</t>
  </si>
  <si>
    <t xml:space="preserve">(1) Explain the DESCRIBE line: "read the file's header without trusting its types; DESCRIBE returns one row per column, and r[0] is the name". (2) Extend check_contract in a second cell with three value checks driven by the dict. Not-null: SELECT COUNT(*) FROM read_csv(...) WHERE {col} IS NULL for non-nullable columns. Unique: COUNT(*) - COUNT(DISTINCT dispatch_id). Integer: TRY_CAST(replace(qty_units, ',', '') AS INTEGER) IS NULL AND qty_units IS NOT NULL (Ch 45's own pattern). Show the output on the 2 January file (no violations). (3) Add the delivery-deadline check as a file-arrival time check (os.path.getmtime) or state it is left to the freshness monitor.</t>
  </si>
  <si>
    <t xml:space="preserve">47.20</t>
  </si>
  <si>
    <t xml:space="preserve">§47.9 group_into_one_alert("2026-01-05", run_tests(TESTS), ["raw.dispatch (2 days old)"], …)</t>
  </si>
  <si>
    <t xml:space="preserve">(1) The staleness is typed as text, and "2 days old" contradicts §47.5's 102.5 h (4.3 days) for raw.dispatch. (2) mart.daily_flash, also STALE in §47.5, is left out. (3) The test that actually blocked publication, flash_matches_erp from AUDIT_TESTS, is missing: only TESTS are passed in, so the alert headed "Daily Sales Flash not published" never names the reconciliation failure. (4) Severity: S2 is hard-coded in an f-string with no placeholder.</t>
  </si>
  <si>
    <t xml:space="preserve">Have freshness_check return (table, age_hours, status) and build the stale list from real checks: stale = [f"{t} ({h:.0f} h old)" for t, h, s in checks if s == "STALE"] → "raw.dispatch (102 h old), mart.daily_flash (102 h old)". Pass run_tests(TESTS) + run_tests(AUDIT_TESTS) (or the stored results from §47.4) so flash_matches_erp: 1 failing row(s) appears. Make severity a parameter (severity="S2") and drop the pointless f. Update the printed output to match, and walk through the function line by line (two list comprehensions, "\n".join, returning None when there is nothing to report).</t>
  </si>
  <si>
    <t xml:space="preserve">47.21</t>
  </si>
  <si>
    <t xml:space="preserve">§47.9 alert "Contract violations: missing column…" then rule "Route by owner… belongs to the warehouse team"</t>
  </si>
  <si>
    <t xml:space="preserve">The example groups the warehouse's contract breach into the sales Flash incident sent to the data on-call, which contradicts the rule stated a few lines later. The grouping is right by run, but the routing is not shown.</t>
  </si>
  <si>
    <t xml:space="preserve">Add one sentence after the output: "In practice the contract breach is also routed to its owner, the Bhiwandi Main supervisor, as a separate message. It shares a run with the Flash incident but not a root cause." Or split the function's output into two messages keyed by owner, using DISPATCH_CONTRACT["owner"].</t>
  </si>
  <si>
    <t xml:space="preserve">47.22</t>
  </si>
  <si>
    <t xml:space="preserve">§47.8 S1 "…or a critical output is unavailable" vs S2 "A daily output is late or blocked"</t>
  </si>
  <si>
    <t xml:space="preserve">The definitions overlap. The Flash is Riverstone's critical daily output, so a blocked Flash fits both S1 and S2. Figure 47.2 defines S1 only as "wrong data reached people or systems".</t>
  </si>
  <si>
    <t xml:space="preserve">Remove "or a critical output is unavailable" from S1, or define "critical" ("an output with a legal or financial deadline, e.g. a GST filing extract") and give a separate example, so that 5 January is unambiguously S2 as the alert says.</t>
  </si>
  <si>
    <t xml:space="preserve">47.23</t>
  </si>
  <si>
    <t xml:space="preserve">§47.8 step 5: "the added checks are orders_have_at_least_one_line and a volume check"</t>
  </si>
  <si>
    <t xml:space="preserve">orders_have_at_least_one_line has been in the suite since §47.3, and it is not one of the AUDIT_TESTS that guard publishing. So it cannot be "added" after the incident.</t>
  </si>
  <si>
    <t xml:space="preserve">Reword: "the review adds orders_have_at_least_one_line to the blocking audit before publishing (it existed as a data test but didn't gate the Flash), plus a volume check for 'zero new order lines on a day with new orders'."</t>
  </si>
  <si>
    <t xml:space="preserve">47.24</t>
  </si>
  <si>
    <t xml:space="preserve">§47.3 orders_have_at_least_one_line: WHERE o.order_date &gt;= DATE '2026-01-01'</t>
  </si>
  <si>
    <t xml:space="preserve">The date limit is not explained. A reader will wonder why orders from 2025 are allowed to have no lines.</t>
  </si>
  <si>
    <t xml:space="preserve">Add a sentence to the Reading-it paragraph. Give the actual reason, e.g. "older orders migrated from the previous ERP have no line detail", or "we only enforce this from when the rule was agreed". If there is no reason, drop the filter.</t>
  </si>
  <si>
    <t xml:space="preserve">47.25</t>
  </si>
  <si>
    <t xml:space="preserve">§47.2 "Warning: something is odd"; code severity="warn"; Key terms "severity (error, warning)"</t>
  </si>
  <si>
    <t xml:space="preserve">The text says "warning" but the code uses the string "warn". A reader writing severity="warning" gets a test that is silently never counted as a warning: the summary counts only == 'warn', and the publish gate checks only == "error".</t>
  </si>
  <si>
    <t xml:space="preserve">Add one line after data_test: "severity is the string "error" or "warn"". Better still, validate it: assert severity in ("error", "warn").</t>
  </si>
  <si>
    <t xml:space="preserve">47.26</t>
  </si>
  <si>
    <t xml:space="preserve">§47.4 wh.execute("BEGIN") … wh.execute("COMMIT")</t>
  </si>
  <si>
    <t xml:space="preserve">If the INSERT fails, there is no ROLLBACK and the connection is left mid-transaction. INSERT INTO mart.daily_flash SELECT * relies on column order.</t>
  </si>
  <si>
    <t xml:space="preserve">Wrap it in try: … wh.execute("COMMIT") except Exception: wh.execute("ROLLBACK"); raise, and explain it in one sentence. Name the columns in the INSERT. (Also listed under 47.5; fix together.)</t>
  </si>
  <si>
    <t xml:space="preserve">47.27</t>
  </si>
  <si>
    <t xml:space="preserve">Answer 12 "Chapter 32's dbt contracts and Chapter 29's code review"</t>
  </si>
  <si>
    <t xml:space="preserve">Broken cross-reference. Ch 32 does not teach dbt model contracts (contract: {enforced: true}); the only mention of contracts in Ch 32 is its forward pointer to Ch 47. Ch 29 §29.10 does cover code review.</t>
  </si>
  <si>
    <t xml:space="preserve">Either add a short paragraph on dbt model contracts to Ch 32 (config: contract: {enforced: true} plus declared data_types), or change the answer to "dbt's model contracts (not covered in Chapter 32; see the dbt docs) and Chapter 29's code review".</t>
  </si>
  <si>
    <t xml:space="preserve">47.28</t>
  </si>
  <si>
    <t xml:space="preserve">Answer 5 "You could add one in DuckDB or your warehouse where supported"</t>
  </si>
  <si>
    <t xml:space="preserve">Incomplete in a way that will trip the reader. DuckDB supports FOREIGN KEY only at CREATE TABLE time (no ALTER TABLE … ADD FOREIGN KEY), so the existing raw tables would have to be recreated.</t>
  </si>
  <si>
    <t xml:space="preserve">Add: "In DuckDB a foreign key must be declared when the table is created (order_id INTEGER REFERENCES raw.orders(order_id)); it can't be added to an existing table with ALTER TABLE."</t>
  </si>
  <si>
    <t xml:space="preserve">47.29</t>
  </si>
  <si>
    <t xml:space="preserve">In the real world: "on a Thursday… data that stopped on 4 January, three days earlier… On the Monday"</t>
  </si>
  <si>
    <t xml:space="preserve">Date arithmetic. In 2026, Thursday is 8 January, and 8 − 4 = four days. The story also takes place in the same week as the chapter's 5 January fixture incident, which blurs the two timelines.</t>
  </si>
  <si>
    <t xml:space="preserve">Say "four days earlier", or make the data stop on 5 January. Or move the story to a different month (e.g. "a Thursday in March… data that stopped on the Sunday"), so it doesn't collide with the 5 January exercise timeline.</t>
  </si>
  <si>
    <t xml:space="preserve">47.30</t>
  </si>
  <si>
    <t xml:space="preserve">§47.5 "Stale data is the most common data incident"</t>
  </si>
  <si>
    <t xml:space="preserve">An unsourced absolute claim.</t>
  </si>
  <si>
    <t xml:space="preserve">Soften to "Stale data is one of the most common data incidents, and the hardest to notice…".</t>
  </si>
  <si>
    <t xml:space="preserve">47.31</t>
  </si>
  <si>
    <t xml:space="preserve">Answers header: "(In the finished book these move to Appendix G.)"</t>
  </si>
  <si>
    <t xml:space="preserve">Delete the line (book-wide fix).</t>
  </si>
  <si>
    <t xml:space="preserve">47.32</t>
  </si>
  <si>
    <t xml:space="preserve">Tools box: "Python 3.12 with duckdb and psycopg2, PostgreSQL 16"</t>
  </si>
  <si>
    <t xml:space="preserve">The setup imports Dagster (if 47.9 is not applied), and the chapter relies on the Ch 45/46 helper modules (ingest, apply_day) and a running PostgreSQL server. None of this is stated as a check.</t>
  </si>
  <si>
    <t xml:space="preserve">Add: "Before you start: PostgreSQL is running with riverstone_source loaded (check with psql -d riverstone_source -c "SELECT COUNT(*) FROM orders" → 177 after reset), and the Chapter 46 virtual environment is active."</t>
  </si>
  <si>
    <t xml:space="preserve">V47.1</t>
  </si>
  <si>
    <t xml:space="preserve">p. 11 · Figure 47.1 (write–audit–publish)</t>
  </si>
  <si>
    <t xml:space="preserve">Box text is 5.7–5.9 pt and the footnote 5.7 pt in grey. The branch label "tests pass" is clipped where it runs into the Publish box's left edge. Pass/fail is coded green versus red; the labels help.</t>
  </si>
  <si>
    <t xml:space="preserve">Redraw at 7 pt minimum, and move "tests pass" clear of the box.</t>
  </si>
  <si>
    <t xml:space="preserve">V47.2</t>
  </si>
  <si>
    <t xml:space="preserve">p. 18 · Figure 47.2 (incident, 5 steps)</t>
  </si>
  <si>
    <t xml:space="preserve">Box text is 5.5 pt, and the footnote line is 5.7 pt at low grey contrast.</t>
  </si>
  <si>
    <t xml:space="preserve">Use 5 steps in 2 rows, or a vertical list, at 7 pt or more.</t>
  </si>
  <si>
    <t xml:space="preserve">V47.3</t>
  </si>
  <si>
    <t xml:space="preserve">p. 11 · Page holding Figure 47.1</t>
  </si>
  <si>
    <t xml:space="preserve">The page is 70% blank: the figure sits alone at the top, and the WAP code block (about 45 lines) starts p. 12.</t>
  </si>
  <si>
    <t xml:space="preserve">Let the code block split, or place the figure after the numbered list on p. 10.</t>
  </si>
  <si>
    <t xml:space="preserve">V47.4</t>
  </si>
  <si>
    <t xml:space="preserve">p. 9 · "The same tests as dbt tests"</t>
  </si>
  <si>
    <t xml:space="preserve">"…and dbt generates the SQL:" ends the page at 64%, and the YAML is on p. 10.</t>
  </si>
  <si>
    <t xml:space="preserve">Keep the lead-in with the code, or let the code split.</t>
  </si>
  <si>
    <t xml:space="preserve">V47.5</t>
  </si>
  <si>
    <t xml:space="preserve">p. 19 · "Grouping one incident into one message"</t>
  </si>
  <si>
    <t xml:space="preserve">"Sending five messages makes it look like five problems:" ends the page at 73%, and the code is on p. 20.</t>
  </si>
  <si>
    <t xml:space="preserve">V47.6</t>
  </si>
  <si>
    <t xml:space="preserve">p. 8 · "Watching them fail"</t>
  </si>
  <si>
    <t xml:space="preserve">"Reading it. Two lessons in one output." is stranded at the page foot, and its explanation continues on p. 9.</t>
  </si>
  <si>
    <t xml:space="preserve">Keep the paragraph together, or move it with the following text.</t>
  </si>
  <si>
    <t xml:space="preserve">V47.7</t>
  </si>
  <si>
    <t xml:space="preserve">p. 10 · 47.4 WAP opener</t>
  </si>
  <si>
    <t xml:space="preserve">The page ends at 68% after the numbered list, and Figure 47.1 moves to p. 11. This is the partner of V47.3.</t>
  </si>
  <si>
    <t xml:space="preserve">As V47.3.</t>
  </si>
  <si>
    <t xml:space="preserve">V47.8</t>
  </si>
  <si>
    <t xml:space="preserve">V47.9</t>
  </si>
  <si>
    <t xml:space="preserve">V47.10</t>
  </si>
  <si>
    <t xml:space="preserve">p. 6, 8, 12, 13, 14, 16, 20, 27 · Code</t>
  </si>
  <si>
    <t xml:space="preserve">Long lines wrap to column 0 with no marker, e.g. "AS / revenue_booked", "GROUP BY 1 / HAVING COUNT(*) &lt;&gt; 1\")", "isn't there", "…expected_within_hours) h".</t>
  </si>
  <si>
    <t xml:space="preserve">V47.11</t>
  </si>
  <si>
    <t xml:space="preserve">p. 17→18 · "What a good contract contains" table</t>
  </si>
  <si>
    <t xml:space="preserve">It splits 3 rows / 5 rows; the header is repeated.</t>
  </si>
  <si>
    <t xml:space="preserve">Keep together (8 short rows).</t>
  </si>
  <si>
    <t xml:space="preserve">V47.12</t>
  </si>
  <si>
    <t xml:space="preserve">p. 19 · Severity table</t>
  </si>
  <si>
    <t xml:space="preserve">Short cells ("S1", "S2", "S3") in a narrow first column are fine. The "Response" column wraps "Immediate: tell / recipients, correct, / then fix" in a narrow cell.</t>
  </si>
  <si>
    <t xml:space="preserve">Widen Response by trimming Meaning.</t>
  </si>
  <si>
    <t xml:space="preserve">V47.13</t>
  </si>
  <si>
    <t xml:space="preserve">p. 27 · Exercises 10–14</t>
  </si>
  <si>
    <t xml:space="preserve">48.1</t>
  </si>
  <si>
    <t xml:space="preserve">Tools: "pyspark, duckdb, polars, and pyarrow, plus a Java runtime (Java 17 or 21)"</t>
  </si>
  <si>
    <t xml:space="preserve">Nothing is installed. The chapter never shows pip install, how to install Java on Windows/macOS/Linux, JAVA_HOME, or a first "hello Spark" check. java -version appears only in the end-of-chapter Tools box. The first code cell fails for most readers (JAVA_GATEWAY_EXITED / "Java gateway process exited" when Java is missing or JAVA_HOME is unset). This is the approved just-in-time install pattern (Ch 10/12/16/17/26), applied to Spark.</t>
  </si>
  <si>
    <t xml:space="preserve">Add §48.0 "Setting up Spark, Polars and the data" before §48.3. (1) In the activated venv: python -m pip install "pyspark==4.2.0" "polars==1.44.2" "pyarrow==25.0.1" duckdb, and say why the pins matter (plan text changes between versions). (2) Java: Windows → install Temurin 21 (MSI, tick "Set JAVA_HOME"); macOS → brew install --cask temurin@21; Linux → sudo apt install openjdk-21-jre-headless. Verify with java -version, showing expected output. (3) A 3-line smoke test: from pyspark.sql import SparkSession; spark = SparkSession.builder.master("local[*]").getOrCreate(); print(spark.version) → 4.2.0. (4) Windows note: the winutils.exe/HADOOP_HOME warning is harmless for reading, and for writing use WSL (Ch 34) or set HADOOP_HOME. (5) Troubleshooting box for the three common errors: Java missing, wrong Java version, port 4040 in use.</t>
  </si>
  <si>
    <t xml:space="preserve">48.2</t>
  </si>
  <si>
    <t xml:space="preserve">§48.3 "will feel familiar after pandas and Polars"; §48.6 pl.scan_parquet(...)… .collect()</t>
  </si>
  <si>
    <t xml:space="preserve">Polars has never been taught. Ch 18 only names it (lines 865, 874, 943), and Ch 33 and Ch 40 only mention it. §48.6 uses pl.scan_parquet (lazy), pl.col, expression chaining (.mean().round(2).alias()), .cast(pl.Int8), group_by/agg with a list, .sort, and .collect(), with no explanation, and then compares its speed.</t>
  </si>
  <si>
    <t xml:space="preserve">Add a short "Polars in one page" before §48.6, or as part of §48.0 if the chapter is reorganised. (1) import polars as pl; df = pl.read_parquet("sensor_readings/reading_date=2025-12-01/*.parquet"); print(df.head(3)), showing Polars' table print, with dtype row and shape. (2) Expressions: df.select(pl.col("temperature_c").mean()), and why expressions (not df["col"]) are the Polars style. (3) Lazy vs eager: pl.scan_parquet builds a plan like Spark; .collect() runs it; lf.explain() prints the optimised plan, which links back to §48.4. (4) Then the §48.6 query, one method per line, each explained, including why scrap_flag is cast to pl.Int8 before .mean(). Change "familiar after pandas and Polars" to "familiar after pandas (Chapter 18)".</t>
  </si>
  <si>
    <t xml:space="preserve">48.3</t>
  </si>
  <si>
    <t xml:space="preserve">§48.3 def plan(df, only=None): … df._jdf.queryExecution().executedPlan()</t>
  </si>
  <si>
    <t xml:space="preserve">The only way the chapter shows a plan uses Spark's private Java bridge (_jdf, underscore = internal and unsupported). It also uses three regular expressions, head, *parts = … star-unpacking, a tuple passed to startswith, [:96] truncation and a generator filter, none of them explained. The public API df.explain() / df.explain("formatted") is never mentioned, even though it is what readers will use at work and in interviews. The task of "explain plans built from zero" is not met.</t>
  </si>
  <si>
    <t xml:space="preserve">Teach the public API first. At the start of §48.4 run readings.groupBy("machine_id").agg(F.sum("units_made")).explain() and show the raw output with #12-style ids, then explain what those ids are (attribute ids that change every run). Then show explain("formatted") briefly. Only after that, introduce plan() as an optional convenience in an "Optional: a tidier printout" box. Explain each line: "_jdf reaches the Java object behind the DataFrame; it's internal, so this helper may break in a future Spark version". Explain what each re.sub removes, with a before/after example. Add a pointer that regular expressions are explained in Ch 29 (or wherever regex is first taught; if nowhere, add a two-line regex note). Replace executedPlan().toString() with df._jdf.queryExecution().executedPlan().toString() only inside the optional helper.</t>
  </si>
  <si>
    <t xml:space="preserve">48.4</t>
  </si>
  <si>
    <t xml:space="preserve">§48.5 output: PartitionFilters: [isnotnull(reading_date) / PushedFilters: [IsNotNull(plant)</t>
  </si>
  <si>
    <t xml:space="preserve">Bug in the helper. line.split(", ") also splits inside the filter lists, and only parts starting with "PartitionFilters"/"PushedFilters"/"ReadSchema" are kept. So (reading_date = 2025-12-01) and EqualTo(plant,Bhiwandi Main) are cut off. The printed output doesn't contain the two facts the "Reading it" paragraph tells the reader to see ("PartitionFilters: […reading_date = 2025-12-01]"). The outputs show the truncation (no closing bracket).</t>
  </si>
  <si>
    <t xml:space="preserve">Fix the helper to split the FileScan line on ", " only where a new Key:  begins, e.g. parts = re.split(r", (?=[A-Z][A-Za-z]+: )", line). Re-run and print the full lines, e.g. PartitionFilters: [isnotnull(reading_date), (reading_date = 2025-12-01)] and PushedFilters: [IsNotNull(plant), EqualTo(plant,Bhiwandi Main)]. Better still, use explain() (48.3) for this cell, where the full FileScan line is visible, and point to the two fields. Update Figure 48.2 to match the real text.</t>
  </si>
  <si>
    <t xml:space="preserve">48.5</t>
  </si>
  <si>
    <t xml:space="preserve">Practice data: "25 machines… every 10 seconds… 19,872,000 readings" (vs Ch 40)</t>
  </si>
  <si>
    <t xml:space="preserve">Cross-chapter contradiction (confirmed). Ch 40 line 20 says "the same generator builds the 4.8-million-row version used in Chapter 48". Line 885 says "Chapter 48 runs this on 12 machines and 40 weeks". Line 978 says "companion/generate_riverstone_sensors.py (seed 20241; --full builds the 4.8-million-row version for Chapter 48)". Lines 1105–1106 say "Chapter 48… runs this chapter's anomaly rules on 12 machines and 40 weeks with PySpark, DuckDB, and Polars". (12 × 40 weeks × 10,080 one-minute rows = 4,838,400.) Ch 48 uses a different script (make_sensor_data.py), 25 machines, 10-second readings, 1 Oct–31 Dec 2025 (92 days), 19,872,000 rows, a schema without Ch 40's status column, and runs no anomaly rules at all. Ch 49 and Ch 50 follow Ch 48's version (Ch 50: "a reading every 10 seconds").</t>
  </si>
  <si>
    <t xml:space="preserve">Keep Ch 48's dataset, since Ch 49 and Ch 50 depend on it, and fix Ch 40 in four places. Line 20: "the Chapter 48 archive is a larger, separate dataset: 25 machines, 10-second readings, three months, 19.9 million rows". Line 885: "Chapter 48 works at that scale (25 machines, 19.9 million readings), where the question becomes one of engineering". Line 978: drop "--full builds the 4.8-million-row version for Chapter 48" and point to companion/ch48/make_sensor_data.py. Lines 1105–1106: "Chapter 48 … processes 19.9 million sensor readings with PySpark, DuckDB and Polars". Either delete "runs this chapter's anomaly rules", or add a Ch 48 project stretch goal: "run Chapter 40's rolling-baseline rule per machine with a Spark window (Window.partitionBy('machine_id').orderBy('reading_ts').rowsBetween(-360, -1)) and count flags", which would also need Ch 40's status column added to the generator. Also remove Ch 40's planning/data/riverstone-sensors.md reference (a build path). Record the decision in the sequence map.</t>
  </si>
  <si>
    <t xml:space="preserve">48.6</t>
  </si>
  <si>
    <t xml:space="preserve">§48.1 "The draft of this book made a claim worth repeating, because it has only become more true"</t>
  </si>
  <si>
    <t xml:space="preserve">Drafting leftover (listed in the sequence map).</t>
  </si>
  <si>
    <t xml:space="preserve">Replace with: "A claim worth making early, because it has only become more true: most datasets described as "big data" fit on one computer."</t>
  </si>
  <si>
    <t xml:space="preserve">48.7</t>
  </si>
  <si>
    <t xml:space="preserve">§48.6 "Now the comparison the blueprint asks for: one question, three engines."</t>
  </si>
  <si>
    <t xml:space="preserve">Drafting leftover. "The blueprint" is the author's planning document, which the reader has never seen.</t>
  </si>
  <si>
    <t xml:space="preserve">Replace with: "Now the comparison that matters in practice: one question, three engines."</t>
  </si>
  <si>
    <t xml:space="preserve">48.8</t>
  </si>
  <si>
    <t xml:space="preserve">§48.6 Timings: "taken on the container used to write this book: 1 CPU core, 3 GB"</t>
  </si>
  <si>
    <t xml:space="preserve">Production detail showing through ("the container used to write this book"). The disclosure itself is good.</t>
  </si>
  <si>
    <t xml:space="preserve">"…taken on a deliberately small test machine: 1 CPU core, 3 GB of memory…". Make the same change in the Tools box ("on a container with…").</t>
  </si>
  <si>
    <t xml:space="preserve">48.9</t>
  </si>
  <si>
    <t xml:space="preserve">§48.3 SparkSession cell: .appName, .config("spark.ui.showConsoleProgress", "false"), .getOrCreate(), setLogLevel("ERROR"), functions as F</t>
  </si>
  <si>
    <t xml:space="preserve">"How it works" explains only master, shuffle.partitions and read.parquet. Unexplained: why the builder is wrapped in ( … ) across lines; appName (shows in the UI at localhost:4040); getOrCreate (reuses a running session, which matters in Jupyter re-runs); showConsoleProgress (hides the progress bar in the notebook); setLogLevel (hides Spark's INFO/WARN chatter); functions as F (the convention, and why not from … import *, which would shadow Python's sum, round and max). import duckdb, polars sits in the Spark cell though neither is used until §48.6, and import re is mid-cell.</t>
  </si>
  <si>
    <t xml:space="preserve">Split into (1) imports (only pyspark), explaining the F alias and the shadowing trap; (2) the builder, one bullet per line; (3) readings = spark.read.parquet(...), count and schema. Move import duckdb, polars as pl to §48.6, and import re into the optional plan helper. Explain timestamp_ntz ("a timestamp with no time zone") and nullable = true.</t>
  </si>
  <si>
    <t xml:space="preserve">48.10</t>
  </si>
  <si>
    <t xml:space="preserve">§48.3 "It writes Parquet files partitioned by reading_date, one folder per day"</t>
  </si>
  <si>
    <t xml:space="preserve">The folder layout, which pruning depends on, is described but never shown. make_sensor_data.py is not shown or described (columns, how values are generated, seed). The reader doesn't see the Hive-style reading_date=2025-10-01/ naming that makes "Spark discovers the reading_date partition column from the folder names" true.</t>
  </si>
  <si>
    <t xml:space="preserve">After generation add a cell: import os; days = sorted(os.listdir("sensor_readings")); print(len(days), days[:2], days[-1]); print(os.listdir(f"sensor_readings/{days[0]}")). Expected output: 92 ['reading_date=2025-10-01', 'reading_date=2025-10-02'] reading_date=2025-12-31 and the file name(s). Also print the total size (~114 MB) and one folder's size (~1.2 MB), which prepares 48.21. Give a 5-line description of the generator: machines per plant and line (Bhiwandi 5/5/5, Chakan 3/4/3), temperature range, scrap probability ≈ 1.3%, units per reading, fixed seed.</t>
  </si>
  <si>
    <t xml:space="preserve">48.11</t>
  </si>
  <si>
    <t xml:space="preserve">§48.3 by_plant = (readings.groupBy(...).agg(F.count("*")…, F.round(F.avg(...), 2)…, F.round(F.avg(F.col("scrap_flag").cast("int")) * 100, 2)…).orderBy(...))</t>
  </si>
  <si>
    <t xml:space="preserve">Six new functions and a pattern (average of a 0/1 flag = a share) at once, with no line-by-line explanation. show(truncate=False) is not explained either.</t>
  </si>
  <si>
    <t xml:space="preserve">Build it in two cells. (1) readings.groupBy("plant").count().show(), the simplest group-by, with output (Bhiwandi Main 11,923,200; Chakan Pune 7,948,800). (2) The full aggregation, with one bullet per function: F.count("*") counts rows; F.avg is the mean; F.round(x, 2); .cast("int") turns True/False into 1/0, so the average is the share (link to the pandas .mean() of a boolean in Ch 18); .alias names the column; orderBy; show(truncate=False) prints full text instead of cutting at 20 characters. Mention that F.col("x") and the string "x" are interchangeable in most functions.</t>
  </si>
  <si>
    <t xml:space="preserve">48.12</t>
  </si>
  <si>
    <t xml:space="preserve">§48.3 Lazy execution cell: start = time.perf_counter()</t>
  </si>
  <si>
    <t xml:space="preserve">start is never used (no elapsed time is printed), so it is a leftover from removed timing code. type(hot).__name__ printing "DataFrame" doesn't show that nothing ran.</t>
  </si>
  <si>
    <t xml:space="preserve">Make the cell prove laziness with timings: t0 = time.perf_counter(); hot = …; print(f"building hot took {time.perf_counter()-t0:.3f} s") → ~0.01 s; then t0 = …; hot_count = hot.count(); print(f"count took {…:.2f} s") → ~1–2 s. Explain time.perf_counter() in one line. Name the actions count, show, collect and write (the "You've got it" asks for three).</t>
  </si>
  <si>
    <t xml:space="preserve">48.13</t>
  </si>
  <si>
    <t xml:space="preserve">§48.5 Watch out: "or on a column derived from the partition column ( F.year(F.col("reading_ts")) == 2025 )"</t>
  </si>
  <si>
    <t xml:space="preserve">Technically wrong, and the example doesn't match the words. Spark does prune on expressions over partition columns (e.g. F.year("reading_date") == 2025 or F.month("reading_date") == 12 both appear in PartitionFilters). reading_ts is not the partition column but a separate data column that happens to carry the same information, which is why it doesn't prune. The Common-mistakes row "Filtering on a derived column" repeats the error.</t>
  </si>
  <si>
    <t xml:space="preserve">Rewrite: "…or on a different column that carries the same information, such as F.year(F.col("reading_ts")) == 2025. You know reading_ts and reading_date agree; Spark doesn't, so it opens every folder. Expressions on the partition column itself (F.month("reading_date") == 12) still prune." Change the Common-mistakes row to "Filtering on reading_ts instead of the partition column". Project step 6 is correct as written.</t>
  </si>
  <si>
    <t xml:space="preserve">48.14</t>
  </si>
  <si>
    <t xml:space="preserve">§48.5 salting cell: F.rand() * SALTS, F.explode(F.array([F.lit(i) for i in range(SALTS)]))</t>
  </si>
  <si>
    <t xml:space="preserve">No output and no explanation of F.rand, .cast("int"), F.lit, F.array, F.explode, or the list comprehension inside. F is re-imported. The example salts every row of the big table (not just the hot key) and salts a 3-row table that should simply be broadcast. There is no seed, so it is not reproducible.</t>
  </si>
  <si>
    <t xml:space="preserve">(1) Say plainly that salting is for joins where both sides are large, and that with a 3-row table you'd broadcast (as just shown); the example uses machines only to keep it small. (2) Show small.show() (3 machines × 8 salts = 24 rows) and big.groupBy("salt").count().show() (≈ 2.48 M per salt), so the reader sees what happened. Then check that joined.count() equals readings.join(machines, "machine_id").count() = 2,384,640, proving salting didn't change the answer. (3) One bullet per function. (4) Use F.rand(seed=42) and remove the duplicate import.</t>
  </si>
  <si>
    <t xml:space="preserve">48.15</t>
  </si>
  <si>
    <t xml:space="preserve">§48.6 Timings table; "Run the timing script in the companion folder"</t>
  </si>
  <si>
    <t xml:space="preserve">The measurement code isn't shown. time_three_tools.py is named, but the reader never sees how "fastest of three runs, after files were in the OS cache" was measured, or what exactly was timed (does Spark's time include show()? DuckDB's the .df() conversion?). "0.00 s" and "0.01 s" make the 73× ratio in Answer 8 meaningless (0.01 could be 0.005–0.0149 → 49×–146×).</t>
  </si>
  <si>
    <t xml:space="preserve">Add a 10-line timing cell: def best_of_3(fn): times=[]; for _ in range(3): t=time.perf_counter(); fn(); times.append(time.perf_counter()-t); return min(times), and three lambdas (DuckDB con.execute(QUESTION).fetchall(), Polars lf…collect(), Spark df.collect() on the 2-row result). Explain each line, and why the first run is discarded (cold cache, JVM warm-up). Report the timings in milliseconds (e.g. 7 ms, 3 ms, 730 ms), and recompute Answer 8 from the unrounded values.</t>
  </si>
  <si>
    <t xml:space="preserve">48.16</t>
  </si>
  <si>
    <t xml:space="preserve">§48.6 Try it: "If you have 8 cores, you should see Spark's numbers improve and the small-file result stay bad"</t>
  </si>
  <si>
    <t xml:space="preserve">Misleading. DuckDB and Polars are also multi-threaded and will also speed up on 8 cores, often more than Spark. The reader may expect the gap to close and conclude something is wrong when it doesn't. The earlier sentence "this machine has one core, so Spark's parallelism has nowhere to go" applies equally to the other two engines.</t>
  </si>
  <si>
    <t xml:space="preserve">Rewrite: "On 8 cores, all three get faster: DuckDB and Polars use every core too. Spark's fixed start-up cost stays, so on the one-day file it will still be slowest by far. The gap on the full data may narrow, but on one machine it rarely reverses. Spark's advantage appears only when the data or the work outgrows one machine." Adjust Answer 8's last sentence the same way.</t>
  </si>
  <si>
    <t xml:space="preserve">48.17</t>
  </si>
  <si>
    <t xml:space="preserve">Chapter goals "write PySpark that reads, filters, groups, and joins"; You've got it: "…join, and write Parquet"</t>
  </si>
  <si>
    <t xml:space="preserve">Writing with Spark is never taught in the chapter body. It appears only in Answer 9 (df.coalesce(1).write.mode("overwrite").parquet(...)). repartition/coalesce and cache() are described in prose (§48.7) with no code.</t>
  </si>
  <si>
    <t xml:space="preserve">Add a cell in §48.7. weekly = …groupBy("plant", F.weekofyear("reading_date").alias("week")).agg(...); weekly.coalesce(1).write.mode("overwrite").parquet("out/weekly_scrap"); print(os.listdir("out/weekly_scrap")). Show the one part-….parquet file plus _SUCCESS. Explain mode("overwrite") (idempotent re-runs, Ch 46), coalesce vs repartition, and partitionBy("…") for partitioned output. Add a 2-line cache() demo only if it can show a measured difference; otherwise leave the prose.</t>
  </si>
  <si>
    <t xml:space="preserve">48.18</t>
  </si>
  <si>
    <t xml:space="preserve">§48.3 "It writes Parquet files partitioned by reading_date"; §48.5 table "Write files of a sensible size (128–512 MB)"; Answer 12 "files of 128–512 MB per day… one file per day per plant"</t>
  </si>
  <si>
    <t xml:space="preserve">Internal contradiction. The chapter's own archive is ~114 MB ÷ 92 days ≈ 1.2 MB per daily folder, which is exactly the "small files" pattern §48.7 warns against. Answer 12's "128–512 MB per day, one file per day per plant" is impossible at Riverstone's volume: even the story's larger plant (~12 M readings/week ≈ 1.7 M/day, ≈ 10 MB/day at this dataset's ~6 bytes/row) is far below 128 MB per day, and splitting by plant halves it again.</t>
  </si>
  <si>
    <t xml:space="preserve">Add a note after the folder listing (48.10): "Each day's folder is only about 1.2 MB, far below the 128–512 MB guideline. At this size daily partitions are still fine because there are only 92 files. At years of data you'd partition by month, or keep days and compact (Chapter 49)." Rewrite Answer 12's size sentence: "At Riverstone's volume a day is only about 10 MB, so aim for one file per day (never one per machine); if the file count grows into the thousands, partition by month or rely on compaction (Chapter 49). The 128–512 MB target applies once a partition is that large."</t>
  </si>
  <si>
    <t xml:space="preserve">48.19</t>
  </si>
  <si>
    <t xml:space="preserve">§48.5 join cell: spark.createDataFrame([...], ["machine_id", "supervisor", "installed_year"]), plan(joined, only=[...])</t>
  </si>
  <si>
    <t xml:space="preserve">createDataFrame from a list of tuples plus a column-name list, the on=/how= arguments, and the only= filter of the helper are not explained. "19.87 million rows cross the network" is not literally true in local mode, where the rows go to local shuffle files.</t>
  </si>
  <si>
    <t xml:space="preserve">Add bullets: createDataFrame(rows, column_names) makes a small Spark table from Python data; on="machine_id" is the key; how="inner" keeps only matches (Ch 12's INNER JOIN), which is why only 3 of 25 machines appear; only=[…] prints only lines containing those words. Reword to "19.87 million rows are written to shuffle files (and, on a cluster, sent across the network)".</t>
  </si>
  <si>
    <t xml:space="preserve">48.20</t>
  </si>
  <si>
    <t xml:space="preserve">§48.5 Skew: "Adaptive query execution (on by default in Spark 3 and later)"</t>
  </si>
  <si>
    <t xml:space="preserve">Inaccurate. AQE was introduced in Spark 3.0 but enabled by default only from Spark 3.2.</t>
  </si>
  <si>
    <t xml:space="preserve">"…on by default since Spark 3.2".</t>
  </si>
  <si>
    <t xml:space="preserve">48.21</t>
  </si>
  <si>
    <t xml:space="preserve">§48.7 "Writing with 200 shuffle partitions gives 200 files"</t>
  </si>
  <si>
    <t xml:space="preserve">With AQE on (default), Spark coalesces small shuffle partitions (spark.sql.adaptive.coalescePartitions.enabled), so a small group-by often writes far fewer than 200 files. Readers testing this won't reproduce it. Answer 9's scenario is still valid as a legacy/AQE-off case.</t>
  </si>
  <si>
    <t xml:space="preserve">"Writing straight after a shuffle can give up to spark.sql.shuffle.partitions files (200 by default). Adaptive execution often merges small partitions, but don't rely on it for file sizes."</t>
  </si>
  <si>
    <t xml:space="preserve">48.22</t>
  </si>
  <si>
    <t xml:space="preserve">In the real world: "about 12 million readings" per week; archive "about 300 million"</t>
  </si>
  <si>
    <t xml:space="preserve">12 M/week is 8× the chapter's plant (25 machines × 8,640 × 7 = 1,512,000/week), so the story's plant must have about 200 machines at 10-second readings. That isn't said, and 300 M ÷ 12 M = 25 weeks makes the "yearly rebuild" wording odd.</t>
  </si>
  <si>
    <t xml:space="preserve">Add "by then the archive covered about 200 machines across both plants and six months, about 300 million readings", or scale the story to the 25-machine plant (a week ≈ 1.5 M readings; archive ≈ 40 M), which would weaken the cluster motivation. Recommend the first.</t>
  </si>
  <si>
    <t xml:space="preserve">48.23</t>
  </si>
  <si>
    <t xml:space="preserve">Ex 2 "name every line that causes data to move… and say what it's ordering by"</t>
  </si>
  <si>
    <t xml:space="preserve">Wrong term: hashpartitioning distributes rows by key; it doesn't order them. The answer says "redistributes rows by a hash".</t>
  </si>
  <si>
    <t xml:space="preserve">"…and say which column it partitions by."</t>
  </si>
  <si>
    <t xml:space="preserve">48.24</t>
  </si>
  <si>
    <t xml:space="preserve">Where this leads: "Chapter 56 uses distributed compute for model training and feature pipelines"</t>
  </si>
  <si>
    <t xml:space="preserve">Ch 56 contains no Spark or distributed-compute material (grep for "spark" or "distributed" finds nothing).</t>
  </si>
  <si>
    <t xml:space="preserve">Remove the bullet, or change it to a chapter that does this (confirm in the Part VI review).</t>
  </si>
  <si>
    <t xml:space="preserve">48.25</t>
  </si>
  <si>
    <t xml:space="preserve">Spine/prerequisites: Ch 48 declares Ch 49 as a prerequisite</t>
  </si>
  <si>
    <t xml:space="preserve">Forward prerequisite (the spine lists 18, 29, 45, 46, 49). The chapter text itself says "Chapter 49 covers the storage side in depth" (a helpful forward pointer), but Ch 49 lists 48 as its prerequisite, which makes the dependency circular.</t>
  </si>
  <si>
    <t xml:space="preserve">Remove 49 from Ch 48's declared prerequisites (spine/metadata). Keep the text's forward pointers.</t>
  </si>
  <si>
    <t xml:space="preserve">48.26</t>
  </si>
  <si>
    <t xml:space="preserve">§48.6 DuckDB con.execute(QUESTION).df(); read_parquet('sensor_readings/*/*.parquet'); Polars units … i32</t>
  </si>
  <si>
    <t xml:space="preserve">.df() needs pandas (not in the Tools list). The glob pattern */*.parquet and DuckDB's automatic Hive-partition detection (which adds reading_date) aren't explained. Polars keeps units as Int32 while DuckDB and Spark return BIGINT, which would overflow at about 2.1 billion (the stretch goal "ten times larger" is still safe, but say so).</t>
  </si>
  <si>
    <t xml:space="preserve">Add bullets: "*/*.parquet means every Parquet file in every day folder"; "DuckDB reads the reading_date= folder names as a column automatically"; ".df() returns a pandas DataFrame (Chapter 18), so pandas must be installed"; "Polars keeps the input's 32-bit integer type for the sum; cast with .cast(pl.Int64) for very large totals".</t>
  </si>
  <si>
    <t xml:space="preserve">48.27</t>
  </si>
  <si>
    <t xml:space="preserve">§48.4 plan output: output=[machine_i and BroadcastExchange HashedRelationBroadcastMode(List(input[0, string, true]),fal</t>
  </si>
  <si>
    <t xml:space="preserve">Lines are cut mid-word by the helper's [:96], and nothing tells the reader.</t>
  </si>
  <si>
    <t xml:space="preserve">Mention the truncation in the helper explanation ("long lines are cut at 96 characters"), or widen to 120, or use explain() (48.3).</t>
  </si>
  <si>
    <t xml:space="preserve">48.28</t>
  </si>
  <si>
    <t xml:space="preserve">Tools box: "Spark's web interface… http://localhost:4040… the best way to see skew"</t>
  </si>
  <si>
    <t xml:space="preserve">The Spark UI is the main tool for skew but appears only in the end box, never in §48.5.</t>
  </si>
  <si>
    <t xml:space="preserve">Move it into §48.5 "Skew", with one sentence on what to look at (Stages tab → task duration max vs median) and, ideally, a screenshot.</t>
  </si>
  <si>
    <t xml:space="preserve">48.29</t>
  </si>
  <si>
    <t xml:space="preserve">§48.7 "Keep the driver small and the job idempotent"</t>
  </si>
  <si>
    <t xml:space="preserve">"Keep the driver small" is unexplained jargon (small memory? little work on the driver?).</t>
  </si>
  <si>
    <t xml:space="preserve">"Keep work off the driver: bring back only small results, and don't loop over rows in Python. Keep the job idempotent…".</t>
  </si>
  <si>
    <t xml:space="preserve">48.30</t>
  </si>
  <si>
    <t xml:space="preserve">§48.5 "PushedFilters… using the file's own statistics, instead of reading everything"</t>
  </si>
  <si>
    <t xml:space="preserve">Overstated. Row-group statistics skip data only when values are clustered. With both plants interleaved in each file, min/max for plant covers both values and nothing is skipped: Spark still reads the whole day and filters. (Answer 12 correctly adds "sort by machine_id" to fix this.)</t>
  </si>
  <si>
    <t xml:space="preserve">"…lets the Parquet reader skip row groups whose statistics rule the value out. That only helps when the values are clustered, for example sorted by plant (Chapter 49); here each day's file mixes both plants, so the filter is applied as rows are read."</t>
  </si>
  <si>
    <t xml:space="preserve">48.31</t>
  </si>
  <si>
    <t xml:space="preserve">Delete (book-wide fix).</t>
  </si>
  <si>
    <t xml:space="preserve">V48.1</t>
  </si>
  <si>
    <t xml:space="preserve">p. 6 · Figure 48.1 (driver, workers, partitions, shuffle)</t>
  </si>
  <si>
    <t xml:space="preserve">Text is 5.2–6.2 pt. The red shuffle arcs start inside, and pass through, the "shuffle: rows move" labels, striking out "rows". NARROW and WIDE are distinguished only by green versus red text and box tints.</t>
  </si>
  <si>
    <t xml:space="preserve">Redraw at 7 pt minimum. Route the arcs from the box edges below the labels, and add a non-colour cue (solid versus dashed border, or icons).</t>
  </si>
  <si>
    <t xml:space="preserve">V48.2</t>
  </si>
  <si>
    <t xml:space="preserve">p. 9 · Figure 48.2 (two plans side by side)</t>
  </si>
  <si>
    <t xml:space="preserve">Plan text is 5.5 pt mono, smaller than the 7.9 pt code blocks it summarises. The footnote line is 5.7 pt grey. The two panels are coded red (shuffle) versus green (no shuffle).</t>
  </si>
  <si>
    <t xml:space="preserve">Stack the two panels vertically at full width with 7 pt or larger mono, and keep the titles, which already say shuffle / no shuffle.</t>
  </si>
  <si>
    <t xml:space="preserve">V48.3</t>
  </si>
  <si>
    <t xml:space="preserve">p. 9, 11 · Printed query plans</t>
  </si>
  <si>
    <t xml:space="preserve">The plan() helper cuts lines at 96 characters, so plan lines end mid-token with no marker: "output=[machine_i" (p. 9) and "HashedRelationBroadcastMode(List(input[0, string, true]),fal" (p. 11). Readers will think text is missing.</t>
  </si>
  <si>
    <t xml:space="preserve">Append "…" when a line is cut, or wrap with a hanging indent instead of truncating.</t>
  </si>
  <si>
    <t xml:space="preserve">V48.4</t>
  </si>
  <si>
    <t xml:space="preserve">p. 5 · 48.2 end / before Figure 48.1</t>
  </si>
  <si>
    <t xml:space="preserve">The page ends at 60%, and Figure 48.1 moves whole to p. 6.</t>
  </si>
  <si>
    <t xml:space="preserve">Float the figure, or bring the "Lazy execution" paragraph back.</t>
  </si>
  <si>
    <t xml:space="preserve">V48.5</t>
  </si>
  <si>
    <t xml:space="preserve">p. 12 · 48.6 opener</t>
  </si>
  <si>
    <t xml:space="preserve">The heading plus the one-line question end the page at 59%, and the long three-engine code block is on p. 13.</t>
  </si>
  <si>
    <t xml:space="preserve">Let the code block split, or move the heading and question to p. 13.</t>
  </si>
  <si>
    <t xml:space="preserve">V48.6</t>
  </si>
  <si>
    <t xml:space="preserve">p. 14 · 48.7 heading</t>
  </si>
  <si>
    <t xml:space="preserve">"48.7 Writing Spark that doesn't surprise you" and one bullet are stranded at the page foot, and the rest of the list is on p. 15.</t>
  </si>
  <si>
    <t xml:space="preserve">Keep the heading with at least 2–3 bullets.</t>
  </si>
  <si>
    <t xml:space="preserve">V48.7</t>
  </si>
  <si>
    <t xml:space="preserve">p. 15→16 · "The wider landscape" table</t>
  </si>
  <si>
    <t xml:space="preserve">The last row (Snowflake, BigQuery, Redshift) runs alone onto p. 16 under a repeated header.</t>
  </si>
  <si>
    <t xml:space="preserve">Keep the 9-row table together.</t>
  </si>
  <si>
    <t xml:space="preserve">V48.8</t>
  </si>
  <si>
    <t xml:space="preserve">Shows "Draft chapter", "18 September 2026" and "Every output from a real run".</t>
  </si>
  <si>
    <t xml:space="preserve">V48.9</t>
  </si>
  <si>
    <t xml:space="preserve">V48.10</t>
  </si>
  <si>
    <t xml:space="preserve">p. 7, 10, 13 · Code</t>
  </si>
  <si>
    <t xml:space="preserve">Long lines wrap to column 0 with no marker: "# split the long scan line into its / parts" (p. 7), "Main\"))" (p. 10), how="inner"), "# pretend Spark can't tell the / table is small", "100).round(2).alias(…)" (p. 13).</t>
  </si>
  <si>
    <t xml:space="preserve">Shorten the comments, and hard-wrap with indentation.</t>
  </si>
  <si>
    <t xml:space="preserve">V48.11</t>
  </si>
  <si>
    <t xml:space="preserve">p. 14 · Timings table</t>
  </si>
  <si>
    <t xml:space="preserve">The numeric columns (0.01 s, 0.38 s, 2.01 s) are left-aligned.</t>
  </si>
  <si>
    <t xml:space="preserve">Right-align.</t>
  </si>
  <si>
    <t xml:space="preserve">V48.12</t>
  </si>
  <si>
    <t xml:space="preserve">p. 20 · Exercises 10–14</t>
  </si>
  <si>
    <t xml:space="preserve">49.1</t>
  </si>
  <si>
    <t xml:space="preserve">§49.8 "about 126 million readings a day-equivalent"</t>
  </si>
  <si>
    <t xml:space="preserve">The arithmetic is wrong by a factor of 365. 40 machines × 8,640 readings/day × 365 = 126,144,000 readings per year. At 6.02 bytes a reading that is 0.76 GB a year, not 277 GB. The formula "126,000,000 × 365 ÷ 216,000 × 1.3 MB" multiplies by 365 twice. Every figure after it (storage $/month, 5.3 GB weekly scan, $1.39 full scan, exercise 9, Recap) rests on this. Chapter 52 §52.x reuses it (storage_month = round(277 * 0.023, 2)).</t>
  </si>
  <si>
    <t xml:space="preserve">Keep 277 GB (so Ch 52 needs no change) but make the scenario honest. Replace the first sentence with: "Suppose the plant-wide rollout puts 1,460 sensors on the lines, each reporting once a second: 1,460 × 86,400 ≈ 126 million readings a day. Stored as Parquet at the compression this chapter measured (1.3 MB per 216,000 readings, about 6 bytes a reading), a year is 126,000,000 × 365 ÷ 216,000 × 1.3 MB ≈ 277 GB." Add one sentence: "For comparison, today's 40 machines at one reading every 10 seconds produce 126 million readings a *year*, under 1 GB: storage at that size costs nothing." Show the arithmetic as a small Python cell (the reader has Python) so the numbers are reproducible.</t>
  </si>
  <si>
    <t xml:space="preserve">49.2</t>
  </si>
  <si>
    <t xml:space="preserve">§49.8 "0.023perGB − month(typicalobjectstoragelistprice)isabout * *6.40 a month"</t>
  </si>
  <si>
    <t xml:space="preserve">The dollar signs were read as LaTeX math delimiters. The sentence is unreadable, and the same happens in "5perTBscanned,that′sabout * *0.027 a run" and in Answer 9 ("* *1.385 a run", "* *0.0265 a run"). Also 277 × 0.023 = $6.37, which Ch 52 prints, not "6.40".</t>
  </si>
  <si>
    <t xml:space="preserve">Escape the $ signs in the source (e.g. \$) and remove the stray * *…. Corrected text: "Storage: 277 GB at about $0.023 per GB-month (a typical object-storage list price) is about $6.37 a month, roughly ₹530 at ₹83 to the dollar." / "At $5 per TB scanned, that's about $0.027 a run, a few rupees." Answer 9: "0.277 TB × $5 = $1.385 a run, × 30 = $41.55 a month … 0.0053 TB × $5 ≈ $0.0265 a run, × 30 ≈ $0.80 a month." Search the whole book PDF for other $…$ pairs.</t>
  </si>
  <si>
    <t xml:space="preserve">49.3</t>
  </si>
  <si>
    <t xml:space="preserve">§49.5 compaction: LIMIT 9000 appended 24 times</t>
  </si>
  <si>
    <t xml:space="preserve">The demo appends the same 9,000 rows 24 times. So "rows unchanged: 216,000" is really 24 copies of 9,000 rows, and the 2.73 → 0.53 MB shrink comes mostly from dictionary-encoding duplicate rows. That's why 216,000 rows end up at 0.53 MB when the real day is 1.25 MB, a contradiction an alert reader will spot. I reproduced both: duplicate batches give 2.63 → 0.40 MB (×6.5). 24 *distinct* hourly slices give 1.05 → 0.75 MB (×1.4).</t>
  </si>
  <si>
    <t xml:space="preserve">Rewrite the loop to append 24 different hours: for hour in range(24): / batch = con.execute(f"SELECT * FROM 'storage/day.parquet' WHERE hour(reading_ts) = {hour}").arrow().read_all() / write_deltalake("delta_small", batch, mode="append" if hour else "overwrite"). Comment: "# 24 hourly appends, as a streaming job would make". Re-run and replace the outputs (expect about 24 files averaging ~44 KB, ~1.05 MB total → 1 file of ~0.75 MB). Update the "Reading it" text, Recap bullet 6 and Exercise 7/Answer 7, keeping both reasons (per-file overhead; better encoding across more rows) with realistic magnitudes. Drop "because merged data compresses better" as the main reason.</t>
  </si>
  <si>
    <t xml:space="preserve">49.4</t>
  </si>
  <si>
    <t xml:space="preserve">§49.3 "temperature_c takes 219 KB because every value differs"</t>
  </si>
  <si>
    <t xml:space="preserve">False. The values have 2 decimals between 169.88 and 223.06, so there are at most 5,319 distinct values in 122,880 rows. PyArrow reports every column except scrap_flag as PLAIN_DICTIONARY (dictionary) encoded, temperature included (13-bit indices ≈ 200 KB, matching 219 KB). Answer 4 repeats the error ("around 120,000 distinct floating-point values with no repetition"). The reader learns the wrong model of why columns are big or small.</t>
  </si>
  <si>
    <t xml:space="preserve">Rewrite: "temperature_c takes 219 KB because it has thousands of different values (every 0.01 °C between 170 and 223), so each row still needs a 13-bit code into a large dictionary; plant has one value, so each row needs almost nothing." Add col.encodings to the printout so the reader sees PLAIN_DICTIONARY (see 49.10). Fix Answer 4 the same way: "about 5,300 possible values, so a big dictionary and a 13-bit code per row".</t>
  </si>
  <si>
    <t xml:space="preserve">49.5</t>
  </si>
  <si>
    <t xml:space="preserve">§49.3 "row group 0 : 122,880 rows, 0.80 MB on disk"</t>
  </si>
  <si>
    <t xml:space="preserve">total_byte_size is the uncompressed size of the column data. The column chunks shown sum to 689 KB compressed (0.2+0.1+0.1+209.3+219.4+193.8+62.0+4.1). "On disk" is wrong, and the reader can add the column sizes and find a mismatch.</t>
  </si>
  <si>
    <t xml:space="preserve">Either print the on-disk figure, sum(group.column(i).total_compressed_size for i in range(meta.num_columns)) / 1e6 → "0.69 MB on disk", or relabel the existing value "0.80 MB before compression". Then add a short note on the two numbers.</t>
  </si>
  <si>
    <t xml:space="preserve">49.6</t>
  </si>
  <si>
    <t xml:space="preserve">§49.3 "(dictionary encoding)"</t>
  </si>
  <si>
    <t xml:space="preserve">Dictionary encoding, the main reason Parquet is small, gets only a parenthesis. Run-length encoding and bit-packing, which explain plant 0.1 KB and scrap_flag 4.1 KB, are not named. Compression codecs (Snappy, zstd, gzip) are named but not defined. The brief asks for Parquet internals built from zero.</t>
  </si>
  <si>
    <t xml:space="preserve">Add a hand-worked box before the metadata code, "Two layers of shrinking". (1) Encoding: take 8 values of plant → dictionary {0: "Bhiwandi Main"} + codes 0,0,0,0,0,0,0,0 → run-length "8 × 0". Take 8 machine ids M-01,M-01,M-01,M-02,M-02,M-02,M-02,M-03 → dictionary {0:M-01,1:M-02,2:M-03} + runs (3×0)(4×1)(1×2). Take 8 booleans → 1 byte by bit-packing. (2) Compression codec: then Snappy/zstd/gzip squeeze the encoded bytes (define "codec" in one line). Then show the output and point out that for most columns compressed ≈ uncompressed: the encoding did the work.</t>
  </si>
  <si>
    <t xml:space="preserve">49.7</t>
  </si>
  <si>
    <t xml:space="preserve">§49.2 (new) Chapter 2's timing table and compression discussion</t>
  </si>
  <si>
    <t xml:space="preserve">Approved move (Ch 2 fix 2.7): the 500,000-line timing table (CSV 24.1 MB/0.23 s/0.10 s; gzip CSV 4.7 MB; JSON 82.6 MB/1.43 s; Excel 18.3 MB/31.4 s; Parquet 4.3 MB/0.02 s/0.003 s) and the "Compression" paragraphs must land here.</t>
  </si>
  <si>
    <t xml:space="preserve">Where: end of §49.2, after the three-way average and before "When row storage is right". Heading "The same test across formats, with timing". How: (1) a 2-sentence lead: "Chapter 2 introduced Parquet as column-by-column storage. Here is the full measurement: the same 500,000 sales lines (8 columns) saved in five formats and read back with Python on a small two-processor cloud computer." (2) The table unchanged, with a caption stating the dataset is the orders data, not the sensor data. (3) The three reading sentences from Ch 2 (Parquet smallest and ~10× faster; Excel &gt;100× slower because of zipped XML; JSON largest because it repeats 8 names per row). (4) Then use the time module already imported in the first cell (currently unused, see 49.12): a new cell timing SELECT AVG(temperature_c) over day.csv vs day.parquet with time.perf_counter(), printed and explained, so the reader reproduces the pattern on their own machine. Compression: move Ch 2's "Compression" paragraph (gzip CSV 24.1 → 4.7 MB because status repeats) to the new "Two layers of shrinking" box in §49.3 (49.6) as the definition of a codec. Leave lossless vs lossy in Ch 2 (Ch 2 exercise 12 still depends on it) and add one sentence here: "Parquet's codecs are all lossless (Chapter 2)." Add "gzip" and "codec" to Key terms.</t>
  </si>
  <si>
    <t xml:space="preserve">49.8</t>
  </si>
  <si>
    <t xml:space="preserve">§49.1 table "Object storage (S3, GCS, Azure Blob) — Files addressed by key"</t>
  </si>
  <si>
    <t xml:space="preserve">This is the first time object storage appears anywhere in the book, and the rest of the chapter depends on it (small files = "a network round trip apiece", lakehouse, cost). It gets a single table cell. "Key", "bucket", "listing", "can't be edited in place" are not explained. S3/GCS/Azure Blob are named without saying what they are.</t>
  </si>
  <si>
    <t xml:space="preserve">Add a short subsection before the table, "Object storage in five sentences": a bucket is a named container in the cloud; each file (object) is stored under a key such as sensor/reading_date=2025-12-01/part-0.parquet; you can put, get, list and delete whole objects but not change bytes inside one; every request is a network call, so 10,000 tiny objects cost 10,000 calls; Amazon S3, Google Cloud Storage and Azure Blob Storage are the three big services, and Chapter 52 sets one up. Also add "bucket" and "key (object storage)" to Key terms.</t>
  </si>
  <si>
    <t xml:space="preserve">49.9</t>
  </si>
  <si>
    <t xml:space="preserve">§49.4 "Chapter 12 introduced these for PostgreSQL, where you get them by default"</t>
  </si>
  <si>
    <t xml:space="preserve">Wrong. Chapter 12 Step 8 teaches BEGIN/COMMIT/ROLLBACK and says "That guarantee is part of the ACID properties you'll study in Chapter 49". ACID is taught for the first time here.</t>
  </si>
  <si>
    <t xml:space="preserve">Consistency / Sequence</t>
  </si>
  <si>
    <t xml:space="preserve">Replace with: "Chapter 12 showed the first of these with BEGIN, COMMIT and ROLLBACK: the two purchase orders vanished inside the transaction and came back after ROLLBACK. That was atomicity. PostgreSQL gives you all four by default." Then teach the table as new material.</t>
  </si>
  <si>
    <t xml:space="preserve">49.10</t>
  </si>
  <si>
    <t xml:space="preserve">§49.4 table, Consistency: "Half a partition written, so totals don't reconcile"</t>
  </si>
  <si>
    <t xml:space="preserve">This example is an atomicity failure (a partial write). ACID's C means every committed change leaves the data obeying its declared rules (types, NOT NULL, keys, CHECK constraints). The text also says "A table format closes it properly", but Delta and Iceberg give A, I, D and only *schema* enforcement for C (Delta also supports CHECK constraints).</t>
  </si>
  <si>
    <t xml:space="preserve">Consistency row example: "A job writes a reading with no machine_id, or units_made = -3, and nothing stops it". Add after the table: "Table formats give you atomicity, isolation and durability, and enforce the schema (a write with the wrong column types is rejected). Business rules are still Chapter 47's tests."</t>
  </si>
  <si>
    <t xml:space="preserve">49.11</t>
  </si>
  <si>
    <t xml:space="preserve">§49.4/49.5 isolation</t>
  </si>
  <si>
    <t xml:space="preserve">Isolation is claimed ("buys atomicity, isolation…") but never shown or explained for table formats. The reader isn't told what happens when two writers commit at once (optimistic concurrency: the second commit detects the conflict and retries or fails).</t>
  </si>
  <si>
    <t xml:space="preserve">After the "Watch out: the log is the table", add a short paragraph: "Two writers at once: each prepares its files, then tries to write the next log entry (say 00…02.json). Only one can create that file; the other finds it already exists, re-reads the log and retries, or fails if the two changes clash. Readers are never affected: they see version 1 or version 2, never a mixture."</t>
  </si>
  <si>
    <t xml:space="preserve">49.12</t>
  </si>
  <si>
    <t xml:space="preserve">§49.2 first code cell (imports + build + size loop)</t>
  </si>
  <si>
    <t xml:space="preserve">Nine names come in at once (json, os, shutil, sqlite3, time, duckdb, pyarrow.parquet, DeltaTable, write_deltalake), plus a companion import, and most aren't used until later sections. time is never used. from setup_ch49 import build only works if the notebook runs in companion/ch49/, and that isn't said. con = duckdb.connect() (in-memory) isn't explained. The f-string format specs :&lt;12, :&gt;7.1f and :, are unexplained here.</t>
  </si>
  <si>
    <t xml:space="preserve">Split into 3 cells: (1) "Setup": import os / import duckdb / from setup_ch49 import build, with a sentence "Open a notebook in the companion/ch49 folder; setup_ch49.py must sit next to it, and the Chapter 48 dataset must exist (Chapter 48 §48.x)". (2) rows = build(), printing rows, and say what the function writes. (3) The size loop, explaining os.listdir, os.path.getsize, / 1e6 (bytes → MB) and each format spec. Import sqlite3 in the SQLite cell, pyarrow.parquet in §49.3, json/shutil/deltalake in §49.5, time in the new timing cell (49.7).</t>
  </si>
  <si>
    <t xml:space="preserve">49.13</t>
  </si>
  <si>
    <t xml:space="preserve">§49.2 lite = sqlite3.connect("storage/day.sqlite")</t>
  </si>
  <si>
    <t xml:space="preserve">This is the first use of Python's sqlite3 module in the book, and SQLite itself was only named in a list (Ch 12). connect, execute, fetchone()[0] and close() are unexplained, as is the table name readings (created by build()).</t>
  </si>
  <si>
    <t xml:space="preserve">Before the cell: "SQLite is a small row-oriented database that lives in a single file; Python ships with a module, sqlite3, to talk to it. Here it plays the part of an operational (row) store." Explain each line: connect opens the file; execute runs SQL; fetchone() returns the first row as a tuple, [0] takes its first value; close releases the file. Note that build() created a table called readings.</t>
  </si>
  <si>
    <t xml:space="preserve">49.14</t>
  </si>
  <si>
    <t xml:space="preserve">§49.2 CSV = "read_csv('storage/day.csv')" / PARQUET = "'storage/day.parquet'"</t>
  </si>
  <si>
    <t xml:space="preserve">The block builds SQL by pasting strings into f-strings, with nested quotes ("'storage/day.parquet'"). A beginner won't see why the Parquet string needs inner single quotes, or that DuckDB can query a file path directly.</t>
  </si>
  <si>
    <t xml:space="preserve">Add: "DuckDB lets you put a file path where a table name would go. For CSV you call read_csv(...); for Parquet the quoted path alone is enough. We keep each FROM clause in a variable so the query text stays the same." Show the SQL that actually runs: SELECT ROUND(AVG(temperature_c), 2) FROM 'storage/day.parquet'.</t>
  </si>
  <si>
    <t xml:space="preserve">49.15</t>
  </si>
  <si>
    <t xml:space="preserve">§49.3 metadata cell</t>
  </si>
  <si>
    <t xml:space="preserve">A 12-line block that introduces the PyArrow metadata API all at once: ParquetFile, .metadata, num_rows, num_row_groups, num_columns, row_group(i), group.column(i), statistics, path_in_schema, compression, total_compressed_size, stats.min/max, plus the conditional expression stats.min if stats else '-'.</t>
  </si>
  <si>
    <t xml:space="preserve">Split into 3 cells. (1) meta = pq.ParquetFile(...).metadata and the 3 file-level prints, with output. Explain that the footer at the end of the file holds this, so it's read without reading data. (2) group = meta.row_group(0) and its one print. Explain that 122,880 is DuckDB's default row-group size, which is why the day has 2 groups (122,880 + 93,120). (3) The per-column loop, adding col.encodings (49.4/49.6). Explain stats.min if stats else '-' as "print '-' when a column has no statistics".</t>
  </si>
  <si>
    <t xml:space="preserve">49.16</t>
  </si>
  <si>
    <t xml:space="preserve">§49.3 "Choose row group size deliberately (128 MB is a common target)"</t>
  </si>
  <si>
    <t xml:space="preserve">The reader just saw a row group defined by rows (122,880), and now gets a target in MB, with no way to set either.</t>
  </si>
  <si>
    <t xml:space="preserve">Add one line with the knob: "In DuckDB: COPY … TO 'x.parquet' (FORMAT parquet, ROW_GROUP_SIZE 500000); in PyArrow: pq.write_table(table, 'x.parquet', row_group_size=500_000). Row counts translate to MB through your row width: here ~6 bytes a reading, so 128 MB ≈ 20 million readings."</t>
  </si>
  <si>
    <t xml:space="preserve">49.17</t>
  </si>
  <si>
    <t xml:space="preserve">§49.3 "Don't compress with something the reader can't split or doesn't support"</t>
  </si>
  <si>
    <t xml:space="preserve">"Split" is undefined, and it's misleading for Parquet. Splittability matters for whole-file compression (a gzip CSV must be read start to finish by one worker). Parquet compresses each column chunk separately, so every Parquet codec stays splittable at row-group level.</t>
  </si>
  <si>
    <t xml:space="preserve">Rewrite: "Pick a codec every engine you use can read. Snappy is fast and universal, zstd compresses more at some CPU cost, gzip is slowest to read. (Whole-file gzip, as on a .csv.gz, is different: one worker must read the file from the start, which is why Chapter 48's engines prefer Parquet.)"</t>
  </si>
  <si>
    <t xml:space="preserve">49.18</t>
  </si>
  <si>
    <t xml:space="preserve">§49.3 "Sort data by the column people filter on"</t>
  </si>
  <si>
    <t xml:space="preserve">This file is already sorted by plant and machine (row group 0 holds M-01 to M-15 only), and the chapter misses the chance to show it.</t>
  </si>
  <si>
    <t xml:space="preserve">Add one sentence after the output: "This file happens to be sorted by machine: row group 0 holds M-01 to M-15, so a query for M-20 skips it entirely. If rows were shuffled, both row groups would say min=M-01 max=M-25 and nothing could be skipped."</t>
  </si>
  <si>
    <t xml:space="preserve">49.19</t>
  </si>
  <si>
    <t xml:space="preserve">§49.5 "Creating a table" cell</t>
  </si>
  <si>
    <t xml:space="preserve">New at once: .arrow().read_all() (DuckDB returns a PyArrow RecordBatchReader, read_all makes a Table), write_deltalake(path, data, mode=), DeltaTable(path), .to_pyarrow_dataset(), con.register(name, obj), dt.version(), dt.file_uris(), and a generator expression over os.listdir. None are explained line by line. The "Reading it" covers only the output.</t>
  </si>
  <si>
    <t xml:space="preserve">Split into 3 cells. (1) day1 = con.execute(...).arrow().read_all() with print(day1.num_rows, day1.schema). Explain "an Arrow table is the in-memory columnar form that DuckDB, pandas, Polars and deltalake all share". (2) write_deltalake(...): explain each argument and what mode="overwrite" means on an empty folder, then print(os.listdir("delta_readings")) to show the Parquet file and _delta_log. (3) DeltaTable + register: "register gives DuckDB a name for the table's current version; re-register after every write, because a registered dataset is a snapshot". Also explain shutil.rmtree(..., ignore_errors=True) as "start clean on every run".</t>
  </si>
  <si>
    <t xml:space="preserve">49.20</t>
  </si>
  <si>
    <t xml:space="preserve">§49.5 "What's in the log" cell</t>
  </si>
  <si>
    <t xml:space="preserve">Nested JSON parsing (json.loads of a string inside JSON: stats, schemaString), next(iter(action)), and a dict comprehension with a filter, all in one loop. The log's raw form is never shown.</t>
  </si>
  <si>
    <t xml:space="preserve">First show 4 raw lines of the log file, truncated (print(open(path).read()[:600])), so the reader sees one JSON object per line. Then build the loop: kind = next(iter(action)) explained as "each line has one key: the action's kind". Explain stats and schemaString as JSON text stored inside JSON, hence the second json.loads.</t>
  </si>
  <si>
    <t xml:space="preserve">49.21</t>
  </si>
  <si>
    <t xml:space="preserve">§49.5 correction and time-travel cells: WHERE machine_id = 'M07'</t>
  </si>
  <si>
    <t xml:space="preserve">Twice (lines 347 and 370 in the extract), the filter reads 'M07' with no hyphen. That matches no rows, AVG returns NULL, and round(None, 2) raises TypeError. It may be a hyphen lost at a line break in extraction, but it must be checked in the PDF source.</t>
  </si>
  <si>
    <t xml:space="preserve">Check the source. If it really is 'M07', change it to 'M-07'. Either way, avoid breaking a string literal across lines: put the SQL in a variable m07_avg = "SELECT AVG(temperature_c) FROM readings_delta WHERE machine_id = 'M-07'".</t>
  </si>
  <si>
    <t xml:space="preserve">49.22</t>
  </si>
  <si>
    <t xml:space="preserve">§49.5 correction: SELECT * REPLACE (temperature_c + 1.5 AS temperature_c) and predicate=</t>
  </si>
  <si>
    <t xml:space="preserve">* REPLACE is DuckDB-only syntax and new. The predicate argument, the key idea (replace only matching rows), gets no line explanation. before is computed after corrected for no reason.</t>
  </si>
  <si>
    <t xml:space="preserve">Split: (1) before (the M-07 average from the original file) with output 196.0. (2) corrected = …, explaining * REPLACE: "all columns, but swap temperature_c for a new expression; standard SQL would list all 8 columns", and printing corrected.num_rows → 8,640. (3) write_deltalake(..., mode="overwrite", predicate="machine_id = 'M-07'"): "delete the rows matching the predicate and add these rows, in one commit. Rows for the other 24 machines are kept." (4) The checks.</t>
  </si>
  <si>
    <t xml:space="preserve">49.23</t>
  </si>
  <si>
    <t xml:space="preserve">§49.5 Time travel</t>
  </si>
  <si>
    <t xml:space="preserve">The text promises "you restore the previous version instead of rebuilding from source" (and Ch 47's rollback), but no restore is shown. Vacuum is described but never run, and project step 8 asks for a retention policy.</t>
  </si>
  <si>
    <t xml:space="preserve">Add two short cells. (1) dt.restore(0) then print(DeltaTable("delta_readings").version()) → 2, with the M-07 average back to 196.0. Explain that restore is a new commit, so history keeps it. (Then restore again or recreate before the schema cell, so later outputs still match.) (2) dt.vacuum(retention_hours=168, dry_run=True) printing the files it *would* delete. Explain dry_run and why the default refuses retention below 7 days (enforce_retention_duration).</t>
  </si>
  <si>
    <t xml:space="preserve">49.24</t>
  </si>
  <si>
    <t xml:space="preserve">§49.5 Schema changes cell</t>
  </si>
  <si>
    <t xml:space="preserve">EXTRACT(hour FROM reading_ts) and CASE WHEN inside DuckDB, schema_mode="merge", dt.schema().to_arrow().names all at once. The claim "existing rows have shift as NULL" is not shown.</t>
  </si>
  <si>
    <t xml:space="preserve">Add print(con.execute("SELECT shift, COUNT(*) FROM readings_delta GROUP BY shift").fetchall()) → [(None, 216000), ('A', 4320), ('B', 4320)] so the NULLs are visible. Explain schema_mode="merge" vs the default (the append would be rejected). Show the error once, in one line, as the "without merge" case.</t>
  </si>
  <si>
    <t xml:space="preserve">49.25</t>
  </si>
  <si>
    <t xml:space="preserve">§49.5 file_report</t>
  </si>
  <si>
    <t xml:space="preserve">u.replace("file://", "") breaks on Windows (URIs are file:///C:/…, leaving /C:/…). Most beginners in this book are on Windows (Ch 6/17).</t>
  </si>
  <si>
    <t xml:space="preserve">Use from urllib.parse import urlparse / from urllib.request import url2pathname → url2pathname(urlparse(u).path). Or simpler: sizes = pa.table(dt.get_add_actions(flatten=True)).column("size_bytes").to_pylist() (verified in deltalake 1.6; get_add_actions returns an arro3 table, hence pa.table(...) with import pyarrow as pa), which reads sizes from the log, reinforcing "the log is the table". The same fix applies to Ch 50 §50.6.</t>
  </si>
  <si>
    <t xml:space="preserve">49.26</t>
  </si>
  <si>
    <t xml:space="preserve">§49.5 output "after : 1 files"</t>
  </si>
  <si>
    <t xml:space="preserve">Grammar ("1 files") in the output, and again in Ch 50.</t>
  </si>
  <si>
    <t xml:space="preserve">print(f"{label}: {len(sizes)} file{'s' if len(sizes) != 1 else ''} …"), or accept it and don't repeat "1 files" in the prose ("compaction merged them into one file").</t>
  </si>
  <si>
    <t xml:space="preserve">49.27</t>
  </si>
  <si>
    <t xml:space="preserve">Figure 49.2</t>
  </si>
  <si>
    <t xml:space="preserve">The figure's version 0 has two files (part-0000, part-0001) and a "remove part-0001 / add part-0002" correction. The code's version 0 has one file and the correction replaces it. Readers who compare the figure with the output get confused.</t>
  </si>
  <si>
    <t xml:space="preserve">Either redraw version 0 with one file (part-0000, 1.25 MB); version 1: remove part-0000, add part-0001 (M-07 corrected); version 2: add part-0002 (append), or caption the figure "an illustrative table, not the one built below".</t>
  </si>
  <si>
    <t xml:space="preserve">49.28</t>
  </si>
  <si>
    <t xml:space="preserve">§49.6 partitioning; Project step 2 "partitioned by reading_date"</t>
  </si>
  <si>
    <t xml:space="preserve">Partitioning a Delta table is never shown in code (partition_by=), yet the project asks for it. day.parquet has no reading_date column (in Ch 48 it was the folder name), so the reader must derive it without being shown how.</t>
  </si>
  <si>
    <t xml:space="preserve">Add a short cell at the end of §49.6: data = con.execute("SELECT *, CAST(reading_ts AS DATE) AS reading_date FROM 'storage/day.parquet'").arrow().read_all() / write_deltalake("delta_by_date", data, partition_by=["reading_date"], mode="overwrite") / print(os.listdir("delta_by_date")) → ['_delta_log', 'reading_date=2025-12-01']. Explain the column=value folder naming (links to Ch 48 PartitionFilters).</t>
  </si>
  <si>
    <t xml:space="preserve">49.29</t>
  </si>
  <si>
    <t xml:space="preserve">§49.6 "Aim for partitions of at least a few hundred MB" vs §49.9/Answer 10 "partitioned by date"</t>
  </si>
  <si>
    <t xml:space="preserve">Riverstone's day is ~2 MB (40 machines × 8,640 × 6 bytes). Daily partitions break the chapter's own rule by 100×, and Answer 10's "target 256 MB files, which at 40 machines × 8,640 readings a day is a handful of files per day" is wrong: a day is under 1% of one such file.</t>
  </si>
  <si>
    <t xml:space="preserve">Add to §49.6: "Rules of thumb are for big tables. Riverstone's whole year is under 1 GB, so partition by month (or not at all) and let row-group statistics do the rest; switch to daily partitions when a day reaches a few hundred MB." Update §49.9's Riverstone recommendation and Answer 10 to match. Answer 10 (5 years × 40 machines ≈ 3.8 GB): "partition by month (60 partitions), one or two files per month, sorted by machine then time".</t>
  </si>
  <si>
    <t xml:space="preserve">49.30</t>
  </si>
  <si>
    <t xml:space="preserve">§49.7 warehouse table</t>
  </si>
  <si>
    <t xml:space="preserve">Around 15 product terms are used without definition: virtual warehouse, slots, micro-partitions, clustering keys, sort keys, distribution styles, WLM, RPU, serverless workgroup, node-hour, auto-suspend. "Compute you rent by the second" is also not linked to anything the reader has run.</t>
  </si>
  <si>
    <t xml:space="preserve">First-time reader / Load</t>
  </si>
  <si>
    <t xml:space="preserve">Keep the table but add a one-line gloss under it for each non-obvious term (e.g. "Slot: BigQuery's unit of query compute; think of it as one worker"; "WLM, workload management: queues that stop one heavy query starving the rest"; "RPU: Redshift Processing Unit, serverless compute billed per second"). Or cut the row "You tune by" to plain words, and say explicitly that product names and units are for recognition only; Ch 65 treats billing.</t>
  </si>
  <si>
    <t xml:space="preserve">49.31</t>
  </si>
  <si>
    <t xml:space="preserve">Where this leads: "Chapter 63, Designing Automation &amp; Integration Architecture, and Chapter 62 (the economics of data platforms)"</t>
  </si>
  <si>
    <t xml:space="preserve">Known: economics = Ch 65 (FinOps). New: Ch 63 is "Automation Architecture &amp; Governance" and doesn't build on §49.8. Ch 62 (Data Architecture Patterns) is where lakehouse/medallion is taught, so that is the right pointer.</t>
  </si>
  <si>
    <t xml:space="preserve">Replace the bullet with: "Chapter 62, Data Architecture Patterns, organizes a lakehouse into the medallion layers, and Chapter 65, FinOps: The Economics of Data Platforms, builds on section 49.8's cost arithmetic." Also fix the same wrong title in Ch 52 line ~986 ("Chapter 62, The Economics of Data Platforms, and Chapter 65, FinOps") → "Chapter 65, FinOps: The Economics of Data Platforms".</t>
  </si>
  <si>
    <t xml:space="preserve">49.32</t>
  </si>
  <si>
    <t xml:space="preserve">§49.8 "Chapter 52 covers cloud cost management properly"</t>
  </si>
  <si>
    <t xml:space="preserve">Ch 52 covers container compute cost (one worked estimate). The proper treatment is Ch 65.</t>
  </si>
  <si>
    <t xml:space="preserve">"…check your provider's calculator. Chapter 52 adds compute to this estimate, and Chapter 65 (FinOps) covers cost management properly."</t>
  </si>
  <si>
    <t xml:space="preserve">49.33</t>
  </si>
  <si>
    <t xml:space="preserve">§49.8 "At $5 per TB scanned"</t>
  </si>
  <si>
    <t xml:space="preserve">BigQuery on-demand list price has been $6.25/TB since 2023. The chapter has a simplification note, but it's better to be current and say so.</t>
  </si>
  <si>
    <t xml:space="preserve">Use $6.25 and recompute (5.3 GB → $0.033; 277 GB → $1.73; ratio unchanged at 52), or keep $5 and say "a round $5 per TB (BigQuery's list price is currently a little higher)". Update Exercise/Answer 9 to match.</t>
  </si>
  <si>
    <t xml:space="preserve">49.34</t>
  </si>
  <si>
    <t xml:space="preserve">Delete the sentence.</t>
  </si>
  <si>
    <t xml:space="preserve">49.35</t>
  </si>
  <si>
    <t xml:space="preserve">Exercise 12 (Delta vs Iceberg: engine support, catalogs, column ids, Unity Catalog, Trino, Athena)</t>
  </si>
  <si>
    <t xml:space="preserve">The chapter never teaches Iceberg's metadata, catalogs, column-id renames, Trino/Athena or Unity Catalog. The model answer relies on outside knowledge, so a first-time reader can't answer it from the chapter.</t>
  </si>
  <si>
    <t xml:space="preserve">Either add a half-page "Iceberg in one page" to §49.5 (metadata files → manifest lists → manifests → data files; catalog; hidden partitioning; column ids), or reword Exercise 12 as research ("Using each project's documentation, compare…") and mark it "requires reading beyond this chapter".</t>
  </si>
  <si>
    <t xml:space="preserve">49.36</t>
  </si>
  <si>
    <t xml:space="preserve">§49.5 "deltalake (the Rust implementation)"; Tools "No Spark, no cloud account, no JVM"</t>
  </si>
  <si>
    <t xml:space="preserve">"Rust" isn't explained. It doesn't matter to the reader beyond "no Java needed".</t>
  </si>
  <si>
    <t xml:space="preserve">"…through the deltalake Python package, which needs no Spark and no Java (JVM) installed, unlike Chapter 48." Drop "Rust".</t>
  </si>
  <si>
    <t xml:space="preserve">49.37</t>
  </si>
  <si>
    <t xml:space="preserve">Figure 49.1 row labels "machin plant line_t readin temper pressu units_ scrap_"</t>
  </si>
  <si>
    <t xml:space="preserve">The column names are cut to 6 characters, which reads as a glitch.</t>
  </si>
  <si>
    <t xml:space="preserve">Use full names in a smaller font, or short labels with a key (id, plant, line, ts, temp, pres, units, scrap).</t>
  </si>
  <si>
    <t xml:space="preserve">49.38</t>
  </si>
  <si>
    <t xml:space="preserve">Tools "(pip install deltalake)" (glance) vs "(pip install deltalake duckdb pyarrow)" (Tools)</t>
  </si>
  <si>
    <t xml:space="preserve">Two different install lines. Neither says to run it in the Ch 17 virtual environment's terminal, and DuckDB/PyArrow versions matter (.arrow() returns a RecordBatchReader only in DuckDB ≥ 1.4).</t>
  </si>
  <si>
    <t xml:space="preserve">One line in both places: "In your project's virtual environment (Chapter 17): pip install "deltalake&gt;=1.6" "duckdb&gt;=1.4" "pyarrow&gt;=21"".</t>
  </si>
  <si>
    <t xml:space="preserve">V49.1</t>
  </si>
  <si>
    <t xml:space="preserve">p. 14 · "A worked estimate for Riverstone", Storage and Query-cost bullets</t>
  </si>
  <si>
    <t xml:space="preserve">Dollar signs were read as TeX maths. The bullets print "0.023*perGB − month(typicalobjectstoragelistprice)isabout* 6.40 a month" and "At 5*perTBscanned,that'sabout* * *0.027 a run". The two central numbers of the section cannot be read.</t>
  </si>
  <si>
    <t xml:space="preserve">Escape "$" (\$) or turn off $…$ maths in the Markdown→PDF step; rebuild and recheck.</t>
  </si>
  <si>
    <t xml:space="preserve">V49.2</t>
  </si>
  <si>
    <t xml:space="preserve">p. 21 · Answer 9</t>
  </si>
  <si>
    <t xml:space="preserve">The same fault: "277 GB = 0.277 TB × 5 = * *1.385 a run, × 30 = …" and "≈ * *0.0265 a run".</t>
  </si>
  <si>
    <t xml:space="preserve">As V49.1.</t>
  </si>
  <si>
    <t xml:space="preserve">V49.3</t>
  </si>
  <si>
    <t xml:space="preserve">p. 9 · Figure 49.2 (folder + log)</t>
  </si>
  <si>
    <t xml:space="preserve">The arrows from the log point at the wrong files. The version 1 arrow ("add part-0002") points at part-0003. The version 2 arrow ("add part-0003") points at empty space below the file list. The version 0 arrow points only at part-0001. The figure exists to show which files each version holds, so the arrows mislead.</t>
  </si>
  <si>
    <t xml:space="preserve">Point each arrow at the files it adds (or use one arrow per added file); align the file rows with the version boxes.</t>
  </si>
  <si>
    <t xml:space="preserve">V49.4</t>
  </si>
  <si>
    <t xml:space="preserve">p. 5 · Figure 49.1 (row vs columnar)</t>
  </si>
  <si>
    <t xml:space="preserve">Text is 4.5–6.9 pt. The row-oriented cells cut field names to 6 characters ("machin", "temper", "pressu", "scrap_"), which reads as clipping rather than a design choice.</t>
  </si>
  <si>
    <t xml:space="preserve">Redraw at 7 pt minimum. Use full or abbreviated names with a key, or show only the highlighted column name.</t>
  </si>
  <si>
    <t xml:space="preserve">V49.5</t>
  </si>
  <si>
    <t xml:space="preserve">p. 9 · Figure 49.2</t>
  </si>
  <si>
    <t xml:space="preserve">Text is 5.2–6.6 pt; the log contents in monospace are the smallest.</t>
  </si>
  <si>
    <t xml:space="preserve">V49.6</t>
  </si>
  <si>
    <t xml:space="preserve">p. 8 · Page after section 49.5 intro</t>
  </si>
  <si>
    <t xml:space="preserve">About 35% of the page is blank because Figure 49.2 moved to p. 9.</t>
  </si>
  <si>
    <t xml:space="preserve">Let the text flow around the figure (float), or shrink the figure's height.</t>
  </si>
  <si>
    <t xml:space="preserve">V49.7</t>
  </si>
  <si>
    <t xml:space="preserve">p. 10, 11 · Code: "An atomic correction", "Time travel"</t>
  </si>
  <si>
    <t xml:space="preserve">Long con.execute(...) lines wrap inside the string literal: 'M- ends one line and 07'").fetchone() starts the next at column 0. A reader who copies the code gets a broken SQL literal.</t>
  </si>
  <si>
    <t xml:space="preserve">Hard-wrap these lines by hand (break before .fetchone()), or set code to no-wrap with a smaller size or a continuation marker.</t>
  </si>
  <si>
    <t xml:space="preserve">V49.8</t>
  </si>
  <si>
    <t xml:space="preserve">p. 9, 10, 11, 12 · Code blocks</t>
  </si>
  <si>
    <t xml:space="preserve">Other long lines and trailing comments wrap to column 0 with no marker. Examples: records") and "columns") (p. 10), f.endswith(".json"))) (p. 9), [0], 2)) (p. 11), and the comment tail make (p. 12). They look like separate statements.</t>
  </si>
  <si>
    <t xml:space="preserve">As V49.7: pre-wrap with hanging indent, or add a ↩ marker in the code style.</t>
  </si>
  <si>
    <t xml:space="preserve">V49.9</t>
  </si>
  <si>
    <t xml:space="preserve">p. 19 · Exercises 10–14</t>
  </si>
  <si>
    <t xml:space="preserve">The leading "1" of the two-digit numbers is clipped at the left edge of the list box, so the numbers read "l0.", "l1."…</t>
  </si>
  <si>
    <t xml:space="preserve">Widen the list's number gutter for ≥ 10 items (e.g., padding-left: 2.2em), or allow overflow.</t>
  </si>
  <si>
    <t xml:space="preserve">V49.10</t>
  </si>
  <si>
    <t xml:space="preserve">"Draft chapter" badge, "18 September 2026", "Every output from a real run".</t>
  </si>
  <si>
    <t xml:space="preserve">Remove for print, or align with the other chapters.</t>
  </si>
  <si>
    <t xml:space="preserve">V49.11</t>
  </si>
  <si>
    <t xml:space="preserve">V49.12</t>
  </si>
  <si>
    <t xml:space="preserve">p. 5→6 · Lead-in</t>
  </si>
  <si>
    <t xml:space="preserve">"The companion script writes one day of sensor readings three ways:" ends p. 5; the code is on p. 6.</t>
  </si>
  <si>
    <t xml:space="preserve">V49.13</t>
  </si>
  <si>
    <t xml:space="preserve">p. 6 · Heading 49.3</t>
  </si>
  <si>
    <t xml:space="preserve">"49.3 Inside a Parquet file" and one sentence sit at the page foot; the code starts on p. 7.</t>
  </si>
  <si>
    <t xml:space="preserve">Keep heading and intro with the first block.</t>
  </si>
  <si>
    <t xml:space="preserve">V49.14</t>
  </si>
  <si>
    <t xml:space="preserve">p. 13→14 · Lead-in</t>
  </si>
  <si>
    <t xml:space="preserve">"Two habits matter in all of them." is the last line of p. 13; its bullets are on p. 14.</t>
  </si>
  <si>
    <t xml:space="preserve">V49.15</t>
  </si>
  <si>
    <t xml:space="preserve">p. 5 · Figure 49.1</t>
  </si>
  <si>
    <t xml:space="preserve">The two conclusions are told apart only by red and green text.</t>
  </si>
  <si>
    <t xml:space="preserve">Add an icon or label ("✗ reads everything" / "✓ reads one stripe").</t>
  </si>
  <si>
    <t xml:space="preserve">V49.16</t>
  </si>
  <si>
    <t xml:space="preserve">p. 21 · Answer 10</t>
  </si>
  <si>
    <t xml:space="preserve">The inline-code pill adds a space before punctuation: "reading_date ,", "machine_id , then".</t>
  </si>
  <si>
    <t xml:space="preserve">Remove the trailing pill margin before punctuation.</t>
  </si>
  <si>
    <t xml:space="preserve">V49.17</t>
  </si>
  <si>
    <t xml:space="preserve">p. 6–12 · Code styling</t>
  </si>
  <si>
    <t xml:space="preserve">Input code and printed output use the same grey rule and background.</t>
  </si>
  <si>
    <t xml:space="preserve">Give output blocks a distinct style (label or rule colour).</t>
  </si>
  <si>
    <t xml:space="preserve">V49.18</t>
  </si>
  <si>
    <t xml:space="preserve">p. 20 · Answers</t>
  </si>
  <si>
    <t xml:space="preserve">The editorial note "(In the finished book these move to Appendix G.)" is visible.</t>
  </si>
  <si>
    <t xml:space="preserve">50.1</t>
  </si>
  <si>
    <t xml:space="preserve">Figure 50.1 partitions 0 and 1</t>
  </si>
  <si>
    <t xml:space="preserve">Partition 0 shows M-12, M-03, M-12, M-03… and partition 1 shows M-03, M-12, M-03, M-07, M-21, M-07. M-03 and M-12 appear in both partitions, which contradicts the figure's own caption ("M-07 always lands in the same one") and the chapter's central rule.</t>
  </si>
  <si>
    <t xml:space="preserve">Redraw so each key sits in one partition only. Partition 0: M-03, M-12, M-03, M-12, M-03, M-12 (offsets 0–5). Partition 1: M-07, M-21, M-07, M-21, M-07, M-21. Producers box: arrows from M-03/M-12 to partition 0, and from M-07/M-21 to partition 1. This matches the code (M-07 → partition 1).</t>
  </si>
  <si>
    <t xml:space="preserve">50.2</t>
  </si>
  <si>
    <t xml:space="preserve">Figure 50.2 "batch 2 … windows 00:00-00:05 and 00:05-00:10 close"</t>
  </si>
  <si>
    <t xml:space="preserve">False. Window 00:05–00:10 ends at 00:10:00, after the watermark 00:09:50, so it stays open. The printed output after batch 2 shows only the 00:00–00:05 rows, and 00:05–00:10 appears only after batch 3. The figure also doesn't make clear that the watermark computed at the end of one batch governs the next.</t>
  </si>
  <si>
    <t xml:space="preserve">Change the batch 2 line to "batch 2: newest event 00:19:50 → watermark 00:09:50 after the batch; window 00:00–00:05 (end 00:05 ≤ 00:09:50) is final and written; 00:05–00:10 (end 00:10) must wait." Batch 3 line: "watermark in force 00:09:50: the 00:02 stragglers are older than it and dropped; after the batch, watermark 00:19:50 and windows 00:05–00:10 and 00:10–00:15 are written." Rewrite the "arrived first, so they count" phrase as "arrived while the watermark was still 23:59:50, so they count."</t>
  </si>
  <si>
    <t xml:space="preserve">50.3</t>
  </si>
  <si>
    <t xml:space="preserve">§50.5 "Reading it" after progress: "moved the watermark to 00:09:50"</t>
  </si>
  <si>
    <t xml:space="preserve">That batch (id 4, the batch-3 run) ran *with* watermark 00:09:50 and moved it to 00:19:50, as the preceding "Reading it" says ("By batch 3 the watermark has moved to 00:19:50"). The code's label "watermark after" is misleading too: eventTime.watermark in a progress report is the watermark in force *during* that batch.</t>
  </si>
  <si>
    <t xml:space="preserve">Change the code label to watermark used. Rewrite: "The batch processed 1,506 rows (1,500 on time + 6 late) using watermark 00:09:50, which is why the six 00:02 readings were dropped; at the end of the batch the watermark advanced to 00:19:50." Also explain "batch 4": batch ids count every micro-batch across all three runs, including the no-data batches Spark adds to emit windows.</t>
  </si>
  <si>
    <t xml:space="preserve">50.4</t>
  </si>
  <si>
    <t xml:space="preserve">§50.5 "(Sliding windows overlap; session windows group activity separated by gaps.)"</t>
  </si>
  <si>
    <t xml:space="preserve">Tumbling, sliding and session windows are key terms, and the project's stretch goal uses a session window, but only tumbling is used, and no window type has a by-hand example.</t>
  </si>
  <si>
    <t xml:space="preserve">Before the code, add "Three kinds of window, by hand" with one event timeline: readings at 00:01, 00:03, 00:04, 00:07, 00:13, 00:14, 00:21, 00:22. Tumbling 5 min: [00:00–00:05) 3, [00:05–00:10) 1, [00:10–00:15) 2, [00:15–00:20) no row, [00:20–00:25) 2; each event counted once. Sliding 10 min every 5 min: [23:55–00:05) 3, [00:00–00:10) 4, [00:05–00:15) 3, [00:10–00:20) 2, [00:15–00:25) 2, [00:20–00:30) 2; each event counted twice. Session, gap 5 min: {01,03,04,07} → session 00:01–00:12 (4), {13,14} → 00:13–00:19 (2), {21,22} → 00:21–00:27 (2). Then one line of code each: F.window("event_time", "5 minutes"), F.window("event_time", "10 minutes", "5 minutes"), F.session_window("event_time", "5 minutes"), and "this chapter uses tumbling".</t>
  </si>
  <si>
    <t xml:space="preserve">50.5</t>
  </si>
  <si>
    <t xml:space="preserve">§50.5 watermark introduced by one sentence + Figure 50.2</t>
  </si>
  <si>
    <t xml:space="preserve">No step-by-step by-hand watermark trace before the code. The rule (watermark = latest event time seen − delay, updated at the *end* of each micro-batch; a window is final when its end ≤ watermark; an event older than the watermark in force is dropped) is never stated in one place. The reader has to infer it from outputs and Answer 7.</t>
  </si>
  <si>
    <t xml:space="preserve">Add a 3-row hand table before the code: columns *batch, events arriving (event times), watermark in force, late events: kept/dropped, newest event, watermark after, windows written (append)*. Row 1: 00:00–00:09:50 · −∞ · — · 00:09:50 · 23:59:50 · none. Row 2: 00:10–00:19:50 + six at 00:02 · 23:59:50 · kept (00:02 &gt; 23:59:50) · 00:19:50 · 00:09:50 · 00:00–00:05. Row 3: 00:20–00:29:50 + six at 00:02 · 00:09:50 · dropped (00:02 &lt; 00:09:50) · 00:29:50 · 00:19:50 · 00:05–00:10, 00:10–00:15. State the rule in one boxed sentence above it. The code outputs then confirm the table.</t>
  </si>
  <si>
    <t xml:space="preserve">50.6</t>
  </si>
  <si>
    <t xml:space="preserve">§50.5 "A watermark is the promise…"</t>
  </si>
  <si>
    <t xml:space="preserve">Ch 45 used "watermark" for the stored high-water mark of an incremental load (MAX(order_id), updated_at &gt; watermark). A reader who remembers Ch 45 will be confused.</t>
  </si>
  <si>
    <t xml:space="preserve">Add a "Watch out: same word, different job": "In Chapter 45 a watermark was the highest ID or timestamp a batch load had already read. In streaming it is a moving cut-off in event time: 'I've seen events up to 00:19:50; I'll wait 10 more minutes for stragglers.' Both mark 'how far we've got', but a streaming watermark decides what gets dropped."</t>
  </si>
  <si>
    <t xml:space="preserve">50.7</t>
  </si>
  <si>
    <t xml:space="preserve">§50.2 first = se.batch(600, minute_from=0, minute_to=1) # the first minute of 1 December → "events produced: 300"</t>
  </si>
  <si>
    <t xml:space="preserve">The call asks for 600 and gets 300. The comment says "first minute" but 300 = 25 machines × 6 readings × 2 minutes (minute_to is inclusive). Later, se.batch(50, …, machine="M-07") produces 6. The first argument's meaning (apparently a cap) is never explained, and sensor_events is never introduced.</t>
  </si>
  <si>
    <t xml:space="preserve">Before first use, add a small table of the companion helpers. se.batch(n, minute_from, minute_to, machine=None) → "up to n readings with event times from minute_from to minute_to inclusive, 6 per machine per minute". se.write_batch(folder, filename, events) → "writes events as one JSON-lines file". Show one event: print(first[0]). Fix the comment to "# the first two minutes (00:00 to 00:01:50)", or change the call to minute_to=0 and re-run, and either drop the cap argument or explain it. Same for late/very_late: comment "(6 readings: M-07 × 1 minute)".</t>
  </si>
  <si>
    <t xml:space="preserve">50.8</t>
  </si>
  <si>
    <t xml:space="preserve">§50.2 "The companion's MessageLog implements exactly these ideas"</t>
  </si>
  <si>
    <t xml:space="preserve">mini_log.py is "80 lines" but never shown, and its API (produce, consume, commit, committed, end_offsets, partition_for; the message dict keys partition/offset/key/value; the return value (messages, new_offsets)) is used without a description. The reader can't tell what "consume" does or what a committed offset *is* (the next offset to read, not the last one read).</t>
  </si>
  <si>
    <t xml:space="preserve">Add an API table before the first cell (method → what it does → Kafka equivalent). Show print(messages[0]) → {'partition': 1, 'offset': 0, 'key': 'M-07', 'value': {...}}. Add one sentence: "A committed offset is the position of the next message the group will read: committing {0: 144, 1: 156} means 'read everything before these'." Point to the file in Appendix E so curious readers can read the 80 lines, and say which parts (hashing a key to a partition; a JSON file of committed offsets) map to Kafka.</t>
  </si>
  <si>
    <t xml:space="preserve">50.9</t>
  </si>
  <si>
    <t xml:space="preserve">§50.2 figure/§50.3 no by-hand timeline for offsets and delivery semantics</t>
  </si>
  <si>
    <t xml:space="preserve">Offsets, commits, at-most-once and at-least-once are explained in prose only. At-most-once is never demonstrated. The brief asks for a tiny by-hand timeline before code.</t>
  </si>
  <si>
    <t xml:space="preserve">Add a 5-offset hand trace. Log: offsets 0–4. At-least-once: read 0–4 → send alerts for 1 and 3 → CRASH → (no commit) → restart at 0 → alerts 1 and 3 sent again → commit 5. At-most-once: read 0–4 → commit 5 → CRASH before sending → restart at 5 → alerts 1 and 3 never sent. Two columns, "lost" and "duplicated", make the trade visible. Then the code.</t>
  </si>
  <si>
    <t xml:space="preserve">50.10</t>
  </si>
  <si>
    <t xml:space="preserve">§50.3 seen = set() / send_once</t>
  </si>
  <si>
    <t xml:space="preserve">The de-dup set lives in the Python process's memory. In a real crash-and-restart it's empty again and the 82 alerts go out twice anyway. The demo works only because it doesn't restart Python. The text then says "The fix is the same as Chapter 46's delivery log", which is persisted. The reader may copy an in-memory fix into production.</t>
  </si>
  <si>
    <t xml:space="preserve">After the output, add: "Here seen survives only because we didn't really restart Python. In production the seen-keys must be stored where a restart can read them (a table, or a key-value store with expiry), and written in the same step as the send. That's Chapter 46's delivery log." Optionally persist it with a tiny SQLite/DuckDB table in the cell (CREATE TABLE IF NOT EXISTS sent(key TEXT PRIMARY KEY), INSERT … ON CONFLICT DO NOTHING) and simulate a restart by re-creating the object.</t>
  </si>
  <si>
    <t xml:space="preserve">50.11</t>
  </si>
  <si>
    <t xml:space="preserve">§50.3 log.commit("alerting", {0: 0, 1: 0}) # a second group, starting at the beginning</t>
  </si>
  <si>
    <t xml:space="preserve">This isn't explained: a new group has no committed offset and starts at the beginning anyway (as scrap-monitor did). The output earlier showed committed offsets as {'0': 144, '1': 156} (string keys), while commits are passed int keys, and the difference isn't mentioned.</t>
  </si>
  <si>
    <t xml:space="preserve">Either delete the line and say "a new group has no committed offsets, so it starts from the beginning", or explain it as "reset this group to the start explicitly". Add a note on the string keys: "offsets are saved as JSON, whose keys are always text, so partition 0 prints as '0'".</t>
  </si>
  <si>
    <t xml:space="preserve">50.12</t>
  </si>
  <si>
    <t xml:space="preserve">§50.2 print("read :", …, log.committed("scrap-monitor") or "the beginning")</t>
  </si>
  <si>
    <t xml:space="preserve">The x or "default" idiom and sum(1 for e in events if …) generator in hot_readings are unexplained here.</t>
  </si>
  <si>
    <t xml:space="preserve">One line each: "or returns the right-hand value when the left is empty (no committed offsets yet)"; "sum(1 for … if …) counts the items that pass the test".</t>
  </si>
  <si>
    <t xml:space="preserve">50.13</t>
  </si>
  <si>
    <t xml:space="preserve">§50.3 Kafka block</t>
  </si>
  <si>
    <t xml:space="preserve">About 15 new things in one block that isn't executed: kafka-python install, KafkaProducer/KafkaConsumer, bootstrap_servers, key/value serializers, acks, retries, enable_idempotence, group_id, auto_offset_reset, enable_auto_commit, value_deserializer, max_poll_records, iter(lambda: consumer.poll(timeout_ms=1000), None), nested batch.items(). events and handle are undefined. poll never returns None, so the iter sentinel idiom is an obscure way to write an infinite loop. "broker" and "replica" are used but never defined.</t>
  </si>
  <si>
    <t xml:space="preserve">Split into two cells, producer and consumer, each followed by a parameter table (argument → value here → what it does → what goes wrong if you change it). Replace the loop with while True: / batch = consumer.poll(timeout_ms=1000)  # {partition: [records]}, empty if nothing arrived / for partition, records in batch.items(): … / consumer.commit(). Add def handle(value): print(value["machine_id"], value["temperature_c"]) and events = first (from §50.2) so the code is complete. Define broker ("a Kafka server that stores partitions") and replica ("a copy of a partition on another broker") in the §50.2 terms table. Change the acks="all" comment to "wait until all in-sync replicas have it".</t>
  </si>
  <si>
    <t xml:space="preserve">50.14</t>
  </si>
  <si>
    <t xml:space="preserve">"A note on Kafka … No Kafka installation needed"; Tools</t>
  </si>
  <si>
    <t xml:space="preserve">There are no instructions at all for running a real broker, even optionally, although Java 17/21 is already installed for Spark and Kafka 4.x runs from a tarball. Stretch goal "Run the whole thing against a real broker if you have one" gives no path.</t>
  </si>
  <si>
    <t xml:space="preserve">Add an optional box at the end of §50.3, "Running a real broker on your laptop (optional, 20 minutes)": download Kafka 4.x from kafka.apache.org; in WSL/macOS/Linux terminal (Ch 26 §26.0 / Ch 34): KAFKA_CLUSTER_ID="$(bin/kafka-storage.sh random-uuid)"; bin/kafka-storage.sh format --standalone -t $KAFKA_CLUSTER_ID -c config/server.properties; bin/kafka-server-start.sh config/server.properties; in a second terminal bin/kafka-topics.sh --create --topic sensor-readings --partitions 2 --bootstrap-server localhost:9092. Then the Kafka block runs with bootstrap_servers=["localhost:9092"]. Explain each command in one line. Add "Chapter 52 shows the same broker in a container."</t>
  </si>
  <si>
    <t xml:space="preserve">50.15</t>
  </si>
  <si>
    <t xml:space="preserve">§50.4 first Spark cell</t>
  </si>
  <si>
    <t xml:space="preserve">New at once: types as T, StructType/StructField with four types (StructType doesn't appear in Ch 48), three .config keys, setLogLevel, the rmtree/makedirs loop on one line with ;, se.write_batch, readStream.schema().json(), isStreaming.</t>
  </si>
  <si>
    <t xml:space="preserve">Split into 3 cells. (1) SparkSession (point back to Ch 48 for builder/master; explain the three configs in a table, especially schemaInference false). (2) SCHEMA: explain StructType = list of columns, StructField(name, type), and why TimestampType lets windows work. (3) Folders + first batch + readStream, one statement per line, with print(stream.schema) shown.</t>
  </si>
  <si>
    <t xml:space="preserve">50.16</t>
  </si>
  <si>
    <t xml:space="preserve">§50.5 windowed = … + query = windowed.writeStream…start() + awaitTermination + show_windows</t>
  </si>
  <si>
    <t xml:space="preserve">This is the heart of the chapter, and about 12 new Spark ideas arrive in one cell: withWatermark, F.window, grouping by a struct column, F.sum(F.col("scrap").cast("int")), writeStream, outputMode, format/path, checkpointLocation, trigger(availableNow=True), start, awaitTermination, and nested window.start access with date_format and \ continuation. Only the output is explained.</t>
  </si>
  <si>
    <t xml:space="preserve">Split into 4 cells with explanations. (a) grouped = stream.groupBy(F.window("event_time", "5 minutes"), "plant").agg(...), with the cast("int") trick explained (True → 1). (b) Add .withWatermark(...), linked to the hand table (50.5). (c) The writeStream chain, one option per line with a comment (format, path, checkpointLocation, outputMode, trigger), then start and awaitTermination ("wait until availableNow has processed everything"). (d) show_windows, explaining that window is a column holding a start and an end, and date_format(…, "HH:mm"). Also define a helper run_once() for the writeStream chain so batches 2 and 3 call it instead of repeating 4 lines (and say the checkpoint is why each run continues where the last one stopped).</t>
  </si>
  <si>
    <t xml:space="preserve">50.17</t>
  </si>
  <si>
    <t xml:space="preserve">§50.5 progress cell query.recentProgress, stateOperators[0]["numRowsDroppedByWatermark"]</t>
  </si>
  <si>
    <t xml:space="preserve">The progress report's structure (a list of dicts per micro-batch) is never shown, so the keys come from nowhere.</t>
  </si>
  <si>
    <t xml:space="preserve">Show print(json.dumps(query.recentProgress[-1], indent=2)[:800]) once, highlight the four keys used, then the compact loop.</t>
  </si>
  <si>
    <t xml:space="preserve">50.18</t>
  </si>
  <si>
    <t xml:space="preserve">§50.5 "the six stragglers all belonged to one machine's window-and-plant group"; Answer 8 "same machine's plant"</t>
  </si>
  <si>
    <t xml:space="preserve">The aggregation groups by (window, plant), not by machine. Saying "machine" muddles it. The metric counts rows after Spark's partial aggregation, so 6 events → 1 row.</t>
  </si>
  <si>
    <t xml:space="preserve">"…all six were M-09 readings at 00:02, so they all belonged to the same (window 00:00–00:05, plant Bhiwandi Main) group. Spark's partial aggregation had already combined them into one row before the watermark check, and that one row was dropped." (M-09 is in Bhiwandi Main: Ch 49's row-group stats show M-01–M-15 there.) Fix Answer 8 to match.</t>
  </si>
  <si>
    <t xml:space="preserve">50.19</t>
  </si>
  <si>
    <t xml:space="preserve">§50.4 "Triggers decide when Spark runs a micro-batch"</t>
  </si>
  <si>
    <t xml:space="preserve">"Micro-batch" is used in the §50.1 table and here but never defined. "Unbounded table" appears in Key terms but only as a phrase.</t>
  </si>
  <si>
    <t xml:space="preserve">Define on first use in §50.1: "micro-batch: the stream is processed as a series of small batches, one every few seconds to minutes". In §50.4 add Spark's picture: "a stream is a table that keeps growing (an unbounded table); each micro-batch processes the new rows".</t>
  </si>
  <si>
    <t xml:space="preserve">50.20</t>
  </si>
  <si>
    <t xml:space="preserve">§50.4 "move it and you lose exactly-once behaviour"</t>
  </si>
  <si>
    <t xml:space="preserve">This is misleading. Moving a checkpoint *with* the job (same path in the config) is fine. The problem is pointing the job at a new or empty checkpoint location (re-processing, duplicates in non-idempotent sinks) or reusing one after changing the query.</t>
  </si>
  <si>
    <t xml:space="preserve">"Delete the checkpoint, or point the job at a new location, and it re-processes from the start; change the query's aggregation and the old checkpoint may no longer be usable. Treat it as part of the job's data."</t>
  </si>
  <si>
    <t xml:space="preserve">50.21</t>
  </si>
  <si>
    <t xml:space="preserve">§50.6 "Nine parquet files from three runs became four Delta files"</t>
  </si>
  <si>
    <t xml:space="preserve">This isn't explained. The difference comes from Spark writing files for empty micro-batches/partitions, which the loop appends as empty tables that produce no Delta data file. The reader will assume rows went missing.</t>
  </si>
  <si>
    <t xml:space="preserve">Add: "Five of the nine files were empty (Spark writes a file for micro-batches and shuffle partitions with no rows); appending an empty table adds no data file." Verify by printing pq.read_table(f).num_rows per file in the loop. Also move spark.stop() to its own cell at the end, with "we're finished with Spark".</t>
  </si>
  <si>
    <t xml:space="preserve">50.22</t>
  </si>
  <si>
    <t xml:space="preserve">§50.6 cell</t>
  </si>
  <si>
    <t xml:space="preserve">It uses the same Windows-unsafe u.replace("file://", "") as Ch 49, and prints "1 files".</t>
  </si>
  <si>
    <t xml:space="preserve">Apply the Ch 49 fix (49.25/49.26).</t>
  </si>
  <si>
    <t xml:space="preserve">50.23</t>
  </si>
  <si>
    <t xml:space="preserve">§50.6 "a stream writing every 30 seconds produces 2,880 files a day per partition"</t>
  </si>
  <si>
    <t xml:space="preserve">Correct at one file per trigger, but §50.6's own run produced several files per trigger (shuffle partitions = 4). The reader should know the multiplier.</t>
  </si>
  <si>
    <t xml:space="preserve">"…at least 2,880 files a day per table partition, times the number of files each trigger writes (up to spark.sql.shuffle.partitions, 4 here)."</t>
  </si>
  <si>
    <t xml:space="preserve">50.24</t>
  </si>
  <si>
    <t xml:space="preserve">§50.8 "writes per-machine summaries" vs code grouping by plant</t>
  </si>
  <si>
    <t xml:space="preserve">The design says per-machine windows. The chapter's job groups by plant, and Answer 11 talks about "that machine" in the streaming table.</t>
  </si>
  <si>
    <t xml:space="preserve">Either change §50.8 to "per-plant (and per-machine) summaries" or add a one-line note: "add machine_id to the groupBy for per-machine rows; state grows ×25".</t>
  </si>
  <si>
    <t xml:space="preserve">50.25</t>
  </si>
  <si>
    <t xml:space="preserve">§50.1 table "Seconds: Fraud checks during payment" vs "Milliseconds: Blocking a card transaction"</t>
  </si>
  <si>
    <t xml:space="preserve">Two rows describe the same act at different latencies, and Answer 1(b) says a payment block isn't a data pipeline at all.</t>
  </si>
  <si>
    <t xml:space="preserve">Seconds row: "Flagging suspicious account activity for review". Keep the milliseconds row.</t>
  </si>
  <si>
    <t xml:space="preserve">50.26</t>
  </si>
  <si>
    <t xml:space="preserve">Answer 4 "(13 to one, 12 to the other, plus differences in how many readings each sent)"</t>
  </si>
  <si>
    <t xml:space="preserve">Every machine sent exactly 12 readings (2 minutes × 6), so 144 = 12 × 12 and 156 = 13 × 12 exactly. There are no differences in readings.</t>
  </si>
  <si>
    <t xml:space="preserve">"…12 machines hashed to partition 0 and 13 to partition 1, each with 12 readings: 144 and 156."</t>
  </si>
  <si>
    <t xml:space="preserve">50.27</t>
  </si>
  <si>
    <t xml:space="preserve">Answer 11 "Windows covering the outage were emitted (empty or partial)… lag rose during the outage"</t>
  </si>
  <si>
    <t xml:space="preserve">Spark never emits a row for a window with no events, so there are no "empty" windows. During a network outage the producer can't send, so consumer lag doesn't rise; it spikes when the backlog arrives. The signal *during* the outage is a stalled watermark or freshness.</t>
  </si>
  <si>
    <t xml:space="preserve">"…windows for the outage either have no row at all or a partial count…" and "Monitoring shows it: the watermark stalls and the freshness check fires during the outage; when the backlog lands, lag spikes and rows dropped as too late jump."</t>
  </si>
  <si>
    <t xml:space="preserve">50.28</t>
  </si>
  <si>
    <t xml:space="preserve">Answer 5 / §50.3 "machine plus event time"</t>
  </si>
  <si>
    <t xml:space="preserve">Fine, but the chapter's crash demo keys on (partition, offset). That's fine for a replay of the same log but breaks if the producer re-sends the same reading as a new record (a producer retry without idempotence). The chapter hints at this without saying it.</t>
  </si>
  <si>
    <t xml:space="preserve">One sentence after the demo: "Partition + offset catches re-reads of the same record; it doesn't catch a producer sending the same reading twice as two records. A business key (machine + event time) catches both."</t>
  </si>
  <si>
    <t xml:space="preserve">50.29</t>
  </si>
  <si>
    <t xml:space="preserve">§50.3 "Exactly-once … Spark's checkpoint plus an idempotent sink"</t>
  </si>
  <si>
    <t xml:space="preserve">"Idempotent sink" is used but not defined in this chapter (idempotency is from Ch 45/46, sink isn't defined).</t>
  </si>
  <si>
    <t xml:space="preserve">Define "sink: where a stream's results are written (files, a table, an alert channel)" at first use in §50.4. Remind the reader: "idempotent: writing the same batch twice leaves the same result (Chapter 46)".</t>
  </si>
  <si>
    <t xml:space="preserve">50.30</t>
  </si>
  <si>
    <t xml:space="preserve">Where this leads</t>
  </si>
  <si>
    <t xml:space="preserve">Chapter 61 (Distributed Systems, prerequisite 50) and Chapter 62 (Lambda and Kappa architectures) are missing. §50.8's stream + daily batch correction *is* the Lambda architecture, and the chapter should name it. "Chapter 58 … and Chapter 50's rule stands" refers to this chapter in the third person.</t>
  </si>
  <si>
    <t xml:space="preserve">Flow / Polish</t>
  </si>
  <si>
    <t xml:space="preserve">Add: "Chapter 62, Data Architecture Patterns, names the design in section 50.8 (a fast streaming path plus a batch path that corrects it) as the Lambda architecture, and compares it with Kappa." Add Ch 61 for ordering and delivery guarantees across machines. Change "Chapter 50's rule stands" to "this chapter's rule stands".</t>
  </si>
  <si>
    <t xml:space="preserve">50.31</t>
  </si>
  <si>
    <t xml:space="preserve">50.32</t>
  </si>
  <si>
    <t xml:space="preserve">Real-world story "The consumer committed offsets automatically every few seconds… re-sent alerts" vs Common mistakes "Auto-committing offsets → Events lost"</t>
  </si>
  <si>
    <t xml:space="preserve">Both are true (auto-commit can lose *or* duplicate), but the table gives only one symptom and the story shows the other.</t>
  </si>
  <si>
    <t xml:space="preserve">Mistakes row symptom: "Events lost if the consumer dies after auto-commit but before the work; duplicates if it dies before auto-commit (the story)".</t>
  </si>
  <si>
    <t xml:space="preserve">V50.1</t>
  </si>
  <si>
    <t xml:space="preserve">p. 5 · Figure 50.1 (topic / partitions)</t>
  </si>
  <si>
    <t xml:space="preserve">Partition 0 holds M-12, M-03, M-12… and partition 1 holds M-03, M-12, M-03, M-07, M-21, M-07. M-03 and M-12 are in both partitions, and the producer arrows cross inconsistently. That contradicts the figure's own note ("M-07 always lands in the same one") and section 50.2 (a key always maps to one partition).</t>
  </si>
  <si>
    <t xml:space="preserve">Put each machine in one partition only (e.g., P0 = M-03, M-12; P1 = M-07, M-21), and draw one arrow per producer to its partition.</t>
  </si>
  <si>
    <t xml:space="preserve">V50.2</t>
  </si>
  <si>
    <t xml:space="preserve">p. 5 · Figure 50.1</t>
  </si>
  <si>
    <t xml:space="preserve">Text is 5.0–6.4 pt. The "new →" labels at the end of each partition run under the consumer-group boxes (they read "nev").</t>
  </si>
  <si>
    <t xml:space="preserve">Redraw at 7 pt minimum; move the consumer boxes right or drop the "new" label.</t>
  </si>
  <si>
    <t xml:space="preserve">V50.3</t>
  </si>
  <si>
    <t xml:space="preserve">p. 10 · Figure 50.2 (watermark)</t>
  </si>
  <si>
    <t xml:space="preserve">Text is 5.4–6.9 pt; the batch descriptions are the smallest.</t>
  </si>
  <si>
    <t xml:space="preserve">V50.4</t>
  </si>
  <si>
    <t xml:space="preserve">p. 7, 8, 9, 12 · Code blocks</t>
  </si>
  <si>
    <t xml:space="preserve">Trailing comments and long lines wrap to column 0: "beginning", "event_time" (p. 7), "speed" (p. 8, Kafka producer), "very_late)" (p. 12). The word "beginning" at column 0 looks like a Python statement.</t>
  </si>
  <si>
    <t xml:space="preserve">Shorten or move the comments above the line; pre-wrap long lines with hanging indent.</t>
  </si>
  <si>
    <t xml:space="preserve">V50.5</t>
  </si>
  <si>
    <t xml:space="preserve">p. 19, 20 · Exercises 10–14</t>
  </si>
  <si>
    <t xml:space="preserve">The leading "1" of two-digit numbers is clipped ("l0.", "l1."…).</t>
  </si>
  <si>
    <t xml:space="preserve">Widen the number gutter.</t>
  </si>
  <si>
    <t xml:space="preserve">V50.6</t>
  </si>
  <si>
    <t xml:space="preserve">p. 13→14 · Section 50.7</t>
  </si>
  <si>
    <t xml:space="preserve">"50.7 Operating a stream" and one sentence end p. 13; its signal table starts p. 14.</t>
  </si>
  <si>
    <t xml:space="preserve">Keep the heading with the table (keep-with-next).</t>
  </si>
  <si>
    <t xml:space="preserve">V50.7</t>
  </si>
  <si>
    <t xml:space="preserve">"Draft chapter", "18 September 2026", "Every output from a real run".</t>
  </si>
  <si>
    <t xml:space="preserve">Remove for print or align.</t>
  </si>
  <si>
    <t xml:space="preserve">V50.8</t>
  </si>
  <si>
    <t xml:space="preserve">V50.9</t>
  </si>
  <si>
    <t xml:space="preserve">p. 1 · Cover title</t>
  </si>
  <si>
    <t xml:space="preserve">The title breaks at the hyphen: "Streaming &amp; Real-" / "Time".</t>
  </si>
  <si>
    <t xml:space="preserve">Use a non-breaking hyphen (U+2011) or break before "Real-Time".</t>
  </si>
  <si>
    <t xml:space="preserve">V50.10</t>
  </si>
  <si>
    <t xml:space="preserve">p. 8 · Section 50.4</t>
  </si>
  <si>
    <t xml:space="preserve">The heading and two-line intro sit near the foot with about 20% blank below; the code is on p. 9.</t>
  </si>
  <si>
    <t xml:space="preserve">Keep with next, or let the code split.</t>
  </si>
  <si>
    <t xml:space="preserve">V50.11</t>
  </si>
  <si>
    <t xml:space="preserve">p. 5→6 · Term table (Topic…Retention)</t>
  </si>
  <si>
    <t xml:space="preserve">Split with 2 rows (Lag, Retention) on p. 6 (the header repeats).</t>
  </si>
  <si>
    <t xml:space="preserve">V50.12</t>
  </si>
  <si>
    <t xml:space="preserve">p. 10 · "after batch 1:" output</t>
  </si>
  <si>
    <t xml:space="preserve">An output block showing only an empty table header sits at the page foot and looks cut off, though an empty result is the point.</t>
  </si>
  <si>
    <t xml:space="preserve">Add "(no rows)" under the header, or keep it with the "Reading it" paragraph.</t>
  </si>
  <si>
    <t xml:space="preserve">V50.13</t>
  </si>
  <si>
    <t xml:space="preserve">"Answers to practice exercises" and the editorial note "(In the finished book these move to Appendix G.)" sit at the page foot; the answers start p. 21.</t>
  </si>
  <si>
    <t xml:space="preserve">Keep with next; remove the note for print.</t>
  </si>
  <si>
    <t xml:space="preserve">51.1</t>
  </si>
  <si>
    <t xml:space="preserve">§51.2–51.7, every output "NameError: name 'sl' is not defined" / "'scores' is not defined"</t>
  </si>
  <si>
    <t xml:space="preserve">All 7 executed cells print a NameError instead of output. The build ran §51.2's cells before §51.3's setup cell, so nothing after it had sl or scores. This contradicts "Every output shown is from a real run against the sandbox CRM." Every "Reading it" (six leads replayed False, lead 7's 503 retry, lead 4 replay True/False/True, four overdue customers, 6/7 reconciled) describes invisible output.</t>
  </si>
  <si>
    <t xml:space="preserve">Move the "Setting up the sandbox" cell to the start of §51.2 (or a new §51.0 "Setting up"). Add scores = sl.lead_scores() to the end of that setup cell, or keep it as the first line of the first scoring cell. Re-run the notebook top to bottom from a fresh kernel after reset(), and paste the real outputs under each cell: the three lead scores; the overdue list; the six first-sync results; lead 7's "503, retrying (attempt 1)" line plus its final result; the three lead-4 results; the webhook lines (already present); and the reconciliation report. Then re-check every "Reading it" against the pasted output. Add a build check that fails if any cell output contains "Error" unless the cell is meant to show an error.</t>
  </si>
  <si>
    <t xml:space="preserve">51.2</t>
  </si>
  <si>
    <t xml:space="preserve">§51.2 code print(" source Referral = 15 points") … == 80 vs Reading "sourced from the Website… 55 + 10 = 65"</t>
  </si>
  <si>
    <t xml:space="preserve">Lead 2's worked example contradicts itself. The code hard-codes "Referral = 15" and a +10 recency bonus if the score is 80, while the prose says Website = 10, not recent, total 65. At least one is wrong, and the reader has no way to tell which. The code also prints hand-typed strings dressed up as computation.</t>
  </si>
  <si>
    <t xml:space="preserve">Delete the hard-coded print(" stage Quoted = 55 points") etc. lines from the code cell. Put the "by hand" working in prose or a small table after the real output, using the correct source value for lead 2 from riverstone_source (check its source and stage-entry date). If the lead is Website, not recent: "Quoted 55 + Website 10 + recency 0 = 65". Make the printed score match.</t>
  </si>
  <si>
    <t xml:space="preserve">51.3</t>
  </si>
  <si>
    <t xml:space="preserve">§51.2 "score = points for the lead's current stage + points for how it arrived…"</t>
  </si>
  <si>
    <t xml:space="preserve">The points tables are never shown. The reader learns only Quoted = 55 and (contradictory) Referral/Website values. Ex 4 needs Contacted = 30 and Trade Show = 20, and answer 4 cites STAGE_POINTS["Contacted"] and SOURCE_POINTS["Trade Show"], dictionaries that never appear. Ex 4 can't be answered from the chapter.</t>
  </si>
  <si>
    <t xml:space="preserve">Right after the rule, add two small tables. Stage points: every stage (New, Contacted, Qualified, Quoted, Won?, Lost = 0 overrides everything) with its points. Source points: Website, Referral, Trade Show, … Also state the recency rule (+10 if the current stage was entered ≤ 14 days before the fixed today, not for Lost) and the cap at 100. Say which stage/source combinations could exceed 100, or drop the cap if none can.</t>
  </si>
  <si>
    <t xml:space="preserve">51.4</t>
  </si>
  <si>
    <t xml:space="preserve">§51.2 scores = sl.lead_scores(); overdue = sl.overdue_flags()</t>
  </si>
  <si>
    <t xml:space="preserve">The chapter's two core computations sit in a companion module the reader never sees. The chapter is titled "Computing what to sync", Tools lists psycopg2 + PostgreSQL 16, and yet no SQL or Python for the score is shown. This breaks "every line explained" and hides the Ch 12/13 skills the reader already has.</t>
  </si>
  <si>
    <t xml:space="preserve">Show the computation. (1) A SQL cell against riverstone_source that computes the score with CASE expressions: CASE stage WHEN 'Quoted' THEN 55 … END + CASE source … END + CASE WHEN stage &lt;&gt; 'Lost' AND stage_entered_at &gt;= DATE '2026-01-06' - 14 THEN 10 ELSE 0 END, wrapped in LEAST(…, 100), with the Lost-overrides rule. Print 6–7 rows. (2) A Python cell with psycopg2 that runs it into a scores dict, explaining each line (connection string from an environment variable; see 51.15). (3) The same for the overdue flag (one GROUP BY customer_id with MAX(order_date) FILTER (WHERE status='Delivered')). Then say sync_leads.py contains exactly these two functions.</t>
  </si>
  <si>
    <t xml:space="preserve">51.5</t>
  </si>
  <si>
    <t xml:space="preserve">§51.2 "A customer is flagged if their most recent Delivered order was 45 to 75 days ago" / "placeholder computation clearly labeled"</t>
  </si>
  <si>
    <t xml:space="preserve">The placeholder is labelled, but it measures the wrong thing, and the "overdue-payment" name survives everywhere. (a) It flags how long ago a customer last had a delivery, which is closer to "lapsing customer" than to "unpaid invoice". A customer who pays cash on delivery gets flagged. A customer with an unpaid order 60 days old but a new order last week does not. (b) The 75-day ceiling drops the *most* overdue customers, which no real overdue rule would do. (c) The flag is computed, but it is never synced in any code in the chapter, though the goal, the project and the recap all say it is. (d) The 4-customer output is not shown (51.1).</t>
  </si>
  <si>
    <t xml:space="preserve">Pick one option. (A, preferred) Rename it honestly everywhere (§51.2 intro, the fields table, the project goal, the recap, the Ex list) to a "follow-up due" flag: "no delivered order in the last 45 days, among customers who ordered in the last 6 months". Say plainly that it is a recency proxy, not a payment status. (B) Add a tiny payments table to the companion and compute a true overdue flag: invoice date = delivery date, due = +30 days (the Net-30 idea from Ch 23's DSO), overdue if unpaid and today &gt; due, with no upper cap. In both options, add a cell that syncs the flag through sync_lead/a sync_customer PATCH, and include it in the §51.7 reconciliation. Keep the sentence "every real deployment should replace it with the finance team's actual definition, agreed … as a Chapter 47 data contract."</t>
  </si>
  <si>
    <t xml:space="preserve">51.6</t>
  </si>
  <si>
    <t xml:space="preserve">§51.4 "must be built from content, not from a timestamp" + the lead-4 sequence</t>
  </si>
  <si>
    <t xml:space="preserve">A content-only key has a real bug: a value that returns to an earlier value can never be re-sent. Say lead 4's score goes 20 → 21 → back to 20. The key for (4, 20, stage) was already used in the first sync, so the CRM replays it and the field stays at 21 for good. This is exactly the chapter's own state after §51.4: the warehouse says 20 and the CRM says 21, and every nightly sync will now be replayed as a no-op. The §51.7 reconciliation will flag the mismatch every night, and the sync can never fix it. Answer 7's "investigate" advice misses this.</t>
  </si>
  <si>
    <t xml:space="preserve">Add a short paragraph and cell after "A write that's genuinely repeated": re-sync lead 4 with the warehouse score (20) and show "replayed": True with the CRM still at 21. Then fix the key. Build it from entity id + run id + content hash, so a retry within one run is a no-op but tomorrow's run can reapply. Or note that real APIs expire keys (Stripe: about 24 h) and use a key TTL in the sandbox. Update the "Choosing what goes in the key" table: row 1 becomes "entity + values + sync run id (recommended)", with a note on why content alone fails on reverts. Add this as a mistakes-table row. Rewrite answers 5–7 to match.</t>
  </si>
  <si>
    <t xml:space="preserve">51.7</t>
  </si>
  <si>
    <t xml:space="preserve">§51.4 table row "A key the receiving system issues (Stripe's idempotency keys, for example)"; Watch out "not from … a random value"</t>
  </si>
  <si>
    <t xml:space="preserve">This is factually wrong. Stripe's idempotency keys are generated by the client (Stripe recommends a random V4 UUID), not issued by the receiver. A random key is also perfectly safe if it is generated once per logical operation, before the first attempt, and reused on every retry. The real rule is "generate it outside the retry loop", not "never random".</t>
  </si>
  <si>
    <t xml:space="preserve">Rewrite the Watch out: "An idempotency key must stay the same across every retry of one operation. Create it once, before the first attempt, and reuse it. A key built inside the retry loop from 'now' or a fresh random value changes each attempt and protects nothing. Building it from the entity and the values (as here) guarantees that, and also makes it reproducible." Replace row 3 with: "A random ID (UUID) created once per operation and stored with it — Stripe's recommended pattern for payments and order creation, where the same content can legitimately be sent twice (two identical orders)."</t>
  </si>
  <si>
    <t xml:space="preserve">51.8</t>
  </si>
  <si>
    <t xml:space="preserve">§51.4 "A network timeout doesn't tell you whether the request arrived; retrying is correct" / "the retry loop handles both identically"</t>
  </si>
  <si>
    <t xml:space="preserve">The chapter's own sync_lead retries only HTTP 503. A timeout or a dropped connection raises requests.exceptions.Timeout/ConnectionError, which the loop does not catch, so the sync crashes. The claim that the loop handles "failed at the CRM rather than in transit … identically" is false. It is also a step back from Ch 45, which taught retrying 429, 503 and timeouts with exponential backoff and Retry-After. The text says "exactly as Chapter 45's API pattern did", but Ch 45 did more.</t>
  </si>
  <si>
    <t xml:space="preserve">Rewrite sync_lead in three steps, one cell each with output. (1) Wrap the call in try: … except (requests.Timeout, requests.ConnectionError): print(...); wait; continue. (2) Retry on status_code in (429, 503), waiting int(resp.headers.get("Retry-After", 2  (attempt - 1))) seconds, the same line Ch 45 answer 2 used. (3) Have the sandbox simulate a timeout once (Handler.slow_once) and show that the retry with the same key replays safely. Fix the final-attempt message: on attempt 3 it currently prints "retrying (attempt 3)" and then gives up. Print "retrying" only if attempt &lt; 3.</t>
  </si>
  <si>
    <t xml:space="preserve">51.9</t>
  </si>
  <si>
    <t xml:space="preserve">Chapter at a glance "write … with authentication, upserts, pagination, rate limits, and retries"</t>
  </si>
  <si>
    <t xml:space="preserve">Promised but not taught. Rate limits on writes: there is no 429 handling in any write. Upserts through an API: no create-or-update-by-external-id example. Pagination appears once in read_all_leads with no explanation of page_size or next_page.</t>
  </si>
  <si>
    <t xml:space="preserve">Either trim the promise or teach each. Rate limits: fold into 51.8's rewrite, and have the sandbox return 429 once during the first sync, with the output shown. Upsert: add a 6-line cell, PUT /api/leads/by-email/{email} or POST /api/leads with Idempotency-Key, showing that one call creates and a second updates, and connect it to Ch 45's SQL upsert. Pagination: add "How it works" bullets under read_all_leads (see 51.18).</t>
  </si>
  <si>
    <t xml:space="preserve">51.10</t>
  </si>
  <si>
    <t xml:space="preserve">§51.3 HEADERS = {"Authorization": "Bearer practice-token-51", …}; import json, os, …</t>
  </si>
  <si>
    <t xml:space="preserve">The token is hard-coded in the notebook, and os is imported but never used. Ch 26 (.env), Ch 34 (export, os.environ) and Ch 45 ("never write them into code") all taught otherwise, and the at-a-glance/Ch 52 prereq says this chapter introduces "secrets the pipeline needs".</t>
  </si>
  <si>
    <t xml:space="preserve">Replace with TOKEN = os.environ.get("CRM_API_TOKEN", "practice-token-51")  # sandbox default only and HEADERS = {"Authorization": f"Bearer {TOKEN}", …}. Add a 2-line note: "In production the token comes from the environment or a secrets store; Chapter 52 §52.6 shows every layer." This also sets up Ch 52's compose/K8s CRM_API_TOKEN.</t>
  </si>
  <si>
    <t xml:space="preserve">51.11</t>
  </si>
  <si>
    <t xml:space="preserve">§51.3 "sync_lead": {payload, "_sync_time": …}, requests.Session(), dict comprehension with if lid in [str(i) for i in range(1, 7)]</t>
  </si>
  <si>
    <t xml:space="preserve">The "How it works, line by line" covers only the key, the header, the retry and raise_for_status. Unexplained: dict unpacking {a, …}, which is not taught anywhere in Ch 17/18/29; Session (connection reuse); json=body; timeout=5; the f-string URL with the lead id (a REST path parameter); why _sync_time is a fixed string and why it is not part of the key; the filter to leads 1–6 (the CRM was seeded with 6); and resp.json(). The comprehension packs 4 ideas into one line.</t>
  </si>
  <si>
    <t xml:space="preserve">Split into 3 cells. (1) Build and print body and headers for lead 1 only. Explain {payload, "_sync_time": …} = "copy payload's keys, then add one", and why the key uses payload not body: including the timestamp would change the key every run, which is the Watch-out. (2) Define sync_lead and call it once for lead 1, printing the response. (3) Loop over leads 1–6 with a plain for loop, not a comprehension, and say why only 1–6 (the CRM holds only those; lead 7 is added in §51.4). Explain Session in one line ("reuses one connection for many requests") and timeout=5.</t>
  </si>
  <si>
    <t xml:space="preserve">51.12</t>
  </si>
  <si>
    <t xml:space="preserve">§51.3 key = sl.idempotency_key(lead_id, payload); answer 5 "section 51.2's idempotency_key function"</t>
  </si>
  <si>
    <t xml:space="preserve">The chapter's central function is never shown. Answer 5 cites it as being in §51.2, where it isn't. Answer 6 (hashlib.sha256(...).hexdigest()[:16]) implies what it does, but the reader never sees it. hashlib is imported in the setup cell and never used visibly.</t>
  </si>
  <si>
    <t xml:space="preserve">Line-by-line / Cross-ref</t>
  </si>
  <si>
    <t xml:space="preserve">Show it before sync_lead, in a cell with output: def idempotency_key(lead_id, payload): content = f"{lead_id}:" + json.dumps(payload, sort_keys=True); return hashlib.sha256(content.encode()).hexdigest()[:16]. Print the key for lead 2 twice (same), then with score+1 (different). Explain sort_keys=True (the same dict always gives the same text), the hash (point back to Ch 45's file hash) and [:16]. Fix answer 5 to "§51.3's idempotency_key". Apply the 51.6 fix (run id) here.</t>
  </si>
  <si>
    <t xml:space="preserve">51.13</t>
  </si>
  <si>
    <t xml:space="preserve">§51.3 "it accepts partial updates ( PATCH )"; PATCH vs PUT taught only in the closing story</t>
  </si>
  <si>
    <t xml:space="preserve">PATCH is used in §51.3 and only defined in passing. PUT vs PATCH, which is in "You've got it when", Ex 2, the mistakes table and the recap, is taught only through the story. HTTP methods beyond GET/POST (Ch 34 §34.x) are new here: PATCH, PUT, and POST as "create".</t>
  </si>
  <si>
    <t xml:space="preserve">Add a short subsection in §51.3, "Four HTTP methods for writing", with a table: GET (read), POST (create), PUT (replace the whole record), PATCH (change only the named fields). Then a 2-cell sandbox demo: GET /api/leads/1 → shows score, email, notes; PUT /api/leads/1 with only {"score": 70} → GET again shows email/notes gone (the sandbox must support PUT); reset; PATCH the same → only the score changes. Then the story reads as a callback.</t>
  </si>
  <si>
    <t xml:space="preserve">51.14</t>
  </si>
  <si>
    <t xml:space="preserve">§51.4 from crm_sandbox import Handler, seed_leads as _reseed; _json.load(open("sync_state/crm_leads.json")); Handler.fail_once.add("7")</t>
  </si>
  <si>
    <t xml:space="preserve">The cell reaches into the sandbox's internals (it edits the CRM's storage file while the server runs, and mutates a class attribute) with no explanation. _reseed is never used, json is re-imported as _json, and files are opened without being closed. Writing straight into the CRM's store also contradicts §51.5's system-of-record discipline.</t>
  </si>
  <si>
    <t xml:space="preserve">Replace with two companion helpers, shown and explained: add_crm_lead(lead) (a POST /api/leads to the sandbox, or an admin endpoint) and simulate_failure("7", status=503, times=1). Make the cell 3 lines: add the lead, arm the failure, call sync_lead. Print the output (the retry line + result). Say in one sentence that simulate_failure is test scaffolding a real CRM doesn't have.</t>
  </si>
  <si>
    <t xml:space="preserve">51.15</t>
  </si>
  <si>
    <t xml:space="preserve">§51.2 Reading "the fixed 'today' used throughout this chapter"</t>
  </si>
  <si>
    <t xml:space="preserve">The fixed today is never stated. It is only implied by "_sync_time": "2026-01-06T06:30:00+05:30". Without it the reader can't check recency or the 45–75-day buckets by hand.</t>
  </si>
  <si>
    <t xml:space="preserve">State it in §51.2: "Throughout this chapter, 'today' is 6 January 2026 (the same simulated calendar as Chapter 46)", and set it as a constant TODAY = date(2026, 1, 6) in the scoring cell/SQL.</t>
  </si>
  <si>
    <t xml:space="preserve">51.16</t>
  </si>
  <si>
    <t xml:space="preserve">§51.6 "Verify the sender. Real providers sign each request (a header with an HMAC signature)"</t>
  </si>
  <si>
    <t xml:space="preserve">HMAC is used but never defined. The receiver is never shown (webhook_receiver.py is a black box), so project steps 7–8 ("make the webhook receiver safe: acknowledge fast, de-duplicate by event id") can't be done from the chapter.</t>
  </si>
  <si>
    <t xml:space="preserve">Add "A safe receiver in 15 lines". Show the core of webhook_receiver.py's handler: read the body; compute hmac.new(SECRET, body, hashlib.sha256).hexdigest(); compare it with the X-Signature header using hmac.compare_digest; reject with 401 on mismatch; check event_id against a seen set and skip duplicates; append to the inbox; return 200 at once. Define HMAC in one sentence: "a hash of the body mixed with a secret only you and the sender know, so a forger can't produce it." Have the sandbox sign requests, and show one accepted and one tampered request rejected. Point back to Ch 2's webhook definition and Ch 45's hashing.</t>
  </si>
  <si>
    <t xml:space="preserve">51.17</t>
  </si>
  <si>
    <t xml:space="preserve">§51.6 webhook cell: requests.post(f"{BASE}/api/webhooks", …) (result discarded); "deal_value": 350000; for _ in range(20): if read_inbox(): break</t>
  </si>
  <si>
    <t xml:space="preserve">The registration response is not printed. The high-value threshold is never stated, so the reader can't tell what counts as "high value". The waiting loop, which ironically polls the inbox, is not explained. "0.00 seconds" happens because the sandbox calls the webhook synchronously before the POST returns, so the measurement shows only that.</t>
  </si>
  <si>
    <t xml:space="preserve">Print the registration response (e.g. {"id": "wh_1", "event": …}). State the threshold ("the sandbox fires lead.created_high_value when deal_value ≥ ₹2,00,000"). Explain the loop: "wait up to 2 s, checking every 0.1 s". Add: "0.00 s because the sandbox calls the webhook before it even replies to us; a real provider sends it asynchronously, usually within a few seconds." Also split into 2 cells: register (output), then create the lead and wait (output).</t>
  </si>
  <si>
    <t xml:space="preserve">51.18</t>
  </si>
  <si>
    <t xml:space="preserve">§51.7 read_all_leads() with page_size: 3, body["next_page"], while page is not None</t>
  </si>
  <si>
    <t xml:space="preserve">The pagination loop is new in its next_page form (Ch 45 used page numbers with counts). .get("score") and the list comprehension for mismatches are unexplained. The report prints match but none of the five things the chapter then says a report "should show every run" (attempted, confirmed, replays vs new, rejected).</t>
  </si>
  <si>
    <t xml:space="preserve">Add "How it works" bullets: page_size=3 is small on purpose, to force 3 pages for 7 leads; next_page is None on the last page; .get() returns None for a lead never synced. Print the page count. Extend the report to the five-line summary it recommends: count attempted, confirmed, replayed vs new (collect replayed from results), mismatched, rejected. Show that output.</t>
  </si>
  <si>
    <t xml:space="preserve">51.19</t>
  </si>
  <si>
    <t xml:space="preserve">§51.7 Reading "Lead 4 doesn't: 21 in the CRM against 20 in the warehouse"</t>
  </si>
  <si>
    <t xml:space="preserve">This is consistent with §51.4's +1, but (see 51.6) the chapter never says the nightly sync can't repair it. It also calls this "the report doing its job correctly" without showing the fix path.</t>
  </si>
  <si>
    <t xml:space="preserve">After the report, add: "Re-running the sync for lead 4 won't fix this with a content-only key — try it (replayed: True). With the run-id key from §51.4, tomorrow's run reapplies 20 and the next reconciliation is clean." Show the cell.</t>
  </si>
  <si>
    <t xml:space="preserve">51.20</t>
  </si>
  <si>
    <t xml:space="preserve">§51.2 "Simplification note… (Chapter 42's territory)"</t>
  </si>
  <si>
    <t xml:space="preserve">Wrong cross-reference. Ch 42 is recommender systems. A learned lead-scoring model is binary classification: Ch 36 (workflow), Ch 37 (algorithms), Ch 39 (evaluation).</t>
  </si>
  <si>
    <t xml:space="preserve">"…outcomes from similar past leads, which is a classification model (Chapters 36–39)."</t>
  </si>
  <si>
    <t xml:space="preserve">51.21</t>
  </si>
  <si>
    <t xml:space="preserve">§51.8 Figure 51.2 "Point-to-point n^2 connections"</t>
  </si>
  <si>
    <t xml:space="preserve">Imprecise. Point-to-point between n systems needs n(n−1)/2 links (5 systems → 10, 10 → 45). The table says "roughly the square", which is fine for growth, but the figure's formula is not exact.</t>
  </si>
  <si>
    <t xml:space="preserve">Figure label: "up to n(n−1)/2 links (5 systems → 10)"; hub: "n links (5 → 5)". Add that one-line worked example to the table's weakness cell.</t>
  </si>
  <si>
    <t xml:space="preserve">51.22</t>
  </si>
  <si>
    <t xml:space="preserve">Tools / at a glance "Python 3.12 with psycopg2 and requests. PostgreSQL 16"</t>
  </si>
  <si>
    <t xml:space="preserve">psycopg2/PostgreSQL are never used visibly (see 51.4). There is no install or "companion folder" setup line, and no pointer back to Ch 45's pip install psycopg2-binary duckdb requests.</t>
  </si>
  <si>
    <t xml:space="preserve">In the new setup cell, add "You installed these in Chapter 45 §45.x; nothing new to install." Keep psycopg2 only if 51.4's SQL cell is added.</t>
  </si>
  <si>
    <t xml:space="preserve">51.23</t>
  </si>
  <si>
    <t xml:space="preserve">§51.6 "Respond fast, then process… a slow response makes the sender retry"</t>
  </si>
  <si>
    <t xml:space="preserve">This is correct advice, but the sandbox itself calls the webhook synchronously and blocks lead creation on it. The reader sees the opposite of the advice modelled.</t>
  </si>
  <si>
    <t xml:space="preserve">One sentence after the cell: "Our sandbox calls the webhook inside its own request to keep the demo simple; a real provider queues it and sends it separately."</t>
  </si>
  <si>
    <t xml:space="preserve">51.24</t>
  </si>
  <si>
    <t xml:space="preserve">Wrong title. Ch 63 is "Automation Architecture &amp; Governance". Also, the interview pointer names only Ch 77. Ch 78 (Automation &amp; Integration Question Bank: polling vs webhook, webhook idempotency, upsert-based CRM sync) is the direct match.</t>
  </si>
  <si>
    <t xml:space="preserve">"Chapter 63, Automation Architecture &amp; Governance…". "Part VIII: Chapter 78 (Automation &amp; Integration) drills webhooks, idempotency and CRM syncs; Chapter 77 includes system design cases built on this loop."</t>
  </si>
  <si>
    <t xml:space="preserve">51.25</t>
  </si>
  <si>
    <t xml:space="preserve">Answer 13 "Chapter 47's severity framework treats this as, at most, an S1"</t>
  </si>
  <si>
    <t xml:space="preserve">In Ch 47, S1 is the highest severity ("wrong data has reached people"). "At most an S1" is meaningless, and a CRM overwrite is also S1, so the comparison needs a different axis.</t>
  </si>
  <si>
    <t xml:space="preserve">"Both are S1 under Chapter 47 (wrong data reached people). The difference is blast radius and visibility: a report error is seen and corrected once; a silent overwrite is invisible, destroys the only copy, and recurs every run."</t>
  </si>
  <si>
    <t xml:space="preserve">51.26</t>
  </si>
  <si>
    <t xml:space="preserve">Real-world story "a sales rep called Meera, upset… Meera traced it"</t>
  </si>
  <si>
    <t xml:space="preserve">Ambiguous: "called Meera" reads as "named Meera", which makes a sales rep trace an audit trail. In Ch 45 Meera is the business owner.</t>
  </si>
  <si>
    <t xml:space="preserve">"…a sales rep phoned Meera, upset."</t>
  </si>
  <si>
    <t xml:space="preserve">51.27</t>
  </si>
  <si>
    <t xml:space="preserve">§51.3 "a user (or a service account) grants permission"; "scope"</t>
  </si>
  <si>
    <t xml:space="preserve">"Service account" and "scope" are used without definition.</t>
  </si>
  <si>
    <t xml:space="preserve">Add a parenthesis: "a service account (a non-human login that belongs to an application)"; "scope (the list of things a token is allowed to do)".</t>
  </si>
  <si>
    <t xml:space="preserve">51.28</t>
  </si>
  <si>
    <t xml:space="preserve">This is a known drafting leftover (sequence map).</t>
  </si>
  <si>
    <t xml:space="preserve">51.29</t>
  </si>
  <si>
    <t xml:space="preserve">Common mistakes last row "wellsupported SaaS destinationReinventing"</t>
  </si>
  <si>
    <t xml:space="preserve">The words run together in the source table: missing space/cell break.</t>
  </si>
  <si>
    <t xml:space="preserve">Check the source table: "well-supported SaaS destination" \ | "Reinventing pagination…".</t>
  </si>
  <si>
    <t xml:space="preserve">V51.1</t>
  </si>
  <si>
    <t xml:space="preserve">p. 5, 6, 7, 8, 9, 12 · Output blocks (lead scores; overdue flags; first sync; write that fails once; genuinely repeated write; reconciliation)</t>
  </si>
  <si>
    <t xml:space="preserve">Every output shows NameError: name 'sl' is not defined (pp. 5, 6) or NameError: name 'scores' is not defined (pp. 7, 8, 9, 12). The build ran the blocks without the setup cell that imports sync_leads as sl. The text around them ("Lead 6 … scores zero", "All six leads updated…", "Six of seven leads match") refers to results that are not shown.</t>
  </si>
  <si>
    <t xml:space="preserve">Fix the notebook/build order (run the setup block that defines sl and scores first), regenerate, and check that no output block contains a Traceback or Error.</t>
  </si>
  <si>
    <t xml:space="preserve">V51.2</t>
  </si>
  <si>
    <t xml:space="preserve">p. 13 · Figure 51.2 (four integration patterns)</t>
  </si>
  <si>
    <t xml:space="preserve">Text is 5.2–6.4 pt. The spoke lines are drawn over the "queue" and "integration platform" labels. The iPaaS caption "connectors, monitoring, retries included" is cut at the right edge ("include"). The complexity labels use "n^2" instead of n².</t>
  </si>
  <si>
    <t xml:space="preserve">Redraw at 7 pt minimum with the hub labels above the lines (or lines stopping at the box edge). Widen the panel so the caption fits; set n².</t>
  </si>
  <si>
    <t xml:space="preserve">V51.3</t>
  </si>
  <si>
    <t xml:space="preserve">p. 4 · Figure 51.1 (loop nobody finishes)</t>
  </si>
  <si>
    <t xml:space="preserve">Text is 5.7–6.4 pt (box bodies, "Ch 45" refs). The label "Most companies stop here" is crossed by the purple return line.</t>
  </si>
  <si>
    <t xml:space="preserve">Redraw at 7 pt minimum; move the label left of the line.</t>
  </si>
  <si>
    <t xml:space="preserve">V51.4</t>
  </si>
  <si>
    <t xml:space="preserve">The leading "1" of two-digit numbers is clipped ("l0."…).</t>
  </si>
  <si>
    <t xml:space="preserve">V51.5</t>
  </si>
  <si>
    <t xml:space="preserve">"Draft chapter", "19 September 2026", "Every output from a real run". The last claim is contradicted by V51.1.</t>
  </si>
  <si>
    <t xml:space="preserve">V51.6</t>
  </si>
  <si>
    <t xml:space="preserve">V51.7</t>
  </si>
  <si>
    <t xml:space="preserve">p. 8, 10, 12 · Code blocks</t>
  </si>
  <si>
    <t xml:space="preserve">Long lines and comments wrap to column 0. On p. 8 the comment tail "sync once" already sent lands at column 0 and looks like a string statement. Also "lead.created_high_value"}, (p. 10) and headers=HEADERS, timeout=5) (p. 12).</t>
  </si>
  <si>
    <t xml:space="preserve">Pre-wrap with hanging indent, or add a continuation marker.</t>
  </si>
  <si>
    <t xml:space="preserve">V51.8</t>
  </si>
  <si>
    <t xml:space="preserve">The cover says "Chapter 51. Data Activation". The opener heading and contents say "Data Activation: Reverse ETL, APIs &amp; System Integration", and the footer uses the short form.</t>
  </si>
  <si>
    <t xml:space="preserve">Use one title everywhere (short form in the footer is fine if the cover carries the full title).</t>
  </si>
  <si>
    <t xml:space="preserve">V51.9</t>
  </si>
  <si>
    <t xml:space="preserve">The draft badge sits higher than in Ch49/50/52 because it follows a 2-line title.</t>
  </si>
  <si>
    <t xml:space="preserve">V51.10</t>
  </si>
  <si>
    <t xml:space="preserve">p. 13→14 · Table "51.9 Choosing how to build it"</t>
  </si>
  <si>
    <t xml:space="preserve">Split with 2 rows (Enterprise integration platforms, Vendor-native reverse ETL) on p. 14.</t>
  </si>
  <si>
    <t xml:space="preserve">V51.11</t>
  </si>
  <si>
    <t xml:space="preserve">V51.12</t>
  </si>
  <si>
    <t xml:space="preserve">p. 20, 21 · Answers 5, 2</t>
  </si>
  <si>
    <t xml:space="preserve">The inline-code pill adds a space before punctuation ("replayed: True .", "PUT replaces").</t>
  </si>
  <si>
    <t xml:space="preserve">Remove the trailing pill margin.</t>
  </si>
  <si>
    <t xml:space="preserve">52.1</t>
  </si>
  <si>
    <t xml:space="preserve">§52.1 "Cloud fundamentals" (starts at Regions)</t>
  </si>
  <si>
    <t xml:space="preserve">Approved move not yet applied. The IaaS/PaaS/SaaS table removed from Ch 2 §2.7 (fix 2.10) has to land here. The chapter also never re-defines "the cloud" or names the providers, though Ch 2 is now down to two sentences. "Region" was also removed from Ch 2's key terms.</t>
  </si>
  <si>
    <t xml:space="preserve">Insert a new first subsection in §52.1, "What you rent: IaaS, PaaS, SaaS", *before* "Regions and availability zones". (1) One sentence: "The cloud is computers, storage and networks in someone else's data centre that you rent over the internet — the largest providers are AWS, Microsoft Azure and Google Cloud." (2) Ch 2's three-row table verbatim (Level / You rent / You still manage / Examples), plus a fourth column "At Riverstone": IaaS = a virtual server (EC2) running the pipeline yourself; PaaS = a managed container service (App Runner/Cloud Run) or managed PostgreSQL (RDS); SaaS = the CRM from Ch 51, Gmail. (3) One line: "The further down the table, the less you manage — which moves the shared-responsibility line (below)." Then in §52.8 label each deployment option with its level (managed container service = PaaS; self-managed Kubernetes on VMs = IaaS; serverless functions = FaaS/PaaS). Add IaaS, PaaS, SaaS to the key terms.</t>
  </si>
  <si>
    <t xml:space="preserve">52.2</t>
  </si>
  <si>
    <t xml:space="preserve">§52.1 Figure 52.1 "The line never moves, whatever the provider or the service"; caption "in the same place"</t>
  </si>
  <si>
    <t xml:space="preserve">This is wrong. The shared-responsibility split moves with the service level: on IaaS you patch the OS; on PaaS the provider does; on SaaS you manage only data, users and settings. The chapter's own sentence ("for managed services, the service software itself") contradicts the figure. What never moves is the rule that *your data, access and configuration are always yours*.</t>
  </si>
  <si>
    <t xml:space="preserve">Replace "The line never moves…" with: "The line moves with what you rent: on IaaS you also patch the operating system; on PaaS the provider does; on SaaS you manage only your data, users and settings. What never moves: your data, who can access it, and how you configure the service are always yours." Caption: "…draws the line differently for IaaS, PaaS and SaaS — but data, access and configuration are always the customer's." Optionally make it a 3-column figure (IaaS/PaaS/SaaS) with the line at three heights.</t>
  </si>
  <si>
    <t xml:space="preserve">52.3</t>
  </si>
  <si>
    <t xml:space="preserve">Whole chapter: aws_s3_bucket, ap-south-1, ecs-tasks.amazonaws.com, EKS/GKE/AKS</t>
  </si>
  <si>
    <t xml:space="preserve">The chapter silently switches to AWS in §52.4 without saying so. "S3", "bucket", "ARN", "ECS" and "STS" are never defined. A reader on Azure or GCP can't map anything.</t>
  </si>
  <si>
    <t xml:space="preserve">At the start of §52.1 add: "Examples use AWS, the most common provider in job listings; every idea has an equivalent." Add a small table: object storage (S3 / Blob Storage / Cloud Storage); identity (IAM / Entra ID + RBAC / Cloud IAM); managed containers (App Runner, ECS / Container Apps / Cloud Run); Kubernetes (EKS / AKS / GKE); secrets (Secrets Manager / Key Vault / Secret Manager). Define S3 bucket and ARN ("Amazon Resource Name — the unique ID of any AWS resource, e.g. arn:aws:s3:::riverstone-sensor-archive-production") where first used.</t>
  </si>
  <si>
    <t xml:space="preserve">52.4</t>
  </si>
  <si>
    <t xml:space="preserve">§52.1 IAM "prefer a role a pipeline assumes over a permanent credential"</t>
  </si>
  <si>
    <t xml:space="preserve">IAM vocabulary is used but not built. "Role", "policy", "permission", "principal" and "assume" are never defined, and there is no example policy until the Terraform, where it is buried in jsonencode.</t>
  </si>
  <si>
    <t xml:space="preserve">Add a worked mini-example in §52.1. Define an identity (a user, or a role that a program *assumes* to get short-lived credentials), a policy (a JSON list of statements), and a statement (Effect + Action + Resource). Show the 8-line JSON policy for the sensor bucket, and read each field aloud: "Effect": "Allow", "Action": ["s3:GetObject", …], "Resource": [...]. Then a 3-row "who gets what" table (pipeline role: Get/Put/List on one bucket; analyst: Get only; admin: break-glass only). §52.4 then points back to it.</t>
  </si>
  <si>
    <t xml:space="preserve">52.5</t>
  </si>
  <si>
    <t xml:space="preserve">§52.1 from networking_math import describe; d['usable_hosts']</t>
  </si>
  <si>
    <t xml:space="preserve">"Real CIDR arithmetic" is promised, but it is done by a hidden helper. The by-hand calculation (2^(32−16)) appears only in answer 2. Binary/bits (Ch 2) and IP addresses/private ranges (Ch 34) are not pointed back to. vpc.subnets(new_prefix=24) and num_addresses are not explained.</t>
  </si>
  <si>
    <t xml:space="preserve">Before the cell, add a by-hand box. "An IPv4 address is 32 bits, written as 4 numbers 0–255 (Chapter 2's bits; Chapter 34's IP addresses). /16 means the first 16 bits are fixed, leaving 32 − 16 = 16 bits free → 2¹⁶ = 65,536 addresses. /24 leaves 8 bits → 256. Splitting a /16 into /24s uses 24 − 16 = 8 more bits → 2⁸ = 256 subnets." Say 10.0.0.0/16 is a *private range* (Ch 34). Then drop describe and compute inline: usable = subnet.num_addresses - 5  # AWS reserves 5 per subnet. Explain ip_network, .subnets(new_prefix=24) (a generator, hence list), and .num_addresses.</t>
  </si>
  <si>
    <t xml:space="preserve">52.6</t>
  </si>
  <si>
    <t xml:space="preserve">§52.2 (no install, no commands); Tools "Docker Desktop or Docker Engine" only at the end</t>
  </si>
  <si>
    <t xml:space="preserve">Docker is never installed or run. There is no docker build, docker run, docker ps, docker logs, docker compose up or down anywhere, even as not-executed. The only docker build is buried in the CI YAML. "Registry" and "tag" are undefined until CI. A beginner finishes the containers section unable to run a container. Docker Desktop is free for personal use, so "no container runtime" is the book's choice, not a constraint on the reader.</t>
  </si>
  <si>
    <t xml:space="preserve">Add §52.2 "Installing Docker and your first container" (Windows/macOS: Docker Desktop, with the WSL 2 note from Ch 34; Linux: Docker Engine). Check it with docker --version → output, then docker run --rm hello-world → its first lines. After the Dockerfile, add a terminal cell (marked *not executed in this book's environment; output from Docker 27.x on the author's machine* or *expected output*): docker build -t riverstone/pipeline:1.4.0 pipeline_image/ (explain -t name:tag and the context folder); docker images; docker run --rm -p 3000:3000 -e CRM_API_TOKEN=… riverstone/pipeline:1.4.0 (explain --rm, -p host:container, -e); docker ps; docker logs &lt;id&gt;; docker stop. Define image tag and registry (Docker Hub) here, not in CI. For Compose: docker compose up -d, docker compose ps, docker compose down.</t>
  </si>
  <si>
    <t xml:space="preserve">52.7</t>
  </si>
  <si>
    <t xml:space="preserve">§52.2 Dockerfile line-by-line list</t>
  </si>
  <si>
    <t xml:space="preserve">The explanation covers FROM, apt-get, the COPY/pip ordering, ENV RIVERSTONE_SOURCE, useradd/USER and CMD. Not explained: AS base (a multi-stage name that is never used); \ line continuation and &amp;&amp; chaining; -y; --no-install-recommends; rm -rf /var/lib/apt/lists/*; WORKDIR; . as a destination; --no-cache-dir; the second COPY dagster_definitions.py . and ./ vs .; ENV PYTHONUNBUFFERED=1; EXPOSE (documentation only; -p actually publishes); CMD's JSON "exec form"; and the dagster flags -f, -h 0.0.0.0, -p 3000.</t>
  </si>
  <si>
    <t xml:space="preserve">Replace the bullet list with a two-column table, one row per Dockerfile line (19 lines), covering each flag. Delete AS base, or explain it and use it (see 52.8). Explain \+&amp;&amp; once: "one RUN = one layer, so chaining keeps the cleanup in the same layer." Add "EXPOSE doesn't open anything; it records the port for readers and tools — docker run -p does the publishing."</t>
  </si>
  <si>
    <t xml:space="preserve">52.8</t>
  </si>
  <si>
    <t xml:space="preserve">§52.2 Dockerfile RUN apt-get install … libpq-dev; comment "packages the pipeline needs at run time (nothing here is needed only for building)"</t>
  </si>
  <si>
    <t xml:space="preserve">This is contradictory and likely broken. The prose says libpq-dev is what psycopg2 "needs to compile against", which is a build need, the opposite of the comment. python:3.12-slim has no C compiler (gcc), so pip install psycopg2 (source) fails even with libpq-dev. If requirements.txt uses psycopg2-binary (as Ch 45 installed), no apt package is needed at all. requirements.txt is never shown.</t>
  </si>
  <si>
    <t xml:space="preserve">Show requirements.txt (pinned: dagster==…, dagster-webserver==… (needed for the web UI), psycopg2-binary==2.9.x, requests==2.33.1, duckdb==…). Then either (A, simplest) delete the apt-get RUN, since psycopg2-binary bundles libpq, and fix the layer count to 5 in the parse output/prose, or (B) make it a genuine two-stage build: FROM python:3.12-slim AS build with build-essential libpq-dev to build wheels, then FROM python:3.12-slim with libpq5 only, copying the wheels. That also justifies the AS name. Fix the comment to match.</t>
  </si>
  <si>
    <t xml:space="preserve">52.9</t>
  </si>
  <si>
    <t xml:space="preserve">§52.2 CMD ["dagster", "dev", …]; "Dagster's development server"</t>
  </si>
  <si>
    <t xml:space="preserve">dagster dev is Dagster's local development command, and Dagster's docs say it is not for production. It runs the webserver *and* the scheduler daemon with temporary SQLite storage inside the container, so run history is lost on every restart or redeploy. Likely a second bug: with DAGSTER_HOME unset, dagster dev creates a temporary home folder in the working directory, and /app is root-owned while the process runs as pipeline, so it may fail with a permission error.</t>
  </si>
  <si>
    <t xml:space="preserve">Say plainly: "dagster dev is fine for trying the image locally; production runs the webserver and daemon as separate processes with run storage in PostgreSQL." For the book's scheduled-pipeline recommendation (§52.7/52.8), change CMD to run the job once and exit: CMD ["dagster", "job", "execute", "-f", "dagster_definitions.py", "-j", "flash_job"], triggered daily by the platform's scheduler. That matches the cost model. If keeping the UI version, add ENV DAGSTER_HOME=/home/pipeline/dagster_home + RUN mkdir -p $DAGSTER_HOME after useradd, or RUN chown -R pipeline /app. Verify with a real build (52.6).</t>
  </si>
  <si>
    <t xml:space="preserve">52.10</t>
  </si>
  <si>
    <t xml:space="preserve">§52.2 COPY ingest.py apply_day.py make_files.py mock_crm_api.py ./; CI docker build … pipeline_image/; Tools "pipeline_image/ (Dockerfile, requirements.txt, docker-compose.yml)"</t>
  </si>
  <si>
    <t xml:space="preserve">Two problems. (a) The build context is pipeline_image/, which per the Tools list holds no .py files, so every COPY fails. (b) The test scaffolding from Ch 45/46 (mock_crm_api.py, make_files.py, apply_day.py simulate the ERP/CRM) is shipped into the production image.</t>
  </si>
  <si>
    <t xml:space="preserve">Put the pipeline's .py files in pipeline_image/, or build from the repo root with -f pipeline_image/Dockerfile ., and list the files in Tools. Copy only production modules. Add a .dockerignore (.env, tests/, __pycache__/) and explain it in one line, as the image-side twin of Ch 26's .gitignore, which also keeps .env out of the image.</t>
  </si>
  <si>
    <t xml:space="preserve">52.11</t>
  </si>
  <si>
    <t xml:space="preserve">Figure 52.3 "COPY *.py ." … "Layers 1-3 rarely change… Editing ingest.py only rebuilds from layer 4 down"</t>
  </si>
  <si>
    <t xml:space="preserve">The figure doesn't match the Dockerfile. It shows one COPY *.py where the Dockerfile has two COPYs, omits the ENV lines, and counts layers differently from the parser's 6. useradd after the code COPY also means every code edit re-runs useradd (small, but it undercuts "Layers 1-3 stay cached").</t>
  </si>
  <si>
    <t xml:space="preserve">Redraw the figure from the actual Dockerfile. Move RUN useradd --create-home pipeline up, right after FROM/apt, so it is cached too; keep USER pipeline before CMD. Update "6 layers" if 52.8 removes the apt layer.</t>
  </si>
  <si>
    <t xml:space="preserve">52.12</t>
  </si>
  <si>
    <t xml:space="preserve">§52.2 parse cell; Reading "This is exactly what a linter would check"</t>
  </si>
  <si>
    <t xml:space="preserve">Parsing isn't linting. A linter (e.g. hadolint) flags things like unpinned apt packages and a missing --no-install-recommends; the parser only reads the structure. d.structure, the generator in sorted(set(...)), why COMMENT appears as an "instruction", and open(..., "rb") without closing are not explained.</t>
  </si>
  <si>
    <t xml:space="preserve">"A parser confirms the file is well formed and lets us check facts about it; a linter such as hadolint goes further and flags risky patterns." Print d.structure[0] once so the reader sees the dict shape (instruction, value, startline). Note that comments are recorded as COMMENT entries. Use with open(...) as f:.</t>
  </si>
  <si>
    <t xml:space="preserve">52.13</t>
  </si>
  <si>
    <t xml:space="preserve">§52.2 docker-compose.yml</t>
  </si>
  <si>
    <t xml:space="preserve">The YAML isn't explained line by line: services, image, environment, ${POSTGRES_PASSWORD} substitution, volumes: pgdata:/var/lib/postgresql/data and the top-level named volume, ports "5432:5432", build: ., depends_on, restart: unless-stopped. The .env file it relies on is never shown.</t>
  </si>
  <si>
    <t xml:space="preserve">Add a line-by-line table. Show the .env file (POSTGRES_PASSWORD=change-me-locally, CRM_API_TOKEN=practice-token-51), and repeat that it is in .gitignore (Ch 26) and .dockerignore. Explain that ${VAR} is filled from the shell or .env when docker compose runs. Say what the named volume is for (data survives docker compose down). Note "5432:5432 exposes the database to your laptop — handy locally, never in the cloud (§52.1's security groups)."</t>
  </si>
  <si>
    <t xml:space="preserve">52.14</t>
  </si>
  <si>
    <t xml:space="preserve">§52.2 compose RIVERSTONE_SOURCE: "dbname=riverstone_source host=postgres …"; Reading "the pipeline correctly depends on the database starting first"</t>
  </si>
  <si>
    <t xml:space="preserve">(a) The official postgres:16 image creates only the database named by POSTGRES_DB (default postgres), so dbname=riverstone_source doesn't exist and the pipeline can't connect. (b) depends_on waits for the container to *start*, not for PostgreSQL to accept connections, so the pipeline's first connection often fails. The Reading overclaims.</t>
  </si>
  <si>
    <t xml:space="preserve">Add POSTGRES_DB: riverstone_source (plus a mounted init SQL from the companion if tables are needed). Add a healthcheck to postgres (test: ["CMD-SHELL", "pg_isready -U postgres"], interval: 5s) and depends_on: postgres: condition: service_healthy. Rewrite the Reading: "depends_on with a health condition makes the pipeline wait until PostgreSQL is actually ready, not just started."</t>
  </si>
  <si>
    <t xml:space="preserve">52.15</t>
  </si>
  <si>
    <t xml:space="preserve">§52.3 (no kubectl, no cluster); Tools "kind or minikube is enough to learn on"</t>
  </si>
  <si>
    <t xml:space="preserve">There is no kubectl apply -f, kubectl get pods, kubectl describe, kubectl logs or kubectl create secret anywhere, not even as not-executed. The reader can't connect the manifest to anything happening. Where do the two referenced Secrets come from?</t>
  </si>
  <si>
    <t xml:space="preserve">Add "Trying it on your laptop" (optional, marked not executed here): install kind + kubectl; kind create cluster; kubectl create secret generic riverstone-crm-secret --from-literal=token=… (with a shell-history warning pointing to Ch 34's export note; better --from-env-file=.env); kubectl apply -f k8s/pipeline-deployment.yaml; kubectl get pods with 2 Running pods shown as expected output; kubectl delete pod &lt;one&gt; then kubectl get pods showing the replacement, which answers project step 3; kubectl logs.</t>
  </si>
  <si>
    <t xml:space="preserve">52.16</t>
  </si>
  <si>
    <t xml:space="preserve">§52.3 manifest; "Reading it, and why each piece is there"</t>
  </si>
  <si>
    <t xml:space="preserve">The explanation skips most lines: apiVersion (why apps/v1 vs v1), metadata.name, labels, selector.matchLabels and template.metadata.labels and how they must match (the most confusing part for beginners, and how the Service finds Pods), containers as a YAML list (-), image tag 1.4.0, containerPort, env/valueFrom/secretKeyRef/key, Mi/Gi units, initialDelaySeconds, ---, type: ClusterIP (reachable only *inside* the cluster, so what serves the "load balancer" in Figure 52.2?).</t>
  </si>
  <si>
    <t xml:space="preserve">Build it in 3 steps. (1) A 12-line bare Deployment (name, replicas, selector, template, one container with image). Draw the label-matching as a small diagram: Deployment → selector app=riverstone-pipeline → Pods with that label ← Service selector. (2) Add env from Secrets and resources. (3) Add the probe and the Service. After each, a parse cell with output. Explain units (m = thousandths of a core; Mi = mebibytes, Ch 2), --- (several YAML documents in one file), and ClusterIP vs LoadBalancer (one line: "to reach it from the internet you'd use type LoadBalancer or an Ingress — the load balancer in Figure 52.2").</t>
  </si>
  <si>
    <t xml:space="preserve">52.17</t>
  </si>
  <si>
    <t xml:space="preserve">§52.3 replicas: 2 with the image whose CMD is dagster dev; "if one crashes… traffic keeps flowing to the other"</t>
  </si>
  <si>
    <t xml:space="preserve">This is an architectural error. Each replica runs a full Dagster instance with its own scheduler daemon and own SQLite storage, so the 06:30 schedule (Ch 46) fires twice, sending two Daily Sales Flashes, with two unrelated run histories, and the UI shows a different history depending on which Pod the Service picks. This contradicts Ch 46/51's idempotency lessons. Replicas suit stateless request-serving processes, not a scheduler.</t>
  </si>
  <si>
    <t xml:space="preserve">Either set replicas: 1 and explain why ("a scheduler must run exactly once; Kubernetes restarts it if it dies"), or, better for Riverstone, replace the Deployment with a CronJob (kind: CronJob, schedule: "30 6 * * *", timeZone: "Asia/Kolkata", restartPolicy: OnFailure) running the one-shot job command from 52.9. Keep a separate Deployment example for something that *is* stateless (the Ch 51 webhook receiver, with replicas: 2). Add CronJob to the §52.3 objects table and the key terms.</t>
  </si>
  <si>
    <t xml:space="preserve">52.18</t>
  </si>
  <si>
    <t xml:space="preserve">§52.3 readinessProbe: httpGet: path: /health, port: 3000</t>
  </si>
  <si>
    <t xml:space="preserve">Very likely wrong. The Dagster webserver has no /health route (Dagster's own Helm chart probes /server_info). A probe that always returns 404 keeps the Pod NotReady forever, and the Service sends it no traffic.</t>
  </si>
  <si>
    <t xml:space="preserve">Change to path: /server_info, and say "the path must be one the application actually serves — check before you deploy". Or, if 52.17's CronJob route is taken, drop the probe and explain that probes are for long-running services. Also add a livenessProbe line or a sentence on readiness (stop traffic) vs liveness (restart the container).</t>
  </si>
  <si>
    <t xml:space="preserve">52.19</t>
  </si>
  <si>
    <t xml:space="preserve">§52.3 objects table (Pod, Deployment, Service, Secret, Namespace)</t>
  </si>
  <si>
    <t xml:space="preserve">Pod and Namespace are defined but never appear in a manifest. No Secret manifest is shown. The CronJob that suits a batch pipeline is missing (see 52.17). The table also lacks "cluster" and "node".</t>
  </si>
  <si>
    <t xml:space="preserve">Add rows: Cluster (a group of machines Kubernetes manages), Node (one machine), CronJob (run a Pod on a schedule). Add namespace: riverstone to the metadata and explain it. Show a 6-line Secret manifest, then warn that it must never be committed (§52.6).</t>
  </si>
  <si>
    <t xml:space="preserve">52.20</t>
  </si>
  <si>
    <t xml:space="preserve">§52.4 (no install, no terraform init, no plan output)</t>
  </si>
  <si>
    <t xml:space="preserve">The Terraform workflow is described in prose only. terraform init (which downloads the provider and is required before plan) is never mentioned. There is no install, and no sample plan output, although "reading the plan" is the chapter's key habit and the story's lesson. terraform fmt and terraform validate work without a cloud account (validate only needs the provider download), so they could be run for real.</t>
  </si>
  <si>
    <t xml:space="preserve">Add "Installing Terraform" (one line per OS; terraform -version → output). Run for real: terraform init (explain: downloads hashicorp/aws into .terraform/, writes .terraform.lock.hcl), terraform fmt, terraform validate → "Success! The configuration is valid." Then show a sample terraform plan output, marked as illustrative, with + resource "aws_s3_bucket" "sensor_archive" … and Plan: 5 to add, 0 to change, 0 to destroy. Teach the symbols + create, ~ update in place, - destroy, -/+ replace, and give a second, short plan excerpt with a - line. That sets up the closing story. Explain terraform destroy.</t>
  </si>
  <si>
    <t xml:space="preserve">52.21</t>
  </si>
  <si>
    <t xml:space="preserve">§52.4 main.tf (97 lines); "Reading it, resource by resource"</t>
  </si>
  <si>
    <t xml:space="preserve">The explanation covers only the 5 resources and the output. Not explained: the terraform {} / required_providers block; source = "hashicorp/aws"; version = "~&gt; 5.0" (≥5.0, &lt;6.0); the provider block and where credentials come from (never in the file: environment/SSO profile); variable blocks (description/type/default) and var.x; ${…} interpolation; the two labels in resource "type" "name"; references like aws_s3_bucket.sensor_archive.id / .arn (and how they create dependency order); nested blocks (versioning_configuration, rule, noncurrent_version_transition); jsonencode; the policy's Version = "2012-10-17" (the policy-language version, not a date to update); assume_role_policy (the trust policy: who may use the role) vs aws_iam_role_policy (the permission policy: what it may do); sts:AssumeRole; Principal; tags.</t>
  </si>
  <si>
    <t xml:space="preserve">Build main.tf in 4 cells, each followed by terraform validate and/or the hcl2 parse. (1) terraform + provider + 2 variables: explain every line, the ~&gt; constraint, and "credentials come from your environment, never this file". (2) The bucket + versioning: the resource syntax, references, interpolation. (3) Lifecycle: nested blocks (see 52.23). (4) Role + policy: trust vs permission policy with a 2-row table; read jsonencode as "write this HCL map out as the JSON policy of §52.1" (from 52.4's box); ARN defined. Then the output block.</t>
  </si>
  <si>
    <t xml:space="preserve">52.22</t>
  </si>
  <si>
    <t xml:space="preserve">§52.4 Principal = { Service = "ecs-tasks.amazonaws.com" } vs §52.3 Kubernetes and §52.8 "managed container service (AWS App Runner…)"</t>
  </si>
  <si>
    <t xml:space="preserve">The role can only be assumed by ECS tasks. The chapter deploys to Kubernetes (§52.3, and CI's kubectl), which would need EKS Pod Identity/IRSA, and recommends App Runner (principal tasks.apprunner.amazonaws.com). ECS itself only appears in §52.8. None of the three deployment paths could use this role as written.</t>
  </si>
  <si>
    <t xml:space="preserve">Pick one target for the whole chapter. Following §52.8's recommendation, use ECS Fargate scheduled tasks (or App Runner) throughout: keep ecs-tasks.amazonaws.com, mention ECS in §52.3's "When you don't need it", and make §52.5's deploy job update an ECS task definition. Or keep ECS and add one sentence: "on EKS the trust policy names the cluster's identity provider instead; on App Runner, tasks.apprunner.amazonaws.com."</t>
  </si>
  <si>
    <t xml:space="preserve">52.23</t>
  </si>
  <si>
    <t xml:space="preserve">§52.4 lifecycle comment "cold storage for anything older than 90 days"; Reading "moves old versions to cold storage after 90 days, exactly the retention-and-cost trade-off Chapter 49's section 49.8 worked through"</t>
  </si>
  <si>
    <t xml:space="preserve">This is inaccurate. noncurrent_version_transition moves only overwritten (non-current) versions, 90 days after they *became* non-current. Current data never moves, so it doesn't implement §49.8's cost trade-off for the live archive. Also, provider 5.x warns when a lifecycle rule has no filter block.</t>
  </si>
  <si>
    <t xml:space="preserve">Comment: # previous versions of overwritten files move to cold storage 90 days after being replaced. Reading: "…keeps the safety net of versioning without paying hot-storage prices for it." If the §49.8 idea (old *data* to cold storage) is intended, add a transition { days = 365  storage_class = "GLACIER_IR" } and explain the retrieval-cost trade-off. Add filter {} to the rule and explain it in one line ("apply to every object").</t>
  </si>
  <si>
    <t xml:space="preserve">52.24</t>
  </si>
  <si>
    <t xml:space="preserve">§52.4 versioning comment "protects against the Chapter 49 'table nobody could fix' scenario"; Reading "would have prevented Chapter 49's incident"</t>
  </si>
  <si>
    <t xml:space="preserve">This contradicts Ch 49. In that story versioning "happened to be enabled" and is how the missing days were *restored*. It didn't prevent the incident, and the fix there was Delta Lake.</t>
  </si>
  <si>
    <t xml:space="preserve">"Versioning is what let Chapter 49's team restore the deleted days — there it happened to be on; here it's on by design."</t>
  </si>
  <si>
    <t xml:space="preserve">52.25</t>
  </si>
  <si>
    <t xml:space="preserve">§52.4 "State must be stored somewhere shared and locked (a cloud storage bucket with locking…)"</t>
  </si>
  <si>
    <t xml:space="preserve">The idea of state is described but not shown. There is no backend "s3" block, the reader isn't told what's inside state (resource IDs, attributes, sometimes secrets in plain text), and not told it must never be committed.</t>
  </si>
  <si>
    <t xml:space="preserve">Add a 6-line backend "s3" { bucket = "riverstone-tfstate"  key = "platform/terraform.tfstate"  region = "ap-south-1"  use_lockfile = true } (Terraform ≥1.10 S3 native locking; older: a DynamoDB table). Explain each line. Add: "State can contain secrets in plain text — keep it in an encrypted bucket, never in Git (add *.tfstate and .terraform/ to .gitignore)."</t>
  </si>
  <si>
    <t xml:space="preserve">52.26</t>
  </si>
  <si>
    <t xml:space="preserve">§52.4 hcl2 cell list(r.keys())[0].strip('"'); output incl. '__comments__'; Tools "Versions used: Python 3.12.3, PyYAML 6.0.3"</t>
  </si>
  <si>
    <t xml:space="preserve">.strip('"') is needed because python-hcl2 (v5+) keeps HCL's quotes in the keys, but the chapter doesn't say so. __comments__ appears only in recent python-hcl2 versions. The versions of python-hcl2 and dockerfile-parse aren't listed, so outputs may differ.</t>
  </si>
  <si>
    <t xml:space="preserve">Explain in a bullet: "the parser keeps the quotes from resource "aws_s3_bucket", so we strip them"; "__comments__ is the parser keeping your comments — ignore it". Add to Versions: python-hcl2 8.x and dockerfile-parse 2.0.1 (reproduced here: python-hcl2 8.1.4 and dockerfile-parse 2.0.1 give matching structure).</t>
  </si>
  <si>
    <t xml:space="preserve">52.27</t>
  </si>
  <si>
    <t xml:space="preserve">§52.5 workflow path .github_workflows/deploy.yml (cell and Tools)</t>
  </si>
  <si>
    <t xml:space="preserve">GitHub only runs workflows from .github/workflows/. Ch 26 taught exactly that path (.github/workflows/checks.yml). A reader who copies the companion layout gets a workflow that never runs.</t>
  </si>
  <si>
    <t xml:space="preserve">Rename to .github/workflows/deploy.yml in the companion, the cell and Tools. If the underscore was a packaging workaround for hidden folders, say so and tell the reader to rename it.</t>
  </si>
  <si>
    <t xml:space="preserve">52.28</t>
  </si>
  <si>
    <t xml:space="preserve">§52.5 build-and-push job: docker build … docker push riverstone/pipeline:${{ github.sha }}</t>
  </si>
  <si>
    <t xml:space="preserve">There is no registry login, so the push fails with "denied: requested access to the resource is denied". §52.6 says CI secrets belong in GitHub Actions secrets, yet this workflow uses none. No image name/registry is explained (riverstone/ = a Docker Hub namespace).</t>
  </si>
  <si>
    <t xml:space="preserve">Add a step before the build: - uses: docker/login-action@v3 with: username: ${{ secrets.DOCKERHUB_USERNAME }}  password: ${{ secrets.DOCKERHUB_TOKEN }} (or ECR login if 52.22 picks AWS). Explain secrets.X and point to §52.6, and show where to add a repo secret (Settings → Secrets and variables → Actions).</t>
  </si>
  <si>
    <t xml:space="preserve">52.29</t>
  </si>
  <si>
    <t xml:space="preserve">§52.5 deploy job: kubectl set image deployment/riverstone-pipeline …; §52.8 "it deploys from the CI/CD workflow in section 52.5"</t>
  </si>
  <si>
    <t xml:space="preserve">The deploy job has no cluster credentials (no kubeconfig or cloud login step), so kubectl can't reach any cluster. It also deploys to Kubernetes, while §52.8 says Riverstone should use a managed container service "deployed from the CI/CD workflow in section 52.5". The two don't match.</t>
  </si>
  <si>
    <t xml:space="preserve">Align with 52.22. For ECS: aws-actions/configure-aws-credentials@v4 using OIDC (role-to-assume), then aws-actions/amazon-ecs-deploy-task-definition. For K8s: add a credentials step and say "kubectl needs the cluster's credentials, which come from a secret or OIDC". Explain kubectl set image (container name pipeline = the manifest's container name).</t>
  </si>
  <si>
    <t xml:space="preserve">52.30</t>
  </si>
  <si>
    <t xml:space="preserve">§52.5 workflow; "Working out exactly what runs" from simulate_workflow import load_workflow, jobs_that_run</t>
  </si>
  <si>
    <t xml:space="preserve">(a) The YAML is not explained line by line. Ch 26 taught on, jobs and runs-on, but on.pull_request.branches (which filters the PR's *target* branch), needs, if, github.event_name, github.ref, ${{ … }} expressions, uses: …@v4 pinning, with: and environment: are new. (b) The simulator is a black box described as evaluating "GitHub's own trigger and condition rules", which it can't fully do (path filters, tags, workflow_dispatch…). (c) The reader already has a GitHub repo from Ch 26, so the test job *can* run for real.</t>
  </si>
  <si>
    <t xml:space="preserve">Add a line-by-line table for the workflow. Show simulate_workflow.py's core (~15 lines: match on[event].branches against the branch; evaluate if for two variables; honour needs) and say what it doesn't model. Add: "Push this file to your Chapter 26 repository and open the Actions tab — the test job runs for real; build/deploy will fail without a registry and cluster, which is expected." Show a screenshot or its expected output.</t>
  </si>
  <si>
    <t xml:space="preserve">52.31</t>
  </si>
  <si>
    <t xml:space="preserve">Whole chapter; Time needed "12–16 hours"</t>
  </si>
  <si>
    <t xml:space="preserve">Load: cloud levels, regions/AZs, shared responsibility, IAM, VPC/CIDR/security groups, Docker, Compose, Kubernetes, Terraform, CI/CD, secrets, cost and targets add up to 12+ major topics and 40 key terms in 27 pages. Each of Docker, Kubernetes and Terraform is normally a multi-sitting topic for a beginner.</t>
  </si>
  <si>
    <t xml:space="preserve">Split into two chapters (or two clearly marked halves with separate Time needed): 52A "The Cloud: accounts, identity, networks and cost" (52.1 + IaaS/PaaS/SaaS, IAM worked example, CIDR, secrets §52.6, cost §52.7, targets §52.8; ~8–10 h) and 52B "Containers, IaC and CI/CD" (Docker with install and commands, Compose, Kubernetes as a reading-plus-optional-kind section, Terraform with init/validate/plan, CI/CD; ~12–16 h). If one chapter is kept, restate Time needed as 20–26 h over three to four weeks, and mark §52.3 Kubernetes "read for vocabulary; hands-on optional".</t>
  </si>
  <si>
    <t xml:space="preserve">52.32</t>
  </si>
  <si>
    <t xml:space="preserve">§52.7 from cost_estimate import container_compute_cost, always_on_vs_scheduled, HOURS_PER_MONTH</t>
  </si>
  <si>
    <t xml:space="preserve">The cost model is a black box. The hourly price ($17.52 ÷ 730 = $0.024/h) and the container size it assumes (vCPU/GB) are never stated, so the reader can't redo it for their own case (Ex 8 just re-reads the printout). container_compute_cost is imported and unused.</t>
  </si>
  <si>
    <t xml:space="preserve">Show the model inline: PRICE_PER_HOUR = 0.024  # assumed: ~0.5 vCPU + 1 GB on a managed container service, list price, 2026; check your provider's page, HOURS_PER_MONTH = 730  # 24 × 365 ÷ 12, always_on = round(PRICE_PER_HOUR * 730, 2), scheduled = round(PRICE_PER_HOUR * 30, 2). Give the by-hand line: 0.024 × 730 = 17.52; 0.024 × 30 = 0.72; ratio 730 ÷ 30 = 24.3. Remove the unused import. Replace Ex 8 with a new-numbers version (e.g. a 2-hour job at $0.05/h).</t>
  </si>
  <si>
    <t xml:space="preserve">52.33</t>
  </si>
  <si>
    <t xml:space="preserve">§52.7 "about $7 a month" vs the deployment actually built (CMD dagster dev, replicas: 2, EKS in §52.8)</t>
  </si>
  <si>
    <t xml:space="preserve">The ~$7 figure assumes the pipeline runs about 1 h/day. What the chapter builds is an always-on Dagster server, whose scheduler must keep running for the 06:30 job to fire, in 2 replicas, on Kubernetes. That comes to ≈ 2 × $17.52 compute, plus a managed Kubernetes control plane (EKS lists at $0.10/h ≈ $73/month), about $110/month, not $7. The cost lesson and the configs contradict each other.</t>
  </si>
  <si>
    <t xml:space="preserve">Make the configs match the recommendation: the one-shot job command (52.9) + a platform schedule (ECS scheduled task / Cloud Run job / K8s CronJob, per 52.17/52.22). Then add one line to §52.7: "The Kubernetes Deployment in §52.3, by contrast, would cost roughly 2 × $17.52 plus a managed control plane (~$73/month on EKS) ≈ $110/month — the price of the platform, not the pipeline." This strengthens §52.8's "don't reach for Kubernetes" argument with a number.</t>
  </si>
  <si>
    <t xml:space="preserve">52.34</t>
  </si>
  <si>
    <t xml:space="preserve">§52.1 "Cloud providers reserve five addresses per subnet… broadcast address"</t>
  </si>
  <si>
    <t xml:space="preserve">This is provider-specific. AWS and Azure reserve 5; Google Cloud reserves 4. Answer 4's "59 usable in a /26" is AWS-specific too.</t>
  </si>
  <si>
    <t xml:space="preserve">"AWS (and Azure) reserve five addresses in every subnet; Google Cloud reserves four. This chapter uses AWS's rule."</t>
  </si>
  <si>
    <t xml:space="preserve">52.35</t>
  </si>
  <si>
    <t xml:space="preserve">§52.1 figure/prose "load balancer", "port 443", "hypervisor", "virtualization layer"</t>
  </si>
  <si>
    <t xml:space="preserve">"Load balancer" is used in the subnet plan and figure but never defined. "Virtualization layer/hypervisor" is not pointed back to Ch 6's virtual machine. Port 443 is not linked to HTTPS (Ch 2/34).</t>
  </si>
  <si>
    <t xml:space="preserve">One-line definitions at first use: "a load balancer (a front door that spreads incoming requests across several copies of a service)"; "the virtualization layer (the software that splits one physical server into many virtual machines, Chapter 6)"; "443, the HTTPS port (Chapter 34)".</t>
  </si>
  <si>
    <t xml:space="preserve">52.36</t>
  </si>
  <si>
    <t xml:space="preserve">§52.1 "Temporary broad permissions… are the single most common source of cloud security incidents"</t>
  </si>
  <si>
    <t xml:space="preserve">An unsupported superlative. Industry reports usually rank misconfiguration broadly, and stolen or over-privileged credentials, at the top, not "temporary" grants specifically.</t>
  </si>
  <si>
    <t xml:space="preserve">"…are one of the most common routes into cloud security incidents, because removing them is nobody's job once the deadline passes."</t>
  </si>
  <si>
    <t xml:space="preserve">52.37</t>
  </si>
  <si>
    <t xml:space="preserve">§52.1 security groups "default to denying everything"</t>
  </si>
  <si>
    <t xml:space="preserve">Half true. AWS security groups deny all *inbound* by default but allow all *outbound*.</t>
  </si>
  <si>
    <t xml:space="preserve">"Security groups deny all incoming traffic until you add a rule (outgoing is allowed by default); add only the rules a real need justifies."</t>
  </si>
  <si>
    <t xml:space="preserve">52.38</t>
  </si>
  <si>
    <t xml:space="preserve">Closing story "removing what looked like an unused security group rule" vs "it had never been added to the Terraform file"</t>
  </si>
  <si>
    <t xml:space="preserve">The story contradicts itself. If the engineer removed the rule from the file, it was in the file. If it was never in the file, the plan destroyed it because Terraform manages the group's inline rules and treats unknown rules as drift. The sequence of events is muddled. The "sensor archive's networking" (an S3 bucket) also has no security group; the rule was for pipeline → database.</t>
  </si>
  <si>
    <t xml:space="preserve">Rewrite: "…cleaning up the Terraform for the pipeline's network, he removed one rule he believed unused. The plan listed that removal — and, further down, a second one: a rule a previous engineer had added by hand in the console months earlier, which Terraform, owning the security group's full rule list, planned to delete because it wasn't in the file. That second rule was the one letting the pipeline reach the database." Then "What made this work" reads correctly (drift + unread plan).</t>
  </si>
  <si>
    <t xml:space="preserve">52.39</t>
  </si>
  <si>
    <t xml:space="preserve">Where this leads "Chapter 62, The Economics of Data Platforms, and Chapter 65, FinOps"</t>
  </si>
  <si>
    <t xml:space="preserve">Wrong cross-reference, the same error as the known Ch 49 → 62 one. Ch 62 is Data Architecture Patterns; "The Economics of Data Platforms" is Ch 65's subtitle.</t>
  </si>
  <si>
    <t xml:space="preserve">"Chapter 65, FinOps: The Economics of Data Platforms, returns to cost management at the level of an entire organization's cloud spend."</t>
  </si>
  <si>
    <t xml:space="preserve">52.40</t>
  </si>
  <si>
    <t xml:space="preserve">Where this leads "Chapter 63, Designing Automation &amp; Integration Architecture, returns to choosing deployment targets"</t>
  </si>
  <si>
    <t xml:space="preserve">Wrong title (Ch 63 is "Automation Architecture &amp; Governance"), and Ch 63 is about automation tool choice, not deployment targets. Ch 60 (Designing Whole Systems) / Ch 61 (Distributed Systems &amp; Tradeoffs) are closer.</t>
  </si>
  <si>
    <t xml:space="preserve">"Chapter 60, Designing Whole Systems, returns to choosing platforms at the whole-company scale; Chapter 63, Automation Architecture &amp; Governance, to which tool runs which automation."</t>
  </si>
  <si>
    <t xml:space="preserve">52.41</t>
  </si>
  <si>
    <t xml:space="preserve">Before you start "Chapter 46… 47… 49… 51"</t>
  </si>
  <si>
    <t xml:space="preserve">Missing prerequisites that the chapter relies on: Ch 26 (Git, pull requests, .gitignore, .env, GitHub Actions), Ch 29 (pytest, run in CI), Ch 34 (terminal, env vars export, IP addresses, ports, private ranges, WSL).</t>
  </si>
  <si>
    <t xml:space="preserve">"Before you start: Chapter 26 (Git, pull requests, GitHub Actions, .env), Chapter 29 (tests), Chapter 34 (terminal, environment variables, IP addresses and ports), Chapters 46, 47, 49, 51."</t>
  </si>
  <si>
    <t xml:space="preserve">52.42</t>
  </si>
  <si>
    <t xml:space="preserve">Tools "pip install pyyaml python-hcl2 dockerfile-parse" appears only at chapter end</t>
  </si>
  <si>
    <t xml:space="preserve">The install line comes after all the cells that need it.</t>
  </si>
  <si>
    <t xml:space="preserve">Move it to a short "Setting up" block at the top (after the "note on what actually runs"), with python -c "import yaml, hcl2, dockerfile_parse; print('ok')" → ok.</t>
  </si>
  <si>
    <t xml:space="preserve">52.43</t>
  </si>
  <si>
    <t xml:space="preserve">§52.7 Reading "a webhook receiver from Chapter 51" as always-on; §52.8 "Serverless functions… (a webhook receiver…)"</t>
  </si>
  <si>
    <t xml:space="preserve">These are mildly inconsistent. §52.7 says a webhook receiver must be always-on; §52.8 lists it as a serverless pay-per-invocation fit. Both can be true, but the reader gets two answers.</t>
  </si>
  <si>
    <t xml:space="preserve">§52.7: "…reserved for things that must answer requests at any moment — though even a webhook receiver can be serverless (§52.8), paying per request rather than per hour."</t>
  </si>
  <si>
    <t xml:space="preserve">52.44</t>
  </si>
  <si>
    <t xml:space="preserve">V52.1</t>
  </si>
  <si>
    <t xml:space="preserve">p. 11 · Kubernetes objects table</t>
  </si>
  <si>
    <t xml:space="preserve">The page holds only the 5-row table; about 75% is blank because the 60-line Deployment/Service manifest moved to p. 12.</t>
  </si>
  <si>
    <t xml:space="preserve">Allow long code blocks to split across pages (with a "continued" cue), or place the table after the manifest.</t>
  </si>
  <si>
    <t xml:space="preserve">V52.2</t>
  </si>
  <si>
    <t xml:space="preserve">p. 14 · Section 52.4 opening</t>
  </si>
  <si>
    <t xml:space="preserve">About 70% blank: four paragraphs, then the Terraform block moved whole to p. 15.</t>
  </si>
  <si>
    <t xml:space="preserve">As V52.1. The HCL block is already split across pp. 15–16, so splitting earlier costs nothing.</t>
  </si>
  <si>
    <t xml:space="preserve">V52.3</t>
  </si>
  <si>
    <t xml:space="preserve">p. 17 · Section 52.5 CI/CD</t>
  </si>
  <si>
    <t xml:space="preserve">About 40% blank after "…one of the most common CI/CD tools:"; the workflow YAML is on p. 18.</t>
  </si>
  <si>
    <t xml:space="preserve">As V52.1.</t>
  </si>
  <si>
    <t xml:space="preserve">V52.4</t>
  </si>
  <si>
    <t xml:space="preserve">p. 10, 15, 18 · YAML / HCL blocks</t>
  </si>
  <si>
    <t xml:space="preserve">Long lines wrap to column 0. In docker-compose (p. 10), 52.6) and password=${POSTGRES_PASSWORD}" start at column 0, which in YAML is a new top-level line and would break the file if copied. The same happens to github.sha }} in the workflow (p. 18), and to the comment tails "scenario" and "section 49.8)" in the Terraform (p. 15).</t>
  </si>
  <si>
    <t xml:space="preserve">Hard-wrap by hand (move comments above the line, use YAML folded strings), or use a smaller no-wrap code style with a ↩ marker.</t>
  </si>
  <si>
    <t xml:space="preserve">V52.5</t>
  </si>
  <si>
    <t xml:space="preserve">p. 26 · Exercises 10–14</t>
  </si>
  <si>
    <t xml:space="preserve">V52.6</t>
  </si>
  <si>
    <t xml:space="preserve">p. 5, 7, 9 · Figures 52.1–52.3</t>
  </si>
  <si>
    <t xml:space="preserve">Text is 5.5–7.1 pt. Box bodies and notes are about 5.7 pt; the "Security groups" note on Fig 52.2 is 5.5 pt.</t>
  </si>
  <si>
    <t xml:space="preserve">Redraw at 7 pt minimum (the figures have spare height).</t>
  </si>
  <si>
    <t xml:space="preserve">V52.7</t>
  </si>
  <si>
    <t xml:space="preserve">"Draft chapter", "19 September 2026", "Validated where executable; clearly marked where not". The tagline wording differs from the other chapters ("Every output from a real run").</t>
  </si>
  <si>
    <t xml:space="preserve">V52.8</t>
  </si>
  <si>
    <t xml:space="preserve">V52.9</t>
  </si>
  <si>
    <t xml:space="preserve">p. 9→10 · Lead-in</t>
  </si>
  <si>
    <t xml:space="preserve">"…describes a small stack of containers as one file:" ends p. 9 (about 23% blank below); the compose file is on p. 10.</t>
  </si>
  <si>
    <t xml:space="preserve">V52.10</t>
  </si>
  <si>
    <t xml:space="preserve">p. 9 · Figure 52.3 (Dockerfile layers)</t>
  </si>
  <si>
    <t xml:space="preserve">The italic descriptions sit a line lower than the code in every box, so rows look misaligned. "Layers 1-3" uses a hyphen, and box 3 contains two instructions, which makes "layer 4" ambiguous.</t>
  </si>
  <si>
    <t xml:space="preserve">Vertically centre both columns; use an en dash; number the boxes.</t>
  </si>
  <si>
    <t xml:space="preserve">V52.11</t>
  </si>
  <si>
    <t xml:space="preserve">p. 5 · Figure 52.1</t>
  </si>
  <si>
    <t xml:space="preserve">The inner callouts ("You never touch this layer…", "A public bucket…") end at different heights, with uneven gaps to the outer frames.</t>
  </si>
  <si>
    <t xml:space="preserve">Align the callout bottoms.</t>
  </si>
  <si>
    <t xml:space="preserve">V52.12</t>
  </si>
  <si>
    <t xml:space="preserve">p. 27 · Answer 2</t>
  </si>
  <si>
    <t xml:space="preserve">Powers are set as "2^16", "2^8" (caret) instead of superscripts.</t>
  </si>
  <si>
    <t xml:space="preserve">Use 2¹⁶, 2⁸.</t>
  </si>
  <si>
    <t xml:space="preserve">V52.13</t>
  </si>
  <si>
    <t xml:space="preserve">The 4-line title pushes the draft badge lower than on Ch49/50/51.</t>
  </si>
  <si>
    <t xml:space="preserve">Fixed badge position.</t>
  </si>
  <si>
    <t xml:space="preserve">V52.14</t>
  </si>
  <si>
    <t xml:space="preserve">p. 27 · Answers</t>
  </si>
  <si>
    <t xml:space="preserve">53.1</t>
  </si>
  <si>
    <t xml:space="preserve">Before you start: "Chapter 19 (regression), Chapters 37 and 38 … Chapter 17 (NumPy and pandas), Chapter 29"</t>
  </si>
  <si>
    <t xml:space="preserve">Known cross-reference errors, plus more. Ch 19 is VBA. Ch 38 is Unsupervised Learning. NumPy basics are Ch 18 (M.9) and Ch 35. pandas is never used in this chapter. Ch 29 (testable code) isn't used either. The chapter actually relies on Ch 35 (derivatives, gradient descent, cross-entropy, dot/matrix products), Ch 36 (splits, leakage, stratify), Ch 37 (linear/logistic regression, gradient boosting, overfitting), Ch 39 (confusion matrix, precision/recall, threshold by cost, PR curve), Ch 41 (tokens, word embeddings), Ch 43 (neurons, ReLU, PyTorch, CNN), and Ch 33 (O(n²)).</t>
  </si>
  <si>
    <t xml:space="preserve">Replace with: "Before you start: Chapter 35 (vectors, matrix products, derivatives and gradient descent, cross-entropy), Chapter 36 (train/test splits, leakage), Chapter 37 (linear and logistic regression, gradient boosting, overfitting), Chapter 39 (confusion matrix, precision and recall, choosing a threshold by cost), Chapter 41 (tokens and word embeddings), Chapter 43 (a first look at deep learning). Helpful: Chapter 22's regression basics, Chapter 33 (Big-O)." Drop Ch 17 and Ch 29.</t>
  </si>
  <si>
    <t xml:space="preserve">53.2</t>
  </si>
  <si>
    <t xml:space="preserve">Whole chapter; §53.1 "Chapter 19's linear regression computes one number"</t>
  </si>
  <si>
    <t xml:space="preserve">Chapter 43 is never mentioned (grep: no "Chapter 43"). The reader has already met neurons, sigmoid, ReLU, XOR, a backward pass, PyTorch, a CNN and transfer learning there, and Ch 43's "Where this leads" sends them here. Ch 53 re-introduces the neuron from regression as if it were new, switches from Ch 43's sigmoid + log loss to ReLU + squared error without saying so, and never builds on Ch 43's CNN.</t>
  </si>
  <si>
    <t xml:space="preserve">Open §53.1 with a 3-sentence bridge: "Chapter 43 showed that a neuron is logistic regression with a bend, trained a small network in PyTorch, and ran a tiny CNN. This chapter opens the box: one training step entirely by hand, the techniques that make training work, why convolution and attention are shaped the way they are, and how to shrink a model." Shorten the neuron recap to a reminder that points to Ch 43 §43.1. In §53.2, add: "Chapter 43 used a sigmoid output with log loss for a yes/no answer; here we use a plain output with squared error, because its derivative is the easiest to follow by hand. The backward-pass pattern is identical." In §53.5, point to Ch 43 §43.6's Conv2d as the learned version of the hand kernels.</t>
  </si>
  <si>
    <t xml:space="preserve">53.3</t>
  </si>
  <si>
    <t xml:space="preserve">§53.1 line-by-line "prints -0.1 rather than np.float32(-0.1)"; "a weighted sum of −0.9 comes out of ReLU as 0"</t>
  </si>
  <si>
    <t xml:space="preserve">Both numbers are wrong. The weighted sum in the cell is 2.0·0.6 + 3.0·(−0.4) + 0.1 = 0.10 (and the output prints 0.10), and its dtype is float64, not float32. The negative case is 1.0·0.6 + 3.0·(−0.4) + 0.1 = −0.5, not −0.9. The stated reason for float() is also wrong: :.2f formats a NumPy float fine; float() only matters for a bare print(x), where NumPy 2 shows np.float64(0.09999999999999987).</t>
  </si>
  <si>
    <t xml:space="preserve">Rewrite: "float(...) converts NumPy's result to an ordinary Python number. Without it, printing the value on its own would show np.float64(0.09999999999999987), NumPy 2's way of labelling its own number type (and a reminder that computers store decimals approximately)." And: "The last two lines show the bend: inputs [1.0, 3.0] give a weighted sum of 0.6 − 1.2 + 0.1 = −0.5, and ReLU turns it into 0." Optionally print the weighted sum in the negative case too.</t>
  </si>
  <si>
    <t xml:space="preserve">53.4</t>
  </si>
  <si>
    <t xml:space="preserve">§53.2 line-by-line "Neuron 1's sum is 0.1, which survives"</t>
  </si>
  <si>
    <t xml:space="preserve">Wrong. x @ W1 = [2.1, 0.1], and after + b1 = [0.0, 0.1] the sum is 0.2, which is what the printed output (z1 = [2.1 0.2]) and Figure 53.2 show. A reader checking by hand will think they erred.</t>
  </si>
  <si>
    <t xml:space="preserve">"Neuron 1's sum is 1.0·(−0.3) + 2.0·0.2 = 0.1, plus its bias 0.1 = 0.2, which is positive, so it survives ReLU; nothing is negative here, so a1 equals z1 this time."</t>
  </si>
  <si>
    <t xml:space="preserve">53.5</t>
  </si>
  <si>
    <t xml:space="preserve">§53.2 "which is really the chain rule from school calculus"</t>
  </si>
  <si>
    <t xml:space="preserve">The chain rule is used for every line of the backward pass but is never taught, in this chapter or earlier (Ch 35 teaches the derivative and the gradient but not the chain rule; the Ch 43 review found the same gap, 43.3). "From school calculus" assumes a background the book doesn't. da1 = dloss_dz2 * W2 and dz1 = da1 * (z1 &gt; 0) are exactly chain-rule products and need that idea first.</t>
  </si>
  <si>
    <t xml:space="preserve">Before the backward-pass cell, add a subsection "The chain rule in one idea": "If turning knob a moves b, and b moves c, then how much a moves c = (how much a moves b) × (how much b moves c)." Give a numeric example from this network: the loss changes 0.84 per unit of z2 (dloss/dz2 = 2 × 0.42), and z2 changes 2.1 per unit of W2[0] (because a1[0] = 2.1), so the loss changes 0.84 × 2.1 = 1.764 per unit of W2[0], which is dW2[0]. Then add a check cell after the backward pass, as in Ch 35's nudge: eps = 1e-6; W2p = W2.copy(); W2p[0] += eps; … which prints numerical 1.7640 vs backprop 1.7640. Point to Ch 35 §35.4 for "derivative of (z − y)² is 2(z − y)". If the Ch 43 fix (43.3) adds a hand chain rule there, say "as in Chapter 43 §43.4" and keep only the numeric example here.</t>
  </si>
  <si>
    <t xml:space="preserve">53.6</t>
  </si>
  <si>
    <t xml:space="preserve">§53.2 "dloss_dz2 = 2 * (z2 - y_true) # derivative of (z2 - y)^2"</t>
  </si>
  <si>
    <t xml:space="preserve">The derivative formula is stated as known. Ch 35 §35.4 taught exactly this ("derivative … = 2 × average of (error × x)"), but the chapter doesn't link to it.</t>
  </si>
  <si>
    <t xml:space="preserve">Add "(the same derivative as Chapter 35 §35.4, for one example)".</t>
  </si>
  <si>
    <t xml:space="preserve">53.7</t>
  </si>
  <si>
    <t xml:space="preserve">§53.2 vocabulary "Loss function … squared error for numbers, cross-entropy for classification"</t>
  </si>
  <si>
    <t xml:space="preserve">The worked example predicts a number with squared error, while every model in the rest of the chapter is a classifier. The reader isn't told why, or what changes for classification.</t>
  </si>
  <si>
    <t xml:space="preserve">One sentence after the forward pass: "Our target is a number, so we use squared error. For a yes/no target the output goes through a sigmoid and the loss is log loss (Ch 35 §35.9, Ch 43); the backward pass then starts from (prediction − truth) instead of 2 × (prediction − truth), and everything after that is the same."</t>
  </si>
  <si>
    <t xml:space="preserve">53.8</t>
  </si>
  <si>
    <t xml:space="preserve">§53.2 "using better optimizers (Adam adapts the step size per weight and is the usual default)"</t>
  </si>
  <si>
    <t xml:space="preserve">Optimizers are named, never built. The reader has seen torch.optim.Adam (Ch 43) and uses MLPClassifier's default Adam here without seeing what it does differently from the plain update they just did by hand.</t>
  </si>
  <si>
    <t xml:space="preserve">Add a 10-line "Optimizers, one step by hand" box after the update: minimise f(w) = (w − 3)² from w = 0; gradient = 2(w − 3) = −6. Plain gradient descent with lr = 0.1 moves w to 0.6. Adam (β1 = 0.9, β2 = 0.999) computes m = 0.1 × (−6) = −0.6 and v = 0.001 × 36 = 0.036, bias-corrected m̂ = −6 and v̂ = 36, so the step is 0.1 × (−6)/√36 = −0.1 and w moves to 0.1. The lesson: Adam divides by the gradient's typical size, so every weight moves roughly lr per step whatever its gradient's scale. That's why it needs less tuning. Also mention momentum in one line ("keeps a running average of recent gradients, so steps don't zig-zag"). Show the cell with its output.</t>
  </si>
  <si>
    <t xml:space="preserve">53.9</t>
  </si>
  <si>
    <t xml:space="preserve">§53.3 table: initialization, batch normalization, dropout, learning-rate schedule, augmentation; "Each is a one-line change with a measurable effect"</t>
  </si>
  <si>
    <t xml:space="preserve">Only two of seven are shown working (scaling and early stopping). Regularization beyond early stopping (dropout, and L2/weight decay, which MLPClassifier applies by default as alpha=0.0001) is never shown or mentioned, and He/Xavier are named without definition. The chapter-at-a-glance promises "use the techniques".</t>
  </si>
  <si>
    <t xml:space="preserve">Add a short "Four of them by hand" subsection, each a 3–5 line cell with output, reusing §53.2's numbers: (1) Dropout: a1 = [2.1, 0.2], mask [1, 0] with p = 0.5, scaled by 1/(1−p) → [4.2, 0.0], plus "at prediction time dropout is switched off; the scaling keeps the average the same". (2) Batch normalization: a batch of four outputs [2, 4, 6, 8] → subtract the mean 5, divide by the std 2.236 → [−1.342, −0.447, 0.447, 1.342], then a learned scale and shift. (3) He initialization: std = sqrt(2 / fan_in), which for 1,024 inputs is 0.0442; show rng.normal(0, 0.0442, (1024, 64)) with its std. (4) Step schedule: lr 0.1 halved every 10 epochs, printing epochs 0, 10, 20, 30 → 0.1, 0.05, 0.025, 0.0125. Add L2 to the table ("weight decay: add a small penalty on large weights; scikit-learn's alpha, the same idea as Ch 37's ridge regression") and show MLPClassifier(alpha=…) in the scaling example. Change "Each is a one-line change with a measurable effect" to "Each is a small change; two are measured below".</t>
  </si>
  <si>
    <t xml:space="preserve">53.10</t>
  </si>
  <si>
    <t xml:space="preserve">§53.3 line-by-line "carry the same information (the second is the first … multiplied by 1,000)"</t>
  </si>
  <si>
    <t xml:space="preserve">False. feature_large = rng.normal(0, 1, n) * 1000 is an *independent* draw, not the first feature scaled. The label depends on two different features equally, on very different scales. The comment "the same information, 1000x the scale" repeats the error. The experiment itself is fine; only the explanation misleads.</t>
  </si>
  <si>
    <t xml:space="preserve">Code comment: # a second, independent feature on a 1000x larger scale. Prose: "feature_small and feature_large are two different random features that matter equally to the label (y is 1 when their sum, after undoing the ×1,000, is positive), but one is measured in units 1,000 times larger, like revenue in rupees next to a satisfaction score."</t>
  </si>
  <si>
    <t xml:space="preserve">53.11</t>
  </si>
  <si>
    <t xml:space="preserve">§53.3 both MLPClassifier cells; Answer 1 max_iter=1</t>
  </si>
  <si>
    <t xml:space="preserve">Verified with scikit-learn 1.8.0: the scaling cell raises two ConvergenceWarning: Stochastic Optimizer: Maximum iterations (60) reached…, and Answer 1 raises one for max_iter=1. The 40-epoch run in the early-stopping cell will almost certainly warn too. The printed outputs omit them, so the reader sees an orange warning block the book never mentions.</t>
  </si>
  <si>
    <t xml:space="preserve">After the first cell's output, show the warning and explain it: "scikit-learn warns that training stopped at max_iter before the loss settled. Here that's deliberate: we're comparing both models on the same short budget." Either keep the warnings visible, or add from sklearn.exceptions import ConvergenceWarning; import warnings; warnings.filterwarnings("ignore", category=ConvergenceWarning) with a sentence saying exactly what it hides and why. For Answer 1, add "(the warning is expected: we trained for one step only to count parameters)".</t>
  </si>
  <si>
    <t xml:space="preserve">53.12</t>
  </si>
  <si>
    <t xml:space="preserve">§53.3 images = np.load("defect_data/images.npy") (early-stopping cell)</t>
  </si>
  <si>
    <t xml:space="preserve">The defect dataset is used in §53.3, three sections before §53.6 introduces it. And the chapter never tells the reader how to create it: no python generate_defect_images.py command, no word on where defect_data/ appears, how long it takes, or how to check it worked. The first-time reader hits FileNotFoundError.</t>
  </si>
  <si>
    <t xml:space="preserve">Add a "Setting up the practice data" box at the top of the chapter (after Practice data): (1) open a terminal in companion/ch53 (Ch 26 §26.0 / Ch 17 §17.0); (2) run python generate_defect_images.py; (3) show the expected output (e.g. "wrote defect_data/images.npy (6000, 32, 32), labels.npy, defect_types.npy"); (4) explain .npy (NumPy's own file format, one array per file) and np.load/np.save. Then either move the early-stopping demo into §53.6 (after the data is introduced, as "Attempt 1") or keep a one-line forward pointer: "(this is Riverstone's defect data, introduced properly in §53.6)". Better: move it, since §53.6's "Attempt 1: Section 53.3 already ran it" shows it belongs there.</t>
  </si>
  <si>
    <t xml:space="preserve">53.13</t>
  </si>
  <si>
    <t xml:space="preserve">§53.3 early-stopping cell: reshape(6000, -1), early_stopping=True, n_iter_no_change=5, validation_fraction=0.2, .n_iter_</t>
  </si>
  <si>
    <t xml:space="preserve">No line-by-line at all. New here: reshape with -1, the three early-stopping parameters, n_iter_, stratify=labels (explained only later in §53.6), and predict(Xte).sum() as "count of predicted 1s".</t>
  </si>
  <si>
    <t xml:space="preserve">Add a line-by-line: "reshape(6000, -1) flattens each 32×32 image into one row of 1,024 numbers; -1 means 'work this dimension out for me'." "early_stopping=True holds back validation_fraction=0.2 (20%) of the training rows, scores the model on them after every epoch, and stops once n_iter_no_change=5 epochs pass without improvement." ".n_iter_ is how many epochs actually ran." "predict(...) returns 0/1 labels, so .sum() counts predicted defects." Move the stratify explanation here, where it's first used.</t>
  </si>
  <si>
    <t xml:space="preserve">53.14</t>
  </si>
  <si>
    <t xml:space="preserve">§53.3 table "Early stopping: stop when validation loss stops improving"</t>
  </si>
  <si>
    <t xml:space="preserve">scikit-learn's early_stopping=True monitors validation *score* (accuracy for a classifier), not loss. On this imbalanced data that's the misleading metric the chapter warns about, which may be why both models stop at "say good".</t>
  </si>
  <si>
    <t xml:space="preserve">Table: "stop when the validation score (or loss) stops improving". Add to the §53.3 line-by-line: "scikit-learn watches validation accuracy here, which on 92%-good data rewards saying 'good', one more reason both models collapse."</t>
  </si>
  <si>
    <t xml:space="preserve">53.15</t>
  </si>
  <si>
    <t xml:space="preserve">§53.6 Figure 53.4 "Accuracy is 92% at every row, which is why nobody should quote it"; caption "Accuracy is 92% at every one of them"</t>
  </si>
  <si>
    <t xml:space="preserve">False. Accuracy = (1,500 − missed − false alarms)/1,500 is 99.2% at 0.5, 99.3% at 0.3, 99.2% at 0.1, 98.7%, 97.9%, 96.7%, 93.6%, and 86.1% at 0.002. Accuracy actually *falls* as the cost-optimal threshold is approached, which makes the chapter's point even better. As printed, a reader who checks sees a false claim in the key figure.</t>
  </si>
  <si>
    <t xml:space="preserve">Replace the figure note and caption with: "Accuracy is highest (99.3%) at the *most expensive* thresholds and drops to 96.7% at the cheapest one. It points the wrong way, which is why nobody should quote it." Add an accuracy column to the printed table ((tp + tn) / len(yte)) so the reader sees it.</t>
  </si>
  <si>
    <t xml:space="preserve">53.16</t>
  </si>
  <si>
    <t xml:space="preserve">§53.6 "cheapest threshold on this test set: 0.01"</t>
  </si>
  <si>
    <t xml:space="preserve">The threshold is chosen by looking at the test set, and Exercises 9, 10 and 14 keep reusing it. The chapter's own Common mistakes table says "No validation set, or tuning on the test set … touch the test set once", and Ch 39 teaches the same discipline.</t>
  </si>
  <si>
    <t xml:space="preserve">Split three ways: train_test_split(..., test_size=0.2, stratify=y), then split the remaining 80% again into train/validation (75/25). Choose the threshold on validation probabilities, then report the test-set cost *once* at the chosen threshold. Alternatively, use cross_val_predict(model, Xtr, ytr, method="predict_proba", cv=5) on training data to pick the threshold (Ch 39). Re-run and replace the table and the "13,840" figures. Add one sentence: "we pick on validation and confirm on test, so the ₹ figure is an honest estimate."</t>
  </si>
  <si>
    <t xml:space="preserve">53.17</t>
  </si>
  <si>
    <t xml:space="preserve">§53.6 "a blob detector … lights up on voids and short shots" vs Answer 7 "blob kernel alone … misses 15 of the short shots"</t>
  </si>
  <si>
    <t xml:space="preserve">Contradicts itself. §53.6 and Answer 6 say the blob kernel responds most to short shots; Answer 7 shows the blob-only model misses 15 of ~39 short shots, and explains that "a bite out of the edge is a change in shape, which an edge detector sees better".</t>
  </si>
  <si>
    <t xml:space="preserve">Reconcile using Answer 7's evidence. In §53.6: "a blob detector (a bright or dark spot against its surroundings, which suits voids) and the two Sobel edge detectors (scratches, and the broken rim of a short shot)." In Answer 6, add: "the blob kernel's *maximum* rises on short shots, but Answer 7 shows that the pooled edge maps are what the model actually uses to catch them."</t>
  </si>
  <si>
    <t xml:space="preserve">53.18</t>
  </si>
  <si>
    <t xml:space="preserve">§53.6 MLPClassifier(...).fit(Xtr, ytr) on the 108 features</t>
  </si>
  <si>
    <t xml:space="preserve">§53.3 just taught that scaling is essential, and here the features go in unscaled with no comment. They happen to share a scale (absolute kernel responses, roughly 0–0.7), but the reader can't know that.</t>
  </si>
  <si>
    <t xml:space="preserve">Add after the line-by-line: "No scaling step here: all 108 features are kernel responses on 0–1 pixel values, so they already share a range of about 0 to 0.7. Print X.min(), X.max() to confirm."</t>
  </si>
  <si>
    <t xml:space="preserve">53.19</t>
  </si>
  <si>
    <t xml:space="preserve">§53.6 response[:30, :30].reshape(6, 5, 6, 5).max(axis=(1, 3)); Key terms "stride · padding"; §53.5 "Pooling. Taking the maximum…"</t>
  </si>
  <si>
    <t xml:space="preserve">Pooling is only described in words and then used in a dense one-liner. Stride is a key term but never explained, and padding gets only a parenthesis. Neither [:30, :30] (the whole 30×30 map: 32 − 3 + 1 = 30) nor the 4-D reshape is worked on a small example.</t>
  </si>
  <si>
    <t xml:space="preserve">In §53.5 add a by-hand pooling cell: a 4×4 map [[1,3,2,0],[4,2,1,1],[0,1,5,2],[2,2,1,3]] → 2×2 max-pool → [[4,2],[2,5]], first with two loops, then with m.reshape(2, 2, 2, 2).max(axis=(1, 3)), printing both to show they match. Explain the reshape as "(block row, row inside block, block column, column inside block)". Then in §53.6 say "the same trick, with 5×5 blocks on the 30×30 map". Add a size box: "output size = (input − kernel + 2 × padding) / stride + 1: 32 − 3 + 1 = 30 with stride 1 and no padding; with stride 2, (32 − 3)/2 + 1 = 15 (rounded down)." Define stride ("how many pixels the kernel jumps between positions") and padding ("a border of zeros so the output keeps the input's size").</t>
  </si>
  <si>
    <t xml:space="preserve">53.20</t>
  </si>
  <si>
    <t xml:space="preserve">§53.6 np.argmax(labels == 0), images[...][14:18, 10:22], np.stack, np.concatenate, .ravel(), {k: … for k in [...]}; Ex 10 np.clip</t>
  </si>
  <si>
    <t xml:space="preserve">NumPy operations used for the first time in the book, without a line-by-line: np.load/np.save, reshape (incl. −1 and 4-D), np.stack, np.concatenate, np.clip, and the np.argmax(boolean) "first True" trick (grep: none appear in Ch 1–52). The "Line by line, for the parts that are new" section skips most of them.</t>
  </si>
  <si>
    <t xml:space="preserve">Line-by-line for the data cell: "np.argmax(labels == 0) finds the position of the first good part: labels == 0 is True/False, and argmax returns the first True." "[14:18, 10:22] takes rows 14–17 and columns 10–21: the middle of the lid." In the features cell: "np.stack([...]) piles 6,000 feature rows into one 6,000×108 array." "np.concatenate(maps) joins three 36-number arrays end to end." In Exercise 10: "np.clip(a, 0, 1) caps values at 1 so brightened pixels stay valid."</t>
  </si>
  <si>
    <t xml:space="preserve">53.21</t>
  </si>
  <si>
    <t xml:space="preserve">§53.6 threshold loop best, marker = (threshold, cost), ""</t>
  </si>
  <si>
    <t xml:space="preserve">marker is assigned but never used (a leftover). best is used only for the final line, and the loop has no line-by-line (unpacking .ravel() in a loop, tp / (tp + fp) if tp + fp else 0 inside an f-string).</t>
  </si>
  <si>
    <t xml:space="preserve">Delete marker. Replace the best logic with results.append((cost, threshold)) and min(results) after the loop, or print a &lt;- cheapest marker using the variable as intended. Add 3 lines of explanation: cost formula, the if tp + fp else 0 guard (no positives predicted → precision undefined), and why min picks the cheapest.</t>
  </si>
  <si>
    <t xml:space="preserve">53.22</t>
  </si>
  <si>
    <t xml:space="preserve">§53.6 "Chapter 3's QC process is a person watching a screen"</t>
  </si>
  <si>
    <t xml:space="preserve">Ch 3 describes no QC process, camera or screen (grep: only Taloja as the plant making storage boxes and kitchenware).</t>
  </si>
  <si>
    <t xml:space="preserve">Replace with "Today QC is a person watching the camera feed on a screen" (no chapter reference), or add the detail to Ch 3's Taloja description if the author wants the callback.</t>
  </si>
  <si>
    <t xml:space="preserve">53.23</t>
  </si>
  <si>
    <t xml:space="preserve">§53.3 "(Chapter 38)", "(Chapter 38's data leakage)"; §53.4 "gradient boosting usually wins (Chapter 38)"; §53.6 "(Chapter 38)"; §53.10 ×3; Where this leads "Chapter 38, Machine Learning Foundations"</t>
  </si>
  <si>
    <t xml:space="preserve">Eight references to Ch 38, which is *Unsupervised Learning*. The sequence map lists only the leakage one.</t>
  </si>
  <si>
    <t xml:space="preserve">Map each: train/test split and leakage → Chapter 36; gradient boosting (§53.4, §53.10 table, §53.10 text, Common mistakes "Chapter 38 first") → Chapter 37; precision/recall/confusion matrix (§53.6 Attempt 1) → Chapter 39. In Where this leads, replace the line with two: "Chapter 37, Supervised Learning Algorithms: the gradient boosting that beats networks on tables." and "Chapter 39, Evaluation, Tuning, Interpretation &amp; Honesty: the evaluation vocabulary this chapter leaned on."</t>
  </si>
  <si>
    <t xml:space="preserve">53.24</t>
  </si>
  <si>
    <t xml:space="preserve">Where this leads "Chapter 64, Responsible AI &amp; Governance"; "Chapter 74, Machine Learning &amp; AI Question Bank"</t>
  </si>
  <si>
    <t xml:space="preserve">Titles don't match: Ch 64 is "Security, Privacy, Governance &amp; Responsible AI"; Ch 74 is "Machine Learning Question Bank".</t>
  </si>
  <si>
    <t xml:space="preserve">Use the exact titles.</t>
  </si>
  <si>
    <t xml:space="preserve">53.25</t>
  </si>
  <si>
    <t xml:space="preserve">§53.6 "Choosing the threshold with money"</t>
  </si>
  <si>
    <t xml:space="preserve">Ch 39 already taught threshold selection by cost (smoke-alarm analogy, matrix_at(threshold) loop). §53.6 presents it as new.</t>
  </si>
  <si>
    <t xml:space="preserve">Open the subsection with "You chose a lead-scoring threshold by cost in Chapter 39; here the same method meets a much rarer, much more expensive positive class."</t>
  </si>
  <si>
    <t xml:space="preserve">53.26</t>
  </si>
  <si>
    <t xml:space="preserve">§53.7 weights = np.array([softmax(row) for row in scaled])</t>
  </si>
  <si>
    <t xml:space="preserve">Softmax makes its first proper appearance here (Ch 43 used it hidden inside CrossEntropyLoss), but it's only shown as code. No row is worked by hand, although the chapter promises "numbers small enough to check by hand". The scores grid Q @ K.T isn't printed either, so the reader can't check the first step.</t>
  </si>
  <si>
    <t xml:space="preserve">First-time reader / By-hand</t>
  </si>
  <si>
    <t xml:space="preserve">Print np.round(scores, 2) before scaling (rows: [0.90 0.40 0.20 0.10], [0.84 0.72 0.21 0.15], [0.19 0.20 0.05 0.04], [0.45 1.24 0.17 0.22]). Then work the "cracked" row by hand: Q[cracked]·K[crate] = 0.4×0.4 + 0.9×1.2 = 1.24; divide by √2 → [0.318, 0.877, 0.120, 0.156]; exponentiate → [1.375, 2.403, 1.128, 1.168]; total 6.074; divide → [0.226, 0.396, 0.186, 0.192], matching the printed row. Add: "this is the same softmax Chapter 43's CrossEntropyLoss used silently, and the one Chapter 54 uses to turn logits into next-token probabilities."</t>
  </si>
  <si>
    <t xml:space="preserve">53.27</t>
  </si>
  <si>
    <t xml:space="preserve">§53.7 "Nothing else in attention is learned: these three matrices are the whole of it"</t>
  </si>
  <si>
    <t xml:space="preserve">Slightly overstated. Real attention also learns an output projection (W_O) that mixes the heads back together, and the table's "multi-head" row implies it.</t>
  </si>
  <si>
    <t xml:space="preserve">"In this single-head version, these three matrices are all that's learned; a real multi-head layer adds one more (an output matrix that combines the heads)." Optionally add a parameter count: here 3 × (4 × 2) = 24 numbers; a real layer with 4,096-dimensional embeddings has 4 × 4,096² ≈ 67 million in attention alone.</t>
  </si>
  <si>
    <t xml:space="preserve">53.28</t>
  </si>
  <si>
    <t xml:space="preserve">§53.7 table "Masking … a token may only attend to earlier tokens"; "Positional encoding"</t>
  </si>
  <si>
    <t xml:space="preserve">Masking is the key to how Ch 54's next-token generation works, and it can be shown in two lines with the existing numbers, but it stays a table row.</t>
  </si>
  <si>
    <t xml:space="preserve">By-hand / Flow</t>
  </si>
  <si>
    <t xml:space="preserve">Add an optional 4-line cell: set scores above the diagonal to -np.inf before softmax (np.triu(np.ones((4,4)), 1).astype(bool)), and print the masked weights: "the" → [1.000, 0, 0, 0]; "crate" → [0.521, 0.479, 0, 0]; "was" → [0.343, 0.346, 0.311, 0]; "cracked" unchanged [0.226, 0.396, 0.186, 0.192]. Say "this is what lets Chapter 54's model be trained to predict every next token at once without cheating".</t>
  </si>
  <si>
    <t xml:space="preserve">53.29</t>
  </si>
  <si>
    <t xml:space="preserve">§53.9 "Four times smaller, and the defect decisions are unchanged"</t>
  </si>
  <si>
    <t xml:space="preserve">One decision flips (printed: 1 of 1,500), and false alarms go from 6 to 7. The *defects caught* are unchanged, but the sentence says all decisions are. Also, only coefs_ is quantized; the biases (intercepts_) stay float, which is also why the memory line counts 5,232 bytes.</t>
  </si>
  <si>
    <t xml:space="preserve">Correctness / Precision</t>
  </si>
  <si>
    <t xml:space="preserve">"Four times smaller; every defect is still caught, and one good part more is sent for re-inspection (6 → 7 false alarms)." Add to the line-by-line: "we quantize the weight matrices only; the 49 biases stay in float32, which is common practice because they're tiny."</t>
  </si>
  <si>
    <t xml:space="preserve">53.30</t>
  </si>
  <si>
    <t xml:space="preserve">Tools "the listings marked not run here show the PyTorch shape of the same code"</t>
  </si>
  <si>
    <t xml:space="preserve">No such listings exist in the chapter. The stretch goal "a small learned CNN in PyTorch" and Answer 18 assume PyTorch, which Ch 43 introduced. A reader goes looking for code that isn't there.</t>
  </si>
  <si>
    <t xml:space="preserve">Polish / Flow</t>
  </si>
  <si>
    <t xml:space="preserve">Either delete the sentence, or (better, for continuity with Ch 43) add one listing after §53.6, "The same model with learned kernels (PyTorch)": a SmallCNN with Conv2d(1, 8, 3) → ReLU → MaxPool2d(5)-style pooling → Linear, trained with BCEWithLogitsLoss(pos_weight=…), with a line-by-line that maps each layer to §53.5–53.6's hand version and shows its confusion matrix at the chosen threshold. Mark it "needs PyTorch (Chapter 43 §43.0)".</t>
  </si>
  <si>
    <t xml:space="preserve">53.31</t>
  </si>
  <si>
    <t xml:space="preserve">Tools "Companion files in ch53/ … ch53_check.py (the chapter's numbers)"; Exercises "Work in companion/ch53"</t>
  </si>
  <si>
    <t xml:space="preserve">ch53_check.py reads like the author's verification script offered as a reader file, and it's never explained. Folder naming is also inconsistent: "companion folder", ch53/, companion/ch53.</t>
  </si>
  <si>
    <t xml:space="preserve">Name one folder (companion/ch53/) everywhere. Either drop ch53_check.py from the reader list or describe it: "ch53_check.py: run it after the chapter; it recomputes every printed number and tells you which of yours differ."</t>
  </si>
  <si>
    <t xml:space="preserve">53.32</t>
  </si>
  <si>
    <t xml:space="preserve">Chapter at a glance "Every calculation … runs on a laptop in seconds"; §53.6 "# about a minute of work"</t>
  </si>
  <si>
    <t xml:space="preserve">Contradiction. The pure-Python double loop over 6,000 images × 3 kernels × 900 positions (~16 million np.sum calls) takes about a minute or more, and Answer 10 does it again.</t>
  </si>
  <si>
    <t xml:space="preserve">"Almost every calculation runs in seconds; building the defect features takes a minute or two (§53.6), so we save them once."</t>
  </si>
  <si>
    <t xml:space="preserve">53.33</t>
  </si>
  <si>
    <t xml:space="preserve">Figure numbering: Figure 53.2 (§53.2) before 53.1 (§53.6); 53.4 (§53.6) before 53.3 (§53.7)</t>
  </si>
  <si>
    <t xml:space="preserve">Figures are out of order.</t>
  </si>
  <si>
    <t xml:space="preserve">Renumber in reading order: §53.2 → 53.1, §53.6 image → 53.2, cost chart → 53.3, attention → 53.4.</t>
  </si>
  <si>
    <t xml:space="preserve">53.34</t>
  </si>
  <si>
    <t xml:space="preserve">In plain English "Do that a few hundred thousand times"; Figure 53.2 "Repeat a few million times"</t>
  </si>
  <si>
    <t xml:space="preserve">Inconsistent.</t>
  </si>
  <si>
    <t xml:space="preserve">Use one phrase in both, e.g. "thousands to millions of times".</t>
  </si>
  <si>
    <t xml:space="preserve">53.35</t>
  </si>
  <si>
    <t xml:space="preserve">Exercise 10 "Brighten every test image by 10% ( np.clip(X * 1.1, 0, 1) )"</t>
  </si>
  <si>
    <t xml:space="preserve">In §53.6, X is the 108-column *feature* matrix, not the images. Brightening features is meaningless. The answer (correctly) brightens images and recomputes features.</t>
  </si>
  <si>
    <t xml:space="preserve">"Brighten every image by 10% (np.clip(images * 1.1, 0, 1)), rebuild the features with the §53.6 function, and re-evaluate on the test rows."</t>
  </si>
  <si>
    <t xml:space="preserve">53.36</t>
  </si>
  <si>
    <t xml:space="preserve">Answer 7 features_from(...) defined; kinds_te = kinds[train_test_split(np.arange(len(labels)), …)[1]]</t>
  </si>
  <si>
    <t xml:space="preserve">features_from is defined but unused in Answer 7 (it's used in Answer 10). kinds_te relies on an unexplained trick: splitting row numbers with the same seed and stratify reproduces the same test rows. The answer also silently depends on convolve from Answer 5 and kinds from Answer 6.</t>
  </si>
  <si>
    <t xml:space="preserve">Move features_from to Answer 10. Explain the trick in one line, or simpler: split np.arange(6000) once into train_idx, test_idx and index X, labels and kinds with them in every answer. Start each answer with the names it reuses ("uses convolve from Answer 5, kinds from Answer 6").</t>
  </si>
  <si>
    <t xml:space="preserve">53.37</t>
  </si>
  <si>
    <t xml:space="preserve">Answer 9 best = min(((fn * miss_cost + fp * 40, threshold, fp) for threshold in … for tn, fp, fn, tp in [confusion_matrix(…).ravel()]))</t>
  </si>
  <si>
    <t xml:space="preserve">A nested generator with a for … in [single item] binding trick, the densest line in the chapter, in an answer meant to be read by a beginner.</t>
  </si>
  <si>
    <t xml:space="preserve">Rewrite as a plain loop that builds rows.append((cost, threshold, fp)), then best = min(rows), with a one-line explanation that min on tuples compares the first item (cost) first.</t>
  </si>
  <si>
    <t xml:space="preserve">53.38</t>
  </si>
  <si>
    <t xml:space="preserve">Answer 10 uses Answer 5's convolve (float64) to rebuild features; §53.6 features were float32</t>
  </si>
  <si>
    <t xml:space="preserve">The two feature sets are built with slightly different functions (dtype), so "original vs brightened" isn't built identically. It's harmless numerically, but inconsistent.</t>
  </si>
  <si>
    <t xml:space="preserve">Reuse §53.6's features(image) for the brightened images (np.stack([features(im) for im in brightened])).</t>
  </si>
  <si>
    <t xml:space="preserve">53.39</t>
  </si>
  <si>
    <t xml:space="preserve">Answer 16 "99% accuracy with the current defect rate would still mean missing about one defect in eight"</t>
  </si>
  <si>
    <t xml:space="preserve">Stated as certain, but it's a worst case (all 15 errors in 1,500 being misses: 15/119 ≈ 1 in 8). The chapter's own model at threshold 0.5 already scores 99.2% accuracy while missing 10 of 119 (1 in 12). That's the stronger argument, and it isn't used.</t>
  </si>
  <si>
    <t xml:space="preserve">"Ask which 99%. Always predicting 'good' scores 92%; our model at the default threshold already scores 99.2% and still lets 1 defect in 12 through, and at 99% accuracy up to 1 in 8 could slip past. Redirect to…"</t>
  </si>
  <si>
    <t xml:space="preserve">53.40</t>
  </si>
  <si>
    <t xml:space="preserve">Answers 8, 12, 13 (prose only)</t>
  </si>
  <si>
    <t xml:space="preserve">Exercises 8 ("plot the PR curve"), 12 ("implement … plot the loss curve") and 13 ("compute attention…") ask for code, but the answers give no code or output. Exercise 12 also doesn't say which 500 examples.</t>
  </si>
  <si>
    <t xml:space="preserve">Give Answer 8 a 6-line precision_recall_curve + plt.plot cell with the figure. Give Answer 13 the 3-line change (W_value[2] = [3.0, 3.0]) and the new outputs. Answer 12: name the data ("the first 500 rows of the defect features, target = label") and give a 15-line loop with a printed loss every 50 steps.</t>
  </si>
  <si>
    <t xml:space="preserve">53.41</t>
  </si>
  <si>
    <t xml:space="preserve">Key terms: stride, padding, LSTM, context window, bfloat16, residual connection, positional encoding</t>
  </si>
  <si>
    <t xml:space="preserve">Several key terms appear only as a table cell or not at all in the text (stride: nowhere; context window: only §53.8 in passing).</t>
  </si>
  <si>
    <t xml:space="preserve">Stride and padding: see 53.19. Add one-line definitions where each is first used, or drop from Key terms: LSTM ("an RNN with gates that decide what to remember"), context window ("the maximum number of tokens a model can attend over at once"), bfloat16 ("a 16-bit float with float32's range but fewer digits").</t>
  </si>
  <si>
    <t xml:space="preserve">53.42</t>
  </si>
  <si>
    <t xml:space="preserve">Remove, per the book-wide fix.</t>
  </si>
  <si>
    <t xml:space="preserve">V53.1</t>
  </si>
  <si>
    <t xml:space="preserve">p. 8, 14, 17, 20 · Figure numbering</t>
  </si>
  <si>
    <t xml:space="preserve">The figures appear in the order 53.2, 53.1, 53.4, 53.3. The first figure a reader meets is "Figure 53.2".</t>
  </si>
  <si>
    <t xml:space="preserve">Renumber in page order (53.1 = training step, 53.2 = lids, 53.3 = threshold curve, 53.4 = attention) and update the text references.</t>
  </si>
  <si>
    <t xml:space="preserve">V53.2</t>
  </si>
  <si>
    <t xml:space="preserve">p. 17 · Figure 53.4 (threshold cost curve)</t>
  </si>
  <si>
    <t xml:space="preserve">The green "cheapest: ₹13,840" label is drawn over the line and the 0.02 marker. The last line of the side panel ("which is why nobody should quote it.") touches the panel's bottom border. Text is 5.2–6.6 pt.</t>
  </si>
  <si>
    <t xml:space="preserve">Move the label below the minimum point with a leader line; add bottom padding to the panel; redraw at 7 pt minimum.</t>
  </si>
  <si>
    <t xml:space="preserve">V53.3</t>
  </si>
  <si>
    <t xml:space="preserve">p. 8, 20 · Figures 53.2, 53.3</t>
  </si>
  <si>
    <t xml:space="preserve">Text is 5.2–6.6 pt (Fig 53.2 gradient boxes and pass labels) and 5.7–6.6 pt (Fig 53.3 cell values and notes).</t>
  </si>
  <si>
    <t xml:space="preserve">V53.4</t>
  </si>
  <si>
    <t xml:space="preserve">p. 29, 30, 32, 33 · Answers</t>
  </si>
  <si>
    <t xml:space="preserve">The answer numbers "1." (p. 29), "3." (p. 30), "7." (p. 32) and "9." (p. 33) sit alone at the page foot; their code blocks start on the next page.</t>
  </si>
  <si>
    <t xml:space="preserve">Keep answer numbers with the next block, or give each answer a lead sentence.</t>
  </si>
  <si>
    <t xml:space="preserve">V53.5</t>
  </si>
  <si>
    <t xml:space="preserve">p. 28 · Exercises 10–18</t>
  </si>
  <si>
    <t xml:space="preserve">The leading "1" of two-digit numbers is clipped ("l0."…"l8.").</t>
  </si>
  <si>
    <t xml:space="preserve">V53.6</t>
  </si>
  <si>
    <t xml:space="preserve">p. 1 · Cover eyebrow</t>
  </si>
  <si>
    <t xml:space="preserve">The eyebrow "…PART VI — PRODUCTION ML, GENERATIVE AI &amp; MLOPS" is long enough to run under the decorative rule at top right, which sits on "RATIVE".</t>
  </si>
  <si>
    <t xml:space="preserve">Shorten the eyebrow width (wrap earlier) or move the rule, for all Part VI chapters.</t>
  </si>
  <si>
    <t xml:space="preserve">V53.7</t>
  </si>
  <si>
    <t xml:space="preserve">"Draft chapter", "19 September 2026", "24 Python outputs verified · 25 number checks". A different tagline format from Part V chapters.</t>
  </si>
  <si>
    <t xml:space="preserve">V53.8</t>
  </si>
  <si>
    <t xml:space="preserve">V53.9</t>
  </si>
  <si>
    <t xml:space="preserve">p. 9, 31, 33, 34 · Code / output blocks</t>
  </si>
  <si>
    <t xml:space="preserve">Lines wrap to column 0: ytr) and real ones") (p. 9); -&gt; {(z2n - y_true)  2:.3f}") (p. 31); "void", "short_shot")} (p. 33). In the p. 34 output, "parts" wraps under "a miss costs…".</t>
  </si>
  <si>
    <t xml:space="preserve">V53.10</t>
  </si>
  <si>
    <t xml:space="preserve">p. 14 · Figure 53.1 (six lid images)</t>
  </si>
  <si>
    <t xml:space="preserve">The rasters are 105 ppi with a non-integer 6.25× upscale. This is acceptable on screen but below print norms. The figure is matplotlib default style (black DejaVu title, plain frames), unlike the book's other figures.</t>
  </si>
  <si>
    <t xml:space="preserve">Re-export at 10× (320 px, nearest-neighbour) or as vector rectangles; restyle the title and labels to the house figure style.</t>
  </si>
  <si>
    <t xml:space="preserve">V53.11</t>
  </si>
  <si>
    <t xml:space="preserve">p. 8 · Figure 53.2</t>
  </si>
  <si>
    <t xml:space="preserve">Boxes are joined by plain lines with no arrowheads, so the backward pass (right → left) has no direction.</t>
  </si>
  <si>
    <t xml:space="preserve">Add arrows (forward →, backward ←).</t>
  </si>
  <si>
    <t xml:space="preserve">V53.12</t>
  </si>
  <si>
    <t xml:space="preserve">p. 20 · Figure 53.3 (attention grid)</t>
  </si>
  <si>
    <t xml:space="preserve">The title nearly touches the "attended to" axis label. Cell weights are shown by green shading alone.</t>
  </si>
  <si>
    <t xml:space="preserve">Add space under the title; keep the numbers (already present) and consider a darker ramp for greyscale print.</t>
  </si>
  <si>
    <t xml:space="preserve">V53.13</t>
  </si>
  <si>
    <t xml:space="preserve">p. 4 · Formula "prediction = w₁x₁ + w₂x₂ + … + b"</t>
  </si>
  <si>
    <t xml:space="preserve">The subscript digits come from the DejaVu Serif fallback and sit nearly on the baseline, so the formula reads as "w1x1".</t>
  </si>
  <si>
    <t xml:space="preserve">Use real subscripts (&lt;sub&gt;) or a maths font.</t>
  </si>
  <si>
    <t xml:space="preserve">V53.14</t>
  </si>
  <si>
    <t xml:space="preserve">p. 9→10 · "Line by line:"</t>
  </si>
  <si>
    <t xml:space="preserve">The label is the last line of p. 9; its bullets are on p. 10.</t>
  </si>
  <si>
    <t xml:space="preserve">V53.15</t>
  </si>
  <si>
    <t xml:space="preserve">p. 7→8 · Lead-in</t>
  </si>
  <si>
    <t xml:space="preserve">"Then the update, which is one line and the whole of gradient descent:" ends p. 7; the code is on p. 8.</t>
  </si>
  <si>
    <t xml:space="preserve">V53.16</t>
  </si>
  <si>
    <t xml:space="preserve">p. 29 · Answers</t>
  </si>
  <si>
    <t xml:space="preserve">54.1</t>
  </si>
  <si>
    <t xml:space="preserve">Before you start "Chapter 29 (code you can test), Chapter 34 (environment variables, HTTP), Chapter 38 (evaluation)"</t>
  </si>
  <si>
    <t xml:space="preserve">Known: Ch 38 → 39. Also missing: Ch 41 (tokenization, TF-IDF, stop words, word embeddings §41.7), Ch 42 (TruncatedSVD, TfidfVectorizer used again), Ch 35 (dot product, cosine similarity), Ch 26 (Git: "version your prompts … in Git"). "HTTP" is never used in the chapter. Secrets in environment variables are taught in Ch 29 (the API code comment cites Ch 29, while the line-by-line cites Ch 34).</t>
  </si>
  <si>
    <t xml:space="preserve">Replace with: "Before you start: Chapter 53 (softmax, attention, quantization), Chapter 41 (tokens, TF-IDF, word embeddings), Chapter 42 (TruncatedSVD), Chapter 39 (evaluation sets and error analysis), Chapter 29 (settings and secrets in environment variables; exit codes), Chapter 26 (Git)." Make the API line-by-line and the code comment cite the same chapter (Ch 29).</t>
  </si>
  <si>
    <t xml:space="preserve">54.2</t>
  </si>
  <si>
    <t xml:space="preserve">Simplification note "Every prompting lesson and every measurement here is real"; §54.6 "{name} is filled per email so the stand-in can behave consistently"</t>
  </si>
  <si>
    <t xml:space="preserve">Misleading. The 12 → 35 → 47 table, the "4 unparseable", the 59/60 validation result and Answer 6's "model's weakness" are outputs of mock_llm.py: text rules whose habits ("wrapping JSON in chat, copying date formats, missing items on a crowded line, occasionally emitting broken JSON") were written by the author to make prompting matter. The templates even pass the file name {name} so the mock can key its behaviour per email. The *measurement method* is real; the *numbers* measure the mock's design, not any language model. Readers (and interviewers) will quote "one example took us from 35 to 47" as evidence about LLMs.</t>
  </si>
  <si>
    <t xml:space="preserve">(a) Reword the note: "The evaluation method here is real and is exactly what you'd run against a hosted model. The numbers are not: mock_llm.py is a set of text rules written to imitate common model habits, so the 12 → 35 → 47 progression shows the *shape* of what prompting typically does, not a measurement of any model." (b) Label the §54.6 table and Figure 54.2 "(stand-in model; illustrative)". (c) Remove {name} from all three templates, since a real prompt shouldn't contain a file name; the mock can key off the email text itself. (d) Add a short "What the stand-in does" box listing the mock's four rules and which prompt features switch them off, so the reader can see *why* the numbers move. (e) Recommended: run api_example.py once with the evaluation loop against a named model on a stated date, and print that real table next to the mock's (e.g. "claude-… on 2026-09-xx: naive …/60, instructed …/60, example …/60"). Then the lesson is backed by real data.</t>
  </si>
  <si>
    <t xml:space="preserve">54.3</t>
  </si>
  <si>
    <t xml:space="preserve">§54.12 table "GPT-6 Astra ($10 / 50, abouta1.05M − tokencontext, knowledgecutof30April2026),ClaudeFable5.1(10 / $50)"; Answer 13 "At 2/10 per million that's about $0.72 + 1.44 ≈ * *2.16 a month"</t>
  </si>
  <si>
    <t xml:space="preserve">Rendering bug: pairs of $ were parsed as LaTeX math, which strips spaces, italicises text and eats dollar signs (all three Tier rows and Answer 13). Unreadable in print.</t>
  </si>
  <si>
    <t xml:space="preserve">Escape $ in the source (\$ or the build's literal-dollar option) and re-render. Intended text, e.g.: "GPT-6 Astra ($10 / $50, about a 1.05M-token context, knowledge cutoff 30 April 2026), Claude Fable 5.1 ($10 / $50)"; "Claude Opus 5 ($5 / $25, 1M-token context), GPT-5.6 Sol ($4 / $20)"; "Claude Sonnet 5 ($2 / $10 …), Gemini 3.1 Pro ($2 / $12)"; Answer 13: "At $2 / $10 per million that's about $0.72 + $1.44 ≈ $2.16 a month; at $10 / $50, about $10.80." Grep the whole book for other $…$ pairs in prose.</t>
  </si>
  <si>
    <t xml:space="preserve">54.4</t>
  </si>
  <si>
    <t xml:space="preserve">§54.12 "Prices span roughly $0.05 to $50"; "Qwen3.7 Flash at $0.03 / $0.13"; "cache reads … $0.25 per million"; "a cache hit costs roughly 3 to 10% of a miss"; "made permanent in August 2026"; "MiniMax M2.5 reaches 80.2% on SWE-bench Verified"</t>
  </si>
  <si>
    <t xml:space="preserve">Internal inconsistencies: $0.03 is below the stated $0.05 floor, and a $0.25 cache read on a $10 input price is 2.5%, outside the "3 to 10%" stated in the next clause. "Made permanent in August 2026" is unexplained (a promotional price?). The model names, prices, cutoffs and benchmark scores are dated September 2026 and I can't verify them (they postdate my reference data). No source or date appears next to them.</t>
  </si>
  <si>
    <t xml:space="preserve">Fix the two inconsistencies ("from about $0.03"; "roughly 2.5 to 10%"). Replace "made permanent in August 2026" with what it means (e.g. "a price cut introduced in August 2026"). Re-verify every name, price, context size, cutoff and benchmark against provider pricing pages in the print week, and add a source line under the table: "Sources: provider pricing pages, checked DD Month 2026." Consider moving the model-name table to a companion web page, keeping only the price *tiers* in print, since the chapter itself says it has "a shelf life of weeks".</t>
  </si>
  <si>
    <t xml:space="preserve">54.5</t>
  </si>
  <si>
    <t xml:space="preserve">§54.12 from anthropic import Anthropic # pip install anthropic … client.messages.create(...); "Not run in this chapter"</t>
  </si>
  <si>
    <t xml:space="preserve">This is the only real LLM call in the book so far, and it isn't taught. Not covered: installing the SDK into the course venv; creating an account and API key; setting ANTHROPIC_API_KEY on Windows (PowerShell $env:/setx) vs macOS/Linux (export) or via a .env file (Ch 29); what happens if it's unset (KeyError); what the client is; each argument (model, max_tokens, temperature, messages with role/content, the optional system that §54.6's "instructions before data" advice needs); the response structure (content is a list of blocks; .text; usage.input_tokens/output_tokens; stop_reason); what it costs; error handling (rate limits, timeouts). prompt is undefined in the snippet, and no output is shown, not even a representative one.</t>
  </si>
  <si>
    <t xml:space="preserve">Add §54.13 "Your first real call" (or expand §54.12), Jupyter-style: (1) cell pip install anthropic in the activated venv, with its expected last line; (2) getting a key (console → API keys; "treat it like a password; set a spend limit first"); (3) setting it, with a two-column box for PowerShell and macOS/Linux, plus the .env + python-dotenv option from Ch 29, then a check cell import os; print("key set:", "ANTHROPIC_API_KEY" in os.environ); (4) the client cell, explaining that Anthropic() reads the variable itself and that passing api_key= is shown only for clarity; (5) build prompt explicitly from §54.6 (prompt = WITH_EXAMPLE + "\nEMAIL:\n" + emails["email_012"]), or split into system=INSTRUCTIONS + messages=[{"role": "user", "content": email}]; (6) the call, with one line per argument: model (which model, see 54.6), max_tokens (a hard cap on the *output* length and therefore on output cost; the reply is cut off if it's hit, and stop_reason == "max_tokens" tells you), temperature=0, messages (the conversation as a list of turns; one user turn here); (7) the output, printed and labelled "example output, yours will differ slightly", e.g. the JSON for email_012 plus tokens in ~390, out ~80; (8) a cost line computing ₹/$ from usage; (9) a try/except anthropic.RateLimitError / APIError cell with a single retry, linked to §54.7's retry idea; (10) a note: "the same four parts exist in openai and google-genai", with a 5-line side-by-side table of the argument names. Keep "optional: needs an account" in the heading so no reader is blocked.</t>
  </si>
  <si>
    <t xml:space="preserve">54.6</t>
  </si>
  <si>
    <t xml:space="preserve">§54.12 model="claude-sonnet-5", # pin the version</t>
  </si>
  <si>
    <t xml:space="preserve">The comment says "pin the version", but the text never explains the difference between a moving alias and a fixed, dated snapshot identifier, which is the whole point of the "provider changes the model underneath you" story (real-world box) and Answer 18. I can't confirm the exact identifier format for these Sept-2026 models.</t>
  </si>
  <si>
    <t xml:space="preserve">Add: "Providers publish two kinds of model name: an alias that moves to the newest version, and a fixed snapshot ID that never changes. Pin the snapshot ID from the provider's models page in production; use the alias only for experiments." Use a real snapshot-style ID in the code, verified at print.</t>
  </si>
  <si>
    <t xml:space="preserve">54.7</t>
  </si>
  <si>
    <t xml:space="preserve">§54.5 keep = np.cumsum(probabilities[order]) &lt;= top_p; "keeps the smallest set of tokens covering 90% of the probability"; figure "the two rightmost tokens can never be drawn"</t>
  </si>
  <si>
    <t xml:space="preserve">The code doesn't do what the text says. Cumulative probabilities are 0.442, 0.769, 0.916, … so &lt;= 0.9 keeps only two tokens (covering 76.9%), not the smallest set covering 90%, which needs three (cracked, delivered, late). Real nucleus sampling includes the token that crosses the threshold. Correct output for top_p 0.9: ≈ 0.482 / 0.357 / 0.161 for cracked / delivered / late, not 0.580 / 0.420. The figure caption is also off: four tokens (not two) can't be drawn in the printed row.</t>
  </si>
  <si>
    <t xml:space="preserve">Change the line to keep = np.cumsum(probabilities[order]) - probabilities[order] &lt; top_p ("keep a token if the total *before* it hasn't reached top_p yet"), delete keep[0] = True (now always true), re-run, and replace the table row and Figure 54.4. Explain in the line-by-line with the actual numbers: "cumulative 0.442, 0.769, 0.916: the third token takes us past 0.9, so the nucleus is the top three." Fix the caption to "top_p cuts the tail: here only the top three tokens can be drawn."</t>
  </si>
  <si>
    <t xml:space="preserve">54.8</t>
  </si>
  <si>
    <t xml:space="preserve">§54.5 "Extraction … temperature 0 (or 0.1)"; code scaled = logits / temperature</t>
  </si>
  <si>
    <t xml:space="preserve">The chapter recommends temperature 0, but its own function divides by temperature (0 → division by zero / NaN). The reader isn't told what temperature 0 means mechanically. "Greedy decoding" is a key term that never appears in the text.</t>
  </si>
  <si>
    <t xml:space="preserve">Add after the line-by-line: "Temperature 0 can't be computed by dividing; providers treat it as *greedy decoding*: always take the single most likely token (np.argmax(logits)). That's what 'deterministic' means, up to the Watch-out below." Optionally add if temperature == 0: return one-hot of argmax to sample_counts, plus a table row "temperature 0 (greedy) 1.000 0 0 …". Also define top-k in one line ("keep only the k most likely tokens"), since it's a key term.</t>
  </si>
  <si>
    <t xml:space="preserve">54.9</t>
  </si>
  <si>
    <t xml:space="preserve">§54.1 "Absurd options having small but non-zero probability is the mechanical root of hallucination"; Figure 54.1 caption</t>
  </si>
  <si>
    <t xml:space="preserve">Misleading, and it contradicts "In plain English" ("When the likely next token and the true one differ, you get fluent nonsense"). Hallucinations mostly happen when a *plausible* wrong continuation gets *high* probability, which is why they occur at temperature 0 too. Tail sampling is a minor contributor.</t>
  </si>
  <si>
    <t xml:space="preserve">Replace with: "Notice the model gives every option some probability, and ranks by plausibility, not truth. If 'delivered' had been the true word, the model would still say 'cracked' 44% of the time. That's the mechanical root of hallucination: the most likely continuation and the true one can differ, and even temperature 0 then confidently picks the wrong one." Change the figure caption to match.</t>
  </si>
  <si>
    <t xml:space="preserve">54.10</t>
  </si>
  <si>
    <t xml:space="preserve">§54.2 vocabulary = {word.replace(" ".join(pair), merged): …}; output "order -&gt; 4 tokens: ['or', 'd', 'er', '&lt;/w&gt;']" vs merge "'order' + 's&lt;/w&gt;'"</t>
  </si>
  <si>
    <t xml:space="preserve">Bug. str.replace matches the pair *across symbol boundaries*. Example (verified): pair ('r', 'd') joined as "r d" also matches inside "or d er &lt;/w&gt;" and produces "ord er &lt;/w&gt;", creating a token that the tokenize function (which compares whole symbols) can never reproduce. So the printed results contradict each other: training learned order (merge 45 is 'order' + 's&lt;/w&gt;'), yet tokenize("order") gives 4 pieces, although "order" is the most common word in an order inbox, and the text says "A common word is one token".</t>
  </si>
  <si>
    <t xml:space="preserve">Replace the merge line with a boundary-safe version (the standard BPE reference): pattern = re.compile(r"(?&lt;!\S)" + re.escape(" ".join(pair)) + r"(?!\S)") and vocabulary = {pattern.sub(merged, word): count for word, count in vocabulary.items()}, explaining (?&lt;!\S)/(?!\S) as "only where the pair is bounded by spaces, i.e. whole symbols". Re-run and replace both outputs (merges and the four tokenize results). "order" should then come out as one or two tokens. Add a 2-line self-check: assert all(tokenize(w, merges) == vocab_form(w) for w in set(words)).</t>
  </si>
  <si>
    <t xml:space="preserve">54.11</t>
  </si>
  <si>
    <t xml:space="preserve">§54.2 line-by-line "first the letter pairs that appear in everything ( e + r , i + n )"; output "riverstone -&gt; 1 tokens"</t>
  </si>
  <si>
    <t xml:space="preserve">i + n isn't among the printed first ten merges. "1 tokens" is ungrammatical.</t>
  </si>
  <si>
    <t xml:space="preserve">After re-running (54.10), cite two merges that actually appear. Print f"{len(pieces)} token{'s' if len(pieces) != 1 else ''}".</t>
  </si>
  <si>
    <t xml:space="preserve">54.12</t>
  </si>
  <si>
    <t xml:space="preserve">§54.2 def tokenize(word, merges): … symbols[i:i + 2] = [left + right] … else: i += 1</t>
  </si>
  <si>
    <t xml:space="preserve">No line-by-line. Slice assignment (replacing two list items with one) is new, and the reason i isn't advanced after a merge (so a new pair formed at the same position can be checked) isn't obvious.</t>
  </si>
  <si>
    <t xml:space="preserve">Add: "list(word) + ['&lt;/w&gt;'] starts from single letters plus the end marker. The outer loop applies every learned merge *in the order it was learned*, which matters. symbols[i:i + 2] = [left + right] replaces two neighbouring pieces with their merged form; we don't move i forward after a merge, because the new piece might pair with the next one." Walk "orders" through the first three merges by hand.</t>
  </si>
  <si>
    <t xml:space="preserve">54.13</t>
  </si>
  <si>
    <t xml:space="preserve">§54.2 Tool note "They need to download their vocabulary files, which is why this chapter trains a small one instead"; Simplification note "Model weights can't be downloaded in the book's build environment"</t>
  </si>
  <si>
    <t xml:space="preserve">The reason given is the *book's build environment*, not the reader's situation. Reader-facing text shouldn't mention the author's build. The chapter also advises "Count tokens with the provider's tokenizer" (Common mistakes) but never shows one, although pip install tiktoken works on any reader's laptop. The link back to Ch 41 (word tokenization) is missing.</t>
  </si>
  <si>
    <t xml:space="preserve">Rewrite the reasons for the reader: "so the chapter runs with no account, no GPU and no large downloads". Add an optional cell after the BPE demo: pip install tiktoken, then enc = tiktoken.get_encoding("o200k_base"); len(enc.encode(email)) for email_003, compared with the ÷4 estimate (79), with the output shown and labelled "optional, needs a one-time download". Open §54.2 with "Chapter 41 split text into words; LLMs split words further, into sub-word tokens."</t>
  </si>
  <si>
    <t xml:space="preserve">54.14</t>
  </si>
  <si>
    <t xml:space="preserve">§54.4 instructions = 220 # the prompt in section 54.6</t>
  </si>
  <si>
    <t xml:space="preserve">Unsupported, and a forward reference. The §54.6 WITH_EXAMPLE prompt is about 409 characters, ≈ 102 tokens by the chapter's own ÷4 rule, so 220 is about double. Answer 13's cost uses the same 220.</t>
  </si>
  <si>
    <t xml:space="preserve">Correctness / Sequence</t>
  </si>
  <si>
    <t xml:space="preserve">Either compute it: move the context cell after §54.6, or define the prompt first and use instructions = len(WITH_EXAMPLE) / 4; or say "a typical instruction block of about 220 tokens (ours in §54.6 is about 100; production prompts with more rules and examples are often 200–500)". Keep Answer 13 consistent with whatever is chosen.</t>
  </si>
  <si>
    <t xml:space="preserve">54.15</t>
  </si>
  <si>
    <t xml:space="preserve">§54.6 "sys.path.insert(0, ".") lets Python import … mock_llm module (section 54.0's stand-in)"</t>
  </si>
  <si>
    <t xml:space="preserve">There is no §54.0; the stand-in is described in the Simplification note. sys.path.insert isn't needed when the notebook runs in the companion folder, and it's explained only as "lets Python import".</t>
  </si>
  <si>
    <t xml:space="preserve">Polish (cross-ref) / Line-by-line</t>
  </si>
  <si>
    <t xml:space="preserve">"(the stand-in described in the Simplification note at the start of the chapter)". Explain: "Python looks for modules in a list of folders, sys.path; adding '.' (this folder) at the front guarantees it finds mock_llm.py even if the notebook's working folder differs." Or drop the line and say "run the notebook from companion/ch54".</t>
  </si>
  <si>
    <t xml:space="preserve">54.16</t>
  </si>
  <si>
    <t xml:space="preserve">§54.6 WITH_EXAMPLE = INSTRUCTED + """ … {{"customer": null, …}}"""</t>
  </si>
  <si>
    <t xml:space="preserve">The doubled braces {{ }} aren't explained. They're str.format escapes (because {name} is filled later). A reader who copies the JSON example into their own prompt with single braces gets KeyError: '"customer"'.</t>
  </si>
  <si>
    <t xml:space="preserve">Add: "Inside a string that will go through .format(), a literal { must be written {{ and } as }}; otherwise Python thinks {"customer"…} is a placeholder. After formatting, the model sees single braces." Show print(WITH_EXAMPLE.format(name="email_012")[-120:]).</t>
  </si>
  <si>
    <t xml:space="preserve">54.17</t>
  </si>
  <si>
    <t xml:space="preserve">§54.6 text = reply.split("json")[-1].split("")[0] if "" in reply else reply</t>
  </si>
  <si>
    <t xml:space="preserve">Fragile, and it contradicts the Common-mistakes row "Parsing … with string slicing". A reply fenced with plain  (no json tag) takes the *preamble before* the first fence and fails. JSON after a sentence with no fences ("Here it is: {…}") also fails. In evaluate, a reply that parses to a list, or an item missing product_code, crashes (AttributeError/KeyError) instead of being counted.</t>
  </si>
  <si>
    <t xml:space="preserve">Replace with: find the first { and the last } (start = reply.find("{"); end = reply.rfind("}")), json.loads(reply[start:end + 1]), return None if either is −1, or on JSONDecodeError, or if the result isn't a dict. In evaluate, use i.get("product_code")/i.get("quantity"). Explain each line; say this is still a fallback and that provider JSON/structured-output modes (Tools) are the first line of defence.</t>
  </si>
  <si>
    <t xml:space="preserve">54.18</t>
  </si>
  <si>
    <t xml:space="preserve">§54.6 evaluate(template) block (≈25 lines)</t>
  </si>
  <si>
    <t xml:space="preserve">Too many new things in one cell, with only a brief explanation: json.load(open(...)) without with, a tuple of four comparisons, sorted over tuples for order-insensitive comparison, sum(checks) counting True as 1, all(checks), got.get(...) vs [...], and or [] for a missing list.</t>
  </si>
  <si>
    <t xml:space="preserve">Split into 3 cells: (1) load truth and emails and print one example (as now), using with open(...) as f: truth = json.load(f); (2) parse on three hand-written replies (clean JSON, fenced, chatty), with outputs; (3) mark(got, want) for a single email, returning the four checks, printed for email_012 ((True, True, True, True)), explaining .get (None instead of error), or [], and sorted pairs; then evaluate as a loop over mark, with sum (True counts as 1) and all.</t>
  </si>
  <si>
    <t xml:space="preserve">54.19</t>
  </si>
  <si>
    <t xml:space="preserve">§54.5 for label, kwargs in [("temperature 0.2", dict(temperature=0.2)), …]: … sample_counts(logits, kwargs)</t>
  </si>
  <si>
    <t xml:space="preserve">dict(...) construction and kwargs unpacking are new (grep: no kwargs earlier), and np.cumsum is new. None are explained.</t>
  </si>
  <si>
    <t xml:space="preserve">Add: "dict(temperature=0.2) makes {'temperature': 0.2}; kwargs unpacks it into named arguments, so the call becomes sample_counts(logits, temperature=0.2)." "np.cumsum gives running totals: [0.442, 0.769, 0.916, …]."</t>
  </si>
  <si>
    <t xml:space="preserve">54.20</t>
  </si>
  <si>
    <t xml:space="preserve">§54.5 table (samples only)</t>
  </si>
  <si>
    <t xml:space="preserve">The temperature effect is only sampled, never worked by hand. The book's principle calls for one hand example before the tool.</t>
  </si>
  <si>
    <t xml:space="preserve">By-hand</t>
  </si>
  <si>
    <t xml:space="preserve">Add before the code: two logits [3.2, 2.9]. At T = 1 the gap is 0.3 → probabilities 0.574 / 0.426. At T = 0.5 the scores become [6.4, 5.8], gap 0.6 → 0.646 / 0.354. At T = 2 they become [1.6, 1.45], gap 0.15 → 0.537 / 0.463. "Dividing by T multiplies the gap by 1/T; softmax turns a bigger gap into a more lopsided split."</t>
  </si>
  <si>
    <t xml:space="preserve">54.21</t>
  </si>
  <si>
    <t xml:space="preserve">§54.7 "Validation lets 59 of 60 emails through; the ground-truth comparison says only 47 are completely right"</t>
  </si>
  <si>
    <t xml:space="preserve">It compares two different pipelines: 59 is *with* a retry, while 47 is single-attempt WITH_EXAMPLE. The retry may have fixed some. The number that matters, how many of the 59 loaded orders are correct, is never computed.</t>
  </si>
  <si>
    <t xml:space="preserve">Add 3 lines after results: loaded_right = sum(1 for name, r in zip(truth, results) if r["status"] == "ok" and all(mark(r["order"], truth[name]))) and print "loaded automatically: 59; of those, correct: N; loaded but wrong: 59 − N". Rewrite the paragraph, Figure 54.2 and the Recap with N.</t>
  </si>
  <si>
    <t xml:space="preserve">54.22</t>
  </si>
  <si>
    <t xml:space="preserve">§54.7 "A pipeline that escalates 8% of emails with a reason attached"</t>
  </si>
  <si>
    <t xml:space="preserve">The chapter's own pipeline escalates 1 of 60 (1.7%), and the story's first month is 22%. The 8% comes from nowhere.</t>
  </si>
  <si>
    <t xml:space="preserve">"A pipeline that escalates a few emails in every hundred, each with a reason attached, …" or use the computed figure.</t>
  </si>
  <si>
    <t xml:space="preserve">54.23</t>
  </si>
  <si>
    <t xml:space="preserve">§54.7 good = json.loads(complete(WITH_EXAMPLE.format(...)))</t>
  </si>
  <si>
    <t xml:space="preserve">Skips parse(), so it crashes if the stand-in wraps the reply in fences, which the chapter says it does.</t>
  </si>
  <si>
    <t xml:space="preserve">good = parse(complete(...)).</t>
  </si>
  <si>
    <t xml:space="preserve">54.24</t>
  </si>
  <si>
    <t xml:space="preserve">§54.7 date(2026, 1, 1) &lt;= parsed &lt;= date(2027, 1, 1); isinstance(quantity, int)</t>
  </si>
  <si>
    <t xml:space="preserve">The hard-coded window stops working in 2027. It's a business rule, and should be relative to the email date (which Exercise 7 then adds). isinstance(True, int) is True in Python, so a JSON true quantity passes as 1.</t>
  </si>
  <si>
    <t xml:space="preserve">Window: today - timedelta(days=30) &lt;= parsed &lt;= today + timedelta(days=365), with a note. Quantity: isinstance(quantity, int) and not isinstance(quantity, bool), explained in one clause.</t>
  </si>
  <si>
    <t xml:space="preserve">54.25</t>
  </si>
  <si>
    <t xml:space="preserve">Figure 54.3 "email arrives 60 a day, five shapes"; Figure 54.2 (in §54.6) "Validation lets 59 of 60 through"; figure order 54.1, 54.4, 54.2, 54.3</t>
  </si>
  <si>
    <t xml:space="preserve">60 is the evaluation-set size. Daily volume is "twenty to forty" (Why this matters; Answer 13 uses 40). Figure 54.2 quotes §54.7's result a section early. Figures are numbered out of order.</t>
  </si>
  <si>
    <t xml:space="preserve">"20–40 a day". Move the 59/60 lines of Figure 54.2 to Figure 54.3, or place Figure 54.2 after §54.7. Renumber figures in reading order.</t>
  </si>
  <si>
    <t xml:space="preserve">54.26</t>
  </si>
  <si>
    <t xml:space="preserve">§54.8 def search(question, k=3): query = normalize(TruncatedSVD(...).fit(counts).transform(...))</t>
  </si>
  <si>
    <t xml:space="preserve">Refits the SVD on every query. It gives the same components only because the seed and data are fixed, and it contradicts Ch 36's fit-once/transform-many discipline. vectors and query come from separately fitted objects.</t>
  </si>
  <si>
    <t xml:space="preserve">Correctness (method) / Consistency</t>
  </si>
  <si>
    <t xml:space="preserve">svd = TruncatedSVD(n_components=40, random_state=54).fit(counts), vectors = normalize(svd.transform(counts)), and in search: query = normalize(svd.transform(vectorizer.transform([question]))). Add: "fit once on the corpus; only *transform* new text, exactly as Chapter 36's pipelines did."</t>
  </si>
  <si>
    <t xml:space="preserve">54.27</t>
  </si>
  <si>
    <t xml:space="preserve">§54.8 output "(customer …, first item 107 x 25)"; "latent semantic analysis, the honest ancestor"</t>
  </si>
  <si>
    <t xml:space="preserve">The printout doesn't show *why* an email matched (only its first product code, whose name the reader doesn't know), so the reader can't judge the search. LSA is named but not defined, and there are no back-links to Ch 41 (TF-IDF, word embeddings §41.7), Ch 42 (TruncatedSVD) or Ch 35 (cosine similarity).</t>
  </si>
  <si>
    <t xml:space="preserve">Print the product *names* (add a PRODUCTS = {"101": "...", …} dict next to PRODUCT_CODES) and the top three shared terms (vectorizer.get_feature_names_out() where both TF-IDF rows are non-zero). Define LSA: "TF-IDF compressed with SVD so that words that appear together share dimensions (Chapter 42 used the same SVD for recommendations)." Add "cosine similarity (Chapter 35)", "TF-IDF (Chapter 41)".</t>
  </si>
  <si>
    <t xml:space="preserve">54.28</t>
  </si>
  <si>
    <t xml:space="preserve">§54.9 "LoRA … trains a small pair of matrices alongside each layer, typically under 1% of the parameters"</t>
  </si>
  <si>
    <t xml:space="preserve">Stated without the arithmetic that makes it believable. It's a natural by-hand check tying back to Ch 53's parameter counting.</t>
  </si>
  <si>
    <t xml:space="preserve">By-hand / First-time reader</t>
  </si>
  <si>
    <t xml:space="preserve">Add a 4-line cell: a 4,096 × 4,096 weight matrix has 16,777,216 parameters; LoRA with rank 8 adds A (4,096 × 8) and B (8 × 4,096) = 65,536 parameters = 0.39%; at int4 (QLoRA) the frozen matrix drops from 64 MB (float32) to 8 MB. Explain "rank 8" in one line ("the update is squeezed through 8 numbers").</t>
  </si>
  <si>
    <t xml:space="preserve">54.29</t>
  </si>
  <si>
    <t xml:space="preserve">§54.3 "Supervised fine-tuning (SFT)", "(RLHF, DPO and relatives)"</t>
  </si>
  <si>
    <t xml:space="preserve">RLHF and DPO are never expanded.</t>
  </si>
  <si>
    <t xml:space="preserve">"RLHF (reinforcement learning from human feedback) and DPO (direct preference optimization, a simpler method that learns straight from the ranked pairs)".</t>
  </si>
  <si>
    <t xml:space="preserve">54.30</t>
  </si>
  <si>
    <t xml:space="preserve">Key terms: top-k, greedy decoding, system prompt, JSON mode, grounding, semantic search, batch API, golden set, prompt caching</t>
  </si>
  <si>
    <t xml:space="preserve">Defined nowhere in the body, or only named in a table or the Tools list. "System prompt" is listed as part of the context window, but no code uses one and it's never explained.</t>
  </si>
  <si>
    <t xml:space="preserve">Define where first relevant: greedy/top-k in §54.5 (54.8); system prompt in §54.6 ("instructions sent separately from the conversation, e.g. system= in the API; the natural home for your INSTRUCTED text") and use it in the API cell (54.5); JSON mode in §54.7 ("a provider setting that forces syntactically valid JSON; it doesn't guarantee *correct* JSON, so validation stays"); grounding in §54.11; semantic search in §54.8; batch API and prompt caching in §54.12; golden set at §54.6 ("a fixed evaluation set you never train or tune on"). Otherwise drop them from Key terms.</t>
  </si>
  <si>
    <t xml:space="preserve">54.31</t>
  </si>
  <si>
    <t xml:space="preserve">Answer 7 sent_date = datetime.strptime(sent.group(1), "%d %b %Y").date()</t>
  </si>
  <si>
    <t xml:space="preserve">Crashes: only date was imported (from datetime import date in §54.7), so datetime is a NameError. date.fromisoformat(order["delivery_date"]) crashes on a malformed date, exactly the case validate just flagged. %b fails on full month names ("25 February 2026"). The exercise asks to "count how many extractions it catches", but no count or output is shown.</t>
  </si>
  <si>
    <t xml:space="preserve">Add from datetime import datetime. Wrap both parses in try/except ValueError (skip the cross-field rule if either date is invalid; validate has already reported it). Try "%d %b %Y" then "%d %B %Y". Add the counting loop (caught = sum(1 for name in truth if "on or before" in " ".join(validate_with_dates(parse(complete(...)), emails[name])))) and show its output.</t>
  </si>
  <si>
    <t xml:space="preserve">54.32</t>
  </si>
  <si>
    <t xml:space="preserve">Answer 14 exact, fields, unparseable = evaluate(WITH_EXAMPLE) # the 10-email golden set; accuracy = exact / 10</t>
  </si>
  <si>
    <t xml:space="preserve">Wrong. evaluate loops over all 60 emails in truth, so exact can be up to 60, and accuracy prints e.g. 470% and always passes. As a stand-alone #!/usr/bin/env python3 script, it also fails with NameError: evaluate, WITH_EXAMPLE, truth and emails live in the notebook. "Chapter 32's CI": CI is first set up in Ch 26 (Ch 32 is dbt).</t>
  </si>
  <si>
    <t xml:space="preserve">Make evaluate(template, names) take the list of emails, define GOLDEN = [...10 names...] (or load golden.json), and compute accuracy = exact / len(GOLDEN). Make the script self-contained: from extraction import WITH_EXAMPLE, evaluate (a module the reader creates from §54.6's code, per Ch 29) and load the files. Show both runs: passing (exit 0) and a deliberately broken prompt (exit 1, with echo $? / $LASTEXITCODE). Change the reference to "Chapter 26's CI (and Chapter 32's dbt CI), Chapter 29's exit codes".</t>
  </si>
  <si>
    <t xml:space="preserve">54.33</t>
  </si>
  <si>
    <t xml:space="preserve">Answer 4 emails = [path.read_text(...) for path in ...]</t>
  </si>
  <si>
    <t xml:space="preserve">Overwrites the notebook's emails dictionary (name → text) with a list. Any later cell in the same notebook (evaluate, extract_order, Answer 14) then fails with TypeError: list indices must be integers.</t>
  </si>
  <si>
    <t xml:space="preserve">Rename to all_texts (or reuse emails.values(): characters = sum(len(t) for t in emails.values())).</t>
  </si>
  <si>
    <t xml:space="preserve">54.34</t>
  </si>
  <si>
    <t xml:space="preserve">Answer 15 "so 78% load automatically … a model that is right 78% of the time unattended"; real-world "78% of orders load" vs §54.7 "59 of 60"</t>
  </si>
  <si>
    <t xml:space="preserve">Mixes three numbers. 78% is the *story's* first-month load rate, not a result of the chapter's pipeline (98%). And a load rate isn't accuracy: some loaded orders are wrong (see 54.21). The story doesn't explain why production (78%) is lower than the evaluation (98%).</t>
  </si>
  <si>
    <t xml:space="preserve">In the story, add one sentence: "lower than the 59 of 60 on the evaluation set, because real mail includes shapes the set didn't (photos, forwarded threads, two POs)." In Answer 15: "47 of 60 are fully correct on the evaluation set; in production about 78% load without a human, and of those we measure how many are right by re-checking a weekly sample…" Remove "right 78% of the time".</t>
  </si>
  <si>
    <t xml:space="preserve">54.35</t>
  </si>
  <si>
    <t xml:space="preserve">Answer 1 (softmax "by hand, then check with NumPy")</t>
  </si>
  <si>
    <t xml:space="preserve">The answer shows only NumPy; the by-hand part the exercise asks for is missing.</t>
  </si>
  <si>
    <t xml:space="preserve">Add: e² = 7.389, e¹ = 2.718, e^0.5 = 1.649; total 11.756; 7.389/11.756 = 0.6285, 2.718/11.756 = 0.2312, 1.649/11.756 = 0.1402.</t>
  </si>
  <si>
    <t xml:space="preserve">54.36</t>
  </si>
  <si>
    <t xml:space="preserve">Answers 5, 6, 8, 11, 12 (prose only); Answer 6 "prose quantities … (the model's weakness)"</t>
  </si>
  <si>
    <t xml:space="preserve">Exercise 12 explicitly asks to "show, with output, that your validation stops it", but the answer has no code or output. Answer 8 describes the retry curve without numbers. Answer 6 attributes failures to "the model", but they're the stand-in's hand-written rules (54.2).</t>
  </si>
  <si>
    <t xml:space="preserve">Answer 12: add the injected email, the extraction and the validate output (implausible quantity 9999) → needs_a_human. Answer 8: run extract_order(name, attempts=k) for k = 1, 2, 3 and print the counts. Answer 6: "the stand-in's weakness, which imitates a common real-model weakness".</t>
  </si>
  <si>
    <t xml:space="preserve">54.37</t>
  </si>
  <si>
    <t xml:space="preserve">Practice data "built by generate_order_emails.py"; Exercises "Work in companion/ch54"; Tools "Companion files in ch54/ … ch54_check.py"</t>
  </si>
  <si>
    <t xml:space="preserve">As in Ch 53: no instruction for running the generator (terminal command, expected output, where order_data/ appears); folder named three ways; ch54_check.py unexplained.</t>
  </si>
  <si>
    <t xml:space="preserve">Add a "Setting up" box before §54.1: cd companion/ch54, python generate_order_emails.py, with the expected output ("wrote 60 emails to order_data/emails/, ground truth to order_data/ground_truth.json"); state that mock_llm.py must sit in the same folder as the notebook. Use one folder name. Describe or drop ch54_check.py.</t>
  </si>
  <si>
    <t xml:space="preserve">54.38</t>
  </si>
  <si>
    <t xml:space="preserve">§54.1, §54.2, §54.5 vocabulary = [...] / vocabulary = collections.Counter(...) / vocabulary = [...]</t>
  </si>
  <si>
    <t xml:space="preserve">One variable name is used for three different things (six words, BPE word counts, six words again). Running cells out of order breaks things confusingly.</t>
  </si>
  <si>
    <t xml:space="preserve">Rename the BPE one word_counts, and use words6 or candidates for the six-token list in §54.1/54.5.</t>
  </si>
  <si>
    <t xml:space="preserve">54.39</t>
  </si>
  <si>
    <t xml:space="preserve">Titles don't match (Ch 64 "Security, Privacy, Governance &amp; Responsible AI"; Ch 74 "Machine Learning Question Bank").</t>
  </si>
  <si>
    <t xml:space="preserve">54.40</t>
  </si>
  <si>
    <t xml:space="preserve">V54.1</t>
  </si>
  <si>
    <t xml:space="preserve">p. 21 · Table "Tier / Examples verified in September 2026"</t>
  </si>
  <si>
    <t xml:space="preserve">"$" was read as TeX maths. Row 1 prints "GPT-6 Astra ($10 / 50, *abouta*1.05*M* − *tokencontext*, *knowledgecutoff*30*April*2026), *ClaudeFable*5.1(10 / $50)". Rows 2 and 3 are similar ("1*M* − *tokencontext*), *GPT* − 5.6*Sol*(4 / $20)", "*madepermanentinAugust*2026), *Gemini*3.1*Pro*(2 / $12)"). The model names, prices and context sizes cannot be read.</t>
  </si>
  <si>
    <t xml:space="preserve">Escape "$" in the source (or turn off $ maths); rebuild and recheck every table cell with prices.</t>
  </si>
  <si>
    <t xml:space="preserve">V54.2</t>
  </si>
  <si>
    <t xml:space="preserve">p. 31 · Answer 13</t>
  </si>
  <si>
    <t xml:space="preserve">"At 2/10 per million that's about $0.72 + 1.44 ≈ * *2.16 a month" shows stray asterisks, and the "$" signs are missing from "2/10".</t>
  </si>
  <si>
    <t xml:space="preserve">As V54.1.</t>
  </si>
  <si>
    <t xml:space="preserve">V54.3</t>
  </si>
  <si>
    <t xml:space="preserve">p. 10 · Sampling output block</t>
  </si>
  <si>
    <t xml:space="preserve">Each row is wider than the block, so the last two columns wrap to column 0. "blue photosynthesis" becomes a second header line, and pairs like "0.000 0.000" sit under the row labels. The reader cannot tell which number belongs to which token.</t>
  </si>
  <si>
    <t xml:space="preserve">Narrow the f-string widths (e.g., &gt;9.3f), shorten the labels, or print fewer columns. Figure 54.4 already shows the data, so the output could also be trimmed.</t>
  </si>
  <si>
    <t xml:space="preserve">V54.4</t>
  </si>
  <si>
    <t xml:space="preserve">p. 5, 11, 14, 17 · Figure numbering</t>
  </si>
  <si>
    <t xml:space="preserve">The figures appear in the order 54.1, 54.4, 54.2, 54.3.</t>
  </si>
  <si>
    <t xml:space="preserve">Renumber in page order and update the references.</t>
  </si>
  <si>
    <t xml:space="preserve">V54.5</t>
  </si>
  <si>
    <t xml:space="preserve">p. 14 · Figure 54.2 (three prompts bar chart)</t>
  </si>
  <si>
    <t xml:space="preserve">The white bar label "12 of 60 emails fully correct" is longer than the short red bar: "12 of 60 emails" is on red, and "fully correct" runs onto the pale track in dark text. The label changes colour mid-phrase.</t>
  </si>
  <si>
    <t xml:space="preserve">Put labels outside short bars (right of the bar end), or use one dark label colour on the track.</t>
  </si>
  <si>
    <t xml:space="preserve">V54.6</t>
  </si>
  <si>
    <t xml:space="preserve">p. 5, 11, 14, 17 · Figures 54.1–54.4</t>
  </si>
  <si>
    <t xml:space="preserve">Text is 5.2–6.7 pt (Fig 54.3 box bodies 5.2 pt; Fig 54.4 cells 5.7 pt).</t>
  </si>
  <si>
    <t xml:space="preserve">V54.7</t>
  </si>
  <si>
    <t xml:space="preserve">p. 27, 28 · Exercises 10–18</t>
  </si>
  <si>
    <t xml:space="preserve">V54.8</t>
  </si>
  <si>
    <t xml:space="preserve">p. 31→32 · Answer 14</t>
  </si>
  <si>
    <t xml:space="preserve">"14." sits alone at the foot of p. 31; its script is on p. 32.</t>
  </si>
  <si>
    <t xml:space="preserve">V54.9</t>
  </si>
  <si>
    <t xml:space="preserve">As Ch53: "…GENERATIVE" runs under the decorative rule at top right.</t>
  </si>
  <si>
    <t xml:space="preserve">Fix the eyebrow width or rule position for Part VI.</t>
  </si>
  <si>
    <t xml:space="preserve">V54.10</t>
  </si>
  <si>
    <t xml:space="preserve">"Draft chapter", "19 September 2026", "14 Python outputs verified · 16 number checks".</t>
  </si>
  <si>
    <t xml:space="preserve">V54.11</t>
  </si>
  <si>
    <t xml:space="preserve">V54.12</t>
  </si>
  <si>
    <t xml:space="preserve">p. 8, 12, 15, 22 · Code blocks</t>
  </si>
  <si>
    <t xml:space="preserve">Lines and comments wrap to column 0: this") (p. 8); 5}]}""" and WITH_EXAMPLE)]: (p. 12); loudly.""" (p. 15); the api_example.py comments "29)" and "it" (p. 22).</t>
  </si>
  <si>
    <t xml:space="preserve">V54.13</t>
  </si>
  <si>
    <t xml:space="preserve">p. 17 · Figure 54.3 (pipeline)</t>
  </si>
  <si>
    <t xml:space="preserve">The "email arrives" box has very light grey title text and border, so it reads as disabled.</t>
  </si>
  <si>
    <t xml:space="preserve">Use the standard grey used for other neutral boxes.</t>
  </si>
  <si>
    <t xml:space="preserve">V54.14</t>
  </si>
  <si>
    <t xml:space="preserve">p. 5, 11 · Figure notes</t>
  </si>
  <si>
    <t xml:space="preserve">Each two-line note under Fig 54.1 and Fig 54.4 changes from grey to near-black at the line break, mid-sentence.</t>
  </si>
  <si>
    <t xml:space="preserve">One colour per note.</t>
  </si>
  <si>
    <t xml:space="preserve">V54.15</t>
  </si>
  <si>
    <t xml:space="preserve">p. 12→13 · Lead-in</t>
  </si>
  <si>
    <t xml:space="preserve">"Now three prompts, marked the same way:" ends p. 12 with about 25% blank below; the code is on p. 13.</t>
  </si>
  <si>
    <t xml:space="preserve">V54.16</t>
  </si>
  <si>
    <t xml:space="preserve">p. 15→16 · "Line by line:"</t>
  </si>
  <si>
    <t xml:space="preserve">The label is the last line of p. 15; the bullets are on p. 16.</t>
  </si>
  <si>
    <t xml:space="preserve">V54.17</t>
  </si>
  <si>
    <t xml:space="preserve">p. 25→26 · "You've got it when…"</t>
  </si>
  <si>
    <t xml:space="preserve">The heading and one checkbox sit at the foot of p. 25; the other items are on p. 26.</t>
  </si>
  <si>
    <t xml:space="preserve">V54.18</t>
  </si>
  <si>
    <t xml:space="preserve">p. 20→21 · Table "Limit / What it looks like / What to do"</t>
  </si>
  <si>
    <t xml:space="preserve">Split with 2 rows (Lock-in, Bias and fairness) on p. 21.</t>
  </si>
  <si>
    <t xml:space="preserve">V54.19</t>
  </si>
  <si>
    <t xml:space="preserve">p. 11 · Figure 54.4</t>
  </si>
  <si>
    <t xml:space="preserve">The row label "t 1.0, top_p 0.9" abbreviates "temperature", unlike the three rows above.</t>
  </si>
  <si>
    <t xml:space="preserve">"temperature 1.0 + top_p 0.9".</t>
  </si>
  <si>
    <t xml:space="preserve">V54.20</t>
  </si>
  <si>
    <t xml:space="preserve">p. 28 · Answers</t>
  </si>
  <si>
    <t xml:space="preserve">The heading and the editorial note "(In the finished book these move to Appendix G.)" sit at the page foot.</t>
  </si>
  <si>
    <t xml:space="preserve">55.1</t>
  </si>
  <si>
    <t xml:space="preserve">Before you start: "Chapter 38 (evaluation), Chapter 33 (why an index beats a scan)"</t>
  </si>
  <si>
    <t xml:space="preserve">Known wrong ref: Ch 38 is Unsupervised Learning; evaluation is Ch 39. The list also leaves out chapters the text actually relies on: Ch 41 (tokenization, TF-IDF/idf, which BM25 builds on), Ch 42 (precision@k/NDCG@k, the siblings of recall@k and MRR), Ch 53 (the cost-threshold table that 55.6 calls "Chapter 53's cost table again"), Ch 35/36 (NumPy, cosine, scikit-learn).</t>
  </si>
  <si>
    <t xml:space="preserve">Replace with: "Chapter 54 (tokens, prompting, structured output, embeddings), Chapter 41 (tokenizing text and TF-IDF), Chapter 42 (ranking metrics: precision@k), Chapter 39 (evaluation: recall and precision), Chapter 53 (choosing a threshold from costs), Chapter 29 (tested code, modules, classes), Chapter 33 (why an index beats a scan)."</t>
  </si>
  <si>
    <t xml:space="preserve">55.2</t>
  </si>
  <si>
    <t xml:space="preserve">55.3–55.9: "from retrieval import build_chunks, … load_documents"; "from assistant import SupportAssistant"</t>
  </si>
  <si>
    <t xml:space="preserve">The companion modules are black boxes. The reader never sees load_documents, build_chunks (it returns (name, chunk) pairs, which is only inferred later), tokenize (used inside BM25), rank, VectorIndex, SupportAssistant.confidence, SupportAssistant.answer (what it returns: grounded, source, answer), propose_tool_call, run_tool_call, order_status, PRICES or DISCOUNTS. The refusal numbers, the end-to-end ladder and the tool outputs all come from code the reader cannot follow, which breaks the book's line-by-line promise.</t>
  </si>
  <si>
    <t xml:space="preserve">Show each function the first time it is used, as its own cell, run and with output: (a) load_documents() → print len(documents) and one key; (b) tokenize("Is delivery FREE above Rs 25,000?") → show the token list and explain lower-casing and the regex; (c) build_chunks({"faq_01": …}, chunk_sentences)[:2] → show the pairs; (d) rank(np.array([0.2, 0.9, 0.5]), 2) → [1, 2] (it is np.argsort(-scores)[:k]); (e) VectorIndex: say it is 54.8's TF-IDF→SVD→normalize code wrapped in a class, show n_components and the shape of the stored matrix; (f) SupportAssistant.confidence: state which chunker and which top score it returns (raw BM25 max, raw cosine max) and show the 6 lines; (g) SupportAssistant.answer: show the dict it returns for one question and how it picks the answer sentence (highest word overlap) — say here that this is the stand-in generator, not at the end; (h) propose_tool_call: show the regex rules; (i) run_tool_call: show the whitelist and the TypeError handling; (j) print PRICES and DISCOUNTS.</t>
  </si>
  <si>
    <t xml:space="preserve">55.3</t>
  </si>
  <si>
    <t xml:space="preserve">55.1 first cell: pathlib.Path("corpus/docs").glob("*.md")</t>
  </si>
  <si>
    <t xml:space="preserve">There is no setup step. The corpus has to be built by generate_corpus.py, but the chapter never runs it, never shows the folder, and never shows what a question record looks like. The paths also disagree ("Work in companion/ch55" vs "Companion files in ch55/"), and "No API key and no downloads" sits badly with files the reader has to obtain.</t>
  </si>
  <si>
    <t xml:space="preserve">Add §55.0 "Set up the folder" (10 minutes): (1) where the companion folder comes from, with one consistent path (companion/ch55); (2) the terminal cell python generate_corpus.py, with its printed output (28 documents, 65 questions, seed 55); (3) a tree/ls corpus listing; (4) print(open("corpus/docs/faq_01.md").read()); (5) json.load(...)[0] printed, showing the keys question, doc, answer; (6) note that NumPy and scikit-learn were installed in Ch 35/36 and nothing new is needed. Change "no downloads" to "no downloads beyond the companion folder".</t>
  </si>
  <si>
    <t xml:space="preserve">55.4</t>
  </si>
  <si>
    <t xml:space="preserve">55.3 chunk_sections: "puts the document's title back on the front of each chunk"</t>
  </si>
  <si>
    <t xml:space="preserve">The code contradicts the explanation. part.strip() if part.strip().startswith("#") else f"{title}\n…" adds the title only to text that does NOT start with a heading (the preamble). Every ## Section chunk goes out without its document title. The printed example proves it: the spec_106 chunk begins "## Specification" and never names the Garden Chair.</t>
  </si>
  <si>
    <t xml:space="preserve">Either fix the code: parts = [p.strip() for p in re.split(r"\n(?=#{1,3}\s)", text) if p.strip()]; return [parts[0]] + [f"{title}\n{p}" for p in parts[1:]] (the first part already holds the # title line), then re-run the 55.3 output, Fig 55.2 and every table that uses chunk_sections. Or rewrite the explanation to say what the code does. The first is recommended, because the chapter's advice depends on it (55.5).</t>
  </si>
  <si>
    <t xml:space="preserve">55.5</t>
  </si>
  <si>
    <t xml:space="preserve">55.3: "Adding context back to a chunk is the single highest-value trick in this section."</t>
  </si>
  <si>
    <t xml:space="preserve">This is never measured, and the data points the other way: the one strategy meant to attach context (sections) is worst on BM25 (0.76), and the winning strategy (sentences) attaches none. Ex 3's output ("spec_106 - Minimum order quantity: 8 units") shows sentence chunks with no product context. The Recap and the Mistakes table ("Put the document title and section heading back on every chunk") repeat the claim.</t>
  </si>
  <si>
    <t xml:space="preserve">Measure it. Add a variant chunk_sentences_titled (prefix title + "\n" to every sentence chunk), add rows "sentences+title" × 3 searches to the 55.5 table and to Fig 55.2, and state the result. If it helps, keep the claim with its number. If not, soften it to "context helps the model interpret a chunk even when it doesn't change recall" and drop "single highest-value".</t>
  </si>
  <si>
    <t xml:space="preserve">55.6</t>
  </si>
  <si>
    <t xml:space="preserve">55.2/55.3 regexes: r"^#{1,3}\s", re.MULTILINE, r"(?&lt;=[.!?])\s+\</t>
  </si>
  <si>
    <t xml:space="preserve">\n(?=[-\ | #])" | New regex constructs appear without teaching. Lookbehind (?&lt;=…), lookahead (?=…), quantifier {1,3} and re.MULTILINE are not taught earlier (Ch 41 uses only simple patterns). The explanation also skips that [-\ | #] includes \ | , which splits before markdown table rows.</t>
  </si>
  <si>
    <t xml:space="preserve">Add a boxed "Regex, the five pieces this chapter needs" before 55.2: ^ with MULTILINE, #{1,3}, \s, lookbehind, lookahead. Give each a one-line re.findall/re.split on a 3-line sample string, with output. In the chunk_sentences explanation add: "\ |  in the class also splits before table rows, so each price-list row becomes its own sentence."</t>
  </si>
  <si>
    <t xml:space="preserve">55.7</t>
  </si>
  <si>
    <t xml:space="preserve">55.4 class BM25: … math.log(1 + (n - count + 0.5) / (count + 0.5))</t>
  </si>
  <si>
    <t xml:space="preserve">Five new things in one block (tokenize, Counter over sets, the idf variant, the saturation/length formula, a class holding state). It is never run on a toy example, has no output, and np, math, Counter and tokenize are neither imported nor shown. The explanation covers the ideas but not the lines (e.g. why set(document), why +0.5, why 1 + inside the log, what enumerate does here).</t>
  </si>
  <si>
    <t xml:space="preserve">Teach BM25 by hand first on a 3-chunk toy corpus (e.g. "free delivery above 25000", "delivery in 3 to 5 days", "warranty 12 months"): cell 1: tokenize and Counter each chunk (output); cell 2: document frequency and idf for "delivery" vs "warranty" (output: e.g. 0.47 vs 0.98); cell 3: the per-word score for one chunk with k1=1.5, b=0.75, worked in numbers; cell 4: the class, with the imports import math; from collections import Counter; import numpy as np; cell 5: BM25(toy).scores("free delivery") printed. Explain that this idf is the Lucene/"BM25+" variant that stays positive.</t>
  </si>
  <si>
    <t xml:space="preserve">55.8</t>
  </si>
  <si>
    <t xml:space="preserve">55.5 bullet: "the popular advice to 'just use embeddings' is contradicted by the table"</t>
  </si>
  <si>
    <t xml:space="preserve">Misleading generalization. The "vectors" rows come from TF-IDF+SVD (latent semantic analysis), not a neural embedding model, and the chapter itself says a real embedder "retrieves better on paraphrased questions". Yet the Simplification note claims the stand-in doesn't change "every number in the retrieval tables". Both can't be true: a neural embedder changes the vector and hybrid rows.</t>
  </si>
  <si>
    <t xml:space="preserve">Rewrite the bullet: "Our stand-in vectors (TF-IDF+SVD) do not beat BM25 on this corpus of short policies and product codes. A neural embedder would likely lift the vector and hybrid rows, especially on paraphrased questions. The lesson that survives the swap: measure keywords, vectors and hybrid on your own questions before choosing." In the Simplification note change "What it doesn't change: … every number in the retrieval tables" to "… the chunking comparison, the BM25 rows, the metrics and thresholds method; the vector and hybrid rows would move." Apply the same softening to the Fig 55.2 caption ("'Just use embeddings' is not what the numbers say").</t>
  </si>
  <si>
    <t xml:space="preserve">55.9</t>
  </si>
  <si>
    <t xml:space="preserve">55.5: "Moving from fixed-size to sentence chunks gains more than any switch of algorithm."</t>
  </si>
  <si>
    <t xml:space="preserve">Overstated. For hybrid, fixed→sentences gains only +0.02 recall@1 (0.85→0.87), while algorithm switches gain more elsewhere (sections BM25→vector +0.09; fixed BM25→hybrid +0.07). Also, "Hybrid rescues bad chunking" (Recap) doesn't hold for section chunks: hybrid 0.80 &lt; vector 0.85.</t>
  </si>
  <si>
    <t xml:space="preserve">Replace with: "For BM25, switching from fixed to sentence chunks gains 13 points of recall@1 (0.78→0.91), more than any change of algorithm. With hybrid search the chunker matters less (0.85, 0.87, 0.80)." Change the Recap line to "Hybrid rescues fixed-size chunking here; it is not a universal fix (on section chunks, vectors alone did better)."</t>
  </si>
  <si>
    <t xml:space="preserve">55.10</t>
  </si>
  <si>
    <t xml:space="preserve">55.5 evaluate block: hits_at_1 += top[0] == question["doc"]</t>
  </si>
  <si>
    <t xml:space="preserve">One cell does many new things: loading JSON with open (never closed), the unseen question schema, building indexes, three-way dispatch, bool-to-int addition, top.index, and three metrics. recall@5 counts chunks, not documents (one document can fill several of the top 5), and that is never said. MRR is not worked by hand.</t>
  </si>
  <si>
    <t xml:space="preserve">Split into four cells: (1) with open(...) as f: questions = json.load(f); print questions[0] and counts 65/55/10. (2) One question by hand: print the top-5 names, the right doc's position, and its reciprocal rank. (3) The loop for one configuration (sentences + BM25) with the 3 numbers. (4) Wrap it in evaluate and loop over the 9 configurations. Add a worked MRR: ranks 1, 2, 1, 4 → (1 + 0.5 + 1 + 0.25)/4 = 0.6875. Explain True counts as 1. Add: "recall@5 here means 'the right document appears in any of the top five chunks'." Link to Ch 42's precision@k.</t>
  </si>
  <si>
    <t xml:space="preserve">55.11</t>
  </si>
  <si>
    <t xml:space="preserve">55.2/55.3: sorted(words.values())[len(words) // 2] labelled "median"</t>
  </si>
  <si>
    <t xml:space="preserve">For an even count (28 documents; 52/70/60 chunks) this picks the upper-middle value, not the median taught in Ch 21.</t>
  </si>
  <si>
    <t xml:space="preserve">Use statistics.median(...) or np.median(...), re-run, and update "median: 59 words" and the chunk medians (295/149/158) if they change.</t>
  </si>
  <si>
    <t xml:space="preserve">55.12</t>
  </si>
  <si>
    <t xml:space="preserve">55.5: "Chapter 55's reranking discussion below matters exactly when that's true."</t>
  </si>
  <si>
    <t xml:space="preserve">The chapter refers to itself by number. Also, "this is the third place where the chapter's stand-in falls short": the reader can't tell which the first two were.</t>
  </si>
  <si>
    <t xml:space="preserve">Change to "The reranking note below matters exactly when that's true." Change "the third place" to "another place (after embeddings and the generator)". Or drop the count.</t>
  </si>
  <si>
    <t xml:space="preserve">55.13</t>
  </si>
  <si>
    <t xml:space="preserve">55.6 keyword_score, meaning_score = assistant.confidence(question)</t>
  </si>
  <si>
    <t xml:space="preserve">confidence is unseen (which chunker? which search? raw maximum?). The sweep cell adds star-unpacking (q, *assistant.confidence(...)), a generator inside sum, and a nested f-string f"{f'BM25 &lt; …'}", none explained. import numpy as np appears here although np was already needed in 55.4 and is unused in this cell.</t>
  </si>
  <si>
    <t xml:space="preserve">Show confidence (see 55.2). In the sweep, explain * unpacking with a 1-line example, rewrite the inner label as a plain variable label = f"BM25 &lt; {b} or cosine &lt; {c}", and remove the stray import (add it at the first NumPy use in 55.4).</t>
  </si>
  <si>
    <t xml:space="preserve">55.14</t>
  </si>
  <si>
    <t xml:space="preserve">55.6: "Choosing the threshold is Chapter 53's cost table again"</t>
  </si>
  <si>
    <t xml:space="preserve">The link is only asserted. Ch 53 attached rupee costs and picked the cheapest row; here no cost is computed, and "Riverstone takes the middle rule" is a judgement call.</t>
  </si>
  <si>
    <t xml:space="preserve">Add one cell that costs each rule, e.g. wrong answer to a customer = ₹2,000 (goodwill and correction), handover = 2 min of staff time ≈ ₹20: cost = unanswerable answered × 2,000 + answerable refused × 20. Print the 4 rows and show the chosen rule is the cheapest (or say why not). State the chosen costs as assumptions for the author to confirm.</t>
  </si>
  <si>
    <t xml:space="preserve">55.15</t>
  </si>
  <si>
    <t xml:space="preserve">55.6 GROUNDED_PROMPT</t>
  </si>
  <si>
    <t xml:space="preserve">The template is never filled in or shown for a real question, so the reader never sees what "numbered sources" look like. It is also never sent to a model, and the stand-in generator is only disclosed at the end of the chapter.</t>
  </si>
  <si>
    <t xml:space="preserve">Add a cell: sources = "\n".join(f"[{i}] ({name}) {text}" for i, (name, text) in enumerate(top3, 1)); print(GROUNDED_PROMPT.format(sources=sources, question=q)), with the full output. Right after it, add a boxed note: "In this chapter the model is a stand-in that returns the best-matching retrieved sentence; the Simplification note in Tools explains what a real model changes."</t>
  </si>
  <si>
    <t xml:space="preserve">55.16</t>
  </si>
  <si>
    <t xml:space="preserve">55.7: "a real provider returns this as a tool-call object, Chapter 54's section 54.7"</t>
  </si>
  <si>
    <t xml:space="preserve">Wrong ref / sequence. 54.7 teaches structured output and validation; Ch 54 never teaches tool calling or tool schemas. "Tool schema" is a key term but no schema is ever shown, so the reader doesn't see what the model reads.</t>
  </si>
  <si>
    <t xml:space="preserve">Add a short "What the model sees" cell: a JSON tool definition for quote_price (name, description = the docstring, parameters: product_code string, quantity integer ≥ 1) and an example tool-call object {"tool": "quote_price", "arguments": {...}}. Change the reference to "the same idea as 54.7's structured output, applied to choosing a function".</t>
  </si>
  <si>
    <t xml:space="preserve">55.17</t>
  </si>
  <si>
    <t xml:space="preserve">55.7 quote_price: discount = next(rate for threshold, rate in DISCOUNTS if …)</t>
  </si>
  <si>
    <t xml:space="preserve">PRICES and DISCOUNTS are never shown. next() over a generator is new, and it raises StopIteration if no threshold matches, so the list must be sorted high→low and end with a (1, 0.0) row. !r, the type hints and isinstance go unexplained. The output (8% at 1,200 units) can't be checked against a policy the reader hasn't seen.</t>
  </si>
  <si>
    <t xml:space="preserve">Print PRICES and DISCOUNTS (e.g. [(1000, 0.08), (500, 0.05), (100, 0.03), (1, 0.0)]; the author should use the corpus policy). Explain next(...) with a 2-line example, and why the final (1, 0.0) row matters. Show one direct call quote_price("102", 1200) and walk the arithmetic: 750 × 1,200 = 9,00,000; × 0.92 = 8,28,000; GST 18% = 1,49,040; total 9,77,040. Add one bad call quote_price("999", 5) with its error output.</t>
  </si>
  <si>
    <t xml:space="preserve">55.18</t>
  </si>
  <si>
    <t xml:space="preserve">55.7: "The loop has four steps, and the third one is where the safety lives"</t>
  </si>
  <si>
    <t xml:space="preserve">The decision to allow a call is step 2 ("Your code decides whether that call is allowed"), and the chapter's own promise is "keep the decision to run them in your code".</t>
  </si>
  <si>
    <t xml:space="preserve">Change to "and steps two and three, both in your code, are where the safety lives."</t>
  </si>
  <si>
    <t xml:space="preserve">55.19</t>
  </si>
  <si>
    <t xml:space="preserve">55.7 rules table: "run_tool_call takes allowed"</t>
  </si>
  <si>
    <t xml:space="preserve">The demo calls run_tool_call(call) without allowed, so the whitelist is never seen working.</t>
  </si>
  <si>
    <t xml:space="preserve">Add run_tool_call(call, allowed={"order_status"}) for the price question and show the refusal output ("tool quote_price not allowed in this context").</t>
  </si>
  <si>
    <t xml:space="preserve">55.20</t>
  </si>
  <si>
    <t xml:space="preserve">55.8: "Every agent needs a step limit, a budget, and a timeout"</t>
  </si>
  <si>
    <t xml:space="preserve">An agent is described but never shown, not even a minimal loop, so "step limit" (a key term) is abstract.</t>
  </si>
  <si>
    <t xml:space="preserve">Add a 12–15-line sketch: for step in range(MAX_STEPS): call = propose_next(state); if call is None: break; result = run_tool_call(call, allowed); state.append(result), plus a budget check. Run it on "open orders for Green Leaf Hotels on credit hold" with a stubbed proposer and print each step. Explain MAX_STEPS, break and the budget.</t>
  </si>
  <si>
    <t xml:space="preserve">55.21</t>
  </si>
  <si>
    <t xml:space="preserve">55.9: "cited the right document : 38"; Fig 55.4 "38 of 55"</t>
  </si>
  <si>
    <t xml:space="preserve">The gap is never explained. Retrieval put the right document first for 48/55 (sentences+hybrid) or 50/55 (BM25), yet the assistant cites the right source only 38 times, and the text says "retrieval ranked the right document first in most, but not all, cases". The denominators also mix: 38 is out of the 50 answered, but the figure writes "of 55".</t>
  </si>
  <si>
    <t xml:space="preserve">State which chunker/search SupportAssistant uses. Explain that source is the document of the sentence the stand-in picked, not the top-ranked chunk, which is why 38 &lt; 48. Show 2 of the 12 mismatches. Label the rung "38 of 50 answered (38 of 55 overall)".</t>
  </si>
  <si>
    <t xml:space="preserve">55.22</t>
  </si>
  <si>
    <t xml:space="preserve">55.9: key = question["answer"].lower().replace("rs ", "").split()[0].strip("%,")</t>
  </si>
  <si>
    <t xml:space="preserve">The "contained the fact" check is a crude first-word match, and it goes unexplained. It can false-hit (a key of "12" matches "120 kg") or miss (an answer written as "twelve months").</t>
  </si>
  <si>
    <t xml:space="preserve">Show 3 questions with their answer, the extracted key and whether it matched. Explain each method in the chain. Add one sentence on its limits and that a real system uses a rule set or LLM-as-judge (55.9 table). Use a word-boundary match: re.search(rf"\b{re.escape(key)}\b", answer).</t>
  </si>
  <si>
    <t xml:space="preserve">55.23</t>
  </si>
  <si>
    <t xml:space="preserve">55.9: "Correctly refused (7 of 10): the three failures are the guardrail work in section 55.10"; 55.10: "Three failures in this chapter's own numbers"</t>
  </si>
  <si>
    <t xml:space="preserve">Broken promise. 55.10 covers the superseded doc, injection and PII; none of them is about the 3 unanswerable questions that were answered, and only the first comes from the chapter's numbers.</t>
  </si>
  <si>
    <t xml:space="preserve">In 55.9, print the 3 unanswerable questions that got answers and their scores. Then say which remedy applies (a higher floor, an output rule check, or a missing-document backlog). Or change the 55.9 line to "the three that slipped through are listed below; section 55.10's output checks catch two of them". Change 55.10's opener to "Three risks, one of which the numbers already showed."</t>
  </si>
  <si>
    <t xml:space="preserve">55.24</t>
  </si>
  <si>
    <t xml:space="preserve">55.11 timing: max(2, round(sorted(timings)[2]) + 1); print("a real model call adds roughly 500-3,000 ms…")</t>
  </si>
  <si>
    <t xml:space="preserve">The printed "under 2 ms" is forced to be at least 2 by max(2, …), and the second line is a hard-coded string presented as output. time.perf_counter, the _ loop variable and "why 5 runs" go unexplained.</t>
  </si>
  <si>
    <t xml:space="preserve">Replace with print(f"median {np.median(timings):.2f} ms, slowest {max(timings):.2f} ms over 5 runs"), show the real output, and move the model-latency sentence into prose. Explain perf_counter() (a stopwatch in seconds, × 1000 for ms) and _.</t>
  </si>
  <si>
    <t xml:space="preserve">55.25</t>
  </si>
  <si>
    <t xml:space="preserve">55.11: "At $2 and $10 per million tokens that is a fraction of a paisa per question"</t>
  </si>
  <si>
    <t xml:space="preserve">Wrong number. 470 × $2/M + 60 × $10/M = $0.00154 ≈ ₹0.13–0.14 (at ₹83–88/$), i.e. about 13 paise per question, not a fraction of a paisa. The conclusion (staff time dominates) still holds.</t>
  </si>
  <si>
    <t xml:space="preserve">Show it as a code cell: input_cost = 470 * 2 / 1e6; output_cost = 60 * 10 / 1e6; print(f"${input_cost + output_cost:.5f} ≈ ₹{(input_cost + output_cost) * 88:.2f}") → $0.00154 ≈ ₹0.14. Rewrite: "about 14 paise per question, so 1,000 questions a month is about ₹140, against minutes of staff time per question." State the exchange rate used.</t>
  </si>
  <si>
    <t xml:space="preserve">55.26</t>
  </si>
  <si>
    <t xml:space="preserve">Real world: "Both searches ranked it top"</t>
  </si>
  <si>
    <t xml:space="preserve">This contradicts 55.4, where BM25 put the current policy first (7.944 vs 7.665) and only vector search (and the hybrid ranking in 55.10) put the superseded one top.</t>
  </si>
  <si>
    <t xml:space="preserve">Change to "Vector search and the hybrid ranking put it first, and keyword search a close second: it is, textually, about free delivery thresholds…"</t>
  </si>
  <si>
    <t xml:space="preserve">55.27</t>
  </si>
  <si>
    <t xml:space="preserve">Ex 2 answer: "The vector search spreads its score over chunks about temperature and cold storage"</t>
  </si>
  <si>
    <t xml:space="preserve">This contradicts its own output: the second vector result is faq_05 at 0.00, i.e. nothing else scores. The "deep freeze storage" claim also credits the TF-IDF+SVD stand-in with neural-embedding behaviour ("freeze" ≠ "freezer" as tokens).</t>
  </si>
  <si>
    <t xml:space="preserve">Rewrite to match the output: "Here both find only faq_02: with TF-IDF+SVD, 'freezer' co-occurs with too little to spread its meaning." Then run vectors.scores("deep freeze storage") and show the actual result. Say that a neural embedder is what would make the paraphrase work.</t>
  </si>
  <si>
    <t xml:space="preserve">55.28</t>
  </si>
  <si>
    <t xml:space="preserve">Answers 5, 6, 8, 11: "the optimum … is three or four sentences"; "the BM25-heavy end is better"; "helps modestly"</t>
  </si>
  <si>
    <t xml:space="preserve">These answers assert results with no code and no numbers, in a chapter whose promise is "every claim … is a number you can reproduce".</t>
  </si>
  <si>
    <t xml:space="preserve">Give each answer its code and a printed table: Ex 5 recall@1/MRR for per_chunk 2, 4, 8; Ex 6 recall@1 for weights 0.2, 0.5, 0.8; Ex 8 the list of right-doc-but-not-first questions with rank; Ex 11 recall@1 before and after the crude reranker.</t>
  </si>
  <si>
    <t xml:space="preserve">55.29</t>
  </si>
  <si>
    <t xml:space="preserve">Where this leads: "Chapter 74, Machine Learning &amp; AI Question Bank … 'how would you evaluate a RAG system?'"</t>
  </si>
  <si>
    <t xml:space="preserve">Wrong ref. Ch 74 is the ML Question Bank and has no RAG questions; RAG/LLM evaluation is in Ch 79 (GenAI, LLM &amp; MLOps Question Bank). Also "Chapter 64, Responsible AI &amp; Governance" does not match its title ("Security, Privacy, Governance &amp; Responsible AI").</t>
  </si>
  <si>
    <t xml:space="preserve">Change to "Chapter 79, GenAI, LLM &amp; MLOps Question Bank, has the interview questions…" and use Ch 64's actual title.</t>
  </si>
  <si>
    <t xml:space="preserve">55.30</t>
  </si>
  <si>
    <t xml:space="preserve">Tools / Ex 18: "Chapter 28's indexes apply"; "approximate-nearest-neighbour index, which is Chapter 28's trade between exactness and speed"</t>
  </si>
  <si>
    <t xml:space="preserve">Ch 28 covers B-tree indexes; approximate nearest-neighbour (ANN) is taught nowhere, and the term is used undefined.</t>
  </si>
  <si>
    <t xml:space="preserve">Define it once in Tools: "an approximate-nearest-neighbour (ANN) index finds almost-the-closest vectors without comparing against every one, trading a little recall for a lot of speed". Change the Ex 18 pointer to "the same speed-for-exactness trade as Chapter 33's index-versus-scan".</t>
  </si>
  <si>
    <t xml:space="preserve">55.31</t>
  </si>
  <si>
    <t xml:space="preserve">55.1: "Chapter 54's section 54.4 gave the three reasons"</t>
  </si>
  <si>
    <t xml:space="preserve">54.4's three are money, latency and accuracy; 55.1 lists cost, accuracy and traceability.</t>
  </si>
  <si>
    <t xml:space="preserve">Change to "Chapter 54's section 54.4 gave cost, latency and accuracy; retrieval adds a fourth, traceability." Keep the list.</t>
  </si>
  <si>
    <t xml:space="preserve">55.32</t>
  </si>
  <si>
    <t xml:space="preserve">Fig 55.1: "superseded documents are filtered at index time"</t>
  </si>
  <si>
    <t xml:space="preserve">The assistant measured in 55.6–55.9 still includes the superseded document (the filter only arrives in 55.10), so the figure describes the end state, not the thing being measured.</t>
  </si>
  <si>
    <t xml:space="preserve">Add to the caption "(the filter is added in section 55.10)".</t>
  </si>
  <si>
    <t xml:space="preserve">55.33</t>
  </si>
  <si>
    <t xml:space="preserve">55.1/55.10 "Rs 40,000"; real world "₹40,000"</t>
  </si>
  <si>
    <t xml:space="preserve">Mixed currency notation.</t>
  </si>
  <si>
    <t xml:space="preserve">Use ₹ in prose throughout. Keep "Rs" only inside corpus text, and say the corpus writes "Rs".</t>
  </si>
  <si>
    <t xml:space="preserve">55.34</t>
  </si>
  <si>
    <t xml:space="preserve">55.1 print lines; 55.5 hybrid_scores return; 55.9 refused = sum(...); 55.10 print</t>
  </si>
  <si>
    <t xml:space="preserve">Several code lines are wrapped mid-expression by the page width (an f-string literal split across lines, a return … * line break). Copied as printed, they raise SyntaxError.</t>
  </si>
  <si>
    <t xml:space="preserve">Reformat all code to ≤ 88 characters and break only inside parentheses. For example, return (weight * normalized(bm25.scores(query)) / + (1 - weight) * normalized(vectors.scores(query))).</t>
  </si>
  <si>
    <t xml:space="preserve">55.35</t>
  </si>
  <si>
    <t xml:space="preserve">55.5 table / 55.9 "Golden set (this one)"</t>
  </si>
  <si>
    <t xml:space="preserve">The 65-question set is used as a golden set from 55.5 on, but it is only named that in the 55.9 table.</t>
  </si>
  <si>
    <t xml:space="preserve">In 55.5 add: "This question set, with each question's correct document recorded in advance, is a golden set (Chapter 54): a fixed test you re-run after every change."</t>
  </si>
  <si>
    <t xml:space="preserve">55.36</t>
  </si>
  <si>
    <t xml:space="preserve">55.6 threshold choice; Ex 4 answer</t>
  </si>
  <si>
    <t xml:space="preserve">Ex 4's answer correctly says 10 unanswerable questions make "correctly refused" move in 10-point steps, but the main text picks the threshold without that caveat.</t>
  </si>
  <si>
    <t xml:space="preserve">Correctness (statistics)</t>
  </si>
  <si>
    <t xml:space="preserve">Add one sentence after Fig 55.3: "With only 10 unanswerable questions, 7 of 10 could easily be 5 or 9 on another sample; before launch, collect at least 30 (Ex 4)."</t>
  </si>
  <si>
    <t xml:space="preserve">55.37</t>
  </si>
  <si>
    <t xml:space="preserve">Answers header: "(In the finished book these move to Appendix G.)"; Tools: "and ch55_check.py"</t>
  </si>
  <si>
    <t xml:space="preserve">Drafting leftover, and a build/check script listed as a reader companion file.</t>
  </si>
  <si>
    <t xml:space="preserve">Delete the parenthetical (Appendix G move handled book-wide). Remove ch55_check.py from the reader list, or describe it as "a script that re-runs every output in this chapter so you can check your setup".</t>
  </si>
  <si>
    <t xml:space="preserve">55.38</t>
  </si>
  <si>
    <t xml:space="preserve">55.10 CURRENT_ONLY and the story's "index build now refuses to run if a document has no status"</t>
  </si>
  <si>
    <t xml:space="preserve">The metadata version of the guardrail (which the text calls the real answer) is never shown.</t>
  </si>
  <si>
    <t xml:space="preserve">Add a 6-line cell: METADATA = {"policy_delivery": {"status": "current", "effective": "2026-01-01", "owner": "dispatch"}, …}; missing = [d for d in documents if d not in METADATA]; assert not missing, f"no status for {missing}"; filter on status == "current". Show the output.</t>
  </si>
  <si>
    <t xml:space="preserve">V55.1</t>
  </si>
  <si>
    <t xml:space="preserve">p. 18 · Figure 55.4 (four-rung ladder)</t>
  </si>
  <si>
    <t xml:space="preserve">The right-hand annotation column is clipped at the figure frame: "the refusal threshold is not over-ca…", "retrieval ranked the right documen…", "where a real model would change t…", "the remaining three are guardrail w…". Text is 5.5–5.7 pt.</t>
  </si>
  <si>
    <t xml:space="preserve">Shorten or wrap the annotations inside the frame (or drop them; the bullets below repeat them). Redraw at 7 pt or more.</t>
  </si>
  <si>
    <t xml:space="preserve">V55.2</t>
  </si>
  <si>
    <t xml:space="preserve">p. 4 · Figure 55.1 (pipeline)</t>
  </si>
  <si>
    <t xml:space="preserve">Box text is 5.2–5.9 pt. The "question" box label is very pale grey and hard to see. The "tools, when documents cannot answer" box floats, with no connector to the flow.</t>
  </si>
  <si>
    <t xml:space="preserve">Redraw at 7 pt or more, give the first box normal contrast, and connect the tools box (e.g., from "retrieve" or "ground").</t>
  </si>
  <si>
    <t xml:space="preserve">V55.3</t>
  </si>
  <si>
    <t xml:space="preserve">p. 12 · Figure 55.2 (chunking × search bars)</t>
  </si>
  <si>
    <t xml:space="preserve">Labels are 5.5–5.7 pt. The bar colours (green = best, blue, grey) have no legend. The paragraph under the figure says "Read this table…", which refers to the figure.</t>
  </si>
  <si>
    <t xml:space="preserve">Enlarge the text, add a one-line colour key (or use a single colour plus a highlight), and say "chart" (or point to the code-output table on p. 11).</t>
  </si>
  <si>
    <t xml:space="preserve">V55.4</t>
  </si>
  <si>
    <t xml:space="preserve">p. 14 · Figure 55.3 (refusal trade)</t>
  </si>
  <si>
    <t xml:space="preserve">Text is 5.4–5.7 pt. The two panels are distinguished only by red versus green bars, a pair that colour-blind readers cannot tell apart (the panel headings help).</t>
  </si>
  <si>
    <t xml:space="preserve">Enlarge the text, and use a blue/orange pair or add patterns.</t>
  </si>
  <si>
    <t xml:space="preserve">V55.5</t>
  </si>
  <si>
    <t xml:space="preserve">p. 9 · Code output "question: Is delivery free above…"</t>
  </si>
  <si>
    <t xml:space="preserve">The comment column wraps to column 0 ("January", "2026)", "deliv"), so the BM25 and vector rankings that readers must compare become ragged.</t>
  </si>
  <si>
    <t xml:space="preserve">Truncate the printed text shorter (e.g., [:40]), or set the output at a smaller size with no wrap.</t>
  </si>
  <si>
    <t xml:space="preserve">V55.6</t>
  </si>
  <si>
    <t xml:space="preserve">p. 10–11 · Page breaks</t>
  </si>
  <si>
    <t xml:space="preserve">Two pages in a row end early: p. 10 at 63% (after the metrics table; the evaluate() code moves on) and p. 11 at 66% (after the output; Fig 55.2 moves to p. 12).</t>
  </si>
  <si>
    <t xml:space="preserve">Let long code blocks split, or float Fig 55.2 up to fill p. 11.</t>
  </si>
  <si>
    <t xml:space="preserve">V55.7</t>
  </si>
  <si>
    <t xml:space="preserve">p. 28, 29 · Answers 3 and 9</t>
  </si>
  <si>
    <t xml:space="preserve">The answer numbers "3." (p. 28 foot) and "9." (p. 29 foot) stand alone; their code is on the next page.</t>
  </si>
  <si>
    <t xml:space="preserve">Keep answer numbers with the following block.</t>
  </si>
  <si>
    <t xml:space="preserve">V55.8</t>
  </si>
  <si>
    <t xml:space="preserve">"Draft chapter" badge, "19 September 2026", and "15 Python outputs verified · 19 number checks" are visible to readers.</t>
  </si>
  <si>
    <t xml:space="preserve">Remove for print, or align with other chapters.</t>
  </si>
  <si>
    <t xml:space="preserve">V55.9</t>
  </si>
  <si>
    <t xml:space="preserve">V55.10</t>
  </si>
  <si>
    <t xml:space="preserve">p. 13, 15 · Lead-ins</t>
  </si>
  <si>
    <t xml:space="preserve">"Choosing the threshold is Chapter 53's cost table again:" ends p. 13, with its code on p. 14. The tool-call code ends p. 15 at 71%, with its output on p. 16.</t>
  </si>
  <si>
    <t xml:space="preserve">Keep lead-ins with the next block, and allow small splits.</t>
  </si>
  <si>
    <t xml:space="preserve">V55.11</t>
  </si>
  <si>
    <t xml:space="preserve">p. 7, 11, 13, 29, 30 · Code blocks</t>
  </si>
  <si>
    <t xml:space="preserve">Long code lines wrap to column 0 with no continuation marker, e.g. chunk_sections)]: (pp. 7, 28), question), 3)] (p. 19), " on its own line.</t>
  </si>
  <si>
    <t xml:space="preserve">Hard-wrap the source with a hanging indent, or add a ↩ marker to the code style.</t>
  </si>
  <si>
    <t xml:space="preserve">V55.12</t>
  </si>
  <si>
    <t xml:space="preserve">p. 28 · Answers heading</t>
  </si>
  <si>
    <t xml:space="preserve">The editorial note "(In the finished book these move to Appendix G.)" is visible to readers.</t>
  </si>
  <si>
    <t xml:space="preserve">V55.13</t>
  </si>
  <si>
    <t xml:space="preserve">p. 16 · Table "The rules that keep tools safe"</t>
  </si>
  <si>
    <t xml:space="preserve">The cell reads "The public assistant gets lookups… run_tool_call takes allowed", with no full stop, so it reads as truncated.</t>
  </si>
  <si>
    <t xml:space="preserve">Complete the sentence ("…takes an allowed list.").</t>
  </si>
  <si>
    <t xml:space="preserve">V55.14</t>
  </si>
  <si>
    <t xml:space="preserve">p. 18 · Figure 55.4</t>
  </si>
  <si>
    <t xml:space="preserve">Bars out of 55 and a bar out of 10 share one length scale, so "7 of 10" looks longer than "38 of 55".</t>
  </si>
  <si>
    <t xml:space="preserve">Label the last rung's scale, or separate it.</t>
  </si>
  <si>
    <t xml:space="preserve">V55.15</t>
  </si>
  <si>
    <t xml:space="preserve">p. 24–25 · "You've got it when…" checklist</t>
  </si>
  <si>
    <t xml:space="preserve">One item sits at the foot of p. 24. Wrapped items return to column 0 under the checkbox ("code.", "answer.").</t>
  </si>
  <si>
    <t xml:space="preserve">Keep the list together, and hang-indent the item text.</t>
  </si>
  <si>
    <t xml:space="preserve">V55.16</t>
  </si>
  <si>
    <t xml:space="preserve">p. 26, 27 · Practice exercises</t>
  </si>
  <si>
    <t xml:space="preserve">The two-digit numbers "10."–"18." hang into the left margin (x = 48 pt).</t>
  </si>
  <si>
    <t xml:space="preserve">Widen the number column.</t>
  </si>
  <si>
    <t xml:space="preserve">V55.17</t>
  </si>
  <si>
    <t xml:space="preserve">p. 22 · Real-world story</t>
  </si>
  <si>
    <t xml:space="preserve">"₹40,000 / ₹25,000" fall back to DejaVu Serif, barely visible.</t>
  </si>
  <si>
    <t xml:space="preserve">Use a body font with ₹.</t>
  </si>
  <si>
    <t xml:space="preserve">V55.18</t>
  </si>
  <si>
    <t xml:space="preserve">The short accent rule overlaps the cap tops of "GENERATIVE" in the kicker line.</t>
  </si>
  <si>
    <t xml:space="preserve">Move the rule above the kicker, or pin it to a fixed y.</t>
  </si>
  <si>
    <t xml:space="preserve">56.1</t>
  </si>
  <si>
    <t xml:space="preserve">Before you start: "Chapter 32 (CI…), Chapter 38 (evaluation)"</t>
  </si>
  <si>
    <t xml:space="preserve">Known wrong ref: evaluation is Ch 39. The list also leaves out chapters the text relies on: Ch 52 (containers, Kubernetes: used in 56.11, Tools and the Simplification note), Ch 30 (A/B test in 56.6), Ch 47 (alerting, 56.7), Ch 50 (streaming serving). CI is first taught in Ch 26, not Ch 32.</t>
  </si>
  <si>
    <t xml:space="preserve">Replace with: "Chapter 53 (the defect model and its cost-based threshold), Chapter 29 (tested, packaged Python; decorators; exit codes), Chapter 34 (command line and HTTP), Chapters 26 and 32 (CI), Chapter 39 (evaluation), Chapter 30 (A/B tests), Chapter 52 (containers)."</t>
  </si>
  <si>
    <t xml:space="preserve">56.2</t>
  </si>
  <si>
    <t xml:space="preserve">Why this matters: "catches 97.5% of defects"; 56.2 Watch out: "Chapter 53 chose 0.01"</t>
  </si>
  <si>
    <t xml:space="preserve">Contradiction. In Ch 53, 97.5% recall is the 0.01 threshold, but the packaged defect_v1 has threshold 0.1 and metrics {'recall': 0.95}, and Fig 56.1 and every table in this chapter use 0.1. 56.3 then finds 0.05 cheapest and still ships 0.1, with no reason given. A reader can't tell which threshold is "the model".</t>
  </si>
  <si>
    <t xml:space="preserve">Pick one story and make every mention match. Recommended (no re-runs needed): "Chapter 53's cheapest point on the test set was 0.01, but at 46 false alarms per 1,500 the plant manager chose 0.1: 95% of defects caught, 6 re-inspections per 1,500." Change "97.5%" → "95%" in Why this matters, and "Chapter 53 chose 0.01" → "the plant manager agreed 0.1". In 56.3 add one sentence on why v1 keeps 0.1 although t0.05 was cheaper on this test set (the decision was already made; re-tuning belongs to retraining, 56.9).</t>
  </si>
  <si>
    <t xml:space="preserve">56.3</t>
  </si>
  <si>
    <t xml:space="preserve">Tools: "FastAPI and uvicorn, MLflow, joblib, SciPy. All installed locally"</t>
  </si>
  <si>
    <t xml:space="preserve">Nothing is ever installed. There is no pip install line, no version check and no run of simulate_production.py. Code also silently needs ../ch53/defect_data/*.npy from Ch 53's companion folder. Paths disagree ("companion/ch56" vs "ch56/").</t>
  </si>
  <si>
    <t xml:space="preserve">Add §56.0 "Set up" (≈1 hour). (1) Activate the Ch 17 virtual environment. (2) pip install "fastapi==0.141.*" uvicorn "mlflow==3.16.*" scipy joblib httpx (author to confirm pins). (3) python -c "import fastapi, mlflow, scipy; print(fastapi.__version__, mlflow.__version__)" with output. (4) python simulate_production.py with its printed output. (5) A folder tree showing companion/ch53/defect_data/ beside companion/ch56/. Use one path spelling everywhere.</t>
  </si>
  <si>
    <t xml:space="preserve">56.4</t>
  </si>
  <si>
    <t xml:space="preserve">Tools: "fastapi.testclient … (needs httpx2 installed)"</t>
  </si>
  <si>
    <t xml:space="preserve">Probably a typo. Starlette's TestClient needs httpx; "httpx2" is not the package a reader should install.</t>
  </si>
  <si>
    <t xml:space="preserve">Change to "needs httpx installed (pip install httpx)". Check against the pinned FastAPI version.</t>
  </si>
  <si>
    <t xml:space="preserve">56.5</t>
  </si>
  <si>
    <t xml:space="preserve">56.5 "serve.py is the whole service"; glance "serve it behind a real HTTP endpoint"</t>
  </si>
  <si>
    <t xml:space="preserve">The service is never started. uvicorn is listed but never run, there is no curl or browser call, and the auto-docs page is never shown. The only calls are in-process TestClient calls, so the reader never sees a real HTTP endpoint, even though Ch 34 taught HTTP for exactly this.</t>
  </si>
  <si>
    <t xml:space="preserve">Add terminal cells. (1) uvicorn serve:app --port 8000 with its output ("Uvicorn running on http://127.0.0.1:8000"). (2) In a second terminal, curl http://127.0.0.1:8000/health with its JSON output. (3) curl -X POST http://127.0.0.1:8000/predict -H "Content-Type: application/json" -d @part.json (write part.json from Python first) with output. (4) Open http://127.0.0.1:8000/docs and describe the page. (5) Ctrl+C to stop. Then introduce TestClient as "the same calls without starting a server, which is how CI tests it".</t>
  </si>
  <si>
    <t xml:space="preserve">56.6</t>
  </si>
  <si>
    <t xml:space="preserve">56.5 class Part(BaseModel): … @app.post("/predict")</t>
  </si>
  <si>
    <t xml:space="preserve">serve.py is a fragment. The imports, app = FastAPI(), the log logger setup and the joblib load of model and metadata are all missing. Pydantic's BaseModel/Field are new here (Ch 54 only names pydantic in its Tools list), and so are HTTPException, status 422 and "liveness/readiness". The explanation is "for the parts that are about production rather than Python", which skips the Python the reader has never seen.</t>
  </si>
  <si>
    <t xml:space="preserve">Show the full serve.py in four cells. (1) Imports, app = FastAPI(title="defect-service"), logging.basicConfig, log = logging.getLogger("defect-service"), and the bundle load with a printed version. (2) The Part schema, then Part(part_id="x", features=[0.1]*50) in a try/except printing the ValidationError, which explains 422 before HTTP enters. (3) /health, with the decorator explained ("registers this function for GET requests to /health") and liveness vs readiness defined in one line each. (4) /predict, line by line: np.asarray, isfinite, reshape(1, -1), [0, 1], json.dumps, and why 422 rather than 500.</t>
  </si>
  <si>
    <t xml:space="preserve">56.7</t>
  </si>
  <si>
    <t xml:space="preserve">56.3 run_one: MLPClassifier(...), model.fit(X_train, y_train), skops_trusted_types=[...]</t>
  </si>
  <si>
    <t xml:space="preserve">The block cannot run. MLPClassifier, confusion_matrix, X, X_train, y_train, X_test and y_test are never imported or defined. skops_trusted_types=[...] is a literal Ellipsis placeholder, and the real value (the AdamOptimizer type) only appears in 56.4's prose. run_one is never called on the page; the results come from train.py, which is never shown.</t>
  </si>
  <si>
    <t xml:space="preserve">Cell 1: imports + load Ch 53 data + train_test_split(X, y, test_size=0.25, random_state=53, stratify=y), printing the shapes (4,500/1,500). Cell 2: run_one with the exact trusted-types list written out (e.g. ["sklearn.neural_network._stochastic_optimizers.AdamOptimizer"], checked against MLflow 3.16). Cell 3: print(run_one(48, 300, 0.1)) with its dict output. Cell 4: the loop over the four settings (this is train.py), with the table. Explain metrics, .ravel() order (tn, fp, fn, tp), and probabilities &gt; threshold.</t>
  </si>
  <si>
    <t xml:space="preserve">56.8</t>
  </si>
  <si>
    <t xml:space="preserve">56.3/Tools: "MLflow 3 deprecated the older plain-folder store… requires trusted types"; 56.2 "stage (staging, production, archived)"</t>
  </si>
  <si>
    <t xml:space="preserve">These version-specific claims need checking, and the stage model is out of date. MLflow has deprecated registry stages in favour of aliases (e.g. @champion) since 2.9, and "stage" is a key term here.</t>
  </si>
  <si>
    <t xml:space="preserve">Check both MLflow 3 claims against the 3.16 release notes and cite the version. Rewrite the registry sentence: "a version number, and an alias such as production or champion pointing at the version in use (older MLflow called these stages)". Update the key term and the level-3 row.</t>
  </si>
  <si>
    <t xml:space="preserve">56.9</t>
  </si>
  <si>
    <t xml:space="preserve">56.2: "A model registry is the index of those artifacts"; key terms "model registry"</t>
  </si>
  <si>
    <t xml:space="preserve">A registry is described but never used. No mlflow.register_model, no alias, no load by name. The packaged model is a loose joblib file.</t>
  </si>
  <si>
    <t xml:space="preserve">Add a cell: register the cheapest run (mlflow.register_model(f"runs:/{run_id}/model", "riverstone-defect")), set an alias (MlflowClient().set_registered_model_alias(...)), load models:/riverstone-defect@production, and print its version. Or, if the chapter keeps the "folder is a registry" line, show that folder's naming convention and a registry.json with version → file → threshold, and use it in Ex 12.</t>
  </si>
  <si>
    <t xml:space="preserve">56.10</t>
  </si>
  <si>
    <t xml:space="preserve">56.3: "querying them afterwards, which is the entire point"</t>
  </si>
  <si>
    <t xml:space="preserve">The MLflow UI, which is how most people browse runs, is never shown. warnings.filterwarnings("ignore") silences all warnings with no explanation. search_runs returning a pandas DataFrame with dotted column names is not explained.</t>
  </si>
  <si>
    <t xml:space="preserve">Add mlflow ui --backend-store-uri sqlite:///mlflow.db with a sentence on what the page shows. Replace the blanket filter with a specific category, or explain why it is safe here. Add "search_runs returns a DataFrame; parameters appear as params.&lt;name&gt; and metrics as metrics.&lt;name&gt;."</t>
  </si>
  <si>
    <t xml:space="preserve">56.11</t>
  </si>
  <si>
    <t xml:space="preserve">56.4: bundle = joblib.load(...); __import__('os').path.getsize(...)</t>
  </si>
  <si>
    <t xml:space="preserve">The packaging section only loads. How the bundle and metadata were written (joblib.dump, the metadata dict, how data_hash is computed) is never shown, although that is the skill being taught. __import__('os') is an obscure hack.</t>
  </si>
  <si>
    <t xml:space="preserve">Add the packaging cell: build metadata = {...} (including data_hash = hashlib.sha256(X_train.tobytes()).hexdigest()[:16], sklearn.__version__, datetime.now().isoformat(timespec="seconds")), then joblib.dump({"model": model, "metadata": metadata}, "models/defect_v1.joblib"). Explain each field. Replace __import__('os') with import os at the top.</t>
  </si>
  <si>
    <t xml:space="preserve">56.12</t>
  </si>
  <si>
    <t xml:space="preserve">56.2 table: "Code: Git commit hash, recorded in the run"; "Features: … version recorded with the model"</t>
  </si>
  <si>
    <t xml:space="preserve">The printed metadata has no commit hash and no feature-code version, so the artifact breaks the chapter's own five-things rule.</t>
  </si>
  <si>
    <t xml:space="preserve">Add "code_commit": subprocess.check_output(["git", "rev-parse", "--short", "HEAD"]).decode().strip() and "feature_version": "conv108-v1" to the metadata, and to the 56.4 output and Ex 2 answer. Or change the table to "recorded in the MLflow run" and show mlflow.set_tag("git_commit", …).</t>
  </si>
  <si>
    <t xml:space="preserve">56.13</t>
  </si>
  <si>
    <t xml:space="preserve">56.6: "candidate is right 17 times … That is a coin flip, not a case for shipping"</t>
  </si>
  <si>
    <t xml:space="preserve">Wrong by the chapter's own business metric. Counting correct verdicts treats a caught defect (₹4,000) the same as a false alarm (₹40). The same candidate on the same weeks 20–23 in 56.9 shows recall 0.85 → 0.91 with 10 more false alarms, and 56.9 concludes the retrain "saves more than it costs". The two figures fit together only if about 11 of the candidate's "right" disagreements are defects it caught: roughly ₹44,000 saved against ₹400 of extra inspections. The Recap repeats the wrong conclusion.</t>
  </si>
  <si>
    <t xml:space="preserve">In 56.6, split the 33 disagreements into a 2×2: candidate caught a defect the current missed / current caught one the candidate missed / candidate false alarm / current false alarm. Cost each cell at ₹4,000/₹40 and print the table. Rewrite the conclusion: "Counted as verdicts it looks like a coin flip; counted in rupees the candidate is clearly better, because the disagreements it wins are missed defects. This is why shadow disagreements are adjudicated and costed, not tallied." Fix the Recap bullet to match.</t>
  </si>
  <si>
    <t xml:space="preserve">56.14</t>
  </si>
  <si>
    <t xml:space="preserve">56.6: "Two weeks of shadow traffic has told Riverstone"; "run the new version silently for two weeks"</t>
  </si>
  <si>
    <t xml:space="preserve">The code shadows four weeks (range(20, 24), 2,000 parts = 4 × 500).</t>
  </si>
  <si>
    <t xml:space="preserve">Change to "Four weeks of shadow traffic (2,000 parts)", or shadow range(20, 22) and re-run.</t>
  </si>
  <si>
    <t xml:space="preserve">56.15</t>
  </si>
  <si>
    <t xml:space="preserve">56.9: "Chapter 53's arithmetic answers it: … the retrain saves more than it costs"</t>
  </si>
  <si>
    <t xml:space="preserve">Asserted but not computed. Ex 8's answer ("the optimum moves upwards") also gives no numbers.</t>
  </si>
  <si>
    <t xml:space="preserve">Add cost = fn * 4000 + fp * 40 to score() and print cost for both models on weeks 20–23 and 0–7. Add a threshold sweep for defect-v2 (0.5 … 0.01) showing the new cheapest threshold. Give Ex 8 its code and table.</t>
  </si>
  <si>
    <t xml:space="preserve">56.16</t>
  </si>
  <si>
    <t xml:space="preserve">56.7 heading "Monitoring, in three layers"; Fig 56.2 shows four (service, input, output, outcome)</t>
  </si>
  <si>
    <t xml:space="preserve">Three vs four layers. The figure has four rows, the (broken) table has three with output and outcome merged, and the glance, Recap and "You've got it" all say three.</t>
  </si>
  <si>
    <t xml:space="preserve">Pick one. Recommended: keep "three layers" and draw the third as one layer with two streams ("output: fast proxy" / "outcome: slow truth"), matching the text's "the third layer has two streams". Or say four everywhere.</t>
  </si>
  <si>
    <t xml:space="preserve">56.17</t>
  </si>
  <si>
    <t xml:space="preserve">56.7: "\</t>
  </si>
  <si>
    <t xml:space="preserve">Service \ | is it up and fast? \ | uptime, error rate…" | A raw markdown table leaked into the page as pipe-separated text.</t>
  </si>
  <si>
    <t xml:space="preserve">Render it as a real 4-column table (Layer / Question / Signal / Delay), or delete it, since Fig 56.2 carries the same content.</t>
  </si>
  <si>
    <t xml:space="preserve">56.18</t>
  </si>
  <si>
    <t xml:space="preserve">Fig 56.2 caption: "invisible to the first three layers and obvious to the fourth"; Ex 7 answer: "first week where the gap exceeds two points: None"</t>
  </si>
  <si>
    <t xml:space="preserve">Three statements contradict each other. 56.7 calls the predicted-vs-actual gap "the cheapest early warning", and the story says it is "visible to anyone glancing". Yet the figure says the output layer missed it. Ex 7 asks for the first week the gap exceeds 2 points, its output says None (the largest weekly gap is 1.4 points), and the answer text still says "the failure announces itself". On 500 parts a week, a 1–1.4-point gap sits inside the ordinary week-to-week wobble (week 15: −0.2).</t>
  </si>
  <si>
    <t xml:space="preserve">(a) Change the Ex 7 threshold to 1 point, or pool weeks (a 4-week rolling gap), re-run, and report the first week it fires. (b) Rewrite the answer: "the weekly gap is small (≈1.4 points), too small to trust from one week of 500 parts; pooled over four weeks it is clear by week 19." (c) Fix the Fig 56.2 caption to "invisible to the service and input layers, faint in the output proxy, and unmistakable only in the audited outcome". (d) Soften the story's "visible to anyone glancing".</t>
  </si>
  <si>
    <t xml:space="preserve">56.19</t>
  </si>
  <si>
    <t xml:space="preserve">56.7 table column "actually defective"; "a part passed as good is only revealed … weeks later"</t>
  </si>
  <si>
    <t xml:space="preserve">Logical gap. The "actually defective" column (and the "QC tally" it stands for) needs exactly the ground truth the chapter says arrives weeks late. The reader isn't told where a same-day "QC tally" of true defects comes from.</t>
  </si>
  <si>
    <t xml:space="preserve">Define the QC tally: e.g. "QC's own count of defects found at packing plus the 2% audit extrapolated". Or relabel the column "true defect rate (known here only because this is a simulation)" and say that in production you'd see only the audit estimate, a week late.</t>
  </si>
  <si>
    <t xml:space="preserve">56.20</t>
  </si>
  <si>
    <t xml:space="preserve">56.8: "page you for the wrong thing in April and stay silent in June"; Fig 56.3: "cried wolf in May… silent in July"; story: "amber since May… new mould arrived in July… 'investigate' for six weeks"</t>
  </si>
  <si>
    <t xml:space="preserve">Timeline mismatch. With trained_at 2 Mar 2026 as week 0: week 8 = 27 Apr, week 16 = 22 Jun, week 24 = 17 Aug. So April/June is right, and the figure and story are a month late. The lamps period is 8 weeks (8–15), and PSI stays above 4 through week 23, so the digest said "investigate" for 16 weeks, not six.</t>
  </si>
  <si>
    <t xml:space="preserve">Use late April / late June everywhere (figure caption and story), or state that the camera went live a month after training. Change "for six weeks" to "for eight weeks before the mould arrived, and it never went green again".</t>
  </si>
  <si>
    <t xml:space="preserve">56.21</t>
  </si>
  <si>
    <t xml:space="preserve">56.8: "Two standard statistics, computed by hand"; "You've got it: compute … the KS statistic by hand"</t>
  </si>
  <si>
    <t xml:space="preserve">KS is never computed by hand; only stats.ks_2samp is used. The ECDF is not defined.</t>
  </si>
  <si>
    <t xml:space="preserve">Add a 5-line KS by hand: grid = np.sort(np.concatenate([a, b])); cdf_a = np.searchsorted(np.sort(a), grid, side="right") / len(a); the same for b; print(np.abs(cdf_a - cdf_b).max()). Show it matching ks_2samp(...).statistic for week 10 (0.270). Define "cumulative distribution" in one sentence with a 5-value example.</t>
  </si>
  <si>
    <t xml:space="preserve">56.22</t>
  </si>
  <si>
    <t xml:space="preserve">56.8: "run PSI on week 3 against weeks 0 to 7"; Ex 4: "the largest PSI among the stable weeks 0-7"</t>
  </si>
  <si>
    <t xml:space="preserve">The calibration method is in-sample. Weeks 0–7 are part of the reference, so their PSI is biased low, which understates the noise floor the text asks the reader to calibrate on.</t>
  </si>
  <si>
    <t xml:space="preserve">Calibrate out of sample: reference = weeks 0–5, then PSI for weeks 6 and 7; or leave-one-week-out (reference = the other 7 weeks). Re-run Ex 4 and report the new noise floor. Add one sentence on why a week must not be compared against a baseline that contains it.</t>
  </si>
  <si>
    <t xml:space="preserve">56.23</t>
  </si>
  <si>
    <t xml:space="preserve">56.8 PSI code and loop: from scipy import stats placed after a print</t>
  </si>
  <si>
    <t xml:space="preserve">Import mid-block. np.linspace, np.histogram(...)[0] (counts, edges) and labels=[0, 1] in confusion_matrix go unexplained (a week with no predicted defects would otherwise give a 1×1 matrix).</t>
  </si>
  <si>
    <t xml:space="preserve">Move the imports to the top of the cell. Add one line each on linspace(0, 1, 11) → 11 cut points, histogram returning counts first, and why labels=[0, 1] is needed.</t>
  </si>
  <si>
    <t xml:space="preserve">56.24</t>
  </si>
  <si>
    <t xml:space="preserve">56.5: "the model itself takes about 0.2 ms … round trip about 1.8 ms … 2.1 ms at the 95th percentile"</t>
  </si>
  <si>
    <t xml:space="preserve">These figures appear without the code that measured them, and the Recap cites them ("0.2 ms of a 1.8 ms request").</t>
  </si>
  <si>
    <t xml:space="preserve">Add a cell: time 200 client.post calls and 200 bare predict_proba calls with perf_counter, and print np.percentile(t, [50, 95]) for both. Say numbers vary by machine.</t>
  </si>
  <si>
    <t xml:space="preserve">56.25</t>
  </si>
  <si>
    <t xml:space="preserve">56.11 / Tools: "Containers and orchestration (Docker, Kubernetes) are how this runs at scale"</t>
  </si>
  <si>
    <t xml:space="preserve">Ch 52 taught Dockerfiles and Kubernetes manifests (read-only, no daemon), but this chapter never connects them to serve.py. The brief's check is whether the Docker/K8s usage relies on Ch 52: it relies on it implicitly, with no pointer and no example.</t>
  </si>
  <si>
    <t xml:space="preserve">Add an optional box "Packaging serve.py as a container (Chapter 52)": a 6-line Dockerfile (FROM python:3.12-slim, WORKDIR /app, COPY requirements.txt ., RUN pip install -r requirements.txt, COPY serve.py models/ ./, CMD ["uvicorn", "serve:app", "--host", "0.0.0.0", "--port", "8000"]), each line tied to Ch 52's explanation, plus the /health endpoint as the Kubernetes readiness probe. Mark it "read, or run if you have Docker".</t>
  </si>
  <si>
    <t xml:space="preserve">56.26</t>
  </si>
  <si>
    <t xml:space="preserve">56.11 level 3 "CI/CD for models"; stretch "Add a CI job (Chapter 32)"; Ex 9</t>
  </si>
  <si>
    <t xml:space="preserve">CI/CD is named but no pipeline is shown. Ex 9's script is good, but it is never wired into a workflow, and its output is not shown.</t>
  </si>
  <si>
    <t xml:space="preserve">In the Ex 9 answer, show its output (recall 0.950 (floor 0.9), false alarms 6, model defect-v1, exit 0). Add a 10-line GitHub Actions workflow (on push → setup-python → pip install -r requirements.txt → python ci_model_check.py), pointing back to Ch 26/32's workflow file.</t>
  </si>
  <si>
    <t xml:space="preserve">56.27</t>
  </si>
  <si>
    <t xml:space="preserve">Ex 6 answer: "permutation importance (Chapter 38)"</t>
  </si>
  <si>
    <t xml:space="preserve">Wrong ref: permutation importance is taught in Ch 39.</t>
  </si>
  <si>
    <t xml:space="preserve">Change to "Chapter 39".</t>
  </si>
  <si>
    <t xml:space="preserve">56.28</t>
  </si>
  <si>
    <t xml:space="preserve">Ex 12 answer: "load models/{version}.joblib … MODEL_VERSION=defect-v2"</t>
  </si>
  <si>
    <t xml:space="preserve">The file names don't match: the version is defect-v2 (hyphen) but the files are defect_v1.joblib (underscore), so the lookup fails.</t>
  </si>
  <si>
    <t xml:space="preserve">Use models/{version.replace('-', '_')}.joblib, or rename the files defect-v1.joblib. Show the 4-line loader with os.environ.get("MODEL_VERSION", "defect-v1").</t>
  </si>
  <si>
    <t xml:space="preserve">56.29</t>
  </si>
  <si>
    <t xml:space="preserve">56.1 output: "defect types seen: {'flash': 69, 'good': 10947, …}"</t>
  </si>
  <si>
    <t xml:space="preserve">The label says "defect types", but it includes 'good'.</t>
  </si>
  <si>
    <t xml:space="preserve">Change the print to "part types seen" or exclude 'good'.</t>
  </si>
  <si>
    <t xml:space="preserve">56.30</t>
  </si>
  <si>
    <t xml:space="preserve">56.8: "Recall falls by around 15 points"; Recap "fell 15 points"</t>
  </si>
  <si>
    <t xml:space="preserve">The table shows 0.98→0.81 (17 points) and 1.00→0.82 (18 points); the story says 0.98→0.81.</t>
  </si>
  <si>
    <t xml:space="preserve">Say "about 17 points (0.98 to 0.81)" everywhere.</t>
  </si>
  <si>
    <t xml:space="preserve">56.31</t>
  </si>
  <si>
    <t xml:space="preserve">Why this matters: "Chapter 8's analytics-engineer-to-ML-engineer path"</t>
  </si>
  <si>
    <t xml:space="preserve">Couldn't check (Part I isn't in the extract). Ch 8's tree may not name this path.</t>
  </si>
  <si>
    <t xml:space="preserve">The author should check that Ch 8 names this path; otherwise change it to "the ML-engineer branch of Chapter 8's career tree".</t>
  </si>
  <si>
    <t xml:space="preserve">56.32</t>
  </si>
  <si>
    <t xml:space="preserve">Answers header "(In the finished book these move to Appendix G.)"; Tools "and ch56_check.py"</t>
  </si>
  <si>
    <t xml:space="preserve">Drafting leftover, and a check script listed as a reader file.</t>
  </si>
  <si>
    <t xml:space="preserve">Delete the parenthetical. Remove ch56_check.py from the reader list, or describe what it does for the reader.</t>
  </si>
  <si>
    <t xml:space="preserve">56.33</t>
  </si>
  <si>
    <t xml:space="preserve">Glance: "track experiments so twelve runs can be compared"; 56.3 shows four</t>
  </si>
  <si>
    <t xml:space="preserve">Minor mismatch.</t>
  </si>
  <si>
    <t xml:space="preserve">"…so every run can be compared instead of remembered".</t>
  </si>
  <si>
    <t xml:space="preserve">V56.1</t>
  </si>
  <si>
    <t xml:space="preserve">p. 11–12 · Table under "56.7 Monitoring, in three layers" (Layer / Question / Signal / Delay)</t>
  </si>
  <si>
    <t xml:space="preserve">The table is broken. Only the header row prints (at the foot of p. 11). The rows appear on p. 12, after Figure 56.2, as a body-text paragraph: "| Service | is it up and fast? | uptime, error rate… | seconds | | Input | …". The Markdown source was not parsed as a table (probably a blank line or a missing delimiter row).</t>
  </si>
  <si>
    <t xml:space="preserve">Fix the table source so it renders as a 3-row table, and keep it with its heading.</t>
  </si>
  <si>
    <t xml:space="preserve">V56.2</t>
  </si>
  <si>
    <t xml:space="preserve">p. 8, 9 · Page breaks before code</t>
  </si>
  <si>
    <t xml:space="preserve">p. 8 ends at 73% with "…serve.py is the whole service:", and p. 9 ends at 73% with "…(Chapter 32):". Each code block jumps to the next page, leaving two quarter-empty pages in a row, each with a stranded lead-in.</t>
  </si>
  <si>
    <t xml:space="preserve">Allow the long code blocks to split, or keep the lead-in with the block.</t>
  </si>
  <si>
    <t xml:space="preserve">V56.3</t>
  </si>
  <si>
    <t xml:space="preserve">p. 5, 12, 14 · Figures 56.1–56.3</t>
  </si>
  <si>
    <t xml:space="preserve">Figure text is 5.2–5.7 pt. Fig 56.1's monospace box details ("hash 1e86c528", "96 kB") are 5.2 pt.</t>
  </si>
  <si>
    <t xml:space="preserve">Redraw at 7 pt or more.</t>
  </si>
  <si>
    <t xml:space="preserve">V56.4</t>
  </si>
  <si>
    <t xml:space="preserve">p. 16 · Code output "current (defect-v1) recent weeks…"</t>
  </si>
  <si>
    <t xml:space="preserve">Each result line wraps, and "check): recall 0.98, false alarms 10" lands at column 0. The two-row comparison that the next paragraph asks readers to read ("Read it as the shipping decision") is hard to line up.</t>
  </si>
  <si>
    <t xml:space="preserve">Print the recent and old weeks on separate lines, or shorten the labels.</t>
  </si>
  <si>
    <t xml:space="preserve">V56.5</t>
  </si>
  <si>
    <t xml:space="preserve">p. 23, 24 · Answers 1 and 4</t>
  </si>
  <si>
    <t xml:space="preserve">"1." (p. 23 foot) and "4." (p. 24 foot) are stranded; their code blocks start on the next page.</t>
  </si>
  <si>
    <t xml:space="preserve">V56.6</t>
  </si>
  <si>
    <t xml:space="preserve">"Draft chapter", "19 September 2026", and "12 Python outputs verified · 23 number checks" are visible.</t>
  </si>
  <si>
    <t xml:space="preserve">V56.7</t>
  </si>
  <si>
    <t xml:space="preserve">V56.8</t>
  </si>
  <si>
    <t xml:space="preserve">p. 7, 9, 15, 25 · Code blocks</t>
  </si>
  <si>
    <t xml:space="preserve">Code lines wrap to column 0 with no marker (ASC"]), metadata["threshold"]}, {alarms_old:&gt;3}"), ['version']}")).</t>
  </si>
  <si>
    <t xml:space="preserve">Hard-wrap with a hanging indent, or add a continuation marker.</t>
  </si>
  <si>
    <t xml:space="preserve">V56.9</t>
  </si>
  <si>
    <t xml:space="preserve">p. 14 · Text after Figure 56.3</t>
  </si>
  <si>
    <t xml:space="preserve">"This table is the most useful thing in the chapter…" follows the figure, but it refers to the code-output table above the figure.</t>
  </si>
  <si>
    <t xml:space="preserve">Say "The table above the figure…", or move the sentence before the figure.</t>
  </si>
  <si>
    <t xml:space="preserve">V56.10</t>
  </si>
  <si>
    <t xml:space="preserve">p. 14 · Figure 56.3</t>
  </si>
  <si>
    <t xml:space="preserve">The recall axis starts at 0.8, which exaggerates the week-16 drop. The axis values are shown, so this is not misleading, only emphatic.</t>
  </si>
  <si>
    <t xml:space="preserve">Start at 0.7, or note the truncated axis.</t>
  </si>
  <si>
    <t xml:space="preserve">V56.11</t>
  </si>
  <si>
    <t xml:space="preserve">p. 21 · "Practice exercises"</t>
  </si>
  <si>
    <t xml:space="preserve">The heading and its one-line intro sit at the foot of p. 21; Warm-up starts p. 22.</t>
  </si>
  <si>
    <t xml:space="preserve">Keep the heading with the first subsection.</t>
  </si>
  <si>
    <t xml:space="preserve">V56.12</t>
  </si>
  <si>
    <t xml:space="preserve">p. 22 · Exercises</t>
  </si>
  <si>
    <t xml:space="preserve">V56.13</t>
  </si>
  <si>
    <t xml:space="preserve">"(In the finished book these move to Appendix G.)" is visible.</t>
  </si>
  <si>
    <t xml:space="preserve">V56.14</t>
  </si>
  <si>
    <t xml:space="preserve">p. 16, 26 · ₹</t>
  </si>
  <si>
    <t xml:space="preserve">V56.15</t>
  </si>
  <si>
    <t xml:space="preserve">The accent rule overlaps "GENERATIVE" in the kicker.</t>
  </si>
  <si>
    <t xml:space="preserve">Reposition the rule.</t>
  </si>
  <si>
    <t xml:space="preserve">57.1</t>
  </si>
  <si>
    <t xml:space="preserve">§57.2 from pipeline import PROMPTS, evaluate; "PROMPTS is a dictionary of version string to template"</t>
  </si>
  <si>
    <t xml:space="preserve">The prompt registry — the chapter's first key term — is never shown. PROMPTS is imported and not even used in the cell; the reader never sees v1, v2 or v3, never sees what changed between them, and the registry table (version, text, model and settings, score, date and author, status) has no implementation at all: the "registry" in code is a bare dict of templates. evaluate is also a black box (what does it compare? what is exact? of?).</t>
  </si>
  <si>
    <t xml:space="preserve">Add three cells before the scoring loop. (1) Show the registry as data, e.g. PROMPTS = {"v1": {"text": "...", "model": "v1", "temperature": 0, "score": None, "author": "Meera", "date": "2026-02-10", "status": "retired"}, ...} with all three texts printed in full (or v1 in full and v2/v3 as a diff: "v2 adds: reply with JSON only, keys po_number, customer, delivery_date, items; date as YYYY-MM-DD; null if missing"; "v3 adds: one worked example with two items on a line"). Say explicitly "v1, v2, v3 are Chapter 54's naive, with-instructions and plus-one-example prompts" (see 57.3). (2) Show evaluate's 10–15 lines: loop over the 60 emails, call(...), parse(...), compare the four fields with the truth (as Ch 54 §54.6 did), count exact, unparseable, return a dict; explain each key. (3) Then the loop, and a last cell that writes the scores back into the registry (PROMPTS[v]["score"] = result["accuracy"]) so the table's "Golden-set score" column is real. Alternatively present the registry as a YAML file (prompts.yaml) loaded with yaml.safe_load, since §Tools recommends "A YAML file in Git".</t>
  </si>
  <si>
    <t xml:space="preserve">57.2</t>
  </si>
  <si>
    <t xml:space="preserve">§57.5 from provider import Meter; §57.6 from pipeline import Cache; §57.8 call, RateLimitError, ProviderTimeout</t>
  </si>
  <si>
    <t xml:space="preserve">The meter, the cache and the failing provider — the three things the chapter tells the reader to build ("Every call goes through one function, and that function counts") — are all imported, never built. meter.cost_rupees() hides the price table and the currency conversion; cache.get_or_call hides the key and the hit/miss counting; call(..., failure_rate=0.2) hides how failures are simulated (and answer 8 reveals they are deterministic per prompt). The project then asks the reader to "Add a meter" and "Add an exact-match cache" having never seen one.</t>
  </si>
  <si>
    <t xml:space="preserve">Build each in the chapter, one small cell at a time, with output: (a) class Meter (≈15 lines): PRICES = {"v1": (2.00, 10.00), "v2": (2.00, 10.00), "small": (0.75, 3.75)}  # $ per million tokens, Chapter 54's workhorse and volume tiers, USD_TO_INR = 88, record(model, tokens_in, tokens_out), cost_rupees(); run it on one call and print the three numbers. (b) class Cache (≈12 lines): key = hashlib.sha256(prompt.encode()).hexdigest(), a dict, hits/misses, hit_rate property; demonstrate a miss then a hit on the same prompt, then a miss on the prompt plus one space (the "one extra space is a miss" row). (c) The stand-in call() and the two exception classes in 6–8 lines, stating plainly that failures are deterministic per prompt so results are reproducible (currently only disclosed in answer 8). Keep them in provider.py/pipeline.py afterwards, but the reader must have seen them written.</t>
  </si>
  <si>
    <t xml:space="preserve">57.3</t>
  </si>
  <si>
    <t xml:space="preserve">§57.2 output "prompt v1: 21 of 60 correct (35%), 4 unparseable"; Recap "21 → 35 → 47"</t>
  </si>
  <si>
    <t xml:space="preserve">Contradicts Chapter 54, which the chapter says these prompts come from: Ch 54 §54.6 and Figure 54.x "naive 12 of 60 emails fully correct … 4 unparseable". v2 = 35 and v3 = 47 match. The likely cause is that evaluate here parses tolerantly by default (normalising dd-mm-yyyy dates lifts the naive prompt from 12 to 21), but the chapter never says so, and a reader who did Ch 54 sees two different scores for the same prompt.</t>
  </si>
  <si>
    <t xml:space="preserve">Either (a) make evaluate default to tolerant=False in §57.2–57.3 so v1 prints 12 of 60 as in Ch 54, and introduce tolerance only in §57.4; or (b) keep 21 and add one sentence under the output: "v1 scores 21 here, not Chapter 54's 12, because this chapter's evaluate already uses the tolerant parser from section 57.4, which rescues nine of the naive prompt's replies by fixing their dates. That is a preview of section 57.4's lesson." Option (a) is cleaner and keeps the Recap's story ("12 → 35 → 47"). Update Recap and answer 1 accordingly (v1: 12/60, 12/4.94 = 2.4 correct per rupee).</t>
  </si>
  <si>
    <t xml:space="preserve">57.4</t>
  </si>
  <si>
    <t xml:space="preserve">§57.3 "at Chapter 54's workhorse prices, roughly ₹4.74"; §57.5 "Rs 4.74"</t>
  </si>
  <si>
    <t xml:space="preserve">Ch 54 prices are in dollars ($2 / $10 per million tokens). The rupee figure requires an exchange rate the book never states: 11,006 × $2/M + 3,184 × $10/M = $0.0539 → ₹4.74 only at ≈₹88 per dollar. The reader cannot reproduce the chapter's headline cost number.</t>
  </si>
  <si>
    <t xml:space="preserve">State the conversion where the rupee figure first appears: "At Chapter 54's workhorse prices ($2 per million input tokens, $10 per million output) and ₹88 to the dollar: 11,006 × 2 ÷ 1,000,000 = $0.022 input, 3,184 × 10 ÷ 1,000,000 = $0.032 output, $0.054 in all, about ₹4.74." Show it as a three-line hand calculation before the Meter cell, then let the Meter reproduce it. Put USD_TO_INR = 88 in the Meter (57.2).</t>
  </si>
  <si>
    <t xml:space="preserve">57.5</t>
  </si>
  <si>
    <t xml:space="preserve">§57.4 evaluate("v3", model="v2", tolerant=False)</t>
  </si>
  <si>
    <t xml:space="preserve">Prompt versions and model versions share the same labels (v1, v2, v3 vs model v1, v2). evaluate("v3", model="v2") reads as "prompt 3 with prompt 2". A beginner will confuse "model v2" with "prompt v2" throughout §57.4, Figure 57.1, answers 2 and 5 and the audit line "prompt v3, model v1" in Ch 58.</t>
  </si>
  <si>
    <t xml:space="preserve">Rename the model versions to something unmistakable, e.g. model="workhorse-2026-03" (pinned) and model="workhorse-2026-06" (the silent update), or at least m1/m2. Update §57.4 code and output, Figure 57.1 labels, §57.6/57.8 calls (model="v1"), exercises 2 and 5, answer 5 (MODEL = ... "v1"), and Ch 58's audit output. Add one sentence: "Prompt versions are ours; model versions are the provider's."</t>
  </si>
  <si>
    <t xml:space="preserve">57.6</t>
  </si>
  <si>
    <t xml:space="preserve">§57.4 parse: reply.split("json")[-1].split("")[0] if "" in reply else reply</t>
  </si>
  <si>
    <t xml:space="preserve">Bug. If a model wraps JSON in an untagged fence (   with no json), split("json")[-1] returns the whole reply and .split("")[0] returns the text *before* the first fence (the chat preamble, or ""), so json.loads fails and the reply is counted unparseable. Verified: parse('Here it is:\n\n{"a":1}\n') → None; parse('\n{"a":1}\n') → None. The Line-by-line claims fence stripping "absorbs the two most common formatting habits".</t>
  </si>
  <si>
    <t xml:space="preserve">Replace the line with a regex that accepts both: match = re.search(r"(?:json)?\s*(.*?)", reply, re.DOTALL) / text = match.group(1) if match else reply. Explain each piece ((?:json)? optional tag, .*? shortest match, re.DOTALL lets . cross newlines, group(1) the part in brackets). Add both fence styles to the golden set / unit tests (answer 7's table-of-cases habit). Note the same line is in Ch 54's parser; fix it there too.</t>
  </si>
  <si>
    <t xml:space="preserve">57.7</t>
  </si>
  <si>
    <t xml:space="preserve">§57.4 parse: comment stripping if not line.strip().startswith("//")</t>
  </si>
  <si>
    <t xml:space="preserve">Only whole-line // comments are removed. A model that comments at the end of a line ("quantity": 20, // twenty cartons) still breaks json.loads; the text says the new model "comments its answers" without saying which kind. Also order["delivery_date"] = normalize_date(order.get(...)) inserts a delivery_date: None key when it was missing, and a JSON array reply ([...]) raises AttributeError on .get — a crash, contradicting "a bad reply is a countable event instead of a crash". Verified both.</t>
  </si>
  <si>
    <t xml:space="preserve">Say explicitly: "the new version puts each comment on its own line"; add a note that trailing comments need a different fix (and are why many teams ask for JSON mode / structured output from Ch 54 instead). Guard the date step: if tolerant and isinstance(order, dict) and "delivery_date" in order:; and after json.loads add if not isinstance(order, dict): return None. Explain each guard in the Line-by-line.</t>
  </si>
  <si>
    <t xml:space="preserve">57.8</t>
  </si>
  <si>
    <t xml:space="preserve">§57.4 parse and normalize_date: import json, re not shown; regex r"(\d{2})-(\d{2})-(\d{4})", match.group(3)</t>
  </si>
  <si>
    <t xml:space="preserve">The function block has no imports and no run; re.fullmatch, capture groups and group(n) are used for the first time in Python (Ch 14 taught regex in SQL; Ch 54/55 used .group(1) without explanation). The Line-by-line explains purpose, not syntax. No output is shown for either function. Also dd-mm-yyyy vs mm-dd-yyyy ambiguity is not mentioned.</t>
  </si>
  <si>
    <t xml:space="preserve">Split into cells: (1) import json, re; (2) normalize_date alone, then run it on "2026-03-04", "04-03-2026", "4 March" and print the three results; explain \d{4}, fullmatch vs search, the brackets as groups, group(3)-group(2)-group(1) reordering, and why a non-match is returned unchanged ("so the validator in Chapter 54 §54.7 rejects it with a reason"). Add one sentence: "04-03-2026 is read as 4 March because Riverstone's customers write day first; a US customer's 03-04-2026 would be read wrongly, which is why the validator's plausible-date window still matters." (3) parse, run on three replies: clean JSON, fenced with a comment line, garbage; show the three outputs.</t>
  </si>
  <si>
    <t xml:space="preserve">57.9</t>
  </si>
  <si>
    <t xml:space="preserve">§57.4 code (lines 111–118) uses tolerant=True/False before parse is shown (lines 137–157)</t>
  </si>
  <si>
    <t xml:space="preserve">In-chapter ordering: the reader sees the tolerant-parser result, then the figure, then the function that defines "tolerant".</t>
  </si>
  <si>
    <t xml:space="preserve">Reorder: show the failing run (tolerant=False, 0 of 60) and a sample of the new model's raw reply (print one: fenced, comment line, dd-mm-yyyy date) so the reader *sees* what changed; then build parse/normalize_date; then rerun with tolerant=True (47 of 60) and the pinned comparison.</t>
  </si>
  <si>
    <t xml:space="preserve">57.10</t>
  </si>
  <si>
    <t xml:space="preserve">§57.3 FLOOR = 0.70</t>
  </si>
  <si>
    <t xml:space="preserve">The floor is asserted, not derived. Why 70% when v3 scores 78%? What happens when the next prompt scores 72% (a real regression that passes)? The reader has nothing to choose their own floor with in project step 2.</t>
  </si>
  <si>
    <t xml:space="preserve">Add two sentences: "Set the floor a little below the live version's score, so noise doesn't fail the build but a real regression does: v3 scores 47 of 60 (78%); 70% is 42 of 60, i.e. five emails of slack. Better still, fail the build if the score drops by more than N emails from the last release (a relative floor), and raise the floor each time the live score rises." Optionally show assert result["exact"] &gt;= 42.</t>
  </si>
  <si>
    <t xml:space="preserve">57.11</t>
  </si>
  <si>
    <t xml:space="preserve">§57.3 "Chapter 55 built the evaluation set; here it becomes a gate."</t>
  </si>
  <si>
    <t xml:space="preserve">The 60-email extraction golden set scored here was built in Chapter 54 §54.6 (Meera's evaluation set). Chapter 55 built the support assistant's 65-question set.</t>
  </si>
  <si>
    <t xml:space="preserve">"Chapter 54 built this evaluation set (60 emails with correct answers) and Chapter 55 built a second one for the assistant; here the first becomes a gate."</t>
  </si>
  <si>
    <t xml:space="preserve">57.12</t>
  </si>
  <si>
    <t xml:space="preserve">§57.3 "under a rupee for a ten-email smoke test"</t>
  </si>
  <si>
    <t xml:space="preserve">"Smoke test" is not defined anywhere in the book.</t>
  </si>
  <si>
    <t xml:space="preserve">"…under a rupee for a ten-email smoke test (a quick run on a few cases that only checks nothing is badly broken)."</t>
  </si>
  <si>
    <t xml:space="preserve">57.13</t>
  </si>
  <si>
    <t xml:space="preserve">§57.5 "month-end 120 emails: Rs 9.48 a day, about Rs 284 a month"</t>
  </si>
  <si>
    <t xml:space="preserve">Multiplies a month-end day by 30 days, as if every day were month-end; and the pipeline runs on weekdays (real-world story: "06:00 every weekday"), so ×30 also overstates a normal month. Ch 54's own sizing used "20 to 40 a day". The projection shown is a ceiling, labelled as a forecast.</t>
  </si>
  <si>
    <t xml:space="preserve">Replace the two-row loop with a realistic month: 22 working days, of which 3 are month-end: normal_days, month_end_days = 19, 3; cost = per_email × (40 × 19 + 120 × 3) = 0.079 × 1,120 = ₹88.5 a month. Keep the 120 × 30 row only as "worst case if every day were month-end: ₹284". Explain the difference in one sentence. Update exercise 3/answer 3 wording ("month-end volume … a month") to use the same definition.</t>
  </si>
  <si>
    <t xml:space="preserve">57.14</t>
  </si>
  <si>
    <t xml:space="preserve">§57.5 "11,006 input tokens" (≈183 per email)</t>
  </si>
  <si>
    <t xml:space="preserve">Inconsistent with Chapter 54, which sized the same call at "about 220 prompt tokens + 80 email tokens in, and about 120 tokens out" (Ch 54 answer 13). Prompt v3 contains an extra worked example, so it should be longer than 300, not 183; output is 53 per email here vs 120 there. Ch 54 projected $2.16/month (≈₹190) for 1,200 calls; Ch 57 projects ₹95.</t>
  </si>
  <si>
    <t xml:space="preserve">Either make the stand-in's token counter match Ch 54's estimate (≈300–350 in, ≈60–120 out) and regenerate the outputs, or add a line: "Chapter 54's estimate of about 300 input tokens was a rule of thumb (characters ÷ 4); the meter counts the stand-in's real tokenizer, which is why measured cost is about half the estimate. Always prefer the meter."</t>
  </si>
  <si>
    <t xml:space="preserve">57.15</t>
  </si>
  <si>
    <t xml:space="preserve">§57.6 traffic rng.choice(names[:20]); "45% of requests concern the twenty most active customers … a mild version of what real inboxes look like"; Recap "81% hit rate … on a realistic day"</t>
  </si>
  <si>
    <t xml:space="preserve">The simulation sends 300 requests drawn from only 60 distinct emails, so at most 60 can ever miss: the hit rate is ≥80% whatever the mix (answer 4 admits this: 10% repeats still gives 80%). names are *emails*, not customers, so "the twenty most active customers" means the same 20 emails resent ~5 times each — not how inboxes look. §57.5 says a normal day is 40 emails. Presenting 81% as "realistic" and "the cheapest win" in the Recap overstates what exact-match caching does for order extraction, where a genuinely new email never hits.</t>
  </si>
  <si>
    <t xml:space="preserve">Rewrite the simulation to be honest: build a day of 40 *new* emails plus resends/retries, e.g. traffic = new_emails + [rng.choice(new_emails) for _ in range(8)] (a 20% resend/retry rate), and report that hit rate (≈17%). Then show the support-questions case, where repetition is real (use Ch 55's question stream with repeats), for the higher hit rate. Move answer 4's caveat into the main text: "hit rate depends entirely on how much your traffic repeats; measure it on your own logs." Change Figure 57.2 and Recap from "81% on a realistic day" to the corrected numbers, and label the 300-request run "a retry storm" if kept.</t>
  </si>
  <si>
    <t xml:space="preserve">57.16</t>
  </si>
  <si>
    <t xml:space="preserve">§57.6 PROMPTS["v3"].format(name=name) + "\nEMAIL:\n" + emails[name]</t>
  </si>
  <si>
    <t xml:space="preserve">Unexplained: why does the prompt template take the email's *name* as a parameter, and how is the email appended? The same expression is repeated in four cells.</t>
  </si>
  <si>
    <t xml:space="preserve">After showing the registry (57.1), explain the template's {name} placeholder (or remove it if it only helps the stand-in), and introduce a helper once: def build_prompt(version, name): return PROMPTS[version]["text"].format(name=name) + "\nEMAIL:\n" + emails[name], then use build_prompt("v3", name) everywhere. Explain .format and \n.</t>
  </si>
  <si>
    <t xml:space="preserve">57.17</t>
  </si>
  <si>
    <t xml:space="preserve">§57.8 call(prompt + " ", model=fallback_model, …)</t>
  </si>
  <si>
    <t xml:space="preserve">The fallback appends a space to the prompt with no explanation. It only exists so the deterministic stand-in "fails" differently for the fallback — a simulation artefact that looks like a meaningful trick, and would silently defeat an exact-match cache in real code.</t>
  </si>
  <si>
    <t xml:space="preserve">Remove the + " " and make the stand-in's failure depend on (prompt, model); or keep it and comment it: # + " " only makes the offline stand-in draw a different failure; a real call would not need it.</t>
  </si>
  <si>
    <t xml:space="preserve">57.18</t>
  </si>
  <si>
    <t xml:space="preserve">§57.8 time.sleep(0.001 * 2  attempt); comment "# a timeout twice is a slow prompt, not bad luck"</t>
  </si>
  <si>
    <t xml:space="preserve">(a) A 1–4 millisecond backoff is not what a reader should copy; real backoff is seconds (Ch 29 used 0.5 s, 1 s, 2 s). (b) The comment says "twice" but the code breaks on the *first* timeout. (c) After the last failed attempt the loop still sleeps. (d) Imports (time, call, RateLimitError, ProviderTimeout) not shown. (e) The docstring's "pinned model" is hard-coded as model="v1".</t>
  </si>
  <si>
    <t xml:space="preserve">time.sleep(0.5 * 2  attempt)  # 0.5 s, 1 s, 2 s as in Chapter 29; the companion shortens it to milliseconds so the run is quick. Change the comment to "# one timeout: the prompt is slow, not unlucky; don't wait again". Add the import line. Pass model=PINNED_MODEL from config (ties to playbook step 1). Explain 2  attempt (0,1,2 → 1,2,4) and except (A, B): tuple syntax.</t>
  </si>
  <si>
    <t xml:space="preserve">57.19</t>
  </si>
  <si>
    <t xml:space="preserve">§57.8 second cell output "provider errors encountered: 29"</t>
  </si>
  <si>
    <t xml:space="preserve">The 29 is unexplainable from what is shown: 12 emails fail on the primary but 29 errors are counted. It only reconciles once you know failures are deterministic per prompt and that 7 prompts rate-limit (3 attempts each = 21), 5 time out (1 each = 5) and 3 fallbacks fail (3): 21 + 5 + 3 = 29 (and answer 8's 15/29/43 confirm this). The reader should be able to do this arithmetic.</t>
  </si>
  <si>
    <t xml:space="preserve">Add one line after the output: "Twelve emails failed on the primary: seven rate-limited three times each (21 errors), five timed out once (5); the fallback then failed on three (3). 21 + 5 + 3 = 29." Also print a per-error-type count from the meter.</t>
  </si>
  <si>
    <t xml:space="preserve">57.20</t>
  </si>
  <si>
    <t xml:space="preserve">§57.9 code os.chdir("../ch55") … os.chdir("../ch57"); sys.path.insert(0, os.path.abspath(...))</t>
  </si>
  <si>
    <t xml:space="preserve">Directory juggling with relative paths is never explained, is fragile (an exception leaves the kernel in the wrong folder), and is a pattern the reader should not learn. Line-by-line skips all six setup lines. r["score"] is described as "the retrieval confidence from Chapter 55", but Ch 55 never shows a score key (its code uses grounded, source, answer).</t>
  </si>
  <si>
    <t xml:space="preserve">Replace with a single, explained setup: from pathlib import Path; CH55 = Path("../ch55").resolve(); sys.path.insert(0, str(CH55)) (explain: "lets Python find assistant.py in the Chapter 55 folder"); and have SupportAssistant(corpus_dir=CH55 / "corpus") take its data path instead of relying on the working directory. If the assistant must run from its folder, use try: … finally: os.chdir(...). State once which keys assistant.answer returns (grounded, score, source, answer) and add score to Ch 55's explanation. Split into two cells: (1) build the stream and print week 1's first three questions; (2) the weekly loop. Explain the list comprehension [q for q in stream if q["week"] == week] and sum(1 for …).</t>
  </si>
  <si>
    <t xml:space="preserve">57.21</t>
  </si>
  <si>
    <t xml:space="preserve">§57.9 table "Escalation rate … Blind to: nothing, and it is the best single number"</t>
  </si>
  <si>
    <t xml:space="preserve">Overclaim that contradicts Chapter 54's central warning ("validation is not accuracy … a dozen orders that are well-formed, plausible, and wrong") and Chapter 58's 19% silent error rate: escalation only counts failures the pipeline *noticed*. It is blind to confidently wrong outputs that pass validation.</t>
  </si>
  <si>
    <t xml:space="preserve">Change the "Blind to" cell to: "wrong answers that pass validation (Chapter 54's dozen plausible, wrong orders)". Change "nothing, and it is the best single number you have" to "…the best single number you have for failures the system can see".</t>
  </si>
  <si>
    <t xml:space="preserve">57.22</t>
  </si>
  <si>
    <t xml:space="preserve">§57.9 "Chapter 56's three layers still apply, and the fourth one, outcome, is the problem"</t>
  </si>
  <si>
    <t xml:space="preserve">Chapter 56's heading says "three layers" but its figure shows four (service, input, output, outcome); this sentence inherits the muddle ("three … and the fourth").</t>
  </si>
  <si>
    <t xml:space="preserve">"Chapter 56's four monitoring layers still apply (service, input, output, outcome), and the fourth, outcome, is the problem…". Flag Ch 56 §56.7's heading "Monitoring, in three layers" for the same fix.</t>
  </si>
  <si>
    <t xml:space="preserve">57.23</t>
  </si>
  <si>
    <t xml:space="preserve">§57.10 "What to log for every request, and nothing more: … A hash of the user's text, not the text"; then "full text kept for 30 days"</t>
  </si>
  <si>
    <t xml:space="preserve">Internal contradiction: the log spec says hash-not-text and "nothing more", two paragraphs later Riverstone keeps full text for 30 days. "Hash" is also used without a one-line reminder, and hashes of short, guessable text (phone numbers, order ids) can be reversed by trying candidates.</t>
  </si>
  <si>
    <t xml:space="preserve">Change the table row to "A hash of the user's text (and the text itself only under a stated retention rule, below)". Add: "a hash is a fixed-length fingerprint of the text (Chapter 33); the same text always gives the same hash, so repeats can be counted without keeping the words. Short, guessable values like phone numbers can be recovered by hashing every candidate, so strip them first."</t>
  </si>
  <si>
    <t xml:space="preserve">57.24</t>
  </si>
  <si>
    <t xml:space="preserve">In the real world: "reports success, and loads nothing. Nobody notices until 11:00" vs "The pipeline failed loudly. Every email went to the exception queue"</t>
  </si>
  <si>
    <t xml:space="preserve">Contradiction within the story: a run that "reports success" did not fail loudly. Chapter 58 §58.6 then says a systemic failure (its example is exactly "60 of 60 unparseable, Chapter 57's provider change") should *stop the run and alert*, which this pipeline did not do.</t>
  </si>
  <si>
    <t xml:space="preserve">Rewrite: "It runs, exits with status 0, and loads nothing: every one of the 60 emails went to the exception queue with the reason 'unparseable reply'. Nothing wrong reached the ERP, which is the failure mode that would have cost real money; but the run itself should have failed, and nobody saw the alert until 11:00." Add a fourth process lesson: "a run with more than 20% unparseable must exit non-zero (the batch circuit breaker Chapter 58 adds)". Change "Two things went right" accordingly.</t>
  </si>
  <si>
    <t xml:space="preserve">57.25</t>
  </si>
  <si>
    <t xml:space="preserve">In the real world: "We now pin the model version"</t>
  </si>
  <si>
    <t xml:space="preserve">Contradicts Chapter 54's real-world story, where two months after launch "the provider ships a new model version under the same name. The evaluation runs … Meera pins the previous version". Ch 57's incident only makes sense if the model was not pinned. Also "the two process fixes took ten" while three process failures are listed.</t>
  </si>
  <si>
    <t xml:space="preserve">Either change Ch 54's story to "Meera reverts to the previous prompt" (no pinning yet), or make Ch 57's cause "the provider retired the pinned version and the fallback alias pointed at the new one". And change "the two process fixes took ten" → "the three process fixes (re-enable the nightly run, subscribe to the changelog, route the alert to a phone) took ten minutes".</t>
  </si>
  <si>
    <t xml:space="preserve">57.26</t>
  </si>
  <si>
    <t xml:space="preserve">In the real world: "60 emails read, 60 unparseable"</t>
  </si>
  <si>
    <t xml:space="preserve">60 is the golden-set size, not a Monday's volume (Ch 54: 20–40 a day; §57.5: 40 a normal day). Readers will think the production run is the golden set.</t>
  </si>
  <si>
    <t xml:space="preserve">"52 emails read (a Monday, with the weekend's orders), 52 unparseable, 0 loaded", or explicitly "the weekend's 60 emails".</t>
  </si>
  <si>
    <t xml:space="preserve">57.27</t>
  </si>
  <si>
    <t xml:space="preserve">§57.11 "a golden set that started at 30 cases and holds 120"</t>
  </si>
  <si>
    <t xml:space="preserve">The chapter's golden sets are 60 emails (extraction) and 65 questions (Ch 55's assistant). "Started at 30" matches neither.</t>
  </si>
  <si>
    <t xml:space="preserve">"…a golden set that started at Chapter 55's 65 questions and holds 180…" (or for extraction: "started at 60 emails and holds 150").</t>
  </si>
  <si>
    <t xml:space="preserve">57.28</t>
  </si>
  <si>
    <t xml:space="preserve">Where this leads: "Chapter 74, Machine Learning &amp; AI Question Bank … 'how would you know the provider changed the model?'"</t>
  </si>
  <si>
    <t xml:space="preserve">Wrong chapter and a question that does not exist. Ch 74 is the Machine Learning Question Bank; the LLMOps questions are in Ch 79 "GenAI, LLM &amp; MLOps Question Bank" §79.7 (e.g. Q79-033 on LLM cost). No bank contains "how would you know the provider changed the model?".</t>
  </si>
  <si>
    <t xml:space="preserve">"Chapter 79, GenAI, LLM &amp; MLOps Question Bank (section 79.7), has the interview questions on LLM cost, caching and evaluation." Or add the provider-change question to §79.7 and cite it by number.</t>
  </si>
  <si>
    <t xml:space="preserve">57.29</t>
  </si>
  <si>
    <t xml:space="preserve">Where this leads: "Chapter 64, Responsible AI &amp; Governance"</t>
  </si>
  <si>
    <t xml:space="preserve">Ch 64's title is "Security, Privacy, Governance &amp; Responsible AI".</t>
  </si>
  <si>
    <t xml:space="preserve">57.30</t>
  </si>
  <si>
    <t xml:space="preserve">Answer 1: "The longest prompt is both the most accurate and, per correct extraction, the best value: the extra tokens of the example cost far less…"; "(section 57.5 has the right order)"</t>
  </si>
  <si>
    <t xml:space="preserve">v3 is *cheaper* per run (₹4.74) than v1 (₹4.94), so the "extra tokens cost less than the errors they prevent" argument does not describe these numbers; the saving comes from shorter, cleaner output (v1 chats; output is 5× the price). And §57.5's table is ordered by "how often it surprises people", not by lever; the lever order is in answer 17.</t>
  </si>
  <si>
    <t xml:space="preserve">"v3 is the most accurate and, surprisingly, cheaper than v1: its example makes the model reply with bare JSON, and output tokens cost five times input, so fewer words out outweigh the extra words in. That is why 'shorten the prompt to save money' is the wrong first lever (answer 17 gives the right order)." Update if 57.3 changes v1's score.</t>
  </si>
  <si>
    <t xml:space="preserve">57.31</t>
  </si>
  <si>
    <t xml:space="preserve">Answer 3 "the human exception queue costs more than every tier"</t>
  </si>
  <si>
    <t xml:space="preserve">No number is given for the queue's cost, so the "interesting conclusion" is asserted.</t>
  </si>
  <si>
    <t xml:space="preserve">Add: "nine exception emails a day (Chapter 54) × 2 minutes × ₹300 an hour (Chapter 58's rate) ≈ ₹90 a day, ₹2,000 a month — more than the frontier tier's ₹1,422." Also show the per-tier numbers: workhorse ₹0.079, strong ≈₹0.16–0.20, frontier ≈₹0.40, volume ≈₹0.03 per email.</t>
  </si>
  <si>
    <t xml:space="preserve">57.32</t>
  </si>
  <si>
    <t xml:space="preserve">Tools "Python 3.12, NumPy, scikit-learn: everything runnable here"</t>
  </si>
  <si>
    <t xml:space="preserve">Nothing in the chapter's code uses NumPy or scikit-learn directly (only Chapter 55's assistant does, indirectly). The chapter also needs hashlib/re/json/random/time from the standard library, and (per 57.20) access to the Ch 55 folder.</t>
  </si>
  <si>
    <t xml:space="preserve">"Python 3.12 (standard library only for this chapter's code); Chapter 55's assistant, which uses NumPy and scikit-learn, for section 57.9."</t>
  </si>
  <si>
    <t xml:space="preserve">57.33</t>
  </si>
  <si>
    <t xml:space="preserve">Answers heading "(In the finished book these move to Appendix G.)"; companion list "…and ch57_check.py"; "Work in companion/ch57" vs "Companion files in ch57/"</t>
  </si>
  <si>
    <t xml:space="preserve">Drafting leftover; a build-check script listed as a reader file; two different names for the companion folder.</t>
  </si>
  <si>
    <t xml:space="preserve">Delete the parenthetical (move answers per the book-wide decision). Either explain ch57_check.py ("runs every code cell in this chapter and checks its printed output — run it if your numbers differ from the book's") or drop it from the list. Use one folder name, companion/ch57/, everywhere.</t>
  </si>
  <si>
    <t xml:space="preserve">57.34</t>
  </si>
  <si>
    <t xml:space="preserve">§57.7 "Stream anything a human waits for"; "time to first token"; "regional endpoint, and keep connections alive"; §Tools "OpenTelemetry … distributed trace"</t>
  </si>
  <si>
    <t xml:space="preserve">Several terms new to the book with no gloss: streaming (for model output), time to first token, regional endpoint, keep-alive connections, trace/distributed trace, floating alias (used in the playbook before the mistakes table explains it).</t>
  </si>
  <si>
    <t xml:space="preserve">One clause each at first use: "streaming: the provider sends the answer word by word as it is generated, so the user starts reading at once"; "time to first token: how long until the first word arrives"; "regional endpoint: the provider's servers nearest you (e.g. Mumbai rather than Virginia)"; "keep connections alive: reuse one network connection instead of opening a new one per call (Chapter 29's session)"; "floating alias: a model name like workhorse-latest that the provider re-points to new versions"; "trace: one record following a request through every step, with timings".</t>
  </si>
  <si>
    <t xml:space="preserve">57.35</t>
  </si>
  <si>
    <t xml:space="preserve">Recap "refusal rate went from 15% to 42% over four weeks"</t>
  </si>
  <si>
    <t xml:space="preserve">Week 4 (15%) to week 7 (42%) is three weeks; week 1 to week 7 is six.</t>
  </si>
  <si>
    <t xml:space="preserve">"…from about 15% in weeks 1–4 to 42% by week 7".</t>
  </si>
  <si>
    <t xml:space="preserve">V57.1</t>
  </si>
  <si>
    <t xml:space="preserve">p. 6 · Figure 57.1 (provider changed the model)</t>
  </si>
  <si>
    <t xml:space="preserve">The right-hand annotation column is clipped at the frame: "every reply unparseable: nothing…", "strip comments, normalize the da…". Text is 5.4–6.6 pt.</t>
  </si>
  <si>
    <t xml:space="preserve">Wrap the notes inside the frame or shorten them; redraw at 7 pt or more.</t>
  </si>
  <si>
    <t xml:space="preserve">V57.2</t>
  </si>
  <si>
    <t xml:space="preserve">p. 13 · Figure 57.3 (refusal rate vs confidence)</t>
  </si>
  <si>
    <t xml:space="preserve">Both series share one 0–50% axis. Mean retrieval confidence (0.58 → 0.45 in the text) is drawn as a dashed line that falls from about 37% to about 10%, with no second axis or scale note. The fall looks far steeper than it is. Text is 5.2–5.7 pt.</t>
  </si>
  <si>
    <t xml:space="preserve">Add a right-hand axis for confidence (0–1), or plot it in a separate small panel.</t>
  </si>
  <si>
    <t xml:space="preserve">V57.3</t>
  </si>
  <si>
    <t xml:space="preserve">p. 9 · Figure 57.2 (caching / fallback panels)</t>
  </si>
  <si>
    <t xml:space="preserve">In the right panel, the summary "95% of emails served through / 29 provider errors." runs out of the bottom of the panel border. The "Rs 4.52" label straddles the end of its short bar, half white-on-green and half on grey.</t>
  </si>
  <si>
    <t xml:space="preserve">Enlarge the panel, or move the summary inside; put value labels outside short bars.</t>
  </si>
  <si>
    <t xml:space="preserve">V57.4</t>
  </si>
  <si>
    <t xml:space="preserve">p. 11, 6, 7, 8, 22, 23, 24 · Code blocks</t>
  </si>
  <si>
    <t xml:space="preserve">Lines wrap to column 0 with no marker. On p. 11 the comment ends "…not bad" / "luck" and the return value "fallback" sits alone at column 0, so it reads like a separate statement. Also habits.""" (p. 6), tokens") (p. 7), range(300)] (p. 8), and several lines in answers 4, 7 and 8.</t>
  </si>
  <si>
    <t xml:space="preserve">Hard-wrap the source with a hanging indent, or add a ↩ marker in the code style.</t>
  </si>
  <si>
    <t xml:space="preserve">V57.5</t>
  </si>
  <si>
    <t xml:space="preserve">"Draft chapter", "19 September 2026", and "11 Python outputs verified · 25 number checks" are visible.</t>
  </si>
  <si>
    <t xml:space="preserve">V57.6</t>
  </si>
  <si>
    <t xml:space="preserve">V57.7</t>
  </si>
  <si>
    <t xml:space="preserve">p. 9→10 · Table "Three kinds of caching"</t>
  </si>
  <si>
    <t xml:space="preserve">The header and one row ("Exact") sit at the foot of p. 9; the other two rows are on p. 10 (the header is repeated).</t>
  </si>
  <si>
    <t xml:space="preserve">V57.8</t>
  </si>
  <si>
    <t xml:space="preserve">p. 4 · Lead-in "Riverstone's extraction prompts live in one module, each with a version:"</t>
  </si>
  <si>
    <t xml:space="preserve">Ends p. 4; the code starts p. 5.</t>
  </si>
  <si>
    <t xml:space="preserve">V57.9</t>
  </si>
  <si>
    <t xml:space="preserve">p. 5–24 · Currency</t>
  </si>
  <si>
    <t xml:space="preserve">Prose uses ₹ (₹4.74, ₹1,000, ₹0.08), while figures and code output use "Rs" (Fig 57.2 "Rs 23.62"; outputs "Rs 4.74").</t>
  </si>
  <si>
    <t xml:space="preserve">Pick one convention for printed output and figures, or explain that code prints "Rs".</t>
  </si>
  <si>
    <t xml:space="preserve">V57.10</t>
  </si>
  <si>
    <t xml:space="preserve">p. 12 · Page end</t>
  </si>
  <si>
    <t xml:space="preserve">Ends at 74%: the Watch out callout moves whole to p. 13.</t>
  </si>
  <si>
    <t xml:space="preserve">Acceptable; allow callouts to split if tightening.</t>
  </si>
  <si>
    <t xml:space="preserve">V57.11</t>
  </si>
  <si>
    <t xml:space="preserve">p. 18, 20 · Exercises</t>
  </si>
  <si>
    <t xml:space="preserve">V57.12</t>
  </si>
  <si>
    <t xml:space="preserve">p. 21 · Answers heading</t>
  </si>
  <si>
    <t xml:space="preserve">V57.13</t>
  </si>
  <si>
    <t xml:space="preserve">58.1</t>
  </si>
  <si>
    <t xml:space="preserve">In plain English "processes 88% … hands over 12% … one that processes 100% and is quietly wrong on a fifth"</t>
  </si>
  <si>
    <t xml:space="preserve">The framing contradicts the chapter's own finding. §58.7 shows that *this* 88% pipeline is the one that is quietly wrong on a fifth (19%) of what it loads. As written, the reader learns "88% + a clear queue = good; 100% = quietly wrong", which is the opposite of the lesson and is exactly how Chapter 25 §25.12 misquotes this chapter (Ch 25 finding 25.3).</t>
  </si>
  <si>
    <t xml:space="preserve">Rewrite the bullet: "The queue is the product. A pipeline that hands 12% of emails to a person with clear reasons is doing its job. The danger is the other 88%: section 58.7 shows that 19% of the orders this pipeline loads without a human are quietly wrong. A number that says '88% automatic' says nothing about whether the 88% is right." Keep the numbers identical to §58.3/58.7 (53/60 loaded, 7/60 handed over, 10/53 silently wrong).</t>
  </si>
  <si>
    <t xml:space="preserve">58.2</t>
  </si>
  <si>
    <t xml:space="preserve">§58.7 "silent error rate falls below roughly 2%"; §58.8 gate "until the silent error rate is around 2%"; answer 9 "an error would have to cost under about ₹15"; "at a 2% silent error rate the arithmetic reverses"</t>
  </si>
  <si>
    <t xml:space="preserve">Wrong by the chapter's own model. Straight-through total = 46.7 + 40 × (53/60) × r × 2,000. At r = 2%: 0.71 errors/day × ₹2,000 = ₹1,413 + ₹47 = ₹1,460/day, still 7× assisted (₹198). Break-even with assisted is r ≈ 0.21% (about 1 wrong order in 470). At 19%, break-even error cost is (198 − 46.7) / 6.67 = ₹22.7, not ₹15.</t>
  </si>
  <si>
    <t xml:space="preserve">Recompute and restate everywhere (§58.7 para after the table, §58.8 gate row and "Better extraction … around 2%", answer 9): "Straight-through beats assisted only when errors/day × cost of an error &lt; ₹151 (the labour it saves over assisted). At ₹2,000 an error that is fewer than 0.08 wrong orders a day — a silent error rate of about 0.2%, one order in 500. At today's 19%, an error would have to cost under about ₹23." Show the break-even as a two-line calculation in code: break_even_rate = (assisted_total - auto_labour) / (EMAILS_PER_DAY * straight_through * COST_OF_A_WRONG_ORDER) → 0.0021. Then draw the right conclusion: extraction accuracy alone will almost never get there, which is why the downstream check (customer confirmation) that cuts the *cost* of an error is the real lever — strengthen that paragraph.</t>
  </si>
  <si>
    <t xml:space="preserve">58.3</t>
  </si>
  <si>
    <t xml:space="preserve">Answer 11 "Rerun exercise 9's arithmetic with an error cost of about ₹200 and straight-through becomes defensible"</t>
  </si>
  <si>
    <t xml:space="preserve">False by the chapter's arithmetic: 46.7 + 6.67 × 200 = ₹1,380/day vs assisted ₹198.</t>
  </si>
  <si>
    <t xml:space="preserve">"At ₹200 an error, straight-through costs about ₹1,380 a day, still seven times assisted; the confirmation email alone is not enough at 19% silent errors. Combine it with the segment rule (only bulleted, forwarded and terse emails load automatically; measured 0 errors in 37) and the expected error cost on the automatic segment falls to near zero while the confirmation catches what the sample missed." Recompute with numbers.</t>
  </si>
  <si>
    <t xml:space="preserve">58.4</t>
  </si>
  <si>
    <t xml:space="preserve">Answer 15 "95% straight through and 3% silently wrong. Would you ship it? Probably yes"</t>
  </si>
  <si>
    <t xml:space="preserve">Contradicts the chapter's arithmetic: 40 × 0.95 × 0.03 = 1.14 errors/day × ₹2,000 = ₹2,280/day, more than ten times assisted. The answer lists the right questions but opens with the wrong verdict.</t>
  </si>
  <si>
    <t xml:space="preserve">Open with: "Not at Riverstone's cost of an error: 1.1 wrong orders a day at ₹2,000 is ₹2,280 a day, far more than assisted intake's ₹198. It becomes a yes only if…" then keep the three questions (cost of one error, downstream check, who samples).</t>
  </si>
  <si>
    <t xml:space="preserve">58.5</t>
  </si>
  <si>
    <t xml:space="preserve">Recap "The table-style emails were extracted perfectly and could go automatic today"</t>
  </si>
  <si>
    <t xml:space="preserve">Contradicts §58.8's measured result: tables were 7 of 11 correct (4 wrong), the *second worst* style; the perfect segment is bulleted, forwarded and terse (37 of 37).</t>
  </si>
  <si>
    <t xml:space="preserve">"Automate the segment you are excellent at. Bulleted, forwarded and terse emails were extracted perfectly (37 of 37, 62% of volume) and are the candidates for automatic loading; tables and prose stay assisted."</t>
  </si>
  <si>
    <t xml:space="preserve">58.6</t>
  </si>
  <si>
    <t xml:space="preserve">Real world: "the twelve customers who send tidy tables go automatic"; "two errors came from the same awkward forwarded-thread format … forwarded threads are routed to the queue"</t>
  </si>
  <si>
    <t xml:space="preserve">Contradicts §58.8 twice: tables are a weak segment (7/11), and forwarded emails were 14/14 correct and in the automatic segment. Answer 10 repeats the forwarded-thread claim ("exactly the emails where the extraction silently takes the wrong PO number"). A reader who ran §58.8 will see the story recommend automating the segment the data says to keep assisted.</t>
  </si>
  <si>
    <t xml:space="preserve">Story: "the straight-through question comes back in March, and the answer is the segment version: bulleted, forwarded and terse emails load automatically, tables and prose stay assisted." Replace the early-week errors with a style that *is* weak, e.g. "two of them were wrong, both prose emails where the PO number appeared twice in the text". Answer 10: target prose emails that quote two PO numbers (a reply chain), and say "in this set forwarded emails were all correct, so the rule is insurance against a pattern the golden set does not yet contain". Also §58.8's bullet "only orders from the five customers who always send the same tidy table, where accuracy is near perfect" states as fact what the code then refutes — change to "…you might expect this to be the customers who send a tidy table; measure it".</t>
  </si>
  <si>
    <t xml:space="preserve">58.7</t>
  </si>
  <si>
    <t xml:space="preserve">§58.3 run(emails, truth, meter=meter) and every later call run(emails, truth)</t>
  </si>
  <si>
    <t xml:space="preserve">The production pipeline takes the ground truth as an argument. A first-time reader will conclude either that the pipeline cheats or that production needs the answers in advance. Nowhere is it explained (presumably the offline stand-in model uses truth to simulate extraction, as Ch 54's stand-in did).</t>
  </si>
  <si>
    <t xml:space="preserve">Either remove truth from run's signature (let the stand-in load its own answers inside provider.py), or explain it the first time: "truth is passed only because the offline stand-in model needs it to imitate a real model's answers and mistakes; the pipeline logic never reads it. With a real provider you would call run(emails)." Apply to all eight calls.</t>
  </si>
  <si>
    <t xml:space="preserve">58.8</t>
  </si>
  <si>
    <t xml:space="preserve">§58.3 "run does the whole morning…"; §58.4 transaction INSERT INTO orders (...) VALUES (...)", (...)</t>
  </si>
  <si>
    <t xml:space="preserve">The chapter's subject — the assembled pipeline — is never shown. intake.run is described in one sentence; erp.rebuild/erp.connect are unexplained; the only write code has (...) in place of columns, values and parameters, so it cannot be run or understood. order_lines and audit_log schemas are never shown, though exercises 1–7 query them.</t>
  </si>
  <si>
    <t xml:space="preserve">Walk through intake.run in the chapter, in cells: (1) erp.py: the three CREATE TABLE statements (orders as shown; order_lines(order_id REFERENCES orders, product_code, quantity, unit_price); audit_log(entry_id, at, source_email, action, actor, detail)) and connect() with row_factory = sqlite3.Row explained ("lets you write row['n'] instead of row[0]"). (2) decide(order) — 6 lines returning "held_for_review", "awaiting_approval" or "loaded" with reasons. (3) write(connection, name, order, status) in full: with connection: then cursor = connection.execute("INSERT INTO orders (po_number, customer, delivery_date, order_value, source_email, status, created_at) VALUES (?, ?, ?, ?, ?, ?, ?)", (order["po_number"], …)), order_id = cursor.lastrowid (explain: "the id SQLite just gave the new row"), the lines loop, then the audit insert; and except sqlite3.IntegrityError: → log duplicate_ignored (this is how the UNIQUE key becomes a counted outcome — see 58.10). (4) run as a 10-line loop calling extract → parse → validate → decide → write, updating counts. Show each with a one-email run and its output.</t>
  </si>
  <si>
    <t xml:space="preserve">58.9</t>
  </si>
  <si>
    <t xml:space="preserve">§58.4 replay output "duplicates ignored on the replay: 53" vs "audit entries recording the duplicates: 59"; text "we ignored 59 duplicate submissions"</t>
  </si>
  <si>
    <t xml:space="preserve">The same event is counted two ways in one output: the replay's counter says 53, the audit log says 59 (53 loaded + 6 awaiting approval). The six awaiting-approval orders are presumably counted as awaiting_approval again on the replay before the insert fails. A reader cannot reconcile them, and it suggests a bug in run's counting.</t>
  </si>
  <si>
    <t xml:space="preserve">Fix run so an IntegrityError on any status counts as duplicate_ignored (then the output reads 59 and 59, and awaiting approval 0 on the replay), regenerate the output, and add one sentence: "59, not 60: the one email held for review was never written, so there was nothing to duplicate." If the 53 is intended, explain it explicitly.</t>
  </si>
  <si>
    <t xml:space="preserve">58.10</t>
  </si>
  <si>
    <t xml:space="preserve">§58.4 "a retry, a resend, a duplicate run at 06:05, and two workers racing all end in the same state"; mistakes table "A resent email becomes two orders → UNIQUE on the source identifier"</t>
  </si>
  <si>
    <t xml:space="preserve">A customer who *resends* a PO sends a new email with a new id; UNIQUE(source_email) does not catch it, and two orders are created. The key only protects against the pipeline re-reading the *same* email (retries, replays, races). Chapter 57 §57.6 itself says "customers resend".</t>
  </si>
  <si>
    <t xml:space="preserve">Separate the two cases in the text: "UNIQUE(source_email) makes the pipeline idempotent: re-reading the same email can never write twice. A customer resending the same PO is a different email, so add a second rule: UNIQUE(customer, po_number), and route a clash to the queue as 'possible duplicate PO' rather than ignoring it (it may be a genuine amendment)." Add the constraint to the schema, a duplicate_po row to §58.6's taxonomy, and fix the mistakes-table row ("A resent email becomes two orders" → "Fix: UNIQUE on (customer, PO number), clash goes to the queue").</t>
  </si>
  <si>
    <t xml:space="preserve">58.11</t>
  </si>
  <si>
    <t xml:space="preserve">§58.4 audit query 'SELECT … WHERE action = %s' % repr('duplicate_ignored')</t>
  </si>
  <si>
    <t xml:space="preserve">Builds SQL by string formatting — the injection-prone pattern the book warns against (and inconsistent with the ? placeholders used in §58.7 and answer 3). A beginner will copy it.</t>
  </si>
  <si>
    <t xml:space="preserve">connection.execute("SELECT COUNT(*) AS n FROM audit_log WHERE action = ?", ("duplicate_ignored",)).fetchone()["n"], pulled out onto its own line (dupes = …) before the print. Explain the ? placeholder and the one-element tuple ("…",).</t>
  </si>
  <si>
    <t xml:space="preserve">58.12</t>
  </si>
  <si>
    <t xml:space="preserve">§58.4 audit log output: actions proposed / duplicate_ignored / loaded / awaiting_approval; table "Action: proposed, loaded, held, rejected, approved"</t>
  </si>
  <si>
    <t xml:space="preserve">The held-for-review email gets no held audit row (answer 1's 119 = 60 + 53 + 6 confirms it). The chapter's own audit spec lists held, and its lesson is "an audit log that only records successes … is exactly the half you will not need".</t>
  </si>
  <si>
    <t xml:space="preserve">Make run write a held row with the reason ("no order lines") and regenerate: after one run audit_log = 120 (60 proposed + 53 loaded + 6 awaiting + 1 held); after two runs held 2. Update answer 1 (120, and the explanation) and answer 2 ("a proposed row for every email and a duplicate_ignored row for every email that was written").</t>
  </si>
  <si>
    <t xml:space="preserve">58.13</t>
  </si>
  <si>
    <t xml:space="preserve">§58.4 email_004 history: both runs "2026-03-02T06:00:00"</t>
  </si>
  <si>
    <t xml:space="preserve">The replay shows the same timestamp to the second as the original run, so the log cannot tell the two runs apart — which undercuts "Timestamp: when, to the second".</t>
  </si>
  <si>
    <t xml:space="preserve">Stamp the replay at a later time (e.g. 06:05:12, matching the text's "a duplicate run at 06:05") and add a run_id column so each run's rows are groupable.</t>
  </si>
  <si>
    <t xml:space="preserve">58.14</t>
  </si>
  <si>
    <t xml:space="preserve">§58.4 with connection: "commits at the end of the block and rolls back if anything raises" ; "(Chapter 12)"</t>
  </si>
  <si>
    <t xml:space="preserve">The Python sqlite3 specifics are new: with connection: as a transaction, lastrowid, row_factory, IntegrityError, AUTOINCREMENT. Ch 12 only lists BEGIN/COMMIT/ROLLBACK in a TCL table; Ch 29/45 used engine.connect()/duckdb.connect(). Also worth saying: with connection: does not close the connection.</t>
  </si>
  <si>
    <t xml:space="preserve">Before the transaction snippet, add a four-line demonstration in plain SQL terms: "with connection: is Python's way of writing BEGIN … COMMIT, with ROLLBACK if an error happens (Chapter 12's transaction control)". Then a runnable failure demo (answer 7 in the main text): insert a header, raise inside the lines loop, show SELECT COUNT(*) FROM orders is unchanged. Gloss AUTOINCREMENT ("SQLite hands out the next number itself") at the schema.</t>
  </si>
  <si>
    <t xml:space="preserve">58.15</t>
  </si>
  <si>
    <t xml:space="preserve">§58.4 schema order_value REAL NOT NULL</t>
  </si>
  <si>
    <t xml:space="preserve">Money stored as a floating-point REAL. Sums of REAL rupee values drift (0.1 + 0.2 problem, taught in Ch 2/17); every ERP stores money as integer paise or fixed-point DECIMAL. A beginner copying the schema learns the wrong habit. Also status TEXT has no CHECK constraint though the comment lists the allowed values.</t>
  </si>
  <si>
    <t xml:space="preserve">order_value_paise INTEGER NOT NULL  -- money as whole paise, never floating point (or NUMERIC(12,2) in PostgreSQL), and status TEXT NOT NULL CHECK (status IN ('loaded', 'awaiting_approval')). One sentence on each.</t>
  </si>
  <si>
    <t xml:space="preserve">58.16</t>
  </si>
  <si>
    <t xml:space="preserve">Figure 58.1 "email: 40 a day, five shapes" vs §58.3 "60 emails processed at 06:00"</t>
  </si>
  <si>
    <t xml:space="preserve">The morning run processes 60 emails, the figure beside it says 40 a day, §58.2 says "twenty to forty a day", and the ROI uses 40. The 60 are Chapter 54's golden-set emails, not a day's volume, but the output line "60 emails processed at 06:00" presents them as one morning.</t>
  </si>
  <si>
    <t xml:space="preserve">Change the print to f"{total} test emails processed (Chapter 54's evaluation set)" and add a sentence: "These are the 60 labelled emails, about a day and a half of real volume; the rates carry over, the counts do not." Keep "40 a day" for volume. Replace the hard-coded / 60 in §58.5 and §58.7 with / total (or len(emails)).</t>
  </si>
  <si>
    <t xml:space="preserve">58.17</t>
  </si>
  <si>
    <t xml:space="preserve">§58.3 "Riverstone's purchase orders … the book opened with Riverstone's sales desk retyping purchase orders"; §58.7 EMAILS_PER_DAY = 40, MINUTES_MANUAL = 3.0; Where this leads "reread [Ch 3] with this chapter in mind"</t>
  </si>
  <si>
    <t xml:space="preserve">Chapter 3 sizes the same re-keying as "40 emailed orders a week at about 6 minutes each: 4 hours a week". This chapter: 40 a day at 3 minutes: 2 hours a day (10 h/week). The reader is told to reread Ch 3, where the numbers differ by 2.5×. Ch 1 describes the example generically ("many companies"), not "Riverstone's sales desk".</t>
  </si>
  <si>
    <t xml:space="preserve">Align with Ch 3 or explain the change: "Chapter 3's round numbers (40 orders a week) were for illustration; by now Riverstone receives 20 to 40 a day, and a practised coordinator takes about 3 minutes each." Change "The book opened with Riverstone's sales desk retyping purchase orders" → "Chapter 1 promised this project, and Chapter 3 showed where the retyping sits in Riverstone's order-to-cash process."</t>
  </si>
  <si>
    <t xml:space="preserve">58.18</t>
  </si>
  <si>
    <t xml:space="preserve">§58.7 "introduces no silent errors"; ROI row "assisted … errors/day 0.0"; story "no silent errors because nothing loads unseen"</t>
  </si>
  <si>
    <t xml:space="preserve">The whole recommendation rests on the assumption that a 45-second human review catches 100% of the model's errors. Reviewers of mostly-correct drafts miss errors (automation bias — the chapter's own §58.9 warns reviewers "start accepting everything within a week"). With even a 70% catch rate, assisted has 40 × 0.19 × 0.3 ≈ 2.3 errors/day on a naive all-drafts basis.</t>
  </si>
  <si>
    <t xml:space="preserve">Add a parameter REVIEW_CATCH_RATE = 0.9  # a reviewer spots 9 in 10 wrong drafts and compute assisted errors = EMAILS_PER_DAY * straight_through * error_rate * (1 - REVIEW_CATCH_RATE) (≈0.67/day, ₹1,333). Show that assisted still beats straight-through, and that the *reviewer screen* (highlighting uncertain fields, §58.9 story) is how you raise the catch rate. Change "introduces no silent errors" → "turns most silent errors into caught ones". This also motivates the weekly sample in the queue design.</t>
  </si>
  <si>
    <t xml:space="preserve">58.19</t>
  </si>
  <si>
    <t xml:space="preserve">§58.7 "That saves around 90 minutes a day"</t>
  </si>
  <si>
    <t xml:space="preserve">120 − 39.6 = 80.4 minutes.</t>
  </si>
  <si>
    <t xml:space="preserve">"about 80 minutes a day".</t>
  </si>
  <si>
    <t xml:space="preserve">58.20</t>
  </si>
  <si>
    <t xml:space="preserve">§58.7 assisted_minutes = … + EMAILS_PER_DAY * 0.12 * MINUTES_QUEUE</t>
  </si>
  <si>
    <t xml:space="preserve">A magic 0.12 where the previous line uses (1 - straight_through) for the same quantity (0.1167). A reader will not know where 0.12 comes from. MINUTES_REVIEW, COST_OF_A_WRONG_ORDER values are asserted without source.</t>
  </si>
  <si>
    <t xml:space="preserve">Use (1 - straight_through) in both lines (result 39.3 min, ₹197 — update table/figure/recap) or name it QUEUE_SHARE = 1 - straight_through. Add a one-line source for each constant (e.g. "₹2,000: finance's average credit note + re-delivery + the customer call — an estimate; exercise 9 tests how much it matters").</t>
  </si>
  <si>
    <t xml:space="preserve">58.21</t>
  </si>
  <si>
    <t xml:space="preserve">§58.8 code block (style segmentation)</t>
  </si>
  <si>
    <t xml:space="preserve">No Line-by-line at all for a 30-line cell with several new idioms: re.search(r"^- ", text, re.MULTILINE), dict comprehension, approval_limit=10  9, from collections import Counter mid-cell, (right if matches else wrong_by_style)[…] += 1, order-dependent if chain in style(). The matching logic duplicates §58.7's verbatim.</t>
  </si>
  <si>
    <t xml:space="preserve">Split into three cells with output: (1) style() alone, run on five sample emails, printing each style; explain re.MULTILINE ("^ matches at the start of every line, not just the first") and why the order of the checks matters (a forwarded email with bullets is classed as bullets). (2) Factor §58.7's comparison into def is_correct(connection, row, truth) and reuse it (the duplication is itself a lesson from Ch 29). (3) The tally, written plainly: if is_correct(...): right[s] += 1 else: wrong[s] += 1, then the table. Explain 10  9 ("a limit so high nothing waits for approval, so every style is scored").</t>
  </si>
  <si>
    <t xml:space="preserve">58.22</t>
  </si>
  <si>
    <t xml:space="preserve">§58.8 "37 of 37 correct … 62% of the volume, at 100% accuracy, automatic today"; Figure 58.3</t>
  </si>
  <si>
    <t xml:space="preserve">Zero errors in 37 (13, 14 and 10 per style) does not show the error rate is below the ~0.2% the ROI needs (58.2): by the rule of three the 95% upper bound is ≈ 3/37 ≈ 8%. And the segments were chosen by looking at the same 60 emails they are scored on. Readers learned confidence intervals in Ch 22/30 and should apply them here.</t>
  </si>
  <si>
    <t xml:space="preserve">Add: "Zero errors in 37 is encouraging, not proof: with 37 cases the true error rate could still be as high as about 8% (the 'rule of three': 3 ÷ 37). Before automating, score the rule on a fresh fortnight of real emails the segment was not chosen on, and keep the weekly sample running." Change "at 100% accuracy, automatic today" → "at 0 errors in 37 so far, the candidate for automatic loading".</t>
  </si>
  <si>
    <t xml:space="preserve">58.23</t>
  </si>
  <si>
    <t xml:space="preserve">§58.8 "Riverstone is at stage 2 and should stay there" vs §58.7 recommendation "the middle row: assisted intake … nothing is written unseen"</t>
  </si>
  <si>
    <t xml:space="preserve">Stage 2 is "assisted with auto-load: small, clean orders load automatically", i.e. some orders are written unseen. The chapter's recommendation and the story ("goes live in assisted mode") are stage 1.</t>
  </si>
  <si>
    <t xml:space="preserve">"Riverstone is at stage 1 (assisted) and moves to stage 2 only for the measured segment (bulleted, forwarded, terse), once the fresh-data check in 58.22 passes." Align the stage-2 gate text.</t>
  </si>
  <si>
    <t xml:space="preserve">58.24</t>
  </si>
  <si>
    <t xml:space="preserve">At a glance "design an approval threshold priced in money rather than guessed"; In plain English "it has an answer you can compute"</t>
  </si>
  <si>
    <t xml:space="preserve">The main text never computes a threshold from money. §58.5 sweeps the limit and shows counts only; the money appears only in answer 5.</t>
  </si>
  <si>
    <t xml:space="preserve">Move answer 5's wrong_value computation into §58.5 after the sweep and add a review-cost column: for each limit, approvals × 2 min × ₹5/min vs expected wrong value auto-loaded × (share that becomes a real loss). Then state the rule: "raise the limit until the next ₹ of review time saves less than the expected ₹ of error it lets through."</t>
  </si>
  <si>
    <t xml:space="preserve">58.25</t>
  </si>
  <si>
    <t xml:space="preserve">Answer 5 "The wrong value auto-loaded roughly doubles with each step up"; "per week?"</t>
  </si>
  <si>
    <t xml:space="preserve">57,950 → 363,550 is ×6.3; → 579,050 is ×1.6. Also the figures are per run of 60 emails (≈1.5 days), not per week.</t>
  </si>
  <si>
    <t xml:space="preserve">"…rises steeply from ₹25,000 to ₹100,000 (six-fold) and then flattens (×1.6), because most wrong orders are mid-sized. These are per 60 emails, about a day and a half; per week multiply by about 3.3."</t>
  </si>
  <si>
    <t xml:space="preserve">58.26</t>
  </si>
  <si>
    <t xml:space="preserve">Answer 6 "The duplicate_ignored branch never fires, because it depends on finding the existing row"</t>
  </si>
  <si>
    <t xml:space="preserve">If the branch "depends on finding the existing row", then without the constraint a sequential replay *would* find it and no duplicate would be written. The explanation of the mechanism is self-contradictory (the branch presumably fires on IntegrityError).</t>
  </si>
  <si>
    <t xml:space="preserve">"The duplicate_ignored branch never fires, because it is triggered by the database refusing the insert (sqlite3.IntegrityError); with no UNIQUE constraint there is no refusal, so every replayed email writes a second order: 118 where 59 belong." Consistent with 58.8's write code.</t>
  </si>
  <si>
    <t xml:space="preserve">58.27</t>
  </si>
  <si>
    <t xml:space="preserve">Answer 3 "The largest automatic order sits just under the ₹100,000 limit and the smallest held one just above"</t>
  </si>
  <si>
    <t xml:space="preserve">₹89,150 is ₹10,850 under; the query shows the *largest* held order (₹145,800), not the smallest; the smallest held (₹100,500) is only visible in answer 4.</t>
  </si>
  <si>
    <t xml:space="preserve">Add ORDER BY order_value ASC for the held case (or print both min and max), and reword: "The largest automatic order is ₹89,150; the smallest held one is ₹100,500, just over the limit."</t>
  </si>
  <si>
    <t xml:space="preserve">58.28</t>
  </si>
  <si>
    <t xml:space="preserve">Answer 17 "Because 12% of emails need judgment…"; "the system is 88% automatic"</t>
  </si>
  <si>
    <t xml:space="preserve">The answer accepts finance's framing; under the chapter's recommendation she reviews 100% of drafts, and the reason is the 19% silent error rate — the one number the chapter says must always be quoted beside 88%.</t>
  </si>
  <si>
    <t xml:space="preserve">Start: "It isn't 88% automatic in the sense finance means: 19% of the orders it would load on its own are wrong. She reviews every draft in about 41 seconds…". Keep the rest.</t>
  </si>
  <si>
    <t xml:space="preserve">58.29</t>
  </si>
  <si>
    <t xml:space="preserve">§58.9 "Expect the first month to be slower. Reviewing drafts … takes longer than typing" vs story "95 seconds in week one … against three minutes to type"</t>
  </si>
  <si>
    <t xml:space="preserve">The story's measurements show review was faster than typing from week one, contradicting the advice two pages earlier.</t>
  </si>
  <si>
    <t xml:space="preserve">"Expect the first weeks to *feel* slower: reviewing drafts while learning to trust them is tiring, and the saving is smaller than promised until the screen is right."</t>
  </si>
  <si>
    <t xml:space="preserve">58.30</t>
  </si>
  <si>
    <t xml:space="preserve">Where this leads: "Chapter 74, Machine Learning &amp; AI Question Bank … 'how would you automate invoice processing…'"</t>
  </si>
  <si>
    <t xml:space="preserve">Wrong chapter and nonexistent question. Automation questions are in Chapter 78 "Automation &amp; Integration Question Bank"; no bank asks about invoice processing.</t>
  </si>
  <si>
    <t xml:space="preserve">"Chapter 78, Automation &amp; Integration Question Bank, has the interview version." Either add the invoice-processing question to Ch 78 or quote one that exists.</t>
  </si>
  <si>
    <t xml:space="preserve">58.31</t>
  </si>
  <si>
    <t xml:space="preserve">Where this leads: "Chapter 64, Responsible AI &amp; Governance"; §58.4 "Chapter 64 covers the governance"</t>
  </si>
  <si>
    <t xml:space="preserve">Title is "Security, Privacy, Governance &amp; Responsible AI". Also Chapter 63 (Automation Architecture &amp; Governance) builds directly on this chapter (it cites the 19% finding) and is not mentioned.</t>
  </si>
  <si>
    <t xml:space="preserve">Use the real title and add "Chapter 63, Automation Architecture &amp; Governance, decides which automations to build across the business, using this pipeline's 19% as its worked example."</t>
  </si>
  <si>
    <t xml:space="preserve">58.32</t>
  </si>
  <si>
    <t xml:space="preserve">Answers heading "(In the finished book these move to Appendix G.)"; companion "…and ch58_check.py"; "Work in companion/ch58" vs "Companion files in ch58/"</t>
  </si>
  <si>
    <t xml:space="preserve">Drafting leftover; build-check script listed as a reader file; two folder names.</t>
  </si>
  <si>
    <t xml:space="preserve">Same fix as Ch 57 (57.33).</t>
  </si>
  <si>
    <t xml:space="preserve">58.33</t>
  </si>
  <si>
    <t xml:space="preserve">§58.6 "a circuit breaker on the batch is one line of code"</t>
  </si>
  <si>
    <t xml:space="preserve">Not shown; the batch circuit breaker is then a key term, a mistakes-table row and exercise 12. "one line" undersells it (answer 12 describes counting, aborting, logging, alerting, resumability).</t>
  </si>
  <si>
    <t xml:space="preserve">Show it: if failures &gt; 0.2 * processed and processed &gt;= 10: log("batch_aborted", …); raise SystemExit(1) inside the run loop (3–4 lines), explained, and change "one line" to "a few lines".</t>
  </si>
  <si>
    <t xml:space="preserve">58.34</t>
  </si>
  <si>
    <t xml:space="preserve">§58.1 table "Macros and RPA … a robot clicks through the user interface"</t>
  </si>
  <si>
    <t xml:space="preserve">Macros (Ch 19) record actions *inside* one application; RPA drives the UI across applications. Grouping them as one generation with "the screen moves one pixel" as the failure fits RPA but not an Excel macro. "Screen scraping" (key term) is used but not defined.</t>
  </si>
  <si>
    <t xml:space="preserve">Split the first row's wording: "Macros (Chapter 19) and RPA: software repeats the clicks and keystrokes a person would make, inside one application (a macro) or across several (RPA, 'screen scraping': reading data off the screen rather than from the system)".</t>
  </si>
  <si>
    <t xml:space="preserve">V58.1</t>
  </si>
  <si>
    <t xml:space="preserve">p. 6 · Figure 58.1 (PO intake, end to end)</t>
  </si>
  <si>
    <t xml:space="preserve">The connectors misroute the flow. "held for review: 1 / validation failed" has no connector at all. The dashed line from "validate" lands on the "awaiting approval: 6 / over Rs 100,000" box, the same box that "decide" feeds, so the diagram says validation failures wait for approval. The "email" box text is pale grey (low contrast). Text is 4.9–6.5 pt.</t>
  </si>
  <si>
    <t xml:space="preserve">Connect validate → held for review, and decide → awaiting approval; give the email box normal contrast; redraw at 7 pt or more.</t>
  </si>
  <si>
    <t xml:space="preserve">V58.2</t>
  </si>
  <si>
    <t xml:space="preserve">p. 11, 14 · Figures 58.2 and 58.3</t>
  </si>
  <si>
    <t xml:space="preserve">Figure text is 5.4–6.5 pt (column heads "minutes / labour Rs / errors/day…" 5.4 pt).</t>
  </si>
  <si>
    <t xml:space="preserve">V58.3</t>
  </si>
  <si>
    <t xml:space="preserve">p. 7, 10, 13 · Page breaks</t>
  </si>
  <si>
    <t xml:space="preserve">Three pages end at 72–74%. On p. 7 the subheading "An audit log…" and its code move to p. 8. On p. 10 Fig 58.2 moves to p. 11. On p. 13 Fig 58.3 moves to p. 14.</t>
  </si>
  <si>
    <t xml:space="preserve">Let code blocks split, or float figures to fill the gap.</t>
  </si>
  <si>
    <t xml:space="preserve">V58.4</t>
  </si>
  <si>
    <t xml:space="preserve">p. 10, 13, 22, 23 · Code blocks</t>
  </si>
  <si>
    <t xml:space="preserve">Wraps land at column 0: ?", and want["items"])) (pp. 10, 13, the same query twice), " alone (p. 22), delivery_date " / want["items"]]) (p. 23). The SQL string concatenation is hard to follow.</t>
  </si>
  <si>
    <t xml:space="preserve">Hard-wrap the source with a hanging indent.</t>
  </si>
  <si>
    <t xml:space="preserve">V58.5</t>
  </si>
  <si>
    <t xml:space="preserve">"Draft chapter", "19 September 2026", and "10 Python outputs verified · 24 number checks" are visible.</t>
  </si>
  <si>
    <t xml:space="preserve">V58.6</t>
  </si>
  <si>
    <t xml:space="preserve">V58.7</t>
  </si>
  <si>
    <t xml:space="preserve">p. 9→10 · Table "Exceptions, classified"</t>
  </si>
  <si>
    <t xml:space="preserve">The last row, "Systemic", is alone on p. 10 under a repeated header.</t>
  </si>
  <si>
    <t xml:space="preserve">Keep the 7-row table together, or split earlier.</t>
  </si>
  <si>
    <t xml:space="preserve">V58.8</t>
  </si>
  <si>
    <t xml:space="preserve">p. 11, 14 · Figures 58.2, 58.3</t>
  </si>
  <si>
    <t xml:space="preserve">Business case versus ground truth, and correct versus wrong, are coded green versus red, which colour-blind readers cannot separate. The text labels ("7 correct, 4 wrong") mitigate this.</t>
  </si>
  <si>
    <t xml:space="preserve">Use blue/orange, or add hatching for "wrong".</t>
  </si>
  <si>
    <t xml:space="preserve">V58.9</t>
  </si>
  <si>
    <t xml:space="preserve">p. 6–24 · Currency</t>
  </si>
  <si>
    <t xml:space="preserve">Prose uses ₹ (₹100,000, ₹13,380), while figures and code output use "Rs" (Fig 58.1 "over Rs 100,000"; Fig 58.2 "labour Rs"; outputs).</t>
  </si>
  <si>
    <t xml:space="preserve">Pick one convention for figures.</t>
  </si>
  <si>
    <t xml:space="preserve">V58.10</t>
  </si>
  <si>
    <t xml:space="preserve">V58.11</t>
  </si>
  <si>
    <t xml:space="preserve">V58.12</t>
  </si>
  <si>
    <t xml:space="preserve">59.1</t>
  </si>
  <si>
    <t xml:space="preserve">Why this matters "Three are Riverstone's, and their numbers were measured in this book"; Where this leads "Chapter 53, 55 and 58 hold the runnable versions of cases 1, 7 and 9"</t>
  </si>
  <si>
    <t xml:space="preserve">Only Cases 1 and 9 are Riverstone's. Case 7 is "Customer support automation at a subscription business … A composite; representative numbers", and none of its numbers (35% resolved, 48% deflection, a help centre a third out of date, four years of tickets) appear in Ch 55. The chapter's promise that measured and composite numbers are "labeled as such every time" is broken by its own framing sentence.</t>
  </si>
  <si>
    <t xml:space="preserve">Choose one: (A) Keep Case 7 as a composite and change both sentences: "Two are Riverstone's (cases 1 and 9) … The other seven are composites" and "Chapters 53 and 56 hold the runnable version of case 1, and Chapters 54, 57 and 58 of case 9; Chapter 55's support assistant is a small, measured version of case 7's pattern." (B) Or make Case 7 Riverstone's own support assistant, with measured numbers from Ch 55 and Ch 57: 65-question golden set, 50 of 55 answered, 7 of 10 unanswerable correctly refused; refusal rate 15–20% rising to 42% in week 7 when customers asked about the undocumented pallet range; fix = three new documents. Option B strengthens the chapter (three measured cases, as promised) but loses the deflection lesson — keep that as a "Watch out" inside the case.</t>
  </si>
  <si>
    <t xml:space="preserve">59.2</t>
  </si>
  <si>
    <t xml:space="preserve">Case 2 "A statistical baseline first (Chapter 19's seasonal model)"</t>
  </si>
  <si>
    <t xml:space="preserve">Chapter 19 is Spreadsheet Automation (VBA). Seasonal naive forecasting is Chapter 40 (Time Series &amp; Forecasting), which also teaches safety stock. Same class of error as the known "Chapter 19 … regression" refs.</t>
  </si>
  <si>
    <t xml:space="preserve">"A statistical baseline first (Chapter 40's seasonal naive forecast: next month equals the same month last year)".</t>
  </si>
  <si>
    <t xml:space="preserve">59.3</t>
  </si>
  <si>
    <t xml:space="preserve">Case 3 "fields that are only filled in after a lead converts (Chapter 38's leakage)"</t>
  </si>
  <si>
    <t xml:space="preserve">Chapter 38 is Unsupervised Learning and never mentions leakage; leakage is taught in Chapter 36 ("find data leakage with one question").</t>
  </si>
  <si>
    <t xml:space="preserve">"(Chapter 36's leakage)".</t>
  </si>
  <si>
    <t xml:space="preserve">59.4</t>
  </si>
  <si>
    <t xml:space="preserve">Where this leads "Chapter 79, The First 90 Days, is what to do…"</t>
  </si>
  <si>
    <t xml:space="preserve">Chapter 79 is the GenAI, LLM &amp; MLOps Question Bank. The first-90-days material is in Chapter 67 (The Architect as Leader).</t>
  </si>
  <si>
    <t xml:space="preserve">"Chapter 67, The Architect as Leader, includes what the first 90 days should look like when one of these lands on your desk."</t>
  </si>
  <si>
    <t xml:space="preserve">59.5</t>
  </si>
  <si>
    <t xml:space="preserve">Where this leads "Part VII (Chapters 60–68) is the professional side … stakeholders, storytelling, governance, ethics"</t>
  </si>
  <si>
    <t xml:space="preserve">Part VII is Chapters 60–67 (68 opens Part VIII), and its content is architecture, distributed systems, data architecture, automation architecture, security/privacy/responsible AI, FinOps, strategy and leadership. Stakeholders and storytelling were Chapter 24.</t>
  </si>
  <si>
    <t xml:space="preserve">"Part VII (Chapters 60–67) is the architecture and leadership side of these projects: designing whole systems, their trade-offs, governance and responsible AI, what they cost, and leading the work rather than doing all of it."</t>
  </si>
  <si>
    <t xml:space="preserve">59.6</t>
  </si>
  <si>
    <t xml:space="preserve">Where this leads "Chapter 75, Case Study &amp; Take-Home Bank"</t>
  </si>
  <si>
    <t xml:space="preserve">Chapter 75's title is "Product Sense, Metrics, Case Studies &amp; Guesstimates"; take-homes are Chapter 82.</t>
  </si>
  <si>
    <t xml:space="preserve">"Chapter 75, Product Sense, Metrics, Case Studies &amp; Guesstimates, and Chapter 82, Take-Home Assignments &amp; Mock Interviews, turn this frame into interview practice."</t>
  </si>
  <si>
    <t xml:space="preserve">59.7</t>
  </si>
  <si>
    <t xml:space="preserve">Case 1 "Found by a customer return, six weeks later"</t>
  </si>
  <si>
    <t xml:space="preserve">Chapter 53's story: "Three weeks later a customer returns a batch of lids with short shots". (Ch 56's separate story is an August return after months of amber drift, a different incident — the new mould.)</t>
  </si>
  <si>
    <t xml:space="preserve">"Found by a customer return, three weeks later". Optionally add one line from Ch 56 to the case: "A second incident, a new mould producing flash, was invisible to the drift monitor and was caught by the 2% audit" — it strengthens the lesson "measured the thing the drift monitor could not see".</t>
  </si>
  <si>
    <t xml:space="preserve">59.8</t>
  </si>
  <si>
    <t xml:space="preserve">"What the nine have in common" §4 "The failures were organizational … A model that learned the day shift … Not one of these is a modeling error"; Figure 59.2 caption "Not one of these five is a modeling error"</t>
  </si>
  <si>
    <t xml:space="preserve">Self-contradiction. Training only on day-shift images is a training-data/modeling error (Ch 53 calls it that and fixes it with night-shift images and augmentation); Case 3's leakage is a modeling error by definition. Pattern 4 omits leakage precisely because it doesn't fit.</t>
  </si>
  <si>
    <t xml:space="preserve">Rewrite the pattern honestly: "4. The failures were mostly organizational, and they were discovered late. Planners who kept their spreadsheets, a dispatch supervisor rejecting routes, engineers who stopped investigating alerts. The two that were modeling errors — a model that only saw the day shift, a lead score built on fields filled in after conversion — were errors about *what the data meant*, which is found by talking to the people who produce it, not by a better algorithm." Change the figure caption to "None of these would have been prevented by a better algorithm."</t>
  </si>
  <si>
    <t xml:space="preserve">59.9</t>
  </si>
  <si>
    <t xml:space="preserve">§3 "one alert a week, … eleven investigations a fortnight"</t>
  </si>
  <si>
    <t xml:space="preserve">Case 8 says "eleven alerts a week. Engineers investigated for a fortnight" — i.e. about 22 investigations over the fortnight, not eleven.</t>
  </si>
  <si>
    <t xml:space="preserve">"…one alert a week instead of eleven, a coordinator's half hour…".</t>
  </si>
  <si>
    <t xml:space="preserve">59.10</t>
  </si>
  <si>
    <t xml:space="preserve">§1 "The stated problem was the wrong problem, in eight of nine cases"; Recap "wrong in eight of nine"; Figure 59.2 grid</t>
  </si>
  <si>
    <t xml:space="preserve">The reader cannot tell which case is the exception, and the extracted figure gives no marks to check. Case 1 ("so we don't need an inspector") and Case 9 ("we don't know where our orders are") both read as reframed by their lessons.</t>
  </si>
  <si>
    <t xml:space="preserve">Name the exception in the text: "…in eight of nine cases (only the fraud team's 'catch more fraud' … )" — whichever the author intends — and make sure Figure 59.2's ticks match the text for all five rows.</t>
  </si>
  <si>
    <t xml:space="preserve">59.11</t>
  </si>
  <si>
    <t xml:space="preserve">Case 9 "built across Chapters 12, 13, 16, 32, 54, 57 and 58" vs its approach row "(Chapters 12, 28, 32) … 16 … 54 … 57 … 58"; lesson "six years of small pieces"</t>
  </si>
  <si>
    <t xml:space="preserve">The two chapter lists disagree (13 vs 28). "Six years" is not established anywhere in the book's Riverstone timeline. "Month-end reporting from three days to one morning" has no source chapter (the "single revenue number" does: Ch 32's two-dashboards story). "It was nearly shipped on the strength of the first number alone" is not in Ch 58 (Ch 58's near-miss is the pilot almost being *cancelled*).</t>
  </si>
  <si>
    <t xml:space="preserve">Use one list: "built across Chapters 12, 13, 16, 28, 32, 54, 57 and 58". Replace "six years of small pieces" with "many small pieces over several years". Cite the reporting result ("Chapter 20's automated monthly pack") or drop it. Change "nearly shipped on the strength of the first number" to "and the business case written on the first number alone would have shipped it" (or add that beat to Ch 58's story).</t>
  </si>
  <si>
    <t xml:space="preserve">59.12</t>
  </si>
  <si>
    <t xml:space="preserve">Whole chapter: no Practice exercises, no project, no answers; Time needed "a useful afternoon to map your own work onto the frame"</t>
  </si>
  <si>
    <t xml:space="preserve">Every other chapter has exercises; this one tells the reader to spend an afternoon on a mapping it never structures. "Judge your own next project against patterns" (at a glance) has no deliverable, and no "You've got it when…" checklist.</t>
  </si>
  <si>
    <t xml:space="preserve">Add a short "Practice" section: (1) Fill the eight-row case card (problem as stated → lesson) for a project you have done or the Ch 27 / Ch 44 capstone. (2) For each of Cases 2–8, name the one constraint that decided the design, in one line. (3) Take a vendor case study (any public one) and apply the four reading habits; list the missing baseline and deployment sentence. (4) Pick one of the five patterns and describe how you would detect it in week two. (5) "Think about it": which of the nine would you *not* take on, and why? Add brief model answers, and a 5-line "You've got it when…" (can state the six questions from memory; can find a case's binding constraint; can say when its truth arrives; can name its owner; can spot a missing baseline).</t>
  </si>
  <si>
    <t xml:space="preserve">59.13</t>
  </si>
  <si>
    <t xml:space="preserve">Case 2 "FMCG distributor … SKU … safety stock … depot"; Case 6 "operations research … vehicle routing solver … geocoding"</t>
  </si>
  <si>
    <t xml:space="preserve">FMCG, operations research and vehicle routing solver are used nowhere else in the book; SKU and safety stock were met in Ch 16/36 and 40, geocoding in Ch 33, but a quick gloss helps a reader who is skimming the cases.</t>
  </si>
  <si>
    <t xml:space="preserve">One clause each at first use: "FMCG (fast-moving consumer goods: soap, snacks, drinks)"; "SKU (one stock-keeping unit, e.g. one pack size of one product)"; "safety stock (extra stock held against forecast error, Chapter 40)"; "operations research (the mathematics of scheduling and allocation — finding the best plan under constraints — rather than learning from data)"; "a vehicle routing solver (software that searches for the cheapest set of routes that respects capacities and time windows)"; "geocoding (turning an address into map coordinates)".</t>
  </si>
  <si>
    <t xml:space="preserve">59.14</t>
  </si>
  <si>
    <t xml:space="preserve">Case 5 "The metric is precision at a fixed review capacity, not AUC"</t>
  </si>
  <si>
    <t xml:space="preserve">"Precision at a fixed capacity" (precision among the top 3,000 scored transactions) is only mentioned in Ch 44; a reader who met precision and AUC in Ch 39 may not connect them.</t>
  </si>
  <si>
    <t xml:space="preserve">"…the metric is precision at a fixed review capacity — of the 3,000 transactions the team can review each day, how many are fraud — not AUC, which scores the whole ranking including millions of transactions nobody will look at (Chapter 39)."</t>
  </si>
  <si>
    <t xml:space="preserve">59.15</t>
  </si>
  <si>
    <t xml:space="preserve">"Five things went wrong in nine different industries" (Figure 59.2 title); "nine different problems"</t>
  </si>
  <si>
    <t xml:space="preserve">Cases 1 and 9 are both Riverstone (manufacturing/distribution); "nine different industries" overstates.</t>
  </si>
  <si>
    <t xml:space="preserve">"…in nine different projects".</t>
  </si>
  <si>
    <t xml:space="preserve">59.16</t>
  </si>
  <si>
    <t xml:space="preserve">§5 "The metric changed, and the project only worked afterwards"; Recap "The metric changed in every successful case"</t>
  </si>
  <si>
    <t xml:space="preserve">The text gives four examples (Cases 1, 5, 7, 2); Cases 3, 4, 6, 8 and 9 show no metric change in their cards (Case 9's metric *addition* — silent error rate — arguably counts). "Every successful case" is stronger than the evidence.</t>
  </si>
  <si>
    <t xml:space="preserve">Recap: "In most cases the metric changed, from something easy to measure to something that described the decision." Add Case 9 to §5's list: "Straight-through rate gained a partner, the silent error rate."</t>
  </si>
  <si>
    <t xml:space="preserve">59.17</t>
  </si>
  <si>
    <t xml:space="preserve">Case 1 "labels came from the QC inspector's existing log"; "The data 6,000 camera images"</t>
  </si>
  <si>
    <t xml:space="preserve">Chapter 53's 6,000 images are generated by generate_defect_images.py (a simulation); the case presents them as camera captures with inspector labels. That is fine as narrative, but the chapter promises Riverstone's numbers "were measured in this book".</t>
  </si>
  <si>
    <t xml:space="preserve">Add "(Chapter 53's simulated line: 6,000 images …)" or a one-line note under the case: "Measured on the book's simulated production line."</t>
  </si>
  <si>
    <t xml:space="preserve">V59.1</t>
  </si>
  <si>
    <t xml:space="preserve">p. 10, 13 · Figure 59.2 vs text</t>
  </si>
  <si>
    <t xml:space="preserve">The row "the stated problem was the wrong one" has 7 ticks (leads and maintenance are blank). The paragraph directly below says "…the wrong problem, in eight of nine cases", and the Recap (p. 13) repeats "eight of nine".</t>
  </si>
  <si>
    <t xml:space="preserve">Correct the figure or the text so they agree.</t>
  </si>
  <si>
    <t xml:space="preserve">V59.2</t>
  </si>
  <si>
    <t xml:space="preserve">p. 4, 10 · Figures 59.1 and 59.2</t>
  </si>
  <si>
    <t xml:space="preserve">Fig 59.2's column heads ("quality", "demand"… "mainten.", "order-cash") are 4.5 pt light grey and use short names rather than the case numbers used in the headings. Fig 59.1's body text is 5.5 pt.</t>
  </si>
  <si>
    <t xml:space="preserve">Redraw at 7 pt or more, and head the columns "Case 1"… "Case 9" (or both).</t>
  </si>
  <si>
    <t xml:space="preserve">V59.3</t>
  </si>
  <si>
    <t xml:space="preserve">p. 6, 9 · Case headings</t>
  </si>
  <si>
    <t xml:space="preserve">"Case 4 · Retail pricing at a regional chain" plus its "A composite…" line sit at the foot of p. 6, and "Case 9 · Order to cash, end to end" plus its subtitle at the foot of p. 9. Both tables start on the next page.</t>
  </si>
  <si>
    <t xml:space="preserve">Keep the case heading with its table (keep-with-next).</t>
  </si>
  <si>
    <t xml:space="preserve">V59.4</t>
  </si>
  <si>
    <t xml:space="preserve">"Draft chapter", "19 September 2026", and "Class C · no companion code", an internal production classification, are visible to readers.</t>
  </si>
  <si>
    <t xml:space="preserve">V59.5</t>
  </si>
  <si>
    <t xml:space="preserve">V59.6</t>
  </si>
  <si>
    <t xml:space="preserve">p. 5–10 · Case tables</t>
  </si>
  <si>
    <t xml:space="preserve">The tables split across pages without a header (they have none), e.g. Case 5's "The lesson" row alone on p. 8, Case 2 split 5→6, Case 7 split 8→9. The split rows lose their "which case?" context.</t>
  </si>
  <si>
    <t xml:space="preserve">Keep each 9-row case table on one page, or add a small "Case n (cont.)" line.</t>
  </si>
  <si>
    <t xml:space="preserve">V59.7</t>
  </si>
  <si>
    <t xml:space="preserve">The label-column width varies between cases (Case 6 is narrower, so "The / architecture" wraps), so the value column's left edge shifts from table to table.</t>
  </si>
  <si>
    <t xml:space="preserve">Fix the label-column width across all nine tables.</t>
  </si>
  <si>
    <t xml:space="preserve">V59.8</t>
  </si>
  <si>
    <t xml:space="preserve">p. 12 · Real-world bullets</t>
  </si>
  <si>
    <t xml:space="preserve">The "→" arrows fall back to DejaVu Serif (a slightly different weight from Lora).</t>
  </si>
  <si>
    <t xml:space="preserve">Use a body font with the arrow, or set the arrow in the same fallback everywhere.</t>
  </si>
  <si>
    <t xml:space="preserve">V59.9</t>
  </si>
  <si>
    <t xml:space="preserve">60.1</t>
  </si>
  <si>
    <t xml:space="preserve">§60.1 "Once the warehouse is Postgres"; Fig 60.3 "Warehouse (Postgres + Delta)"</t>
  </si>
  <si>
    <t xml:space="preserve">Part V's warehouse is a DuckDB file (duckdb.connect("warehouse/riverstone_wh.duckdb"), Ch 45 L171; same in Ch 46, 47). Postgres is the ERP source database (Ch 45, Ch 52 riverstone_source). The Delta sensor archive lives in object storage (Ch 49 L549). A reader who built Part V will not recognise this container. The error spreads to Ch 61 (Postgres read replicas, "single primary database") and Ch 63 (Fig 63.2).</t>
  </si>
  <si>
    <t xml:space="preserve">Rename the container "Warehouse (DuckDB: raw/staging/modeled tables) + sensor archive (Delta table in object storage)". In §60.1 point 2, change "Once the warehouse is Postgres … has to work with Postgres" to "Once the warehouse is DuckDB, every later choice (BI connector, orchestrator, the language pipelines are written in) has to work with DuckDB". If the author wants a Postgres warehouse in Part VII, add an explicit ADR row ("ADR-0xx: move the warehouse from DuckDB to managed Postgres") and one sentence in §60.5 explaining when and why. Then keep Ch 61 and Ch 63 consistent with whichever choice is made.</t>
  </si>
  <si>
    <t xml:space="preserve">60.2</t>
  </si>
  <si>
    <t xml:space="preserve">§60.3 / §60.5 NFR "Orders no more than 2 hours stale … hourly (Ch 47)"</t>
  </si>
  <si>
    <t xml:space="preserve">Chapter 47's freshness checks use 48-hour thresholds (L473–475), and its story fixes the dashboard at "more than 24 hours old on a working day" (L908). The Part V pipeline runs once a day at 06:30 (Ch 46 L343). A 2-hour freshness during business hours is impossible on that design, yet the table attributes it to Ch 47. Ch 61 repeats the 2-hour figure as its "bounded staleness" example.</t>
  </si>
  <si>
    <t xml:space="preserve">Either (a) make the NFR honest to Part V: "Orders no more than 24 hours old on a working day; checked by Chapter 47's freshness check after the 06:30 run". Or (b) keep 2 hours as a *new* target and say so: "Today's pipeline runs daily (Ch 46), so this NFR is not met yet; meeting it needs hourly ingestion. See Risks." Then add a fourth bullet to Risks. Change the §60.3 bullet (L254–255) to match. Also fix Ch 61 Figure 61.2 and the bounded-staleness table row.</t>
  </si>
  <si>
    <t xml:space="preserve">60.3</t>
  </si>
  <si>
    <t xml:space="preserve">§60.3 Fig 60.4 and §60.5 "within 10 minutes of the 06:00 ERP load finishing"</t>
  </si>
  <si>
    <t xml:space="preserve">Three different Flash timings in the book. Ch 20: Flash at 07:30 IST, after an overnight ERP load (L559, L565). Ch 46: Dagster schedule 06:30 (L343). Here: 06:00 + 10 minutes. Ch 61 then shows "as of 06:14".</t>
  </si>
  <si>
    <t xml:space="preserve">Pick one timeline and use it in Ch 60, 61 and 63. Suggested: "ERP load finishes overnight; the 06:30 Dagster run (Ch 46) ingests it; the Flash is sent by 07:30 IST (Ch 20)". Rewrite the NFR as "Flash sent by 07:30 IST on working days, p95 over the month, and only after its four checks pass (Ch 20); measured from the run log timestamp." Change Ch 61's "as of 06:14" to "as of 06:35" (matches the Ch 47 banner).</t>
  </si>
  <si>
    <t xml:space="preserve">60.4</t>
  </si>
  <si>
    <t xml:space="preserve">§60.3 "p95" (Fig 60.4, template, NFR table, Recap)</t>
  </si>
  <si>
    <t xml:space="preserve">"p95" appears six times and is never defined. Ch 56 mentions the "95th percentile" once in passing (L318). A first-time reader can't turn "p95 latency under 200ms" into anything checkable.</t>
  </si>
  <si>
    <t xml:space="preserve">At first use (Fig 60.4) add a boxed definition with a worked example. "p95 (95th percentile): sort all the measurements; p95 is the value that 95% of them are at or below. If the Flash went out 3, 4, 4, 5, … 12 minutes after the load on 20 working days, sort the 20 values; p95 is the 19th. Using p95 instead of the average means one bad day can't hide, and one freak day doesn't fail the month." Add "p95 / percentile latency" to Key terms.</t>
  </si>
  <si>
    <t xml:space="preserve">60.5</t>
  </si>
  <si>
    <t xml:space="preserve">§60.3 / §60.5 "99.5% of scheduled runs succeed … measured monthly"</t>
  </si>
  <si>
    <t xml:space="preserve">Arithmetic makes this NFR untestable as stated. The daily job gives about 22–30 runs a month, so one failure = 96.7% (1/30) and the target allows zero failures a month. Over a year (365 runs) 99.5% allows about 1.8 failures. The "Watch out" then calls it "99.5% uptime", mixing up run success rate and uptime.</t>
  </si>
  <si>
    <t xml:space="preserve">Show the arithmetic in the text: "Riverstone's pipeline runs once a day, about 30 times a month, so one failed run is 3.3%. A monthly 99.5% target means no failures at all." Rewrite the NFR as a count: "At most 2 runs a year need manual intervention; counted monthly from Dagster run history". Or define the unit as asset-runs (assets × days) and give the count. In the Watch-out, change "99.5% uptime" to "a 99.5% run-success target".</t>
  </si>
  <si>
    <t xml:space="preserve">60.6</t>
  </si>
  <si>
    <t xml:space="preserve">§60.3 "99.9% is about 8.75 hours"; Ex 11 "Using the 'nines' table"</t>
  </si>
  <si>
    <t xml:space="preserve">365 × 24 × 0.001 = 8.76 h (8.77 h with 365.25 days), not 8.75. There is no "nines table", only a bullet. Exercise 11 asks for values already printed in the text, so it tests reading, not calculating. The chapter's own NFR (99.5%) is never converted.</t>
  </si>
  <si>
    <t xml:space="preserve">Correctness / Load</t>
  </si>
  <si>
    <t xml:space="preserve">Replace the bullet with a small table: availability → downtime per year / per month / per week. 99% → 87.6 h (3.65 d) / 7.3 h / 1.68 h; 99.5% → 43.8 h / 3.65 h / 50 min; 99.9% → 8.76 h / 43.8 min / 10.1 min; 99.99% → 52.6 min / 4.4 min / 1.0 min. Work one row by hand first: "a year has 365 × 24 × 60 = 525,600 minutes; 0.1% of that is 525.6 minutes ≈ 8.76 hours". Rewrite Ex 11: "Calculate the downtime allowed per month at 99.5% and 99.95%" (answers 3.65 h and 21.9 min) and fix answer 11's 8.75 → 8.76.</t>
  </si>
  <si>
    <t xml:space="preserve">60.7</t>
  </si>
  <si>
    <t xml:space="preserve">§60.5 NFR "No order auto-loads without either high extraction confidence or human confirmation"</t>
  </si>
  <si>
    <t xml:space="preserve">The "either … or" allows an order to auto-load on high confidence alone. That is straight-through processing, which ADR-021 and Ch 58 reject (19% silent error rate; assisted mode means every draft is confirmed). It is also not a number, which breaks the chapter's own §60.3 rule.</t>
  </si>
  <si>
    <t xml:space="preserve">Rewrite: "Precise form: no order is written to the ERP without a named person confirming it (assisted mode, Ch 58); orders over ₹100,000 also need approval. Measured how: daily count of ERP writes with no confirmer ID = 0; weekly sample of 20 confirmed orders checked against their emails."</t>
  </si>
  <si>
    <t xml:space="preserve">60.8</t>
  </si>
  <si>
    <t xml:space="preserve">§60.4 "had accumulated fourteen"; Fig 60.5 "Accepted, 18 Sep 2026"; story "fourteen ADRs"</t>
  </si>
  <si>
    <t xml:space="preserve">The ADR index lists ADR-018, 021, 023 and 026, so at least 26 exist, yet the text twice says fourteen. ADR-014 is dated 18 Sep 2026, but the design document is "early 2026" and the story has ADR-026 written in Jan–Mar 2026. A higher number would carry an earlier date, although ADR numbers are sequential.</t>
  </si>
  <si>
    <t xml:space="preserve">Make it consistent. Change "fourteen" → "twenty-six" in §60.4 and in the story's last paragraph ("twenty-six ADRs"). Re-date ADR-014 to a date before early 2026, e.g. "Accepted, 14 Nov 2025" (after the Ch 49 incident). Give ADR-026 a Feb 2026 date if it's shown anywhere. Change "by the time Chapter 60's design document was written" → "by the time this design document was written".</t>
  </si>
  <si>
    <t xml:space="preserve">60.9</t>
  </si>
  <si>
    <t xml:space="preserve">Story item 1 "She wrote ADR-026 first … actively causing wrong data"</t>
  </si>
  <si>
    <t xml:space="preserve">Chapter 51's story already fixed this. PUT → PATCH, a named system of record per field, and reconciliation were "exactly this chapter's checklist" (Ch 51 L595–597). So in 2026 it can't be "the one inconsistency actively causing wrong data" that Meera fixes "in a week".</t>
  </si>
  <si>
    <t xml:space="preserve">Rewrite item 1. "She wrote ADR-026 first: it recorded the rule Chapter 51's incident had produced (PATCH only, one system of record per field), which until then lived only in a small internal document, and she extended it to every container that writes to the CRM." Alternatively, choose a different live inconsistency, e.g. the undocumented retry difference named in item 3.</t>
  </si>
  <si>
    <t xml:space="preserve">60.10</t>
  </si>
  <si>
    <t xml:space="preserve">Story "Two of them wrote to the ERP through different paths"; "CRM segment sync from Chapter 51"</t>
  </si>
  <si>
    <t xml:space="preserve">In Figure 60.3 only PO-intake writes to the ERP; the reverse-ETL sync writes to the CRM. The "CRM segment sync" (Ch 51 story) is not one of the eight containers, so the diagram the reader just studied does not show what the story describes.</t>
  </si>
  <si>
    <t xml:space="preserve">Either change to "Two jobs wrote to the CRM (the lead-score sync and Chapter 51's segment sync) with different retry logic", or name the second ERP writer and add it to Figure 60.3. Also relabel the Reverse-ETL container "Reverse-ETL syncs (lead scores, segments)" so the segment sync is visible.</t>
  </si>
  <si>
    <t xml:space="preserve">60.11</t>
  </si>
  <si>
    <t xml:space="preserve">§60.2 "four AI-adjacent containers … four data-platform containers from Part V"</t>
  </si>
  <si>
    <t xml:space="preserve">The reverse-ETL sync (Ch 51, Part V) uses no AI. "BI &amp; Flash" is Part II (Ch 16, 20), not Part V. The same labels come back in §60.5 ("The four AI-adjacent containers are independent"), Ex/Answer 12, and Ch 61 finding 1 ("both AI-adjacent containers … the reverse-ETL sync, and indirectly the flash").</t>
  </si>
  <si>
    <t xml:space="preserve">Relabel as "three AI containers (defect model, support assistant, PO-intake) and five data containers (ingestion, warehouse, semantic layer, BI &amp; Flash, reverse-ETL sync)". Update the §60.5 bullet, Exercise 12 and Answer 12, and Ch 61 §61.7 finding 1.</t>
  </si>
  <si>
    <t xml:space="preserve">60.12</t>
  </si>
  <si>
    <t xml:space="preserve">Story item 2 "migrating the lower-traffic one (the defect model) first"</t>
  </si>
  <si>
    <t xml:space="preserve">The defect model scores every part "at line speed" (NFR row), which makes it the busier service. §60.5 Risks calls both "two low-traffic models". Answer 15 repeats "not the busier support assistant".</t>
  </si>
  <si>
    <t xml:space="preserve">Base the choice on risk, not traffic: "migrating the lower-risk one first — the defect model, because if it failed the line already had a documented manual-sampling fallback (see Ch 61, Figure 61.4)". Fix Answer 15 the same way.</t>
  </si>
  <si>
    <t xml:space="preserve">60.13</t>
  </si>
  <si>
    <t xml:space="preserve">§60.5 "PO-intake pipeline (a Dagster asset) picks up the email within its polling interval"</t>
  </si>
  <si>
    <t xml:space="preserve">Ch 58 built PO-intake as a standalone script reading a folder that stands in for the mailbox (Ch 58 L163–164). It is not a Dagster asset. Ch 63 §63.5 then calls the same pipeline event-driven ("reacting to an arriving email").</t>
  </si>
  <si>
    <t xml:space="preserve">Say "picks up new emails every 5 minutes (polling)". Add one sentence defining polling ("checking the mailbox on a timer, instead of being notified"). If running it inside Dagster is part of the design, list it as a decision in the ADR index. Align Ch 63 §63.5.</t>
  </si>
  <si>
    <t xml:space="preserve">60.14</t>
  </si>
  <si>
    <t xml:space="preserve">"Before you start … each piece is reintroduced in one line before it's used"</t>
  </si>
  <si>
    <t xml:space="preserve">That promise isn't kept for idempotency (L375, L408), system of record (L319, L375), reconciliation (L376), shadow mode (L447), time travel (L279), PATCH/PUT (L395), RAG, FastAPI, delta-rs, UML (L195), greenfield (L434), SLA (Answer 16), on-call (Answer 11).</t>
  </si>
  <si>
    <t xml:space="preserve">Add a one-clause gloss with a chapter pointer at first use of each. For example: "idempotency key (Ch 45, Ch 58): a value built from the source email, so writing the same order twice creates only one", "shadow mode (Ch 56): the new version scores real traffic beside the old one, but only the old one's answer is used", "greenfield: a brand-new system with nothing already running", "UML class diagram: a standard drawing of a program's classes and how they relate".</t>
  </si>
  <si>
    <t xml:space="preserve">60.15</t>
  </si>
  <si>
    <t xml:space="preserve">Before you start "assumes you've read enough of the book"</t>
  </si>
  <si>
    <t xml:space="preserve">There's no concrete prerequisite list (the spine shows "—"). Ch 61–63 list theirs.</t>
  </si>
  <si>
    <t xml:space="preserve">Replace with "Chapters 16 and 20 (dashboards, the Daily Sales Flash), 45–47 (ingestion, Dagster, quality), 49 (Delta), 51 (reverse ETL), 52 (cloud region), 55–58 (assistant, MLOps, PO-intake)", each with its one needed fact.</t>
  </si>
  <si>
    <t xml:space="preserve">60.16</t>
  </si>
  <si>
    <t xml:space="preserve">Fig 60.5 ADR-014 "Iceberg — rejected only because … no existing Java/Spark operational experience"</t>
  </si>
  <si>
    <t xml:space="preserve">This contradicts Part V. The team runs Spark in Ch 48 and Ch 50, Ch 49 notes PyIceberg needs no JVM (L627), and Ch 49 Answer 12 gives the real reason: "Delta, because the team already uses Spark and Python, deltalake needs no extra services, and the tables are read mostly by DuckDB and Spark."</t>
  </si>
  <si>
    <t xml:space="preserve">Rewrite alternative (2): "Apache Iceberg (PyIceberg) — comparable guarantees; rejected because it needs a separate catalog service, while deltalake needs none and our readers (DuckDB, Spark) already read Delta (Ch 49)."</t>
  </si>
  <si>
    <t xml:space="preserve">60.17</t>
  </si>
  <si>
    <t xml:space="preserve">Fig 60.5 "leaving the archive in a partly-corrected, unrecoverable state for two days"</t>
  </si>
  <si>
    <t xml:space="preserve">Ch 49's story says the archive *was* recovered, in two days, from object-storage versioning. "Unrecoverable … for two days" contradicts itself.</t>
  </si>
  <si>
    <t xml:space="preserve">Replace with "leaving the archive partly corrected (11 days fixed, 8 missing, 23 uncorrected); recovery took two days." Keep "19.8M+ rows" (✓ Ch 48: 19,872,000).</t>
  </si>
  <si>
    <t xml:space="preserve">60.18</t>
  </si>
  <si>
    <t xml:space="preserve">Tools "Michael Nygard's original ADR format (the one this chapter uses)"; Fig 60.5 "Owner" row</t>
  </si>
  <si>
    <t xml:space="preserve">Nygard's format has Title, Status, Context, Decision, Consequences, and no "Alternatives considered". The chapter's "six parts" add Alternatives, and Figure 60.5 adds a seventh row (Owner) that isn't in the six-part list.</t>
  </si>
  <si>
    <t xml:space="preserve">Change to "adapted from Michael Nygard's format, with an added Alternatives-considered section". Either add "7. Owner and revisit trigger" to the list of parts (and to Answer 4 and adr-template.md) or remove the Owner row from the figure.</t>
  </si>
  <si>
    <t xml:space="preserve">60.19</t>
  </si>
  <si>
    <t xml:space="preserve">Fig 60.3 container diagram (extract shows no arrow labels)</t>
  </si>
  <si>
    <t xml:space="preserve">The text says "This is the level where 'what talks to what, and how' gets decided" and "Every arrow in the container diagram is a real, traceable step". The extracted figure shows boxes and a shared-services band but no arrows or labels between containers (Figure 60.2's arrow labels do extract). If there are no arrows, the diagram fails its own test.</t>
  </si>
  <si>
    <t xml:space="preserve">Diagram</t>
  </si>
  <si>
    <t xml:space="preserve">Check the PDF figure. Make sure labelled arrows show the traced path: email → PO-intake → ERP → Ingestion → Warehouse → Semantic layer → BI &amp; Flash / Reverse-ETL → CRM, plus Sensors → Ingestion and Documents → Support assistant. Show the external systems at the edge, greyed. Number the arrows 1–6 to match the §60.5 trace.</t>
  </si>
  <si>
    <t xml:space="preserve">60.20</t>
  </si>
  <si>
    <t xml:space="preserve">Where this leads "System Design Question Bank (Chapter 77) uses C4-style diagrams and NFR framing"</t>
  </si>
  <si>
    <t xml:space="preserve">Chapter 77 is "Data Engineering &amp; Data System Design Bank" and never mentions C4, NFRs or ADRs. "C4 diagram" and "ADR" are key terms of Chapter 80 (Architecture &amp; Leadership Question Bank).</t>
  </si>
  <si>
    <t xml:space="preserve">Change to "the Architecture &amp; Leadership Question Bank (Chapter 80) asks for C4 diagrams and ADRs directly; Chapter 77's system-design questions are answered with this chapter's NFR method."</t>
  </si>
  <si>
    <t xml:space="preserve">60.21</t>
  </si>
  <si>
    <t xml:space="preserve">Why this matters "the orchestrator's nightly run … at 6:03 a.m."</t>
  </si>
  <si>
    <t xml:space="preserve">Ch 46's run is scheduled at 06:30, not nightly, so a 6:03 collision doesn't fit.</t>
  </si>
  <si>
    <t xml:space="preserve">Change to "the orchestrator's 06:30 run and the PO-intake pipeline's every-few-minutes run both want to write to the same order table at 6:31 a.m." (or align with whatever timeline 60.3 settles on).</t>
  </si>
  <si>
    <t xml:space="preserve">60.22</t>
  </si>
  <si>
    <t xml:space="preserve">§60.2 "reads orders from the ERP and Zoho"</t>
  </si>
  <si>
    <t xml:space="preserve">In Figure 60.2, Zoho supplies leads and segments, not orders.</t>
  </si>
  <si>
    <t xml:space="preserve">"reads orders from the ERP, leads from Zoho, sensor data from the plant …".</t>
  </si>
  <si>
    <t xml:space="preserve">60.23</t>
  </si>
  <si>
    <t xml:space="preserve">§60.3 bullet "Consistency and freshness — 'how stale can this number be'"</t>
  </si>
  <si>
    <t xml:space="preserve">Here "consistency" means freshness. Chapter 61 immediately uses "consistency" in the CAP sense (every reader sees the latest write). The same word with two meanings two chapters apart will confuse.</t>
  </si>
  <si>
    <t xml:space="preserve">Title the bullet "Freshness (how stale can this number be?)". Add: "Chapter 61 uses the word consistency in a narrower, technical sense."</t>
  </si>
  <si>
    <t xml:space="preserve">60.24</t>
  </si>
  <si>
    <t xml:space="preserve">Fig 60.4 / template "Handles 5x current order volume with no schema change"</t>
  </si>
  <si>
    <t xml:space="preserve">"No schema change" doesn't test scale; it says nothing about speed or cost at 5×.</t>
  </si>
  <si>
    <t xml:space="preserve">"At 5× today's order volume (synthetic test data), the 06:30 run still finishes by 07:15 and the sales dashboard's first view loads in under 3 s (p95)."</t>
  </si>
  <si>
    <t xml:space="preserve">60.25</t>
  </si>
  <si>
    <t xml:space="preserve">§60.5 NFR "Platform cost under ₹0.50 per 1,000 order lines"</t>
  </si>
  <si>
    <t xml:space="preserve">Chapter 65 deliberately shows this target is 4,365× too low (₹2,182.58 actual). That payoff is good. But a reader can already see it is implausible: Riverstone has about 70,000 order lines a year (209,006 over 2023–25, Ch 14), so the budget would be about ₹35 a year.</t>
  </si>
  <si>
    <t xml:space="preserve">Consistency (planted)</t>
  </si>
  <si>
    <t xml:space="preserve">Keep it for Ch 65's reveal, but make the seed deliberate. Add to Risks: "The cost ceiling was set top-down and has never been priced bottom-up (Chapter 65 does this)." That keeps the Ch 65 lesson and stops attentive readers thinking it's a typo.</t>
  </si>
  <si>
    <t xml:space="preserve">60.26</t>
  </si>
  <si>
    <t xml:space="preserve">§60.6 mistakes table "Resume-driven design", "The big-bang rewrite"</t>
  </si>
  <si>
    <t xml:space="preserve">These two key terms are defined only inside a table row, yet they are named in "You will learn to" and Key terms.</t>
  </si>
  <si>
    <t xml:space="preserve">Add one sentence each in §60.6 prose with a Riverstone example. For instance: "Resume-driven design is adopting a tool because it's exciting to learn (a Kafka cluster for a daily report), not because the current one failed."</t>
  </si>
  <si>
    <t xml:space="preserve">60.27</t>
  </si>
  <si>
    <t xml:space="preserve">V60.1</t>
  </si>
  <si>
    <t xml:space="preserve">p. 7 · Figure 60.3 (container diagram)</t>
  </si>
  <si>
    <t xml:space="preserve">Box titles are wider than their boxes and clipped: "Semantic layer (dbt-style model)" loses its first and last characters. "Warehouse (Postgres + Delta)" and "Defect model service (FastAPI)" run edge to edge.</t>
  </si>
  <si>
    <t xml:space="preserve">Widen the boxes or wrap the titles to two lines, and redraw at 7 pt or more.</t>
  </si>
  <si>
    <t xml:space="preserve">V60.2</t>
  </si>
  <si>
    <t xml:space="preserve">p. 6 · Figure 60.2 (context diagram)</t>
  </si>
  <si>
    <t xml:space="preserve">The actor names ("Branch manager", "Customer", "Sales &amp; ops staff", "Data &amp; analytics team") are printed across the dark-grey person icons, bold dark text on dark grey. The ERP "orders" arrow starts and ends inside the ERP box and never reaches the platform box, though the note under the figure says "every arrow crosses its boundary".</t>
  </si>
  <si>
    <t xml:space="preserve">Put the names below the icons, and draw the ERP arrow from the ERP box to the platform box.</t>
  </si>
  <si>
    <t xml:space="preserve">V60.3</t>
  </si>
  <si>
    <t xml:space="preserve">p. 5–9 · Figures 60.1–60.5</t>
  </si>
  <si>
    <t xml:space="preserve">Figure text is 4.2–6.9 pt. The ADR in Fig 60.5 (a full written record meant to be read) is 5.4–5.6 pt.</t>
  </si>
  <si>
    <t xml:space="preserve">Redraw at 7 pt or more; consider setting the ADR as a normal table or boxed text.</t>
  </si>
  <si>
    <t xml:space="preserve">V60.4</t>
  </si>
  <si>
    <t xml:space="preserve">p. 6 · Page break</t>
  </si>
  <si>
    <t xml:space="preserve">p. 6 ends at 62% ("…a separately runnable unit."): Fig 60.3 did not fit and moved to p. 7.</t>
  </si>
  <si>
    <t xml:space="preserve">Float the figure, or pull the next paragraphs up.</t>
  </si>
  <si>
    <t xml:space="preserve">V60.5</t>
  </si>
  <si>
    <t xml:space="preserve">p. 10→11 · Table "Non-functional" requirements</t>
  </si>
  <si>
    <t xml:space="preserve">The header and a single row ("Freshness") sit at the foot of p. 10; the other seven rows are on p. 11 (header repeated).</t>
  </si>
  <si>
    <t xml:space="preserve">Keep with next / move the table start to p. 11.</t>
  </si>
  <si>
    <t xml:space="preserve">V60.6</t>
  </si>
  <si>
    <t xml:space="preserve">"Approved chapter v1", "Approved 19 September 2026", and "Built on Parts II, V and VI's real systems and decisions" are visible, a different label scheme from Ch55–59 ("Draft chapter" + counts).</t>
  </si>
  <si>
    <t xml:space="preserve">Remove for print, or standardize across chapters.</t>
  </si>
  <si>
    <t xml:space="preserve">V60.7</t>
  </si>
  <si>
    <t xml:space="preserve">V60.8</t>
  </si>
  <si>
    <t xml:space="preserve">p. 11–12 · ADR index tables</t>
  </si>
  <si>
    <t xml:space="preserve">The narrow first column breaks the IDs: "ADR-" / "002", "ADR-" / "007"… The "Chapter" numbers sit left-aligned in a very wide column.</t>
  </si>
  <si>
    <t xml:space="preserve">Widen col 1 to fit "ADR-018" (no-wrap), narrow the Chapter column and right-align it.</t>
  </si>
  <si>
    <t xml:space="preserve">V60.9</t>
  </si>
  <si>
    <t xml:space="preserve">p. 17 · "You've got it when…"</t>
  </si>
  <si>
    <t xml:space="preserve">Wrapped checklist items return to column 0 under the checkbox.</t>
  </si>
  <si>
    <t xml:space="preserve">Hang-indent the item text.</t>
  </si>
  <si>
    <t xml:space="preserve">V60.10</t>
  </si>
  <si>
    <t xml:space="preserve">p. 5, 9 · Figures 60.1, 60.5</t>
  </si>
  <si>
    <t xml:space="preserve">The boxes are two to three times taller than their text (Fig 60.1's cards, the ADR frame), leaving large empty bands inside the figures.</t>
  </si>
  <si>
    <t xml:space="preserve">Size the boxes to their content; use the space to enlarge the text.</t>
  </si>
  <si>
    <t xml:space="preserve">V60.11</t>
  </si>
  <si>
    <t xml:space="preserve">p. 19 · Exercises</t>
  </si>
  <si>
    <t xml:space="preserve">V60.12</t>
  </si>
  <si>
    <t xml:space="preserve">V60.13</t>
  </si>
  <si>
    <t xml:space="preserve">The accent rule overlaps "GOVERNANCE" in the kicker.</t>
  </si>
  <si>
    <t xml:space="preserve">61.1</t>
  </si>
  <si>
    <t xml:space="preserve">§61.2 "Chapter 51's idempotency-key discipline exists precisely to make this safe"</t>
  </si>
  <si>
    <t xml:space="preserve">Idempotency is used in Fig 61.1 and §61.2 (L119) but defined only in §61.6 (L350). The chapter credits are wrong: ERP order-write idempotency is Ch 58 (source_email … UNIQUE -- the idempotency key, Ch 58 L182), Ch 51 is CRM writes, and Ch 45 is idempotent *loads* (upserts), not "Chapter 45's on ERP order writes" (L354–355).</t>
  </si>
  <si>
    <t xml:space="preserve">At first use in §61.2 add a one-line definition: "idempotent: doing it twice has the same effect as doing it once — Chapter 58's pipeline uses the source email as a key, so a retried write can't create a second order". Fix the refs: Fig 61.1 "(Ch 51)" → "(Ch 58)"; §61.2 "Chapter 51's idempotency-key discipline" → "Chapter 58's idempotency key (one email, one order)"; §61.6 → "Chapter 45's idempotent loads, Chapter 51's idempotency keys on CRM writes, and Chapter 58's on ERP order writes". Keep §61.6 as the full treatment and point back to §61.2.</t>
  </si>
  <si>
    <t xml:space="preserve">61.2</t>
  </si>
  <si>
    <t xml:space="preserve">§61.5 / Fig 61.3 "Sharding … Warehouse partitioned by reading_date (Ch 49)"</t>
  </si>
  <si>
    <t xml:space="preserve">Partitioning is taught as sharding. Ch 48/49 split the sensor archive into date folders in one storage location, read by one engine. Sharding means placing those pieces on *different machines*, each serving its own part. Readers will give the wrong answer in interviews (Ch 80) and in design reviews.</t>
  </si>
  <si>
    <t xml:space="preserve">Define both terms. "Partitioning (Ch 48): splitting one table into pieces by a key, e.g. one folder per reading_date. Sharding: putting those pieces on different servers, so each server stores and answers for only its share." Give an honest Riverstone example: "Riverstone doesn't shard yet; the archive is partitioned, not sharded. It would become sharding if Taloja's and Chakan's readings were served by two separate databases." Update the Figure 61.3 box and Answer 9.</t>
  </si>
  <si>
    <t xml:space="preserve">61.3</t>
  </si>
  <si>
    <t xml:space="preserve">Fig 61.3 "Postgres read replicas for BI queries"; Fig 61.4 "Warehouse (Postgres+Delta) — Single primary database"</t>
  </si>
  <si>
    <t xml:space="preserve">No read replicas are built anywhere in the book, and Part V's warehouse is a DuckDB file (Ch 45 L171). If BI read replicas existed, a primary failure would not be "total outage for the platform" for reads, so Figure 61.3 contradicts Figure 61.4.</t>
  </si>
  <si>
    <t xml:space="preserve">Replace the replication example with one the reader built: Ch 52's Kubernetes Deployment replicas: 2 for the pipeline container (Ch 52 L330, L402), and object-storage versioning of the sensor archive (Ch 49 story). Relabel the warehouse row "Warehouse (DuckDB file + Delta archive) — one file on one machine". Keep the SPOF finding, which is now even clearer. See 60.1.</t>
  </si>
  <si>
    <t xml:space="preserve">61.4</t>
  </si>
  <si>
    <t xml:space="preserve">Fig 61.1 "if the warehouse is a few minutes stale, show yesterday's number"</t>
  </si>
  <si>
    <t xml:space="preserve">A stale refresh isn't a network partition. It also says "a few minutes stale" and then "yesterday's number". The figure is meant to teach CAP, but this example teaches caching.</t>
  </si>
  <si>
    <t xml:space="preserve">Use a real partition: "the BI service can't reach the warehouse (Chapter 52's deleted network rule is exactly this) → show the last imported data with the Chapter 47 banner 'Data current to 7 Jan, 06:35' instead of an error". Use the same wording in §61.2.</t>
  </si>
  <si>
    <t xml:space="preserve">61.5</t>
  </si>
  <si>
    <t xml:space="preserve">§61.3–61.4 "Postgres, single transaction … order and its line items commit together"</t>
  </si>
  <si>
    <t xml:space="preserve">CAP's C (every reader of any copy sees the latest write) is mixed up with transaction atomicity (ACID, taught around Ch 12/45/49): "commit together or not at all" is atomicity. There is no warning that "consistency" means different things in ACID and in CAP, and a single-node database has no replicas to disagree.</t>
  </si>
  <si>
    <t xml:space="preserve">Add a Watch-out box in §61.2: "'Consistency' has three meanings in this book. ACID's C: rules like 'every line belongs to an order' always hold. CAP's C: every reader, whichever copy they hit, sees the latest write. Chapter 60's freshness: how old the data may be." Change the Strong row example to "an order confirmed in the ERP database (one primary, no replicas): the next read anywhere sees it", and move "commit together" to a separate atomicity note.</t>
  </si>
  <si>
    <t xml:space="preserve">61.6</t>
  </si>
  <si>
    <t xml:space="preserve">§61.4 table "Snapshot / read-your-writes … Delta Lake's time travel"</t>
  </si>
  <si>
    <t xml:space="preserve">Two different guarantees share one row. Time travel is a feature; the consistency model is snapshot isolation. Read-your-writes gets no example.</t>
  </si>
  <si>
    <t xml:space="preserve">Split into two rows. "Snapshot: every query sees one committed version, never a half-written one — Delta Lake (Ch 49)." "Read-your-writes: after you save a change, *you* see it immediately even if others don't yet — the PO coordinator sees an order she just confirmed at once, though the dashboard picks it up at the next run." Add both terms to Key terms (only "snapshot isolation" is there now).</t>
  </si>
  <si>
    <t xml:space="preserve">61.7</t>
  </si>
  <si>
    <t xml:space="preserve">§61.7 finding 2 "The PO-intake pipeline and, in a different way, the support assistant … chose consistency"</t>
  </si>
  <si>
    <t xml:space="preserve">The support assistant refusing a low-scoring answer is grounding / graceful degradation (§61.6), not a CAP choice: there is no partition and no replicas. Calling it CAP undoes the precise definition built in §61.2.</t>
  </si>
  <si>
    <t xml:space="preserve">Reword: "Two containers fail safe on purpose. The PO-intake pipeline makes a genuine CAP choice (consistency over availability when the ERP link drops). The support assistant makes a graceful-degradation choice (§61.6): it refuses rather than guess. Different mechanisms, same instinct."</t>
  </si>
  <si>
    <t xml:space="preserve">61.8</t>
  </si>
  <si>
    <t xml:space="preserve">§61.7 finding 1 "both AI-adjacent containers … (the reverse-ETL sync, and indirectly the flash)"</t>
  </si>
  <si>
    <t xml:space="preserve">Neither the reverse-ETL sync nor the Flash is AI. Also, "Every other container either has no persistent state to lose" is untrue: the PO-intake exception queue holds state.</t>
  </si>
  <si>
    <t xml:space="preserve">"…and both downstream writers that depend on fresh data (the reverse-ETL sync and the Flash) stop being trustworthy." Change "has no persistent state" → "keeps its state somewhere that survives (the exception queue, the run log)". Align with 60.11.</t>
  </si>
  <si>
    <t xml:space="preserve">61.9</t>
  </si>
  <si>
    <t xml:space="preserve">Story "couldn't confirm the order against the CRM's account status check"; "anticipated … since Chapter 51"</t>
  </si>
  <si>
    <t xml:space="preserve">Ch 58's pipeline (read/extract/parse/validate/decide/write/report) has no CRM dependency; credit hold is a policy rule inside Decide (Ch 58 L301). The exception-queue category can't date "since Chapter 51" (Ch 51 is reverse ETL). §61.2 and the table give the weakest link as the ERP link or "CRM/ERP network link". Three different accounts.</t>
  </si>
  <si>
    <t xml:space="preserve">Add one establishing sentence in §61.2 or §61.7: "Since the credit-hold rule went live, the Decide stage looks up each customer's credit-hold flag in the CRM (the flag Chapter 51's sync writes)". Set the table's weakest link to "CRM lookup (credit hold) and ERP write link". Change "since Chapter 51" → "since the credit-hold check was added (Chapter 58's Policy class)".</t>
  </si>
  <si>
    <t xml:space="preserve">61.10</t>
  </si>
  <si>
    <t xml:space="preserve">Story "logging each failure without escalating — exactly as ADR-026 (Chapter 60) intended"</t>
  </si>
  <si>
    <t xml:space="preserve">ADR-026 is "PATCH only, one system of record per field". It says nothing about retries or escalation.</t>
  </si>
  <si>
    <t xml:space="preserve">Cite what actually governs the behaviour: "exactly as its runbook (Chapter 46, §46.10) says: CRM write failures are warnings, sent to the weekly digest (Chapter 47), not pages". Or add a new ADR to Chapter 60's index ("ADR-027: reverse-ETL failures retry on the next run, no page").</t>
  </si>
  <si>
    <t xml:space="preserve">61.11</t>
  </si>
  <si>
    <t xml:space="preserve">§61.4 code block (simulation)</t>
  </si>
  <si>
    <t xml:space="preserve">This is the only code in the chapter, and there is no line-by-line explanation (the book's standard, e.g. Ch 57's "Line by line:"). It packs random.Random(seed), rng.choice over a repeated list (giving probabilities), enumerate(..., start=1), tuple unpacking, sorting tuples (by tick, then replica, then write id), a sentinel state (None, 0), an index-pointer while loop, a list comprehension, set() to test agreement, the f-string :&gt;2, and sum(1 for …) into one 27-line block.</t>
  </si>
  <si>
    <t xml:space="preserve">Split into three cells with output after each. (1) Build deliveries and print(deliveries[:6]); explain that delay choices give P(0)=1/7, P(1)=2/7, P(2)=1/7, P(3)=2/7, P(6)=1/7, and why the fixed seed makes the output reproducible. (2) The tick loop. Explain the while pointer, the rule if write_id &gt; state[...][1] ("highest version wins — a version-number form of last-write-wins"), and why the loop runs to last_tick + 3; print ticks 0–3. (3) The summary lines. Explain len(set(values)) == 1 and the generator in sum. Note that tick 0 counts as "agree" only because all three replicas are still empty (None).</t>
  </si>
  <si>
    <t xml:space="preserve">61.12</t>
  </si>
  <si>
    <t xml:space="preserve">§61.4 "For ten straight ticks, at least one replica is behind"</t>
  </si>
  <si>
    <t xml:space="preserve">The output shows ticks 1–11 disagreeing, which is 11 ticks. The chapter's own summary line prints "11 of 15" and the timed-challenge answer says 11.</t>
  </si>
  <si>
    <t xml:space="preserve">Change "ten" → "eleven" ("For eleven straight ticks (1–11)…").</t>
  </si>
  <si>
    <t xml:space="preserve">61.13</t>
  </si>
  <si>
    <t xml:space="preserve">Timed challenge Level 3 answer "convergence generally takes at least as long, and often a bit longer"</t>
  </si>
  <si>
    <t xml:space="preserve">Re-running with num_replicas=5: seed 61 converges at tick 11 (7 ticks of disagreement), *faster* than 3 replicas (tick 12, 11 ticks), because the random draws change. Over seeds 1, 2, 3, 7, 42, 61, 100, the convergence tick with 3 replicas is 15, 15, 12, 12, 12, 12, 15; with 5 replicas it is 15, 12, 12, 11, 11, 11, 12. The stated answer is not what the reader will see.</t>
  </si>
  <si>
    <t xml:space="preserve">Rewrite: "Not necessarily, in this simulation. Convergence is set by the slowest delivery of the *last* write (v4). More replicas raise the chance that at least one draws the 6-tick delay: 1 − (6/7)ⁿ, 37% for 3 replicas vs 54% for 5. But with one seed and four writes, the draws change completely, and at the default seed 5 replicas actually converge a tick earlier (11 vs 12). The lesson: judge convergence from many runs, not one."</t>
  </si>
  <si>
    <t xml:space="preserve">61.14</t>
  </si>
  <si>
    <t xml:space="preserve">Bonus answer "will still converge to the final value … last-write-wins happens to handle safely"</t>
  </si>
  <si>
    <t xml:space="preserve">This misses the key case. If the dropped message is the *last* write for some replica, that replica never converges. Dropping write 4 at replica 0 (seed 61) ends at ['v3','v4','v4'], agree = False. That is exactly the "Watch out: eventual consistency is not an excuse to skip reconciliation" lesson.</t>
  </si>
  <si>
    <t xml:space="preserve">Add: "Now drop write 4 instead. That replica is stuck on v3 forever and the system never converges. A lost *final* message is invisible to 'highest version wins'; only a reconciliation job (Chapter 51) or a re-send finds it. This is why 'eventual' needs an active process." Also add this as Stretch exercise 13's first step.</t>
  </si>
  <si>
    <t xml:space="preserve">61.15</t>
  </si>
  <si>
    <t xml:space="preserve">Whole chapter (§61.2, §61.5, Key terms)</t>
  </si>
  <si>
    <t xml:space="preserve">Missing concepts the book relies on later or that the brief expects. (a) "CP vs AP" and "horizontal vs vertical scaling" are key terms in the Ch 80 question bank but are never taught. (b) Quorum and consensus/leader election are absent, yet Figure 61.4 says "no auto-failover yet" and §61.7 recommends a warehouse redundancy investment, and failover needs both ideas.</t>
  </si>
  <si>
    <t xml:space="preserve">(a) In §61.2 add: "Systems that choose consistency during a partition are called CP; those that choose availability, AP. Riverstone's order writes are CP; dashboard reads are AP." (b) In §61.5 add "Scaling up vs scaling out" with Riverstone examples: a bigger machine for the DuckDB warehouse (vertical) vs a second defect-model instance behind a load balancer (horizontal). (c) Add a half-page box, "Who is in charge? Quorum and consensus", with a 3-copy example: a write counts once 2 of 3 copies confirm it (W=2); a read asks 2 of 3 (R=2); because W + R &gt; N (4 &gt; 3), every read overlaps at least one copy holding the latest write. When the primary dies, the survivors must *agree* on a new one (consensus; Raft is the common algorithm). This is what "auto-failover" for the warehouse would need. Add quorum, consensus, leader election, CP/AP, vertical/horizontal scaling to Key terms.</t>
  </si>
  <si>
    <t xml:space="preserve">61.16</t>
  </si>
  <si>
    <t xml:space="preserve">Where this leads "System Design Question Bank (Chapter 77) leans heavily on CAP, PACELC"</t>
  </si>
  <si>
    <t xml:space="preserve">Chapter 77 contains no CAP or PACELC. CAP is Q80-001 in Chapter 80 (Architecture &amp; Leadership Question Bank).</t>
  </si>
  <si>
    <t xml:space="preserve">Change to "the Architecture &amp; Leadership Question Bank (Chapter 80) opens with CAP (Q80-001)…". Consider adding a PACELC question to Ch 80, since this chapter calls PACELC "the genuinely useful addition".</t>
  </si>
  <si>
    <t xml:space="preserve">61.17</t>
  </si>
  <si>
    <t xml:space="preserve">§61.6 "precisely the failure amplification pattern Chapter 46's 'retries hiding bugs' story warned"</t>
  </si>
  <si>
    <t xml:space="preserve">Chapter 46's story is "the Flash that went out twice"; "Retries hide bugs" is a note (Ch 46 L626). Circuit breakers were already built in Chapter 57 (L366; Ex 12 implements one), and this chapter doesn't mention that.</t>
  </si>
  <si>
    <t xml:space="preserve">"…the pattern Chapter 46's note 'retries hide bugs' warned about. Chapter 57 already built a circuit breaker for the LLM provider (after n failures, stop calling for a minute); this is the same idea at platform level."</t>
  </si>
  <si>
    <t xml:space="preserve">61.18</t>
  </si>
  <si>
    <t xml:space="preserve">§61.7 / Figure 61.4 omits Ch 52's real incident</t>
  </si>
  <si>
    <t xml:space="preserve">Chapter 52's story ("the afternoon the warehouse went dark": a deleted security-group rule cut the pipeline off from the database, and the Flash didn't send) is real Part V evidence for exactly this SPOF finding, but it isn't cited.</t>
  </si>
  <si>
    <t xml:space="preserve">Add to finding 1: "Chapter 52 already lived this: one deleted network rule, and the dashboards and the Flash both stopped."</t>
  </si>
  <si>
    <t xml:space="preserve">61.19</t>
  </si>
  <si>
    <t xml:space="preserve">Fig 61.4 row "Ingestion (Dagster) — Single scheduler instance"</t>
  </si>
  <si>
    <t xml:space="preserve">Ch 52 deploys the pipeline with replicas: 2. The reader may think ingestion is already redundant.</t>
  </si>
  <si>
    <t xml:space="preserve">"Single scheduler/daemon (the workers can run as 2 replicas, Ch 52; the scheduler that decides *when* can't)".</t>
  </si>
  <si>
    <t xml:space="preserve">61.20</t>
  </si>
  <si>
    <t xml:space="preserve">§61.3 PACELC examples (semantic layer, document index)</t>
  </si>
  <si>
    <t xml:space="preserve">PACELC formally describes replicated data stores. The semantic-layer and reindex examples are batch-recompute freshness trade-offs, a loose analogy the text doesn't flag.</t>
  </si>
  <si>
    <t xml:space="preserve">Add one sentence: "Strictly, PACELC is about copies of the same data. The same trade (pay latency to get the latest value) shows up at platform scale as 'recompute on every write vs on a schedule'."</t>
  </si>
  <si>
    <t xml:space="preserve">61.21</t>
  </si>
  <si>
    <t xml:space="preserve">Fig 61.2 "Warehouse vs ERP (Ch 45 sync lag)"; table "orders promised no more than 2 hours stale (Ch 47)"</t>
  </si>
  <si>
    <t xml:space="preserve">The 2-hour figure doesn't exist in Ch 47 (24 h / 48 h). See 60.2.</t>
  </si>
  <si>
    <t xml:space="preserve">Use the Part V number: "no more than 24 hours old on a working day (Chapter 47)", or whatever Ch 60 settles on.</t>
  </si>
  <si>
    <t xml:space="preserve">61.22</t>
  </si>
  <si>
    <t xml:space="preserve">§61.2 "a branch manager seeing 'as of 06:14' data"</t>
  </si>
  <si>
    <t xml:space="preserve">This matches neither Ch 46 (06:30 run) nor the Ch 47 banner ("Data current to 7 January, 6:35 a.m.").</t>
  </si>
  <si>
    <t xml:space="preserve">Use "as of 06:35".</t>
  </si>
  <si>
    <t xml:space="preserve">61.23</t>
  </si>
  <si>
    <t xml:space="preserve">§61.4 code, last print line split: {rows[-1] / [2]}</t>
  </si>
  <si>
    <t xml:space="preserve">In the listing, the f-string's replacement field is broken across two lines. Typed as shown it is a SyntaxError on Python 3.11 (tested). It works only on Python 3.12+.</t>
  </si>
  <si>
    <t xml:space="preserve">Keep it on one line, or split: final_agrees = rows[-1][2] then print(f"\n{disagreements} of {len(rows)} ticks show disagreement; final state agrees: {final_agrees}").</t>
  </si>
  <si>
    <t xml:space="preserve">61.24</t>
  </si>
  <si>
    <t xml:space="preserve">Answer 11, Level 6 "Rs 2,000"</t>
  </si>
  <si>
    <t xml:space="preserve">Uses "Rs" while the rest of Part VII uses "₹".</t>
  </si>
  <si>
    <t xml:space="preserve">Standardise to ₹2,000 in prose (keep "Rs" only inside printed code output).</t>
  </si>
  <si>
    <t xml:space="preserve">61.25</t>
  </si>
  <si>
    <t xml:space="preserve">Fig 61.4 "None — this is platform's one true SPOF"; title "Tradeoffs"</t>
  </si>
  <si>
    <t xml:space="preserve">Missing "the"; the chapter title spells "Tradeoffs" but every cross-reference says "Trade-offs".</t>
  </si>
  <si>
    <t xml:space="preserve">"this is the platform's one true SPOF". Title → "Distributed Systems &amp; Trade-offs".</t>
  </si>
  <si>
    <t xml:space="preserve">61.26</t>
  </si>
  <si>
    <t xml:space="preserve">V61.1</t>
  </si>
  <si>
    <t xml:space="preserve">p. 12 · Figure 61.4 (failure analysis, container by container)</t>
  </si>
  <si>
    <t xml:space="preserve">This is an 8-row × 4-column table rendered as a figure at 4.5–5.5 pt. Columns collide: "All reads/writes fail; total outage for the platform" runs into "None — this is platform's one true SPOF", and "Degrades gracefully: old numbers, clearly timestamped" runs past the end of the header bar. The coloured left bars (orange / red / green) have no legend. This table is the chapter's worked result.</t>
  </si>
  <si>
    <t xml:space="preserve">Set it as a real book table (8.3 pt like the others), and add a key or a "Risk" column instead of colour bars.</t>
  </si>
  <si>
    <t xml:space="preserve">V61.2</t>
  </si>
  <si>
    <t xml:space="preserve">p. 5 · Figure 61.1 (CAP triangle)</t>
  </si>
  <si>
    <t xml:space="preserve">The Consistency vertex dot sits on its own subtitle ("the lat● write"). Text is 4.5–5.6 pt. The two right-hand boxes are about two-thirds empty.</t>
  </si>
  <si>
    <t xml:space="preserve">Move the subtitle above the dot, shrink the boxes, and enlarge the text to 7 pt or more.</t>
  </si>
  <si>
    <t xml:space="preserve">V61.3</t>
  </si>
  <si>
    <t xml:space="preserve">p. 7 · Figure 61.2 (consistency spectrum)</t>
  </si>
  <si>
    <t xml:space="preserve">The dashed leader lines run through the end-point notes ("every reader sees…", "…stale data;"). Text is 4.9–5.7 pt.</t>
  </si>
  <si>
    <t xml:space="preserve">Offset the notes from the leaders; redraw at 7 pt or more.</t>
  </si>
  <si>
    <t xml:space="preserve">V61.4</t>
  </si>
  <si>
    <t xml:space="preserve">p. 11 · Page break</t>
  </si>
  <si>
    <t xml:space="preserve">p. 11 ends at 67% after the section 61.7 intro. Fig 61.4 moved whole to p. 12.</t>
  </si>
  <si>
    <t xml:space="preserve">Converting Fig 61.4 to a table (V61.1) lets it split; otherwise float it.</t>
  </si>
  <si>
    <t xml:space="preserve">V61.5</t>
  </si>
  <si>
    <t xml:space="preserve">"Approved chapter v1", "Approved 19 September 2026", and "Simulation run and verified; failure analysis grounded in Parts V and VI" are visible.</t>
  </si>
  <si>
    <t xml:space="preserve">V61.6</t>
  </si>
  <si>
    <t xml:space="preserve">V61.7</t>
  </si>
  <si>
    <t xml:space="preserve">p. 8 · Simulation code</t>
  </si>
  <si>
    <t xml:space="preserve">The last line wraps "[2]}")" to column 0. The page then ends at 75%.</t>
  </si>
  <si>
    <t xml:space="preserve">Hard-wrap the print() call.</t>
  </si>
  <si>
    <t xml:space="preserve">V61.8</t>
  </si>
  <si>
    <t xml:space="preserve">p. 5 · Lead-in "Riverstone's own CAP decisions, made concrete:"</t>
  </si>
  <si>
    <t xml:space="preserve">Stranded at the foot of p. 5; its bullets are on p. 6.</t>
  </si>
  <si>
    <t xml:space="preserve">V61.9</t>
  </si>
  <si>
    <t xml:space="preserve">p. 3 · Chapter title</t>
  </si>
  <si>
    <t xml:space="preserve">"Chapter 61. Distributed Systems &amp; Trade-offs" breaks as "Trade-" / "offs".</t>
  </si>
  <si>
    <t xml:space="preserve">Break before "&amp;", or use a non-breaking hyphen.</t>
  </si>
  <si>
    <t xml:space="preserve">V61.10</t>
  </si>
  <si>
    <t xml:space="preserve">p. 13 · Section divider</t>
  </si>
  <si>
    <t xml:space="preserve">The horizontal section rule falls at the very top of p. 13, above "Common mistakes".</t>
  </si>
  <si>
    <t xml:space="preserve">Suppress the divider at the top of a page.</t>
  </si>
  <si>
    <t xml:space="preserve">V61.11</t>
  </si>
  <si>
    <t xml:space="preserve">p. 16–17 · "You've got it when…"</t>
  </si>
  <si>
    <t xml:space="preserve">The last item runs over alone to p. 17. Wrapped items return to column 0 under the checkbox.</t>
  </si>
  <si>
    <t xml:space="preserve">Keep the list together; hang-indent.</t>
  </si>
  <si>
    <t xml:space="preserve">V61.12</t>
  </si>
  <si>
    <t xml:space="preserve">p. 18 · Exercises</t>
  </si>
  <si>
    <t xml:space="preserve">V61.13</t>
  </si>
  <si>
    <t xml:space="preserve">p. 20 · Answer 11 / timed-challenge answers</t>
  </si>
  <si>
    <t xml:space="preserve">"Rs 2,000" and "~Rs 2,000" are used, where Ch58's same figure is "₹2,000".</t>
  </si>
  <si>
    <t xml:space="preserve">Standardize the currency form.</t>
  </si>
  <si>
    <t xml:space="preserve">V61.14</t>
  </si>
  <si>
    <t xml:space="preserve">p. 19 · Answers heading</t>
  </si>
  <si>
    <t xml:space="preserve">V61.15</t>
  </si>
  <si>
    <t xml:space="preserve">62.1</t>
  </si>
  <si>
    <t xml:space="preserve">§62.2 Fig 62.1 "WHAT RIVERSTONE ACTUALLY DOES … Edge inference (FastAPI, per image)"</t>
  </si>
  <si>
    <t xml:space="preserve">This misstates what the book built. Ch 50 §50.8 solved this exact requirement: sensor readings every 10 s to a topic; an alerting consumer (seconds); a Structured Streaming aggregation into Delta (minutes); and a daily batch job that rewrites yesterday's windows ("Streaming for speed, batch for truth", Ch 50 L519–521). That is essentially Lambda. The chapter instead describes the defect model (camera images, Ch 53/56), says "sensors" feed it, invents "edge" deployment (never built; Ch 56 serves via FastAPI), and concludes Riverstone's design is neither pattern. A reader who did Ch 50 will be misled.</t>
  </si>
  <si>
    <t xml:space="preserve">Rebuild §62.2 on Ch 50's real design. Lambda = Ch 50 as built: the speed layer is the alert consumer + streaming windows, the batch layer is the daily correction job, and the serving/merge step is "the dashboard reads the corrected table for past days and the streaming table for today". Kappa = "drop the daily batch job; to correct history, reset the consumer group's offset to the start of the retained topic (Ch 50 mini_log) and replay through the same Structured Streaming job". Then say which Riverstone chose and why (the team already runs Dagster batch; topic retention for replay costs more). Keep the defect-model hybrid only as a *second* example, labelled clearly as camera images → online inference (Ch 56) + asynchronous logging, and drop "edge". Update Figure 62.1, the Recap, Answer 6 and Core Ex 6.</t>
  </si>
  <si>
    <t xml:space="preserve">62.2</t>
  </si>
  <si>
    <t xml:space="preserve">Before you start "Chapter 23 (the semantic layer)"; Fig 62.2 "Ch 23's semantic layer"; §62.5, §62.7, Key terms</t>
  </si>
  <si>
    <t xml:space="preserve">Chapter 23 (Business Acumen, KPIs) mentions "a semantic layer" once in passing (Ch 23 L668). The semantic layer is taught in Chapter 32 §32.13 (dbt + MetricFlow) and used in Ch 16. This wrong ref appears about 9 times here and again in Ch 63.</t>
  </si>
  <si>
    <t xml:space="preserve">Replace every "Chapter 23's semantic layer" / "(Ch 23)" / "semantic layer (Chapter 23)" with "Chapter 32's semantic layer (§32.13)". Where the *definitions* of active customer or revenue are meant, cite "Chapter 23's metric definitions (e.g. active customer)" separately. Also fix "Chapter 23's models" in Ch 63.</t>
  </si>
  <si>
    <t xml:space="preserve">62.3</t>
  </si>
  <si>
    <t xml:space="preserve">§62.2 "Chapter 60's data-flow trace (section 60.5.2) touched on without naming"</t>
  </si>
  <si>
    <t xml:space="preserve">There is no §60.5.2 (60.5 has no numbered subsections), and Ch 60's trace follows a PO email, never sensors.</t>
  </si>
  <si>
    <t xml:space="preserve">"…the plant-sensor case Chapter 50 (§50.8) built, which Chapter 60's context diagram shows as 'Plant sensors (Taloja)'."</t>
  </si>
  <si>
    <t xml:space="preserve">62.4</t>
  </si>
  <si>
    <t xml:space="preserve">Fig 62.1 caption "section 62.3 shows why"; Fig 62.3 box "Section 62.5 checks"; §62.1 "sections 62.2 through 62.4 … 62.4 through 62.6"</t>
  </si>
  <si>
    <t xml:space="preserve">The reasoning is in §62.2 itself; the maturity check is §62.6 (and Figure 62.3's caption says 62.6, contradicting its own box). Figures appear in the order 62.1, 62.2, 62.3, 62.5, 62.4. The §62.1 section ranges overlap.</t>
  </si>
  <si>
    <t xml:space="preserve">Fig 62.1 caption → "The rest of this section shows why." Fig 62.3 box → "Section 62.6 checks". Renumber so the contract figure is 62.4 and the scorecard is 62.5 (update the in-text refs "Figure 62.5's left-hand scenario" and "Figure 62.4"). §62.1 → "how data gets processed (sections 62.2–62.3) and who owns it (sections 62.4–62.8, with 62.5 on the contracts…)".</t>
  </si>
  <si>
    <t xml:space="preserve">62.5</t>
  </si>
  <si>
    <t xml:space="preserve">Fig 62.2 "GOLD — … the semantic layer's tables / Ch 23's semantic layer, dbt-style models"; §62.3 "Gold … Chapter 23's semantic layer"</t>
  </si>
  <si>
    <t xml:space="preserve">Gold means the business-ready mart tables (Ch 45's "modeled layer", Ch 32's marts). The semantic layer is the metric-definition layer that sits *on top of* gold. Saying gold "is" the semantic layer blurs two things §62.5 later needs kept apart.</t>
  </si>
  <si>
    <t xml:space="preserve">Gold box: "Ch 45's modeled layer / Ch 32's marts — business-ready tables". Add below the figure: "The semantic layer (Ch 32 §32.13) sits on top of gold: it's where 'revenue' is defined once, reading gold tables." Use one spelling ("modeled", as in Ch 45, or change both).</t>
  </si>
  <si>
    <t xml:space="preserve">62.6</t>
  </si>
  <si>
    <t xml:space="preserve">§62.2 Lambda "a merge step reconciling the two views"; Fig 62.1 "Merge view"</t>
  </si>
  <si>
    <t xml:space="preserve">The industry name for Lambda's third layer is the "serving layer". The reader will meet that term in interviews (Ch 80 lists lambda/kappa architecture) but won't recognise it. "Speed layer writes to a fast store" has no concrete example.</t>
  </si>
  <si>
    <t xml:space="preserve">"…with a serving layer (a merge view) that answers queries from both". Add "serving layer" to Key terms. Give the concrete store: "the speed layer writes per-machine 2-minute averages to a small streaming table; the batch layer rewrites yesterday's rows; the serving layer (the dashboard's query) reads batch rows for past days and streaming rows for today".</t>
  </si>
  <si>
    <t xml:space="preserve">62.7</t>
  </si>
  <si>
    <t xml:space="preserve">Answer 6 "Unifying them would mean either slowing the alert down to match the stream's overall processing guarantees"</t>
  </si>
  <si>
    <t xml:space="preserve">Technically weak. A Kappa stream can alert in milliseconds. The real reason the defect alert isn't stream-processed is that it is synchronous request/response inference on one image (Ch 56 "online" pattern), not stream processing.</t>
  </si>
  <si>
    <t xml:space="preserve">For the defect-model example: "Kappa is about processing an event log. The defect alert isn't a log consumer; it's a request that must be answered while the part is still in front of the camera (Chapter 56's online pattern). Logging the result to the warehouse afterwards is a separate, asynchronous write." For the sensor case (after 62.1): "Kappa would need the topic retained for months to replay history; Riverstone's daily batch correction is cheaper for a team that already runs Dagster."</t>
  </si>
  <si>
    <t xml:space="preserve">62.8</t>
  </si>
  <si>
    <t xml:space="preserve">§62.6 "scored honestly"; Project "not five comfortable fours"</t>
  </si>
  <si>
    <t xml:space="preserve">The "scorecard" has no scale or numbers (Figure 62.4 gives qualitative answers), yet the project and "What good looks like" assume numeric 1–5 scores. A beginner can't reproduce "scoring".</t>
  </si>
  <si>
    <t xml:space="preserve">Define the scale in §62.6: "Score each question 1–5 (1 = absent, 3 = partly in place, 5 = working company-wide)." Show Riverstone's numbers, e.g. domain teams 1, self-serve platform 2, federated governance 2, data-product mindset 3, appetite 1 → 9/25. State the rule: "any dimension at 1, or a total under 15, means not ready". Put the numbers in Figure 62.4 and in mesh-maturity-riverstone.md.</t>
  </si>
  <si>
    <t xml:space="preserve">62.9</t>
  </si>
  <si>
    <t xml:space="preserve">Fig 62.5 "ordered in last 30 days"; Answer 20 "placed a non-cancelled order in the trailing 90 days"</t>
  </si>
  <si>
    <t xml:space="preserve">Three different Riverstone definitions of active customer. Chapter 23 used calendar year / trailing 12 months (4,599 active customers in 2025; the Ch 23 L651 list of candidate definitions).</t>
  </si>
  <si>
    <t xml:space="preserve">Use Chapter 23's definition in both places: "placed a non-cancelled order in the trailing 12 months". Keep Finance's version as "has a non-zero balance" (which is also in Ch 23's list), so the reader recognises the exact disagreement from Chapter 23.</t>
  </si>
  <si>
    <t xml:space="preserve">62.10</t>
  </si>
  <si>
    <t xml:space="preserve">§62.4 "Data fabric … An intelligent metadata layer unifies distributed data"</t>
  </si>
  <si>
    <t xml:space="preserve">"Intelligent metadata layer" is vague to a first-time reader, and there's no example. "Catalog" is first used in §62.7 ("A catalog entry") without definition.</t>
  </si>
  <si>
    <t xml:space="preserve">Define concretely: "A data fabric is a layer of tools that lets you *find* and *query* data where it already lives: a catalog (a searchable list of every table, its owner, its columns and freshness), plus a query engine that reads several sources at once. At Riverstone: a catalog listing the ERP Postgres tables, the DuckDB warehouse and the Delta archive, and DuckDB/Trino queries that join them without copying." Define "data catalog" at first use and add it to Key terms.</t>
  </si>
  <si>
    <t xml:space="preserve">62.11</t>
  </si>
  <si>
    <t xml:space="preserve">Before you start (prereqs)</t>
  </si>
  <si>
    <t xml:space="preserve">Ch 50 (streaming) isn't listed, yet Lambda/Kappa depend on it (the spine lists 45, 47, 60, 61).</t>
  </si>
  <si>
    <t xml:space="preserve">Add "Chapter 50 (the plant-sensor stream and its daily correction job)".</t>
  </si>
  <si>
    <t xml:space="preserve">62.12</t>
  </si>
  <si>
    <t xml:space="preserve">§62.3 "The medallion architecture organizes a lakehouse into three tiers"</t>
  </si>
  <si>
    <t xml:space="preserve">Riverstone's raw/staging/modeled layers are schemas in a DuckDB warehouse (Ch 45), not a lakehouse. Only the sensor archive is lakehouse-style (Ch 49).</t>
  </si>
  <si>
    <t xml:space="preserve">"…organizes a warehouse or lakehouse (Chapter 49) into three tiers".</t>
  </si>
  <si>
    <t xml:space="preserve">62.13</t>
  </si>
  <si>
    <t xml:space="preserve">Story ending "Taloja plant hired its first dedicated data analyst … a second domain team"</t>
  </si>
  <si>
    <t xml:space="preserve">One analyst isn't a team, while §62.6's trigger is "a second domain team asks".</t>
  </si>
  <si>
    <t xml:space="preserve">Either reword the trigger as "a business domain with its own builder asks to own its data", or have the story say "a two-person plant data team".</t>
  </si>
  <si>
    <t xml:space="preserve">62.14</t>
  </si>
  <si>
    <t xml:space="preserve">§62.6 "per Chapter 60's own story, doesn't yet exist: … without anyone queueing … for weeks"</t>
  </si>
  <si>
    <t xml:space="preserve">Chapter 60's story never says this.</t>
  </si>
  <si>
    <t xml:space="preserve">Drop "per Chapter 60's own story", or add a sentence to Ch 60's story saying the team's request queue is short.</t>
  </si>
  <si>
    <t xml:space="preserve">62.15</t>
  </si>
  <si>
    <t xml:space="preserve">§62.6 "not a calendar date or a industry trend"; Fig 62.4 "an owner and a SLA"</t>
  </si>
  <si>
    <t xml:space="preserve">Grammar typos; SLA isn't re-glossed (taught in Ch 46 L963).</t>
  </si>
  <si>
    <t xml:space="preserve">"an industry trend"; "an owner and an SLA (service-level agreement, Chapter 46)".</t>
  </si>
  <si>
    <t xml:space="preserve">62.16</t>
  </si>
  <si>
    <t xml:space="preserve">Practice exercises, extra heading "Data contracts and the semantic layer" (Q18–20) after "Think about it"</t>
  </si>
  <si>
    <t xml:space="preserve">Breaks the Warm-up/Core/Stretch/Think structure; it looks like an appended patch.</t>
  </si>
  <si>
    <t xml:space="preserve">Move Q18 to Warm-up, Q19–20 to Core, and renumber (update the Answers numbering).</t>
  </si>
  <si>
    <t xml:space="preserve">62.17</t>
  </si>
  <si>
    <t xml:space="preserve">§62.7 "it has an owner (the analytics team)"; Answer 20 "owned by the Analytics team"</t>
  </si>
  <si>
    <t xml:space="preserve">Chapter 60 and the rest of Part VII say the four-person data platform team owns the semantic layer.</t>
  </si>
  <si>
    <t xml:space="preserve">Name one owner consistently ("the data platform team's analytics engineer", or whatever Ch 60 uses).</t>
  </si>
  <si>
    <t xml:space="preserve">62.18</t>
  </si>
  <si>
    <t xml:space="preserve">Where this leads "System Design Question Bank (Chapter 77) and the Architecture &amp; Leadership bank"</t>
  </si>
  <si>
    <t xml:space="preserve">Chapter 77 mentions no Lambda/Kappa/mesh/medallion; Chapter 80 has lambda/kappa architecture as key terms. The Architecture &amp; Leadership bank's chapter number is missing.</t>
  </si>
  <si>
    <t xml:space="preserve">"the Architecture &amp; Leadership Question Bank (Chapter 80) asks about Lambda vs Kappa directly; Chapter 77's data-system design questions use the same fit-over-fashion reasoning."</t>
  </si>
  <si>
    <t xml:space="preserve">62.19</t>
  </si>
  <si>
    <t xml:space="preserve">V62.1</t>
  </si>
  <si>
    <t xml:space="preserve">p. 6 · Figure 62.2 (bronze / silver / gold)</t>
  </si>
  <si>
    <t xml:space="preserve">The GOLD — Modelled / Marts box is clipped at the figure's right edge: its right border and the right end of its note strip are missing.</t>
  </si>
  <si>
    <t xml:space="preserve">Narrow the three boxes to fit the viewBox (or stack them), and redraw at 7 pt or more.</t>
  </si>
  <si>
    <t xml:space="preserve">V62.2</t>
  </si>
  <si>
    <t xml:space="preserve">p. 9, 10 · Figure numbering</t>
  </si>
  <si>
    <t xml:space="preserve">Figure 62.5 (p. 9, "Decentralized ownership without an agreed contract…") appears before Figure 62.4 (p. 10, the maturity scorecard).</t>
  </si>
  <si>
    <t xml:space="preserve">Renumber in page order, or move the figures.</t>
  </si>
  <si>
    <t xml:space="preserve">V62.3</t>
  </si>
  <si>
    <t xml:space="preserve">p. 10 · Figure 62.4 (maturity scorecard)</t>
  </si>
  <si>
    <t xml:space="preserve">The "scored honestly" check shows bars with no scores, no scale and no end labels. The bar tracks run into the figure's right edge (they look cut off), and orange versus blue is not explained. Readers can't tell what a bar means.</t>
  </si>
  <si>
    <t xml:space="preserve">Add a 0–5 (or not yet / partly / yes) scale and print each score; keep the tracks inside the frame; add a colour key.</t>
  </si>
  <si>
    <t xml:space="preserve">V62.4</t>
  </si>
  <si>
    <t xml:space="preserve">p. 5–10 · Figures 62.1–62.5</t>
  </si>
  <si>
    <t xml:space="preserve">Figure text is 4.4–6.2 pt; box bodies in Fig 62.3 and Fig 62.5 are 4.4–4.6 pt.</t>
  </si>
  <si>
    <t xml:space="preserve">V62.5</t>
  </si>
  <si>
    <t xml:space="preserve">p. 7 · Page break</t>
  </si>
  <si>
    <t xml:space="preserve">p. 7 ends at 71% after the section 62.4 intro, and Fig 62.3 moved to p. 8.</t>
  </si>
  <si>
    <t xml:space="preserve">Float the figure, or pull the following text up.</t>
  </si>
  <si>
    <t xml:space="preserve">V62.6</t>
  </si>
  <si>
    <t xml:space="preserve">"Approved chapter v2", "Approved 19 September 2026", and "Patterns applied directly to the platform Chapters 60–61 built" are visible; Ch60–61 show "v1".</t>
  </si>
  <si>
    <t xml:space="preserve">V62.7</t>
  </si>
  <si>
    <t xml:space="preserve">V62.8</t>
  </si>
  <si>
    <t xml:space="preserve">p. 8, 9 · Figures 62.3, 62.5</t>
  </si>
  <si>
    <t xml:space="preserve">The boxes are mostly empty (a short text block over a tall frame), which wastes space the text could use.</t>
  </si>
  <si>
    <t xml:space="preserve">Size the boxes to their content.</t>
  </si>
  <si>
    <t xml:space="preserve">V62.9</t>
  </si>
  <si>
    <t xml:space="preserve">p. 16 · "You've got it when…"</t>
  </si>
  <si>
    <t xml:space="preserve">V62.10</t>
  </si>
  <si>
    <t xml:space="preserve">p. 17, 18 · Exercises</t>
  </si>
  <si>
    <t xml:space="preserve">"10."–"20." hang into the left margin.</t>
  </si>
  <si>
    <t xml:space="preserve">V62.11</t>
  </si>
  <si>
    <t xml:space="preserve">V62.12</t>
  </si>
  <si>
    <t xml:space="preserve">63.1</t>
  </si>
  <si>
    <t xml:space="preserve">Fig 63.4 "Duplicated logic, disagreeing outputs 4"; §63.8 "two branches had each independently built"</t>
  </si>
  <si>
    <t xml:space="preserve">The duplicate count contradicts itself in five places. Figure: 4. §63.8 text: two branches, near-identical macros (= 2). Story: "Four were duplicated: Delhi and Kolkata had each…". Story step 2: "The four duplicated macros were consolidated … replacing both branches' versions". Ex 13: "four duplicated branch macros". Answer 13: "the lower-risk of the two existing macros … retire both".</t>
  </si>
  <si>
    <t xml:space="preserve">Choose one version and apply it everywhere. Option A (keep 4, so totals stay 24): "two pairs of duplicates — Delhi and Kolkata each built a consolidation macro; Bengaluru and Mumbai HO each built a stock-count reformatter". Rewrite §63.8, story ¶2 and step 2 ("the two pairs were each consolidated into one"), Ex 13 and Answer 13 ("for each pair, pick the lower-risk macro as the baseline…"). Option B: change the count to 2 and move 2 into another category so the total is still 24 (6+11+2+1+2 = 22, so adjust "no owner" to 13).</t>
  </si>
  <si>
    <t xml:space="preserve">63.2</t>
  </si>
  <si>
    <t xml:space="preserve">Fig 63.3 "every one of Riverstone's 40+ automations"; Project "replace 40 manual reports"; Why this matters "eight or nine well-documented systems"</t>
  </si>
  <si>
    <t xml:space="preserve">The same chapter says 24 automations were found and 6 documented, owned and monitored (Fig 63.4). "40+", "40 manual reports" and "eight or nine well-documented" contradict it.</t>
  </si>
  <si>
    <t xml:space="preserve">Fig 63.3 → "Without these built once and shared, each of the 24 automations the audit found (section 63.8) reinvents…". Why this matters → "Riverstone's six well-documented systems". Project goal → "bring the 24 automations in the inventory under one governed platform (and plan for the manual reports still waiting to be automated)". Also check automation-inventory.csv has 24 rows.</t>
  </si>
  <si>
    <t xml:space="preserve">63.3</t>
  </si>
  <si>
    <t xml:space="preserve">Fig 63.2 "WAREHOUSE Postgres + Delta (Ch 45, 49)"; "SEMANTIC LAYER … (Ch 23)"; §63.4 "Chapter 23's models"</t>
  </si>
  <si>
    <t xml:space="preserve">Part V's warehouse is DuckDB (Ch 45 L171). The semantic layer is taught in Ch 32 §32.13, not Ch 23. These are the same errors as 60.1 / 62.2.</t>
  </si>
  <si>
    <t xml:space="preserve">Figure 63.2 warehouse → "DuckDB warehouse + Delta archive (Ch 45, 49)". Semantic layer → "(Ch 32)". §63.4 → "Chapter 32's semantic layer".</t>
  </si>
  <si>
    <t xml:space="preserve">63.4</t>
  </si>
  <si>
    <t xml:space="preserve">§63.2 ROI table "Branch macro consolidation ~4 min → 9 sec per run … hundreds of runs/year"</t>
  </si>
  <si>
    <t xml:space="preserve">Chapter 19's macro runs quarterly ("Every quarter, someone opened it", Ch 19 L911–912), so it runs 4 times a year and saves about 15 minutes a year. "Hundreds of runs/year" is wrong, and the real value was accuracy: it caught an ₹18.8 million overstatement and a silent truncation at row 5,000.</t>
  </si>
  <si>
    <t xml:space="preserve">Value cell → "Accuracy, not time: the rewrite's checks stopped an ₹18.8 million double count and a silent row-5,000 truncation (Ch 19). Speed-up 4 min → 9 s, 4 runs a year (≈15 min/yr)". This also shows students that value isn't always hours.</t>
  </si>
  <si>
    <t xml:space="preserve">63.5</t>
  </si>
  <si>
    <t xml:space="preserve">ROI table "Looks like ~₹0/day labor cost, but ~₹13,380/day in hidden error cost"; Answer 6</t>
  </si>
  <si>
    <t xml:space="preserve">Ch 58's table: straight-through labour ₹47/day, error cost ₹13,333/day, total ₹13,380/day. "₹0 labour" and "₹13,380 error cost" are both off. Answer 6 says "19% … at ₹2,000 per wrong order works out to roughly ₹13,380/day at 40 emails". A reader who computes 40 × 0.19 × 2,000 gets ₹15,200, because the 88% straight-through factor is missing.</t>
  </si>
  <si>
    <t xml:space="preserve">Table → "~₹47/day labour, but ~₹13,333/day error cost (₹13,380 total)". Answer 6: show the chain. "40 emails × 88% loaded unattended = 35.3 orders; × 19% wrong = 6.7 wrong orders/day; × ₹2,000 = ₹13,333, plus ₹47 labour = ₹13,380/day, vs ₹198/day assisted."</t>
  </si>
  <si>
    <t xml:space="preserve">63.6</t>
  </si>
  <si>
    <t xml:space="preserve">§63.2 "The worked ROI comparison, with real numbers" (monospaced table)</t>
  </si>
  <si>
    <t xml:space="preserve">The Value column mixes hours/yr (Flash), minutes/run (macro), ₹/day (PO-intake) and prose ("Enables everything"), so rows can't be compared, which is the table's purpose. Loaded costs differ silently: ₹1,200/h (Ch 20) vs ₹300/h (Ch 58). The table is a preformatted text block whose columns wrap across lines ("is caught by / (Ch 20) (~₹3.9 lakh…) its own checks"), which is hard to read.</t>
  </si>
  <si>
    <t xml:space="preserve">Load / Polish</t>
  </si>
  <si>
    <t xml:space="preserve">Rebuild as a normal table with a common "₹ per year" column. Flash ₹3.9 lakh (325 h × ₹1,200, Ch 20); PO-intake assisted saves ₹1.0 lakh/yr ((₹600 − ₹198) × 250 working days); straight-through *loses* ≈₹32 lakh/yr ((₹13,380 − ₹600) × 250); macro ≈₹0 time value, but accuracy (63.4); Dagster and CRM sync "enabling — not priced". Add a note: "Hourly costs differ by role: a manager's ₹1,200 (Ch 20) vs a coordinator's ₹300 (Ch 58)."</t>
  </si>
  <si>
    <t xml:space="preserve">63.7</t>
  </si>
  <si>
    <t xml:space="preserve">§63.2 "the expected value, once risk is priced in honestly, is genuinely higher"</t>
  </si>
  <si>
    <t xml:space="preserve">"Expected value" is used as the decision rule but never computed here. The bubble chart (Fig 63.1) has no scores behind its positions, though the heading says "plotted for real".</t>
  </si>
  <si>
    <t xml:space="preserve">Add a worked line after the table: "expected daily value = labour saved − (wrong orders/day × cost of a wrong order). Assisted: ₹600 − ₹198 − 0 = +₹402. Straight-through: ₹600 − ₹47 − ₹13,333 = −₹12,780." Show the 1–5 value/effort/risk scores for the six plotted items (taken from automation-inventory.csv) in a small table, and plot Figure 63.1 from those numbers.</t>
  </si>
  <si>
    <t xml:space="preserve">63.8</t>
  </si>
  <si>
    <t xml:space="preserve">§63.5 "Chapter 61's PACELC reasoning applies directly … the same latency-versus-complexity trade-off"</t>
  </si>
  <si>
    <t xml:space="preserve">PACELC is latency vs *consistency* for replicated data. Scheduled vs event-driven is freshness vs complexity. Calling it PACELC undoes Ch 61's precise definition (the Recap repeats it).</t>
  </si>
  <si>
    <t xml:space="preserve">"The reasoning has the same shape as Chapter 61's PACELC (you pay for freshness), but here the price is complexity, not consistency." Update the Recap bullet and "Where this leads" (Ch 61 line) to match.</t>
  </si>
  <si>
    <t xml:space="preserve">63.9</t>
  </si>
  <si>
    <t xml:space="preserve">§63.5 "Chapter 58's PO-intake pipeline reacting to an arriving email"</t>
  </si>
  <si>
    <t xml:space="preserve">Ch 60 §60.5 says it "picks up the email within its polling interval", and Ch 58 reads a folder. Polling on a timer is a scheduled design. "Polling" isn't defined here, though Ch 78 asks "polling vs webhook".</t>
  </si>
  <si>
    <t xml:space="preserve">Add a definition: "Polling: checking the source on a timer ('any new email?') — a scheduled design that feels event-driven when the timer is short. Event-driven proper: the source notifies you (a webhook, Chapter 51)." Classify PO-intake as polling every few minutes; use the CRM webhook as the true event-driven example. Align Ch 60.</t>
  </si>
  <si>
    <t xml:space="preserve">63.10</t>
  </si>
  <si>
    <t xml:space="preserve">§63.3 matrix "Integration / iPaaS platform … Chapter 51's CRM reverse-ETL pattern"</t>
  </si>
  <si>
    <t xml:space="preserve">"iPaaS" is never expanded or defined (first use in the book). Ch 51's sync is hand-written Python, not a vendor integration platform, so the "real example" is wrong. The text then claims RPA is "the one honest gap".</t>
  </si>
  <si>
    <t xml:space="preserve">Define: "iPaaS (integration platform as a service): a hosted product for system-to-system sync with ready-made connectors — e.g. MuleSoft, Boomi; Zapier/Make at the light end (Ch 20)." Example cell → "Not used — Chapter 51's hand-built sync is what an iPaaS would replace at higher volume". Change "The one honest gap … is RPA" → "Two honest gaps: RPA and iPaaS".</t>
  </si>
  <si>
    <t xml:space="preserve">63.11</t>
  </si>
  <si>
    <t xml:space="preserve">§63.3 "DATA_SPEC.md's note about Kolkata's legacy billing system — screen-based, no API"</t>
  </si>
  <si>
    <t xml:space="preserve">Chapter 14 (L130) says Kolkata loads orders into the ERP through a spreadsheet upload from its older billing system. That is a file interface, which a scheduled script can validate and produce, so it weakens "RPA is the right tool". The prose also cites a companion spec file instead of the chapter the reader read. RPA was taught in Ch 58 ("RPA is a bridge, not a destination", Ch 58 L79) but isn't pointed back to.</t>
  </si>
  <si>
    <t xml:space="preserve">Cite "Chapter 14's note (section 14.x): Kolkata's old billing system". Make the RPA case precise: "the old system has no export and no API; staff re-key its invoices into the upload spreadsheet by hand. The *reading* side is screen-only, which is RPA's niche." Or pick a cleaner candidate (e.g. a transporter's tracking portal with no API). Add "(Chapter 58 introduced RPA as a bridge)". Apply the same fix to Ex 14 and Answer 14.</t>
  </si>
  <si>
    <t xml:space="preserve">63.12</t>
  </si>
  <si>
    <t xml:space="preserve">ROI table "CRM reverse-ETL sync … Risk if wrong: Low — deliberately eventual consistency"</t>
  </si>
  <si>
    <t xml:space="preserve">This mixes up *lag* with *wrong writes*. Ch 60 holds writers to outside systems "to a stricter standard", and Ch 51's story is a sync that erased a negotiated discount. A wrong CRM write is not low-risk.</t>
  </si>
  <si>
    <t xml:space="preserve">"Medium — lag is harmless (Chapter 61), but a wrong write overwrites what a person entered (Chapter 51's story); controlled by PATCH, one system of record per field, reconciliation." Re-plot its bubble in Figure 63.1.</t>
  </si>
  <si>
    <t xml:space="preserve">63.13</t>
  </si>
  <si>
    <t xml:space="preserve">§63.7 "A runbook goes one step further than a handover note"</t>
  </si>
  <si>
    <t xml:space="preserve">Introduced as new, but Ch 46 §46.10 already made "Every known failure has a runbook" a rule, and its alerts link docs/runbooks/daily_flash.md (Ch 46 L645–681).</t>
  </si>
  <si>
    <t xml:space="preserve">"You met runbooks in Chapter 46 (§46.10), where every alert linked to one. Here's how they fit with Chapter 20's handover note…"</t>
  </si>
  <si>
    <t xml:space="preserve">63.14</t>
  </si>
  <si>
    <t xml:space="preserve">§63.5 "Chapter 20's Flash at 07:30, Chapter 46's nightly ingestion"</t>
  </si>
  <si>
    <t xml:space="preserve">This matches Ch 20 (07:30), but Ch 46 schedules the Dagster run at 06:30, and Ch 60's NFR says "10 minutes after the 06:00 ERP load". Part VII gives three timelines for one job.</t>
  </si>
  <si>
    <t xml:space="preserve">Use the timeline chosen in Ch 60 (issue 60.3), e.g. "ERP load overnight; Dagster ingestion at 06:30 (Ch 46); Flash sent by 07:30 (Ch 20)", in all three chapters.</t>
  </si>
  <si>
    <t xml:space="preserve">63.15</t>
  </si>
  <si>
    <t xml:space="preserve">Fig 63.4 "MASTER_FINAL_v7 … still running, still unowned until the Ch 19 rewrite" vs text "had already been through its own rewrite"</t>
  </si>
  <si>
    <t xml:space="preserve">The figure and the text disagree. The audit question asks what teams depend on "weekly", but Ch 19's macro runs quarterly.</t>
  </si>
  <si>
    <t xml:space="preserve">Figure → "MASTER_FINAL_v7 (Ch 19) — rewritten and owned since Ch 19; audit confirmed its checks still run". Widen the audit question: "…depend on weekly, or at month- or quarter-end".</t>
  </si>
  <si>
    <t xml:space="preserve">63.16</t>
  </si>
  <si>
    <t xml:space="preserve">Fig 63.4 "Ch 58 PO-int…", "nobody remembers bu…"</t>
  </si>
  <si>
    <t xml:space="preserve">The figure's cells are truncated with ellipses.</t>
  </si>
  <si>
    <t xml:space="preserve">Wrap text in the Examples column, or shorten the entries so they fit.</t>
  </si>
  <si>
    <t xml:space="preserve">63.17</t>
  </si>
  <si>
    <t xml:space="preserve">Fig 63.3 "Credential vault … (Ch 20)"; "Chapter 20's daily flash already assumes all four exist"</t>
  </si>
  <si>
    <t xml:space="preserve">Ch 20 used environment variables / .env (Ch 20 L543) and a failure email, not a vault or a notification service. "Assumes all four exist" overstates it (the §63.6 text itself calls env variables "the minimum version").</t>
  </si>
  <si>
    <t xml:space="preserve">"Chapter 20 built the minimum version of each: environment variables instead of a vault, a log file, a failure email."</t>
  </si>
  <si>
    <t xml:space="preserve">63.18</t>
  </si>
  <si>
    <t xml:space="preserve">§63.6 "This is what makes Chapter 63.8's audit possible"</t>
  </si>
  <si>
    <t xml:space="preserve">Self-reference written as a chapter.</t>
  </si>
  <si>
    <t xml:space="preserve">"section 63.8's audit".</t>
  </si>
  <si>
    <t xml:space="preserve">63.19</t>
  </si>
  <si>
    <t xml:space="preserve">Ex 12 "A automation candidate scores high value"</t>
  </si>
  <si>
    <t xml:space="preserve">Typo.</t>
  </si>
  <si>
    <t xml:space="preserve">"An automation candidate…".</t>
  </si>
  <si>
    <t xml:space="preserve">63.20</t>
  </si>
  <si>
    <t xml:space="preserve">Story "In April 2026, two months into her role … (Chapter 60)"</t>
  </si>
  <si>
    <t xml:space="preserve">Ch 60 has Meera taking the title "by January 2026", so April is three months or more in.</t>
  </si>
  <si>
    <t xml:space="preserve">"three months into her role".</t>
  </si>
  <si>
    <t xml:space="preserve">63.21</t>
  </si>
  <si>
    <t xml:space="preserve">Story "three times the size of what Meera's own platform team had built"</t>
  </si>
  <si>
    <t xml:space="preserve">On which basis? 24 vs the 6 documented automations is 4×; 24 vs Ch 60's 8 containers is 3×.</t>
  </si>
  <si>
    <t xml:space="preserve">"…three times the eight systems on Meera's own container diagram".</t>
  </si>
  <si>
    <t xml:space="preserve">63.22</t>
  </si>
  <si>
    <t xml:space="preserve">Where this leads "the Architecture &amp; Leadership Question Bank asks directly about automation governance"</t>
  </si>
  <si>
    <t xml:space="preserve">Chapter number missing.</t>
  </si>
  <si>
    <t xml:space="preserve">"(Chapter 80, Q80-023)".</t>
  </si>
  <si>
    <t xml:space="preserve">63.23</t>
  </si>
  <si>
    <t xml:space="preserve">V63.1</t>
  </si>
  <si>
    <t xml:space="preserve">p. 6 · "The worked ROI comparison, with real numbers" (monospace block)</t>
  </si>
  <si>
    <t xml:space="preserve">This 4-column comparison is set as preformatted text. Long cells wrap inside the block, so fragments land in the wrong rows and columns: "error rate," sits under "PO-intake, straight-through", "fact" sits alone on a line, and "Low – source_file / checks catch a bad" floats apart. It reads as garbled.</t>
  </si>
  <si>
    <t xml:space="preserve">Set it as a real table in the house table style (Automation / Value / Effort / Risk if wrong).</t>
  </si>
  <si>
    <t xml:space="preserve">V63.2</t>
  </si>
  <si>
    <t xml:space="preserve">p. 12 · Figure 63.4 (automation audit table-figure)</t>
  </si>
  <si>
    <t xml:space="preserve">The Examples column is cut off with an ellipsis: "…Ch 58 PO-int…" and "…one Power Automate flow nobody remembers bu…". Text is 4.5–5.5 pt.</t>
  </si>
  <si>
    <t xml:space="preserve">Let the Examples column wrap, or shorten the examples. Redraw at 7 pt or more, or make it a normal HTML table.</t>
  </si>
  <si>
    <t xml:space="preserve">V63.3</t>
  </si>
  <si>
    <t xml:space="preserve">p. 6 · Figure 63.1 (value/effort/risk bubble chart)</t>
  </si>
  <si>
    <t xml:space="preserve">Bubble labels 4–5 pt, quadrant labels ("quick wins", "big bets") 3.7 pt, and the legend note about 4.5 pt. This figure carries the chapter's central prioritisation argument.</t>
  </si>
  <si>
    <t xml:space="preserve">Draw at page width with labels at 7 pt or more.</t>
  </si>
  <si>
    <t xml:space="preserve">V63.4</t>
  </si>
  <si>
    <t xml:space="preserve">p. 8 · Figure 63.2 (six-layer reference architecture)</t>
  </si>
  <si>
    <t xml:space="preserve">Layer headers 3.9 pt and box text about 4.5 pt. The six boxes are about 70 % empty white space below two lines of text.</t>
  </si>
  <si>
    <t xml:space="preserve">Shorten the boxes, enlarge the text to 7 pt or more, or stack in two rows of three.</t>
  </si>
  <si>
    <t xml:space="preserve">V63.5</t>
  </si>
  <si>
    <t xml:space="preserve">p. 10 · Figure 63.3 (shared services)</t>
  </si>
  <si>
    <t xml:space="preserve">Text 4.3–5.5 pt. The central "Every automation in the platform" box is empty. Arrow styles are inconsistent: the Notification line ends on the box's title text with no head, and the others end mid-box.</t>
  </si>
  <si>
    <t xml:space="preserve">Enlarge to 7 pt or more; run all four arrows consistently to the box edge.</t>
  </si>
  <si>
    <t xml:space="preserve">V63.6</t>
  </si>
  <si>
    <t xml:space="preserve">p. 1 (and Ch 66, 67) · Cover, Part label</t>
  </si>
  <si>
    <t xml:space="preserve">The short decorative rule at top right overprints the kicker text and strikes through "GOVERNANCE" in "PART VII — ARCHITECTURE, GOVERNANCE &amp; LEADERSHIP". The long Part VII name wraps into the rule's position; Part VIII covers are clear.</t>
  </si>
  <si>
    <t xml:space="preserve">Move the rule above the kicker, or reserve its width.</t>
  </si>
  <si>
    <t xml:space="preserve">V63.7</t>
  </si>
  <si>
    <t xml:space="preserve">p. 1 · Cover labels</t>
  </si>
  <si>
    <t xml:space="preserve">Shows "Approved chapter v1", "Approved 20 September 2026" and a subtitle line "Governs real automations built in Chapters 19, 20, 46, 51 and 58". Part VIII chapters instead show "Approved chapter · v1" and "21 September 2026".</t>
  </si>
  <si>
    <t xml:space="preserve">Remove approval/date labels for print; standardise if kept.</t>
  </si>
  <si>
    <t xml:space="preserve">V63.8</t>
  </si>
  <si>
    <t xml:space="preserve">V63.9</t>
  </si>
  <si>
    <t xml:space="preserve">p. 20 · Practice exercises 10–17</t>
  </si>
  <si>
    <t xml:space="preserve">Two-digit numbers hang 3 pt into the left margin and the flag of the "1" is clipped, so they read "l0.", "l1.", ….</t>
  </si>
  <si>
    <t xml:space="preserve">Widen the list-number gutter (e.g. padding-left for ol ≥ 10 items) so numbers sit inside the text block.</t>
  </si>
  <si>
    <t xml:space="preserve">V63.10</t>
  </si>
  <si>
    <t xml:space="preserve">p. 5 · Page foot before Figure 63.1</t>
  </si>
  <si>
    <t xml:space="preserve">The figure moves to p. 6 and leaves 28 % of p. 5 blank.</t>
  </si>
  <si>
    <t xml:space="preserve">Let text flow past the figure, or scale the figure to fit.</t>
  </si>
  <si>
    <t xml:space="preserve">V63.11</t>
  </si>
  <si>
    <t xml:space="preserve">p. 14→15 · "Common mistakes" table</t>
  </si>
  <si>
    <t xml:space="preserve">Splits 8 + 4 rows across pages. The header is repeated (good), but the split is avoidable.</t>
  </si>
  <si>
    <t xml:space="preserve">Keep table together (it is under ⅔ page).</t>
  </si>
  <si>
    <t xml:space="preserve">V63.12</t>
  </si>
  <si>
    <t xml:space="preserve">p. 12 · Figure 63.4</t>
  </si>
  <si>
    <t xml:space="preserve">Counts are coloured green / amber / red on left bars only; the meaning relies on colour. The count column is centred-left, not right-aligned.</t>
  </si>
  <si>
    <t xml:space="preserve">Add a text severity label; right-align counts.</t>
  </si>
  <si>
    <t xml:space="preserve">V63.13</t>
  </si>
  <si>
    <t xml:space="preserve">p. 6 · Figure 63.1</t>
  </si>
  <si>
    <t xml:space="preserve">Red (straight-through) and green-teal (branch macro) bubbles are distinguished only by colour and size.</t>
  </si>
  <si>
    <t xml:space="preserve">Acceptable since bubbles are labelled; consider an outline pattern for the risky bubble.</t>
  </si>
  <si>
    <t xml:space="preserve">V63.14</t>
  </si>
  <si>
    <t xml:space="preserve">Part VII covers set the title "Chapter 63." (with a full stop) on its own line. Part VIII covers use "Chapter 68" with no stop.</t>
  </si>
  <si>
    <t xml:space="preserve">Standardise the cover title format.</t>
  </si>
  <si>
    <t xml:space="preserve">V63.15</t>
  </si>
  <si>
    <t xml:space="preserve">Remove, or move the answers.</t>
  </si>
  <si>
    <t xml:space="preserve">64.1</t>
  </si>
  <si>
    <t xml:space="preserve">§64.3 Figure 64.1, Regional manager row "full read none none none"</t>
  </si>
  <si>
    <t xml:space="preserve">The matrix gives regional managers none on Customer PII. The prose says "Customer PII is read-only even for regional managers" (figure note, answer 10) and §64.9 says "Customer PII read-only above branch-staff level". The table and the text disagree on the chapter's key artefact.</t>
  </si>
  <si>
    <t xml:space="preserve">Decide one answer. Recommended: regional manager = "masked/aggregate only" for PII, since the text also says "never see customer PII directly". Then make the figure, its two notes, the §64.3 paragraph ("regional managers can read all-branch revenue … never see customer PII directly"), §64.9's quoted update and answer 10 all say the same thing. If read-only is intended, change the matrix cell to "read" and delete "never see customer PII directly".</t>
  </si>
  <si>
    <t xml:space="preserve">64.2</t>
  </si>
  <si>
    <t xml:space="preserve">§64.3 matrix, Analytics team "read read read read none"</t>
  </si>
  <si>
    <t xml:space="preserve">Chapter 60's NFR (Figure 60.4) is "No analyst credential can read another branch's customer data". The matrix gives the analytics team read on all customer PII across branches, so the model that "closes" the risk actually breaks the NFR. §64.9 then claims the requirement is met ("branch staff cannot read…"), but the NFR is about analysts.</t>
  </si>
  <si>
    <t xml:space="preserve">Either (a) give analytics "pseudonymized/masked" access to PII (hashed customer ID, no name, phone or email) and say that is how the NFR is met, or (b) restate the NFR in §64.9 as amended ("…no credential outside the analytics team, which sees only masked PII") and record the amendment explicitly, the way Ch 65 records its NFR correction. Add one sentence to §64.9 checking the matrix against each Ch 60 NFR wording verbatim.</t>
  </si>
  <si>
    <t xml:space="preserve">64.3</t>
  </si>
  <si>
    <t xml:space="preserve">§64.3 prose "only the data platform team has full access to … the credential vault"</t>
  </si>
  <si>
    <t xml:space="preserve">The matrix gives the platform team read on the vault, not full. The figure note says "only the platform team and an audited process reach the credential vault", but no "audited process" row exists.</t>
  </si>
  <si>
    <t xml:space="preserve">Make the prose match the matrix ("read, logged"), or change the cell to "admin (logged)". Either add a sixth row "Pipelines / service accounts: vault read, scoped per secret" (this also shows readers that machines are principals too, as Ch 52 §52.1's IAM says) or delete "an audited process".</t>
  </si>
  <si>
    <t xml:space="preserve">64.4</t>
  </si>
  <si>
    <t xml:space="preserve">§64.3 whole section; Ch 12 line "DCL (GRANT and REVOKE)… Chapter 64 covers it"</t>
  </si>
  <si>
    <t xml:space="preserve">Ch 12 promises DCL (GRANT/REVOKE) here. Ch 64 contains no SQL at all, and never shows how a role-by-resource matrix becomes real controls in the warehouse. "Checked against the actual system" is claimed but never demonstrated.</t>
  </si>
  <si>
    <t xml:space="preserve">Add §64.3b "From matrix to database", taught one cell at a time in PostgreSQL (the book's warehouse engine). Cell 1: CREATE ROLE branch_staff; CREATE ROLE analytics; with output CREATE ROLE; explain what a role is. Cell 2: GRANT SELECT ON orders TO analytics; then REVOKE SELECT ON customers FROM analytics; and explain each keyword, the object and the grantee. Cell 3: SET ROLE analytics; SELECT * FROM customers LIMIT 1; showing ERROR: permission denied for table customers, then explain why. Cell 4: a masked view, CREATE VIEW customers_masked AS SELECT customer_id, md5(email) AS email_hash, branch FROM customers; then GRANT SELECT ON customers_masked TO analytics;. Cell 5: row-level security for "own branch only": ALTER TABLE orders ENABLE ROW LEVEL SECURITY; CREATE POLICY own_branch ON orders USING (branch = current_setting('app.branch')); with a demo query per branch and its output. Cell 6: \dp orders (or SELECT * FROM information_schema.role_table_grants) as the "check the matrix against the system" step. Point back to Ch 12's DCL line and to Ch 52 §52.1 (IAM is the same idea at the cloud layer).</t>
  </si>
  <si>
    <t xml:space="preserve">64.5</t>
  </si>
  <si>
    <t xml:space="preserve">§64.2 Least privilege "the single most load-bearing idea"; Secrets management paragraph</t>
  </si>
  <si>
    <t xml:space="preserve">Least privilege, IAM and secrets are already taught in Ch 52 §52.1 and §52.6 ("Secrets, done properly", which already names AWS Secrets Manager and Key Vault). Ch 64 presents them as new and cites only Ch 20. Key terms repeat Ch 52's.</t>
  </si>
  <si>
    <t xml:space="preserve">Open §64.2 with "Chapter 52 §52.1 introduced least privilege for cloud IAM, and §52.6 placed secrets in a managed vault. This section widens both from the cloud to the whole data platform." Replace "Chapter 20's rule … is the minimum viable version" with "Chapter 20's .env rule and Chapter 52 §52.6's layer table…". In Key terms, mark least privilege and secrets management "(Chapter 52)".</t>
  </si>
  <si>
    <t xml:space="preserve">64.6</t>
  </si>
  <si>
    <t xml:space="preserve">Throughout: "Customer PII" (Figure 64.1, §64.3, §64.9)</t>
  </si>
  <si>
    <t xml:space="preserve">"PII" is never expanded or defined, here or earlier (its only earlier use is Ch 55's "no PII"). It is the heaviest-weighted column in the chapter's main figure.</t>
  </si>
  <si>
    <t xml:space="preserve">At first use in §64.3 add: "PII (personally identifiable information): any data that identifies a person directly (name, phone, email, PAN) or indirectly when combined (pin code + job title + company). Indian law uses the term 'personal data'." Add PII to Key terms and the Glossary.</t>
  </si>
  <si>
    <t xml:space="preserve">64.7</t>
  </si>
  <si>
    <t xml:space="preserve">§64.5 DPDP "remaining substantive obligations … phasing in over the following year"</t>
  </si>
  <si>
    <t xml:space="preserve">Needs legal verification. My understanding of the DPDP Rules 2025 (notified 13/14 Nov 2025) is: Board provisions immediate, consent-manager registration after 12 months, and most substantive duties (notice, consent, security safeguards, breach intimation, data principal rights, children's data) after 18 months (about May 2027). "Over the following year" would then be wrong, and so would "the moment its remaining provisions take effect" as a near-term trigger.</t>
  </si>
  <si>
    <t xml:space="preserve">Have counsel confirm and restate with exact dates: "Rules notified 13 November 2025 (Gazette G.S.R. …). Immediate: Rules 1, 2, 17–21 (Board). +12 months: consent managers (Rule 4). +18 months (≈13 May 2027): Rules 3, 5–16, 22, 23 (notice, security safeguards, breach intimation, retention/erasure, children, significant data fiduciaries, cross-border)." Cite the MeitY notification with a date. Update the Recap line accordingly.</t>
  </si>
  <si>
    <t xml:space="preserve">64.8</t>
  </si>
  <si>
    <t xml:space="preserve">§64.5 DPDP "applies to any organization processing personal data of individuals in India, regardless of where…"</t>
  </si>
  <si>
    <t xml:space="preserve">Needs legal verification. As I understand it, the Act covers digital personal data (and non-digital data later digitised) processed in India, and processing outside India only when it is connected with offering goods or services to people in India. It also says nothing yet about Riverstone's leads being B2B: the Act reaches only the personal data (contact persons) inside them.</t>
  </si>
  <si>
    <t xml:space="preserve">Reword: "The Act applies to digital personal data processed in India, and to processing abroad connected with offering goods or services to people in India." In the Riverstone paragraph add: "Leads are companies, but each lead carries a named contact person's details, and that is the personal data the Act covers." Also mention the "legitimate uses" route (Section 7, e.g. employment) so readers don't assume consent is always required for employee records.</t>
  </si>
  <si>
    <t xml:space="preserve">64.9</t>
  </si>
  <si>
    <t xml:space="preserve">§64.5 DPDP "breach notification to the Board without undue delay … 72 hours"</t>
  </si>
  <si>
    <t xml:space="preserve">Omits that the Rules also require intimating each affected data principal. "Data principal rights" and "data fiduciary" are used without definition.</t>
  </si>
  <si>
    <t xml:space="preserve">Add: "…and to each affected individual, in plain language, without delay." Define in one line each: Data Principal (the person the data is about), Data Fiduciary (the organization deciding why and how data is processed, which is Riverstone), Significant Data Fiduciary, Consent Manager (already defined). Add these to Key terms. Recommend legal verification of the 72-hour wording.</t>
  </si>
  <si>
    <t xml:space="preserve">64.10</t>
  </si>
  <si>
    <t xml:space="preserve">§64.5 GDPR "data residency and cross-border transfer rules governing where EU citizens' data may be processed"</t>
  </si>
  <si>
    <t xml:space="preserve">Two inaccuracies. GDPR protects people in the EU/EEA, whatever their citizenship. And it has no general data-residency requirement: it restricts transfers outside the EEA (adequacy decisions, SCCs).</t>
  </si>
  <si>
    <t xml:space="preserve">Replace with: "transfer rules: personal data may leave the EEA only to countries with an 'adequacy decision' or under safeguards such as Standard Contractual Clauses." Replace "EU citizens" with "people in the EU" throughout. Legal check recommended.</t>
  </si>
  <si>
    <t xml:space="preserve">64.11</t>
  </si>
  <si>
    <t xml:space="preserve">§64.5 GDPR "a company outside the EU processing EU residents' data is still in scope"</t>
  </si>
  <si>
    <t xml:space="preserve">Overstated. Art. 3(2) reaches non-EU companies that offer goods or services to, or monitor the behaviour of, people in the EU. Holding one EU contact's email doesn't automatically bring a company into scope. The window is also vague ("within a defined window") when the rule is 72 hours to the supervisory authority.</t>
  </si>
  <si>
    <t xml:space="preserve">Reword to the Art. 3(2) test. State "72 hours to the supervisory authority where feasible (Art. 33)". Say which lawful bases exist (six, Art. 6) in one line. Legal check recommended.</t>
  </si>
  <si>
    <t xml:space="preserve">64.12</t>
  </si>
  <si>
    <t xml:space="preserve">§64.5 EU AI Act "Digital Omnibus on AI, formally adopted and in force since late July 2026"</t>
  </si>
  <si>
    <t xml:space="preserve">Needs legal verification before print. The Commission proposed the Omnibus on 19 Nov 2025. As I understand the proposal, it tied the high-risk dates to the availability of standards, with backstop dates of 2 Dec 2027 (Annex III) and 2 Aug 2028 (Annex I), not a flat deferral. It also proposed a grace period (to Feb 2027) for some Art. 50 transparency/marking duties for systems already on the market. That conflicts with "General transparency obligations were not deferred". I cannot confirm the adoption date or final text.</t>
  </si>
  <si>
    <t xml:space="preserve">Counsel or the author should verify against the Official Journal: adoption date, entry into force, the final mechanism (fixed date vs "standards-linked with long-stop"), and any Art. 50 grace period. Then restate precisely with an OJ citation. Update warm-up Q3, answer 3 and the Recap to match. Add a dated footnote: "Status checked on &lt;date&gt; against &lt;source&gt;".</t>
  </si>
  <si>
    <t xml:space="preserve">64.13</t>
  </si>
  <si>
    <t xml:space="preserve">§64.5 EU AI Act "most penalty provisions took effect in August 2025"</t>
  </si>
  <si>
    <t xml:space="preserve">Broadly right, but fines for general-purpose AI providers apply from Aug 2026. Minor, but the section promises precision.</t>
  </si>
  <si>
    <t xml:space="preserve">"Most penalty provisions applied from 2 August 2025 (fines on general-purpose-AI providers from 2 August 2026)". Verify with counsel.</t>
  </si>
  <si>
    <t xml:space="preserve">64.14</t>
  </si>
  <si>
    <t xml:space="preserve">§64.5 AI Act "Riverstone doesn't currently sell into the EU…" vs GDPR "matters for any Riverstone customer or partner based in Europe"</t>
  </si>
  <si>
    <t xml:space="preserve">Mixed signals about whether Riverstone has EU exposure.</t>
  </si>
  <si>
    <t xml:space="preserve">State one fact in §64.5's opening: "Riverstone has no EU customers today; two suppliers are EU-based (contacts only)", or similar, and reason both laws from it.</t>
  </si>
  <si>
    <t xml:space="preserve">64.15</t>
  </si>
  <si>
    <t xml:space="preserve">§64.7 "Disparate impact without disparate treatment … even though no law or ethical principle was violated"</t>
  </si>
  <si>
    <t xml:space="preserve">"Disparate impact" and "disparate treatment" are used without definition. The claim "no law … was violated" is also too broad: in many jurisdictions indirect discrimination (disparate impact) on a protected attribute is itself unlawful (US Title VII case law, EU "indirect discrimination"). Here it only holds because region isn't protected.</t>
  </si>
  <si>
    <t xml:space="preserve">Define both at first use: "Disparate treatment: the rule treats groups differently on purpose (uses the attribute). Disparate impact: a neutral-looking rule produces unequal outcomes for a group." Replace the clause with: "Here no law was broken, because region is not a protected attribute. But where the group is protected (gender, caste, religion, age), disparate impact alone can be unlawful in many jurisdictions, which is why the mechanism check matters." Define "protected attribute" and "proxy" in one sentence each before the audit starts.</t>
  </si>
  <si>
    <t xml:space="preserve">64.16</t>
  </si>
  <si>
    <t xml:space="preserve">§64.7 code block 2 region_never_used = "region" not in [...]</t>
  </si>
  <si>
    <t xml:space="preserve">The "check" tests a hard-coded Python list the author typed. It always prints True, never inspects the model, and so demonstrates nothing while looking like evidence.</t>
  </si>
  <si>
    <t xml:space="preserve">Code / Correctness</t>
  </si>
  <si>
    <t xml:space="preserve">Replace it with a real check of the model's inputs. Either load the model artefact (import joblib; model = joblib.load("lead_model.joblib"); print(model.feature_names_in_) with output ['company_size_band' 'days_since_signup' 'industry'], then print("region" in model.feature_names_in_), giving False) or read the model's registered feature list from the companion's model card/registry JSON. Explain feature_names_in_ (scikit-learn, Ch 36) and rename the variable to region_is_feature. If no artefact ships, say plainly: "the model card lists its features as …; region is not among them" and drop the fake code.</t>
  </si>
  <si>
    <t xml:space="preserve">64.17</t>
  </si>
  <si>
    <t xml:space="preserve">§64.7 "region correlates strongly with company size in Riverstone's historical data"</t>
  </si>
  <si>
    <t xml:space="preserve">This proxy claim is the crux of the section, but it is asserted, never shown. The reader never sees region × size.</t>
  </si>
  <si>
    <t xml:space="preserve">Correctness / Flow</t>
  </si>
  <si>
    <t xml:space="preserve">Add a cell before the conditioning loop: pd.crosstab(leads.region, leads.company_size_band, normalize="index").round(2) with its output. Explain normalize="index" (each row sums to 1). Point to the East row's heavier share of small bands. Optionally add a one-line chi-square test (Ch 22) on the crosstab.</t>
  </si>
  <si>
    <t xml:space="preserve">64.18</t>
  </si>
  <si>
    <t xml:space="preserve">§64.7 for band in [2, 3]:</t>
  </si>
  <si>
    <t xml:space="preserve">Only two bands are shown. East has 260 leads but just 151 appear in bands 2–3, so the reader can't see the other 109 or the other bands, and it reads like cherry-picking. The meaning of the band numbers (sizes? 1–5?) is never given.</t>
  </si>
  <si>
    <t xml:space="preserve">Show all bands in one table: leads.pivot_table(index="company_size_band", columns="region", values="lead_score", aggfunc="mean").round(1), with output and an explanation of pivot_table (Ch 18). Add a data dictionary before the first code cell: columns lead_id, region, company_size_band (1 = &lt;10 employees … 5 = 500+), industry, days_since_signup, lead_score (0–100).</t>
  </si>
  <si>
    <t xml:space="preserve">64.19</t>
  </si>
  <si>
    <t xml:space="preserve">§64.7 first code block (all lines)</t>
  </si>
  <si>
    <t xml:space="preserve">No line-by-line explanation. pd.set_option("display.width", 100), .agg(["count","mean","median"]), .reindex([...]), boolean filtering, stats.ttest_ind(..., equal_var=False) and the :.2e format are all run without comment. 2.61e-34 isn't read aloud for the reader.</t>
  </si>
  <si>
    <t xml:space="preserve">Split into 3 cells with an explanation after each. (1) read_csv + groupby/agg/reindex: explain why reindex (fixed display order) and what each aggregate means. (2) the two Series west/east: explain the filter. (3) ttest_ind: "equal_var=False is Welch's t-test (Chapter 22 §22.x), which doesn't assume equal spread"; "2.61e-34 means 0.000…261 with 33 zeros after the decimal point". Explain pd.set_option once, or remove it.</t>
  </si>
  <si>
    <t xml:space="preserve">64.20</t>
  </si>
  <si>
    <t xml:space="preserve">§64.7 code lines 327–328, 347–348</t>
  </si>
  <si>
    <t xml:space="preserve">Lines wrapped by the PDF layout break the f-string and the .agg([...]) call in the printed code. Copied as shown, the f-string is a SyntaxError.</t>
  </si>
  <si>
    <t xml:space="preserve">Code</t>
  </si>
  <si>
    <t xml:space="preserve">Keep every code line ≤ 85 characters: compute gap = west.mean() - east.mean() on its own line and print gap. Break the .agg chain with parentheses on separate lines.</t>
  </si>
  <si>
    <t xml:space="preserve">64.21</t>
  </si>
  <si>
    <t xml:space="preserve">§64.4 differential privacy "mathematically provable guarantee that no individual's data can be reverse-engineered"</t>
  </si>
  <si>
    <t xml:space="preserve">Overstated. DP bounds how much any one person's inclusion can change the output (the privacy budget ε). It is a quantified limit, not an absolute impossibility, and its strength depends on ε.</t>
  </si>
  <si>
    <t xml:space="preserve">Replace with: "…a provable limit, set by a privacy budget called epsilon (ε), on how much any single person's data can change the published result, so an attacker learns almost nothing extra about any one individual. Smaller ε means stronger privacy and noisier numbers."</t>
  </si>
  <si>
    <t xml:space="preserve">64.22</t>
  </si>
  <si>
    <t xml:space="preserve">§64.4 Anonymization / pseudonymization; "hashed or tokenized ID"</t>
  </si>
  <si>
    <t xml:space="preserve">The two terms are grouped but never distinguished, and "hashed/tokenized" is undefined. Hashed IDs are pseudonymous, so under GDPR (and likely DPDP) they are still personal data. That legal consequence matters.</t>
  </si>
  <si>
    <t xml:space="preserve">Add: "Pseudonymization replaces identity with a code (a hash or token) that can be linked back with extra information; the data is still personal data under GDPR. Anonymization removes identity irreversibly, so the data is no longer personal data. A hash is a one-way scramble of a value, e.g. SHA-256 of the customer ID (Chapter 2)." Recommend a salted hash (a hash of a common ID can be reversed by guessing).</t>
  </si>
  <si>
    <t xml:space="preserve">64.23</t>
  </si>
  <si>
    <t xml:space="preserve">§64.4 "Chapter 56's drift-monitoring pipeline needs to know that a customer's pattern shifted"</t>
  </si>
  <si>
    <t xml:space="preserve">Ch 56's drift monitoring is on the defect model (image and prediction features). It has no customer IDs. The example is invented against the earlier chapter.</t>
  </si>
  <si>
    <t xml:space="preserve">Use a system that does touch customers: "the reverse-ETL lead-score sync's monitoring (Chapter 51) needs to know a lead's score distribution shifted, not which contact person…", or "the support assistant's logs (Chapter 57) keep a hashed customer ID". Update Figure 64.2's fourth box to match.</t>
  </si>
  <si>
    <t xml:space="preserve">64.24</t>
  </si>
  <si>
    <t xml:space="preserve">§64.6 "a semantic layer (Chapter 23)"</t>
  </si>
  <si>
    <t xml:space="preserve">Wrong chapter: the semantic layer is taught in Ch 32 §32.13 (dbt/MetricFlow) and Ch 16 (semantic model). Ch 23 is KPIs. (Ch 62 has the same error; flag it to that reviewer.)</t>
  </si>
  <si>
    <t xml:space="preserve">Polish (xref)</t>
  </si>
  <si>
    <t xml:space="preserve">Change to "a semantic layer (Chapter 32, §32.13; Chapter 16's semantic model)".</t>
  </si>
  <si>
    <t xml:space="preserve">64.25</t>
  </si>
  <si>
    <t xml:space="preserve">§64.6 "Chapter 62, section 62.6's fourth data-product property"; "named data-product owners (Chapter 62, section 62.6)"</t>
  </si>
  <si>
    <t xml:space="preserve">The data-product properties are §62.7. §62.6 is the mesh-readiness check.</t>
  </si>
  <si>
    <t xml:space="preserve">Change both to "section 62.7".</t>
  </si>
  <si>
    <t xml:space="preserve">64.26</t>
  </si>
  <si>
    <t xml:space="preserve">§64.3 "exactly the fit-over-fashion judgment Chapter 60 taught"</t>
  </si>
  <si>
    <t xml:space="preserve">"Fit over fashion" is Chapter 62's phrase (Ch 62 lines 13, 706). It doesn't appear in Ch 60.</t>
  </si>
  <si>
    <t xml:space="preserve">"…the fit-over-fashion judgment of Chapter 62".</t>
  </si>
  <si>
    <t xml:space="preserve">64.27</t>
  </si>
  <si>
    <t xml:space="preserve">§64.7 "Riverstone's CRM lead-scoring model (mentioned in passing in Part V…)"; Note "Part VI's reverse-ETL sync mentions lead scoring only in passing"</t>
  </si>
  <si>
    <t xml:space="preserve">Contradictory Part numbers (Ch 51 is Part V). It also isn't "in passing": Ch 51 builds lead scoring with features "stage, source, recency" and sl.lead_scores(). Ch 64's model uses company_size_band, industry and days_since_signup, so there are two different lead-score models with no explanation.</t>
  </si>
  <si>
    <t xml:space="preserve">Say: "Chapter 51 synced a simple rule-based lead score (stage, source, recency). In 2026 the sales team replaced it with a trained model using company size, industry and days since signup; this section audits that model." Fix "Part VI" to "Part V (Chapter 51)". Soften "in passing".</t>
  </si>
  <si>
    <t xml:space="preserve">64.28</t>
  </si>
  <si>
    <t xml:space="preserve">§64.7 "a East lead and a West lead"</t>
  </si>
  <si>
    <t xml:space="preserve">"an East lead".</t>
  </si>
  <si>
    <t xml:space="preserve">64.29</t>
  </si>
  <si>
    <t xml:space="preserve">§64.3 / §64.9 quotations of Chapter 60's risk</t>
  </si>
  <si>
    <t xml:space="preserve">Three different wordings of the "same" quoted risk: Ch 60's actual text, §64.3's version, and §64.9's ("No defined access-control model… until Chapter 64's work defines roles and permissions"). Only one matches Ch 60. §64.3 also says Ch 60 "listed one honest gap", but Ch 60 lists three risks.</t>
  </si>
  <si>
    <t xml:space="preserve">Quote Ch 60 verbatim once in §64.3 ("Chapter 64 (this Part) has not yet defined the platform's access-control model, so the 'no credential can read another branch's data' requirement above is aspirational until that chapter's work lands."). In §64.9, refer back to it rather than re-quoting. Change "listed one honest gap" to "listed three open risks; this is the third".</t>
  </si>
  <si>
    <t xml:space="preserve">64.30</t>
  </si>
  <si>
    <t xml:space="preserve">Ch 60 NFR table "Quarterly access review (Ch 64)"</t>
  </si>
  <si>
    <t xml:space="preserve">Ch 60 promises that Ch 64 defines the quarterly access review. Ch 64 never describes one: who runs it, what query, what output.</t>
  </si>
  <si>
    <t xml:space="preserve">Add 4–6 lines to §64.3 or §64.9: "Quarterly access review: the platform team exports actual grants (the §64.3b query), diffs them against the matrix, and each resource owner signs off or revokes. Output: a dated sign-off record." Ideally show the diff as a small pandas/SQL cell.</t>
  </si>
  <si>
    <t xml:space="preserve">64.31</t>
  </si>
  <si>
    <t xml:space="preserve">Promises from Ch 53 ("explainability, bias, and the model card"), Ch 56 ("model cards, audit trails, who is accountable")</t>
  </si>
  <si>
    <t xml:space="preserve">"Model card" never appears in Ch 64. Explainability ("explainable by design", Ch 53) isn't covered. Accountability "when an automated decision is wrong" is only implied.</t>
  </si>
  <si>
    <t xml:space="preserve">Flow (promise)</t>
  </si>
  <si>
    <t xml:space="preserve">Add to §64.8 a "Model card" subsection: definition (a one-page, standard record of a model's purpose, data, metrics by group, limits, owner, approver and version), with a filled example for the lead-scoring model including the §64.7 finding. That makes exercise 12's "governance record" concrete. Add 3–4 lines on explainability: when to prefer an inherently interpretable model (Ch 53's table) and when SHAP-style explanations (Ch 37/39) are acceptable. Add one line on accountability: "the approver named in the registry owns the decision to serve; the business owner owns the decision to act".</t>
  </si>
  <si>
    <t xml:space="preserve">64.32</t>
  </si>
  <si>
    <t xml:space="preserve">Promises from Ch 54, 55, 57, 58 ("disclosure… what to tell customers about an AI assistant"; "hallucination, staleness, injection… Chapter 64 governs them")</t>
  </si>
  <si>
    <t xml:space="preserve">Nothing in Ch 64 covers disclosure to customers, AI-generated content policy, or governance of prompt injection and hallucination.</t>
  </si>
  <si>
    <t xml:space="preserve">Add §64.8b "Governing generative AI" (≈1 page): (1) disclosure: tell customers when they are talking to an AI assistant and how to reach a human (and connect to EU AI Act Art. 50 transparency, pending 64.12's verification); (2) the logging/retention rule for prompts and responses, linked to §64.4's retention (e.g. 90 days, PII redacted); (3) injection and hallucination controls as governance items (owner, eval floor from Ch 57, incident process); (4) PO-intake: the human approver is the accountable party (Ch 58's approval record). Alternatively, edit each earlier pointer to say what Ch 64 actually covers.</t>
  </si>
  <si>
    <t xml:space="preserve">64.33</t>
  </si>
  <si>
    <t xml:space="preserve">Promises from Ch 6 §4 and Ch 26 ("what must never leave the building, including what an AI assistant counts as")</t>
  </si>
  <si>
    <t xml:space="preserve">No section on employees pasting company or personal data into external AI assistants, although Ch 26 explicitly defers it here.</t>
  </si>
  <si>
    <t xml:space="preserve">Add a short box in §64.4 or §64.5: "Is an AI assistant a third party?" Cover the approved-tool list, enterprise vs consumer terms (training on inputs), DPDP/GDPR disclosure to a processor, and a three-line classification rule (public / internal / confidential-personal) tied to the companion data-classification worksheet.</t>
  </si>
  <si>
    <t xml:space="preserve">64.34</t>
  </si>
  <si>
    <t xml:space="preserve">Promise from Ch 45 ("Chapter 64 covers … the rules behind section 45.11", web scraping) and Ch 52 (shared responsibility model)</t>
  </si>
  <si>
    <t xml:space="preserve">Neither is picked up.</t>
  </si>
  <si>
    <t xml:space="preserve">Add one paragraph to §64.5 on publicly visible personal data (still personal data under DPDP/GDPR, lawful basis needed), pointing back to §45.11. Add one sentence in §64.2: "Chapter 52's shared responsibility model decides which of these controls are yours: encryption keys, IAM and bucket policies always are." Or trim the promises in Ch 45/52.</t>
  </si>
  <si>
    <t xml:space="preserve">64.35</t>
  </si>
  <si>
    <t xml:space="preserve">§64.2 Encryption paragraph</t>
  </si>
  <si>
    <t xml:space="preserve">Encryption at rest and in transit are defined, but keys, key management (KMS) and TLS/HTTPS aren't named. A reader can't connect this to Ch 52's AWS setup or to anything they'd click.</t>
  </si>
  <si>
    <t xml:space="preserve">Add: "In transit usually means TLS, the 's' in https. At rest means the storage is encrypted with a key held in a key-management service (AWS KMS). On RDS and S3 it's a checkbox, or one Terraform line in Chapter 52 (storage_encrypted = true)."</t>
  </si>
  <si>
    <t xml:space="preserve">64.36</t>
  </si>
  <si>
    <t xml:space="preserve">§64.7 story "its close rate had risen measurably"; "speed of response correlates strongly with close rate"</t>
  </si>
  <si>
    <t xml:space="preserve">For a chapter about checkable claims, the outcome is left vague, and the causal story (queue order → response time → close rate) goes untested even though Ch 31 taught why a before/after isn't proof.</t>
  </si>
  <si>
    <t xml:space="preserve">Give the number ("from 11% to 14%, n = 190 leads") and add one sentence: "Meera flagged this as a before/after comparison, not a controlled test (Chapter 31); a holdout region would have made it causal."</t>
  </si>
  <si>
    <t xml:space="preserve">64.37</t>
  </si>
  <si>
    <t xml:space="preserve">§64.1 "cheaper by an order of magnitude"</t>
  </si>
  <si>
    <t xml:space="preserve">Unsupported quantitative claim.</t>
  </si>
  <si>
    <t xml:space="preserve">Soften to "far cheaper" or cite a source.</t>
  </si>
  <si>
    <t xml:space="preserve">64.38</t>
  </si>
  <si>
    <t xml:space="preserve">§64.2 "authorized only to write orders below the ₹100,000 approval threshold"</t>
  </si>
  <si>
    <t xml:space="preserve">Ch 58's control is that orders over ₹100,000 go to "awaiting approval", and in assisted mode every order is human-confirmed. That isn't the same as "authorized only to write below ₹100,000".</t>
  </si>
  <si>
    <t xml:space="preserve">"…and is separately authorized to write only confirmed orders; anything over ₹100,000 also needs a named approver (Chapter 58)".</t>
  </si>
  <si>
    <t xml:space="preserve">64.39</t>
  </si>
  <si>
    <t xml:space="preserve">Project Option B "one AI-adjacent system from Parts V–VII: defect model (53), assistant (55), PO-intake (58)"</t>
  </si>
  <si>
    <t xml:space="preserve">All three are Part VI.</t>
  </si>
  <si>
    <t xml:space="preserve">"from Part VI".</t>
  </si>
  <si>
    <t xml:space="preserve">64.40</t>
  </si>
  <si>
    <t xml:space="preserve">Tools line "Python 3.13 or 3.14 … (run here on Python 3.12…)"; Note "the code runs, the numbers are real outputs…"</t>
  </si>
  <si>
    <t xml:space="preserve">An authoring/build voice aimed at a reviewer, and the Python versions contradict each other in the same line.</t>
  </si>
  <si>
    <t xml:space="preserve">State one tested environment: "Tested with Python 3.12, pandas 3.0.2, scipy 1.17.1; later versions should work." Trim the note to: "The lead dataset and its bias pattern are invented for teaching; the numbers shown are the real output of the code on that data."</t>
  </si>
  <si>
    <t xml:space="preserve">64.41</t>
  </si>
  <si>
    <t xml:space="preserve">Answers header "(In the finished book these move to Appendix G.)"</t>
  </si>
  <si>
    <t xml:space="preserve">Delete (the answers move per the agreed Appendix G plan).</t>
  </si>
  <si>
    <t xml:space="preserve">64.42</t>
  </si>
  <si>
    <t xml:space="preserve">Where this leads: "Interview preparation: the Architecture &amp; Leadership Question Bank"</t>
  </si>
  <si>
    <t xml:space="preserve">No chapter number.</t>
  </si>
  <si>
    <t xml:space="preserve">"…Question Bank (Chapter 80)".</t>
  </si>
  <si>
    <t xml:space="preserve">64.43</t>
  </si>
  <si>
    <t xml:space="preserve">Declared prerequisites (spine: 56, 60, 62, 63)</t>
  </si>
  <si>
    <t xml:space="preserve">The chapter also relies on Ch 12 (DCL), 22 (Welch t-test), 51 (lead score, reverse ETL), 52 (IAM, secrets), 53, 55 and 58.</t>
  </si>
  <si>
    <t xml:space="preserve">Extend "Before you start" with "Chapter 52 §52.1 and §52.6 (IAM, secrets), Chapter 22 (t-tests), Chapter 51 (the lead-score sync)".</t>
  </si>
  <si>
    <t xml:space="preserve">V64.1</t>
  </si>
  <si>
    <t xml:space="preserve">p. 13 · Figure 64.4 (model governance loop)</t>
  </si>
  <si>
    <t xml:space="preserve">Layout is broken. The "Audit trail" and "Monitor in production" boxes touch or overlap. Body text overflows box borders ("every model gets an ID, a training-data snapshot", "a person signs off, separate from the builder", "every prediction traceable to a model version"). The centre label "Chapter 56's MLOps loop, governed" runs across the Retrain box's border. The title collides with the top box. Arrows end inside boxes, and text is 4.0–5.5 pt.</t>
  </si>
  <si>
    <t xml:space="preserve">Redraw as a proper 5-node cycle with spacing, wrapped box text, arrows to box edges, and text at 7 pt or more.</t>
  </si>
  <si>
    <t xml:space="preserve">V64.2</t>
  </si>
  <si>
    <t xml:space="preserve">p. 6 · Figure 64.1 (access-control matrix)</t>
  </si>
  <si>
    <t xml:space="preserve">The sub-caption says "Customer PII is read-only even for regional managers", but the matrix shows Regional manager × Customer PII = none. Caption and figure disagree on the chapter's key example.</t>
  </si>
  <si>
    <t xml:space="preserve">Correct the sub-caption (or the cell) so they agree.</t>
  </si>
  <si>
    <t xml:space="preserve">V64.3</t>
  </si>
  <si>
    <t xml:space="preserve">p. 6 · Figure 64.1</t>
  </si>
  <si>
    <t xml:space="preserve">Text is 4.4–5.5 pt. Row labels sit about half a row lower than their cells, so each label looks centred between two rows.</t>
  </si>
  <si>
    <t xml:space="preserve">Align labels to row centres and enlarge to 7 pt or more.</t>
  </si>
  <si>
    <t xml:space="preserve">V64.4</t>
  </si>
  <si>
    <t xml:space="preserve">p. 7 · Figure 64.2 (privacy by design, four habits)</t>
  </si>
  <si>
    <t xml:space="preserve">Text is 4.2–5.5 pt, and the four boxes are about 60 % empty below two lines of text.</t>
  </si>
  <si>
    <t xml:space="preserve">Shorten the boxes; enlarge the text to 7 pt or more.</t>
  </si>
  <si>
    <t xml:space="preserve">V64.5</t>
  </si>
  <si>
    <t xml:space="preserve">p. 1 (and Ch 63, 65–67) · Cover, Part label</t>
  </si>
  <si>
    <t xml:space="preserve">The decorative rule overprints "GOVERNANCE" in the Part VII kicker.</t>
  </si>
  <si>
    <t xml:space="preserve">Move the rule or reserve its width.</t>
  </si>
  <si>
    <t xml:space="preserve">V64.6</t>
  </si>
  <si>
    <t xml:space="preserve">Shows "Approved chapter v1", "Approved 20 September 2026" and "Regulatory status verified via search; fairness audit run on real data". The last line is a production note, and it conflicts with p. 17's note that the fairness dataset is invented.</t>
  </si>
  <si>
    <t xml:space="preserve">Remove production and approval lines from the printed cover.</t>
  </si>
  <si>
    <t xml:space="preserve">V64.7</t>
  </si>
  <si>
    <t xml:space="preserve">V64.8</t>
  </si>
  <si>
    <t xml:space="preserve">p. 20 · Exercises 10–17</t>
  </si>
  <si>
    <t xml:space="preserve">Two-digit numbers hang into the margin and the "1" is clipped ("l0.", "l6.").</t>
  </si>
  <si>
    <t xml:space="preserve">Widen the ol number gutter.</t>
  </si>
  <si>
    <t xml:space="preserve">V64.9</t>
  </si>
  <si>
    <t xml:space="preserve">p. 14 · Page foot after 64.9</t>
  </si>
  <si>
    <t xml:space="preserve">About 22 % of the page is blank because "Common mistakes" and its 12-row table moved to p. 15.</t>
  </si>
  <si>
    <t xml:space="preserve">Accept, or allow the table to split with a repeated header.</t>
  </si>
  <si>
    <t xml:space="preserve">V64.10</t>
  </si>
  <si>
    <t xml:space="preserve">p. 12 · Figure 64.3 (two bar panels)</t>
  </si>
  <si>
    <t xml:space="preserve">The right panel has no y-axis label (shared scale, not stated). East is red in one panel and green in the other, with no legend explaining the colour change.</t>
  </si>
  <si>
    <t xml:space="preserve">Add "same scale" or a shared axis label; explain colour, or keep East in one colour.</t>
  </si>
  <si>
    <t xml:space="preserve">V64.11</t>
  </si>
  <si>
    <t xml:space="preserve">p. 11 · Output blocks</t>
  </si>
  <si>
    <t xml:space="preserve">The pandas outputs are well set, but the region_never_used block's print line wraps "mean"]).round(1).reindex(...) to column 0 with no continuation marker.</t>
  </si>
  <si>
    <t xml:space="preserve">Break the line manually with an indent.</t>
  </si>
  <si>
    <t xml:space="preserve">V64.12</t>
  </si>
  <si>
    <t xml:space="preserve">65.1</t>
  </si>
  <si>
    <t xml:space="preserve">§65.5 "could cut their combined ₹22,674/month"; Ex 13 and answer 13</t>
  </si>
  <si>
    <t xml:space="preserve">RDS compute ₹16,068 + defect-model serving ₹3,303 = ₹19,371, not ₹22,674. ₹22,674 also includes the Dagster instance (16,068 + 3,303 + 3,303). Answer 13's annual saving at 50% is therefore ₹1,16,226, not ₹1.36 lakh.</t>
  </si>
  <si>
    <t xml:space="preserve">Either (a) change both places to ₹19,371 and answer 13 to "≈₹9,686/month saved, about ₹1.16 lakh a year", or (b) name all three instances ("the RDS instance, the defect-model server and the Dagster instance, together ₹22,674") and keep ₹1.36 lakh. Option (b) fits §65.2's third finding, which names both EC2 instances as always-on. Add a note that reserved pricing covers instance-hours only, not gp3 storage.</t>
  </si>
  <si>
    <t xml:space="preserve">65.2</t>
  </si>
  <si>
    <t xml:space="preserve">§65.3 output "Cost per defect-model prediction 1.6513" vs table "₹0.17"</t>
  </si>
  <si>
    <t xml:space="preserve">Tenfold mismatch between the code output and the "other unit-economics" table. At ₹3,303/month, ₹1.65 means ~2,000 predictions/month and ₹0.17 means ~19,400.</t>
  </si>
  <si>
    <t xml:space="preserve">Decide the monthly prediction volume (state it, and reconcile it with Ch 53's "per 1,500 parts" line rate), regenerate unit_economics.csv, and make the table match the output to two decimals.</t>
  </si>
  <si>
    <t xml:space="preserve">65.3</t>
  </si>
  <si>
    <t xml:space="preserve">§65.3 "costed PO-intake's assisted mode at roughly ₹198 per order in reviewer time"</t>
  </si>
  <si>
    <t xml:space="preserve">Ch 63's table says ₹198/day at 40 emails (≈₹4.95 per email). The chapter itself uses ₹198/day in the table and exercise 10. The Recap ("₹0.62 per PO-intake email, set against ₹198 in human review time"), the Common-mistakes row ("a ₹198 review-time cost") and the stretch goal all compare a per-email figure with a per-day one.</t>
  </si>
  <si>
    <t xml:space="preserve">Replace "₹198 per order" with "₹198 a day, about ₹5 per email at 40 emails a day". In the Recap, mistakes table and stretch goal write "₹0.62 of API cost per email vs about ₹5 of review time per email (8×)". Keep exercise 10 as the worked derivation, or move it into the text.</t>
  </si>
  <si>
    <t xml:space="preserve">65.4</t>
  </si>
  <si>
    <t xml:space="preserve">§65.3 "The marginal cost … plausibly close to the original ₹0.50 figure"; story "~₹0.75/1,000 lines"</t>
  </si>
  <si>
    <t xml:space="preserve">The chapter's central diagnosis is asserted, never computed, and the chapter's own figures contradict it. At ₹0.62 of LLM cost per PO email and ≈19 order lines per email (17,417 lines ÷ ≈897 emails/month), the marginal LLM cost alone is ≈₹32 per 1,000 lines if the lines arrive by email. For it to fall under ₹0.75, an email would need 800+ lines. The story also reports "~₹0.75" as a measured value when it's the new ceiling.</t>
  </si>
  <si>
    <t xml:space="preserve">Add a worked marginal-cost cell: list what grows with +1,000 lines (storage GB × rate, LLM calls × ₹0.62 × share of lines arriving by email, egress), print each and the sum. Then either (a) adjust the story to the real result (e.g. "≈₹30 per 1,000 lines, dominated by PO-intake LLM calls, still 70× below fully-loaded") and set the marginal NFR to match, or (b) state the assumption that makes it small (e.g. only 2% of lines arrive by email) and show it. In the story, write "measured ₹X; ceiling ₹Y" separately.</t>
  </si>
  <si>
    <t xml:space="preserve">65.5</t>
  </si>
  <si>
    <t xml:space="preserve">Figure 65.3 "Data platform team Warehouse, orchestration ~66% … Shared ~23%"</t>
  </si>
  <si>
    <t xml:space="preserve">On the chapter's bill, warehouse + orchestration = 25,186 + 3,303 = 74.9%. The AI team (defect serving + LLMs) = 10.5% ✓. The remaining ~14.5% is S3 (both tiers) and transfer. "Monitoring" is not a line item. The 66/11/23 split only works if orchestration is counted as shared, which contradicts the label. The S3 sensor archive (10.8%) is assigned to nobody.</t>
  </si>
  <si>
    <t xml:space="preserve">Recompute with a small pandas cell: add an owner_tag column to monthly_cost_model.csv (data_platform: RDS ×3 rows + Dagster; ai_apps: defect serving + two LLM rows; plant_ops or shared: S3 tiers; shared: transfer) and groupby("owner_tag").sum() with output. Update the figure and §65.4 prose ("about two-thirds", "a ninth") to the computed shares. Remove "monitoring" or add a monitoring line item.</t>
  </si>
  <si>
    <t xml:space="preserve">65.6</t>
  </si>
  <si>
    <t xml:space="preserve">§65.2 hot tier "₹2,401/month for 1,200 GB"; cold "9,800 GB"</t>
  </si>
  <si>
    <t xml:space="preserve">Ch 49's worked estimate puts the sensor archive at ≈277 GB per year (40 machines), costing ≈₹530/month. Here the 90-day hot tier alone is 1,200 GB and the whole archive 11,000 GB, about 40× larger. Ch 49 also concludes "Storage is almost never the problem", while §65.5 calls tiering "the highest-leverage lever".</t>
  </si>
  <si>
    <t xml:space="preserve">Reconcile with Ch 49. Either scale the archive to Ch 49's figures (≈70 GB hot, ≈200–800 GB cold, which makes tiering savings small and changes finding 2), or add a sentence explaining the growth ("after adding vibration and camera frames in 2026 the archive grew to 11 TB", with a number). Then soften §65.5's "highest-leverage lever on most data platforms" to "a large lever once archives reach terabytes", and point back to Ch 49's "storage is rarely the problem, scanning is".</t>
  </si>
  <si>
    <t xml:space="preserve">65.7</t>
  </si>
  <si>
    <t xml:space="preserve">§65.2 Ch 52 lifecycle storage_class = "GLACIER" vs here "S3 Glacier Deep Archive"</t>
  </si>
  <si>
    <t xml:space="preserve">Ch 52's Terraform moves old versions to GLACIER (Flexible Retrieval), not DEEP_ARCHIVE, and only noncurrent versions, not all data older than 90 days. The rates differ by ~2–4×.</t>
  </si>
  <si>
    <t xml:space="preserve">Either change Ch 65 to "S3 Glacier Flexible Retrieval" and re-price, or state that the platform later changed the rule to transition { days = 90, storage_class = "DEEP_ARCHIVE" } and show that one Terraform line.</t>
  </si>
  <si>
    <t xml:space="preserve">65.8</t>
  </si>
  <si>
    <t xml:space="preserve">Header "anchored to real AWS ap-south-1 rates"; Tools "checked against multiple independent sources"</t>
  </si>
  <si>
    <t xml:space="preserve">The implied unit rates (at the implied ₹87/$) are: S3 Standard $0.023/GB and egress $0.09/GB, which are us-east-1 list prices (ap-south-1 is ~$0.025 and ~$0.109); t3.large $0.052/hr, well below its on-demand price (~$0.0896/hr in ap-south-1, which would give ~₹5,690, not ₹3,303); the first 100 GB/month of egress is free. RDS db.m5.large ($0.253/hr) and gp3 ($0.131/GB-mo) do look like Mumbai rates. Needs verification; I can't check live prices.</t>
  </si>
  <si>
    <t xml:space="preserve">Add a "Price sheet" table to the Tools section: component, AWS SKU, region, unit rate in USD, source URL, date checked, exchange rate. Re-check each rate. If t3.large is wrong, re-price (or say "t3.medium") and regenerate the totals, shares and unit costs. Apply the 100 GB free egress or say why not.</t>
  </si>
  <si>
    <t xml:space="preserve">65.9</t>
  </si>
  <si>
    <t xml:space="preserve">Whole chapter: USD→INR</t>
  </si>
  <si>
    <t xml:space="preserve">The exchange rate is never stated. The implied rate is ₹87.00/$ (38,014 ÷ 436.94), but Ch 49 uses ₹83/$.</t>
  </si>
  <si>
    <t xml:space="preserve">State "at ₹87 to the dollar (August 2026)" in the header note and the Tools price sheet. Add a one-line note that Ch 49's ₹83 was an earlier rate, or align both.</t>
  </si>
  <si>
    <t xml:space="preserve">65.10</t>
  </si>
  <si>
    <t xml:space="preserve">§65.3 unit-economics block and table</t>
  </si>
  <si>
    <t xml:space="preserve">Every unit figure is read pre-computed from unit_economics.csv, which build_ch65_files.py builds. The reader never sees the allocation rules (which costs go to "per report", "per prediction", "per email") or the volumes (order lines/month ≈17,417, predictions/month, emails ≈897, questions ≈748, Flash sends/month). The chapter's own objective ("compute unit economics") isn't taught.</t>
  </si>
  <si>
    <t xml:space="preserve">Add §65.3a "Computing a unit cost by hand, then in pandas". (1) One by-hand example: PO-intake ₹556 ÷ 897 emails = ₹0.62. (2) An allocation table (unit → cost lines included → volume) shown as a small DataFrame. (3) A pandas cell computing all five unit costs from monthly_cost_model.csv plus a volumes dict, with output identical to the CSV. Explain each line. State that "cost per 1,000 order lines" = total ÷ 17,417 × 1,000. Reconcile 17,417/month with Ch 19's ≈8,600 lines/month (25,832 per quarter), or explain the difference.</t>
  </si>
  <si>
    <t xml:space="preserve">65.11</t>
  </si>
  <si>
    <t xml:space="preserve">Table "Cost per Daily Flash send ₹73.10 — Trivial; never worth optimizing"</t>
  </si>
  <si>
    <t xml:space="preserve">No derivation (≈₹1,608/month at 22 sends?). Which costs were allocated is unclear. ₹73/send (≈₹18k/yr) is 118× the per-email LLM cost that the chapter calls negligible, so "trivial" needs justification.</t>
  </si>
  <si>
    <t xml:space="preserve">Show the allocation (e.g. share of RDS compute-hours used by the Flash query + email service). Justify "trivial" against its value (325 hours/yr saved, Ch 20).</t>
  </si>
  <si>
    <t xml:space="preserve">65.12</t>
  </si>
  <si>
    <t xml:space="preserve">Header "(ten components)"; Option B "plausible ninth or tenth component"; Ex 14 "add a tenth"</t>
  </si>
  <si>
    <t xml:space="preserve">The model already has ten rows (counting RDS backups at ₹0), so the next one is the eleventh.</t>
  </si>
  <si>
    <t xml:space="preserve">Option B: "an eleventh component"; exercise 14: "add an eleventh".</t>
  </si>
  <si>
    <t xml:space="preserve">65.13</t>
  </si>
  <si>
    <t xml:space="preserve">§65.1 "every LLM API call in Chapter 54's PO-intake pipeline"</t>
  </si>
  <si>
    <t xml:space="preserve">PO-intake is Chapter 58; Ch 54 is the LLM chapter.</t>
  </si>
  <si>
    <t xml:space="preserve">"…in Chapter 58's PO-intake pipeline and Chapter 55's support assistant".</t>
  </si>
  <si>
    <t xml:space="preserve">65.14</t>
  </si>
  <si>
    <t xml:space="preserve">§65.2 table: RDS, EC2, gp3, Single-AZ, db.m5.large, t3.large, egress, FastAPI</t>
  </si>
  <si>
    <t xml:space="preserve">First appearance of RDS, EC2 and gp3 in the whole book, none expanded. Egress, instance type and Single-AZ aren't explained. A first-time reader can't read the bill.</t>
  </si>
  <si>
    <t xml:space="preserve">Before the code, add a 7-row glossary box: RDS = Amazon's managed database service (here, PostgreSQL); EC2 = a rented virtual machine; db.m5.large / t3.large = instance sizes (2 vCPU, 8 GB RAM); gp3 = general-purpose SSD storage for databases; Single-AZ = one data centre, no standby copy (link to Ch 52's availability zones); S3 Standard / Glacier Deep Archive = hot and cold object storage; egress = data leaving AWS. Note that Single-AZ is a cost choice with a reliability trade-off against Ch 60's 99.5% NFR.</t>
  </si>
  <si>
    <t xml:space="preserve">65.15</t>
  </si>
  <si>
    <t xml:space="preserve">§65.2 "Riverstone's full monthly platform bill … Chapter 60's container diagram, priced"</t>
  </si>
  <si>
    <t xml:space="preserve">"Full" overstates it. Missing: Power BI/dashboard licences, the reverse-ETL/CRM sync compute, monitoring/logging, the email service, a staging environment, the credential vault (Ch 64), and people.</t>
  </si>
  <si>
    <t xml:space="preserve">Call it "the infrastructure bill" and add a sentence listing what's excluded and why. Tie to Ch 66's point that engineering time is a cost not on this bill. Optionally add a monitoring line to support Figure 65.3's "monitoring".</t>
  </si>
  <si>
    <t xml:space="preserve">65.16</t>
  </si>
  <si>
    <t xml:space="preserve">§65.2 code line print(f"\nWarehouse … share: / {costs_sorted[...]...}%")</t>
  </si>
  <si>
    <t xml:space="preserve">The long f-strings with nested boolean indexing wrap across lines in the PDF (a newline inside a single-quoted f-string is a SyntaxError), and pack filter + column select + sum + format into one expression.</t>
  </si>
  <si>
    <t xml:space="preserve">Split into named steps: is_rds = costs_sorted.component.str.contains("RDS"), rds_share = costs_sorted.loc[is_rds, "share_pct"].sum(), print(f"Warehouse share: {rds_share:.1f}%"). Explain str.contains with the regex pattern "extraction, vertical bar, RAG" (the vertical bar means OR in a regular expression). Better still, use isin([...]) on exact component names, which needs no regex. Show the intermediate costs_sorted with its share_pct column.</t>
  </si>
  <si>
    <t xml:space="preserve">65.17</t>
  </si>
  <si>
    <t xml:space="preserve">§65.2 code: no line-by-line explanation</t>
  </si>
  <si>
    <t xml:space="preserve">sort_values(ascending=False), to_string(index=False), :,.0f, and the fact that share_pct is added after printing are not explained.</t>
  </si>
  <si>
    <t xml:space="preserve">Split into 3 cells (load and sort → print; total; shares) with a short explanation after each. Explain :,.0f (thousands separator, no decimals).</t>
  </si>
  <si>
    <t xml:space="preserve">65.18</t>
  </si>
  <si>
    <t xml:space="preserve">§65.3 output columns value_usd … NaN</t>
  </si>
  <si>
    <t xml:space="preserve">Four rows show NaN with no explanation.</t>
  </si>
  <si>
    <t xml:space="preserve">Add: "NaN means not computed: the USD column is filled only for the two headline rows." Or fill it.</t>
  </si>
  <si>
    <t xml:space="preserve">65.19</t>
  </si>
  <si>
    <t xml:space="preserve">§65.3 code prints "Rs" while §65.2 prints "₹"</t>
  </si>
  <si>
    <t xml:space="preserve">Inconsistent currency symbol between two consecutive blocks.</t>
  </si>
  <si>
    <t xml:space="preserve">Use ₹ in both.</t>
  </si>
  <si>
    <t xml:space="preserve">65.20</t>
  </si>
  <si>
    <t xml:space="preserve">§65.5 "Scheduled versus event-driven … alongside Chapter 61's PACELC argument"</t>
  </si>
  <si>
    <t xml:space="preserve">PACELC is a consistency/latency trade-off, not an argument for scheduled jobs. The link is tenuous.</t>
  </si>
  <si>
    <t xml:space="preserve">Replace with "alongside Chapter 63 §63.5's default-to-scheduled rule".</t>
  </si>
  <si>
    <t xml:space="preserve">65.21</t>
  </si>
  <si>
    <t xml:space="preserve">§65.5 "Fan-out and duplication (Chapter 12's join warning…) — Chapter 61's failure analysis"</t>
  </si>
  <si>
    <t xml:space="preserve">The fan-out trap is Ch 12 ✓ (and Ch 28), but "Chapter 61's failure analysis" doesn't fit a join-duplication point.</t>
  </si>
  <si>
    <t xml:space="preserve">Drop the Ch 61 aside, or cite Ch 28 (grain).</t>
  </si>
  <si>
    <t xml:space="preserve">65.22</t>
  </si>
  <si>
    <t xml:space="preserve">§65.5 "per Chapter 54's own pricing table, often five to ten times"</t>
  </si>
  <si>
    <t xml:space="preserve">Ch 54's table puts frontier at $10/$50 vs workhorse at $2/$10, i.e. 5×. Frontier vs volume tier is ~13×.</t>
  </si>
  <si>
    <t xml:space="preserve">"about 5× between workhorse and frontier tiers in Chapter 54's table, and more than 10× down to the volume tier".</t>
  </si>
  <si>
    <t xml:space="preserve">65.23</t>
  </si>
  <si>
    <t xml:space="preserve">§65.2 "Chapter 45's warehouse" as a 24/7 instance; RDS</t>
  </si>
  <si>
    <t xml:space="preserve">Ch 45 used local PostgreSQL 16. RDS appears for the first time here, and no chapter (including Ch 52) provisions an RDS instance.</t>
  </si>
  <si>
    <t xml:space="preserve">"the warehouse (Chapter 45's PostgreSQL, hosted on Amazon RDS since the Chapter 52 move to AWS)".</t>
  </si>
  <si>
    <t xml:space="preserve">65.24</t>
  </si>
  <si>
    <t xml:space="preserve">Missing back-reference to Ch 52 §52.7 "Cost"</t>
  </si>
  <si>
    <t xml:space="preserve">Ch 52 already has a cost section ("don't run it when nothing needs it"). Ch 65 doesn't build on it. Ch 2's "bills that grow quietly (Chapter 65)" is also never echoed.</t>
  </si>
  <si>
    <t xml:space="preserve">In "Why this matters" add: "Chapter 2 warned that cloud bills grow quietly; Chapter 52 §52.7 showed one lever (turn off what nothing uses). This chapter builds the whole model."</t>
  </si>
  <si>
    <t xml:space="preserve">65.25</t>
  </si>
  <si>
    <t xml:space="preserve">Answer 6 "top three … what share of the total do they represent together?"</t>
  </si>
  <si>
    <t xml:space="preserve">The answer never gives the share.</t>
  </si>
  <si>
    <t xml:space="preserve">Add: "RDS compute + storage + one ₹3,303 instance = ₹28,489, 74.9% of ₹38,014 (the ₹3,303 items tie for third)."</t>
  </si>
  <si>
    <t xml:space="preserve">65.26</t>
  </si>
  <si>
    <t xml:space="preserve">§65.3 "₹0.62 per email … the LLM call is a rounding error next to the human confirmation time"; "45 seconds of human confirmation time (Chapter 58)"</t>
  </si>
  <si>
    <t xml:space="preserve">₹198/day ÷ (40 × 45 s = 30 min) implies ₹396/hour of reviewer time, which is inconsistent with Ch 66's implicit ₹300/hour. Unstated either way.</t>
  </si>
  <si>
    <t xml:space="preserve">State the loaded hourly rate used for review time once (e.g. ₹300/hour as in Ch 66) and recompute ₹198/day, or explain the difference (e.g. the queue handling beyond 45 s). Coordinate with Ch 63 and 66.</t>
  </si>
  <si>
    <t xml:space="preserve">65.27</t>
  </si>
  <si>
    <t xml:space="preserve">Tools line "Python 3.13 or 3.14 … (run here on Python 3.12…)"; Tools "LLM prices reuse Part VI, Chapter 54's own September 2026 figures, so this chapter's numbers stay consistent"</t>
  </si>
  <si>
    <t xml:space="preserve">Authoring voice and contradictory versions (same as Ch 64).</t>
  </si>
  <si>
    <t xml:space="preserve">"Tested with Python 3.12 and pandas 3.0.2." Keep the Ch 54 note as a plain source line.</t>
  </si>
  <si>
    <t xml:space="preserve">65.28</t>
  </si>
  <si>
    <t xml:space="preserve">65.29</t>
  </si>
  <si>
    <t xml:space="preserve">Companion "build_ch65_files.py: builds the full cost model from … real usage volumes"</t>
  </si>
  <si>
    <t xml:space="preserve">"Real usage volumes" contradicts the header note ("a reasonable invented sizing").</t>
  </si>
  <si>
    <t xml:space="preserve">"…from documented unit prices and the invented usage volumes stated in section 65.3a".</t>
  </si>
  <si>
    <t xml:space="preserve">65.30</t>
  </si>
  <si>
    <t xml:space="preserve">Declared prerequisites (spine: 1, 60, 64)</t>
  </si>
  <si>
    <t xml:space="preserve">Relies on Ch 49 (storage tiers), 52 (AWS, §52.7), 54 (LLM prices), 58 (PO-intake), 63 (ROI table) far more than on Ch 1.</t>
  </si>
  <si>
    <t xml:space="preserve">"Before you start": add Chapters 49, 52, 54, 58 and 63.</t>
  </si>
  <si>
    <t xml:space="preserve">V65.1</t>
  </si>
  <si>
    <t xml:space="preserve">p. 6 · Output of costs_sorted[...].to_string()</t>
  </si>
  <si>
    <t xml:space="preserve">The 3-column output (component / monthly_inr / notes) is wider than the code box. Each row wraps, so "notes" values split across lines ("warehouse / primary", "t3.large, always-on for / line speed") and land at column 0 below the next row. The table that grounds the whole chapter cannot be read.</t>
  </si>
  <si>
    <t xml:space="preserve">Print component and monthly_inr only (notes in a separate table), or set pandas display.width or max_colwidth so rows fit 95 characters. Better, render the cost breakdown as a book table.</t>
  </si>
  <si>
    <t xml:space="preserve">V65.2</t>
  </si>
  <si>
    <t xml:space="preserve">p. 6, 8, 9 · Figures 65.1, 65.2, 65.3 vs text</t>
  </si>
  <si>
    <t xml:space="preserve">The figures label money "Rs 16,068", "Rs 0.50", "Rs X", and the code prints "Rs", while the prose, table and outputs use "₹". The same numbers appear in two currency styles on one page.</t>
  </si>
  <si>
    <t xml:space="preserve">Use ₹ in the figures (DejaVu Sans has the glyph), or explain once.</t>
  </si>
  <si>
    <t xml:space="preserve">V65.3</t>
  </si>
  <si>
    <t xml:space="preserve">p. 8 · Figure 65.2 (log-scale NFR bar)</t>
  </si>
  <si>
    <t xml:space="preserve">The value label "Rs 2,182.58" touches the chart title's baseline. The log-scale bars start from an arbitrary floor (about 0.3), so the red bar's height means nothing.</t>
  </si>
  <si>
    <t xml:space="preserve">Add headroom (ylim) above the tall bar; consider a dot or lollipop plot for a log scale.</t>
  </si>
  <si>
    <t xml:space="preserve">V65.4</t>
  </si>
  <si>
    <t xml:space="preserve">The title breaks as "Chapter 65. FinOps: / The / Economics of Data / Platforms", with "The" alone on a line. The decorative rule strikes through "GOVERNANCE" in the Part kicker. The cover shows "Approved chapter v1", "Approved 20 September 2026" and a production note ("Infrastructure rates checked against real AWS sources; cost model computed and verified").</t>
  </si>
  <si>
    <t xml:space="preserve">Break the title after "FinOps:" or set it as title + subtitle; fix the rule; remove the approval and production lines.</t>
  </si>
  <si>
    <t xml:space="preserve">V65.5</t>
  </si>
  <si>
    <t xml:space="preserve">V65.6</t>
  </si>
  <si>
    <t xml:space="preserve">p. 16 · Exercises 10–17</t>
  </si>
  <si>
    <t xml:space="preserve">Two-digit numbers clip into the margin ("l0.", "l1.").</t>
  </si>
  <si>
    <t xml:space="preserve">Widen the ol gutter.</t>
  </si>
  <si>
    <t xml:space="preserve">V65.7</t>
  </si>
  <si>
    <t xml:space="preserve">p. 9 · Figure 65.3 (tagging and showback)</t>
  </si>
  <si>
    <t xml:space="preserve">Text is 5.2–6.7 pt, just under the minimum. The three top boxes are about 50 % empty.</t>
  </si>
  <si>
    <t xml:space="preserve">Enlarge to 7 pt or more and shorten the boxes.</t>
  </si>
  <si>
    <t xml:space="preserve">V65.8</t>
  </si>
  <si>
    <t xml:space="preserve">p. 16→17 · Key terms</t>
  </si>
  <si>
    <t xml:space="preserve">The last word of the key-terms list ("decision") is widowed alone at the top of p. 17.</t>
  </si>
  <si>
    <t xml:space="preserve">Allow a 2-line minimum (widows: 2), or tighten the p. 16 spacing.</t>
  </si>
  <si>
    <t xml:space="preserve">V65.9</t>
  </si>
  <si>
    <t xml:space="preserve">p. 5 · Code block then blank</t>
  </si>
  <si>
    <t xml:space="preserve">The cost-model code ends at 64 % of p. 5. Its output block (too tall to fit) moved to p. 6, leaving the bottom 36 % of p. 5 blank.</t>
  </si>
  <si>
    <t xml:space="preserve">Let output blocks split, or fix V65.1 (a shorter output fits).</t>
  </si>
  <si>
    <t xml:space="preserve">V65.10</t>
  </si>
  <si>
    <t xml:space="preserve">p. 9 · Unit-economics table</t>
  </si>
  <si>
    <t xml:space="preserve">The numeric "Value" column (₹73.10, ₹0.17 …) is left-aligned.</t>
  </si>
  <si>
    <t xml:space="preserve">V65.11</t>
  </si>
  <si>
    <t xml:space="preserve">p. 7 · Output block</t>
  </si>
  <si>
    <t xml:space="preserve">"Off by a factor of: 4,365x", but the figure title and heading say "about 4,400x". This is consistent rounding, but readers may notice.</t>
  </si>
  <si>
    <t xml:space="preserve">Say "≈4,400× (4,365×)" once.</t>
  </si>
  <si>
    <t xml:space="preserve">V65.12</t>
  </si>
  <si>
    <t xml:space="preserve">p. 17 · Answers heading</t>
  </si>
  <si>
    <t xml:space="preserve">66.1</t>
  </si>
  <si>
    <t xml:space="preserve">§66.3 code roi.item.str.contains("three known automations, total") → output "IndexError: single positional indexer is out-of-bounds"</t>
  </si>
  <si>
    <t xml:space="preserve">No item contains "three known automations, total", so the filter is empty and .iloc[0] crashes. The book prints the traceback where the "covers 45%" line should be, and Figure 66.4's caption follows the error.</t>
  </si>
  <si>
    <t xml:space="preserve">Match an actual label, preferably with an exact id: add an item_id column to roi_case.csv (platform_cost, flash, macro, po_intake, hire_salary) and use roi.set_index("item_id").loc["platform_cost","amount_rs"]. Better, compute the totals in pandas instead of storing them: savings = roi.loc[roi.item_id.isin(["flash","macro","po_intake"]), "amount_rs"].sum() → 203775.0, then coverage = savings / platform_cost * 100 → Three real, quantified automations cover 45% …. Show the correct output.</t>
  </si>
  <si>
    <t xml:space="preserve">66.2</t>
  </si>
  <si>
    <t xml:space="preserve">§66.3 roi_case.csv rows "Quantified savings… (incomplete case)", "Platform pays for itself… (x)"</t>
  </si>
  <si>
    <t xml:space="preserve">Derived rows (subtotals and ratios) are stored inside the data file next to raw items. Readers learn to keep calculations in a CSV, and the code then has to string-match them (the cause of 66.1). "Pays for itself 0.23x" is also an awkward label for a coverage ratio.</t>
  </si>
  <si>
    <t xml:space="preserve">Keep only the raw items in the CSV (platform cost, three savings, hire salary, each with source chapter). Compute the two subtotals and ratios in 3 short cells with outputs. Rename "pays for itself (x)" to "coverage ratio (savings ÷ cost)". Explain isin, .sum() and .loc on each line.</t>
  </si>
  <si>
    <t xml:space="preserve">66.3</t>
  </si>
  <si>
    <t xml:space="preserve">§66.4 "section 66.2's maturity assessment names governance and cataloging as a specific, scored weak point"; §66.1 "What we need: one governance hire"</t>
  </si>
  <si>
    <t xml:space="preserve">Contradiction. §66.2 scores Governance &amp; security 3.4, second-highest; the weakest are Data-driven culture (2.2) and Cost discipline (2.6). §66.1's own strategy targets those two, then asks for a governance hire. Project step 3 tells the reader to make the weakest dimension the focus, which the worked example doesn't do.</t>
  </si>
  <si>
    <t xml:space="preserve">Choose one fix. (a) Keep the governance/catalog hire but split the governance dimension into "Security &amp; access" (3.8) and "Catalog &amp; discoverability" (1.8) so the scorecard really shows the gap (update the CSV, Figure 66.1, the average and the recap). Or (b) change the proposed hire to one that closes the weakest dimensions (a "FinOps &amp; analytics-enablement lead" covering monthly cost reviews and culture), and update Figure 66.2, the story, Ch 67's references and the Recap. Either way, make §66.1's "Where we're going" and "What we need" point at the same gap.</t>
  </si>
  <si>
    <t xml:space="preserve">66.4</t>
  </si>
  <si>
    <t xml:space="preserve">§66.3 table row "Proposed new hire … annual salary 900000.00"; story "The hire was approved"</t>
  </si>
  <si>
    <t xml:space="preserve">The case the story says was written for the hire never uses the ₹9,00,000 salary. It argues only that the existing platform (₹4,56,168) is partly covered by savings. A skeptical CFO's first question is "what does the ₹9 lakh buy?", and the chapter that teaches "show your weakest number" doesn't answer it.</t>
  </si>
  <si>
    <t xml:space="preserve">Add a short second calculation: hire cost ₹9,00,000/yr vs its measured floor (e.g. analyst time-to-find data: X hours/week × N analysts × ₹300/hour) plus a named unmeasured ceiling (audit readiness under DPDP, Ch 64). Show that the floor covers Y%. Or, if the story means a platform case and not a hire case, say so and drop the salary row.</t>
  </si>
  <si>
    <t xml:space="preserve">66.5</t>
  </si>
  <si>
    <t xml:space="preserve">roi_case.csv "Daily Flash time saved, annual value (Ch 20) 97,500"</t>
  </si>
  <si>
    <t xml:space="preserve">Ch 20 gives only 325 hours/yr, and Ch 63's ROI table values the same saving at ~₹3.9 lakh (₹1,200/hr loaded cost). Ch 66 silently uses ₹300/hr (325 × 300 = 97,500). At Ch 63's rate the three savings total ₹4,96,275, 109% of platform cost, so the platform pays for itself and the chapter's central "45%" story flips.</t>
  </si>
  <si>
    <t xml:space="preserve">Choose one loaded hourly rate for the whole book, state it once (Ch 23 or 63), and use it in Ch 63, 65 and 66. If ₹300/hour: correct Ch 63's "~₹3.9 lakh" to "~₹97,500". If ₹1,200: rewrite §66.3, the story, Ch 67's board speech and the Recap around "&gt;100% measured coverage". In §66.3 show the derivation of every savings row: "325 h × ₹300 = ₹97,500 (Ch 20)"; "231 s saved × 300 runs = 19.25 h × ₹300 = ₹5,775 (Ch 19)"; "(₹600 − ₹198)/day × 250 days = ₹1,00,500 (Ch 63/58)".</t>
  </si>
  <si>
    <t xml:space="preserve">66.6</t>
  </si>
  <si>
    <t xml:space="preserve">§66.3 "Branch macro time saved … (Ch 19, conservative) 5,775"</t>
  </si>
  <si>
    <t xml:space="preserve">Ch 19 gives no rupee value. Ch 63 gives "~4 min → 9 sec per run, hundreds of runs/year". 5,775 implies 300 runs at ₹300/hr, but neither number is stated.</t>
  </si>
  <si>
    <t xml:space="preserve">Show the arithmetic as in 66.5 and say where "300 runs a year" comes from (12 files a month × 25 runs?).</t>
  </si>
  <si>
    <t xml:space="preserve">66.7</t>
  </si>
  <si>
    <t xml:space="preserve">§66.2 scores "3.6 / 3.2 / 3.4 / 2.6 / 2.2"; "average stage: 3.00"</t>
  </si>
  <si>
    <t xml:space="preserve">The stages are named categories (ad hoc … optimized), but the scores are decimals and are averaged. How "3.6" is scored is never explained (sub-criteria? a rubric?), and averaging ordinal stages is questionable. A first-time reader can't reproduce or apply the scoring.</t>
  </si>
  <si>
    <t xml:space="preserve">Add a mini rubric: each dimension has 5 yes/no criteria per stage, and the score = highest fully-met stage + fraction of the next stage's criteria met. Give one worked row (e.g. Data quality: stage 3 met; 3 of 5 stage-4 criteria met → 3.6). Add a line: "The average is a conversation starter, not a measurement; read the lowest score first."</t>
  </si>
  <si>
    <t xml:space="preserve">66.8</t>
  </si>
  <si>
    <t xml:space="preserve">§66.2 stage list "ad hoc, reactive, proactive, managed, optimized"</t>
  </si>
  <si>
    <t xml:space="preserve">This is the book's own scale (it differs from CMMI's Initial/Managed/Defined/Quantitatively Managed/Optimizing, where "Managed" is stage 2). Readers who meet CMMI or DAMA-DMBOK in interviews may be confused.</t>
  </si>
  <si>
    <t xml:space="preserve">Add: "This is a simplified five-stage scale; published models (CMMI, DAMA's DMM, Gartner) use different names and order, but the scoring discipline is the same."</t>
  </si>
  <si>
    <t xml:space="preserve">66.9</t>
  </si>
  <si>
    <t xml:space="preserve">§66.3 "Chapter 62's fairness-audit finding about regional lead scoring, or Chapter 64's own fairness audit"</t>
  </si>
  <si>
    <t xml:space="preserve">There is only one fairness audit, in Ch 64. Ch 62 has none. The sentence lists the same thing twice under two chapters. Answer 8's "(Chapter 62, 64)" repeats it.</t>
  </si>
  <si>
    <t xml:space="preserve">"…decisions that wouldn't otherwise be made at all — Chapter 64's fairness audit of regional lead scoring produced…". Fix answer 8 to "(Chapter 64)".</t>
  </si>
  <si>
    <t xml:space="preserve">66.10</t>
  </si>
  <si>
    <t xml:space="preserve">§66.4 "Chapter 62's Conway's Law (section 62.7)"; Ex 9 "(Chapter 62, section 62.7)"</t>
  </si>
  <si>
    <t xml:space="preserve">Conway's Law is §62.8. §62.7 is data products.</t>
  </si>
  <si>
    <t xml:space="preserve">Change both to "section 62.8".</t>
  </si>
  <si>
    <t xml:space="preserve">66.11</t>
  </si>
  <si>
    <t xml:space="preserve">§66.4 "duplicated, disagreeing logic Chapter 62's story found when two branches each built their own…macro"</t>
  </si>
  <si>
    <t xml:space="preserve">The duplicated-macro finding is Ch 63 §63.8 (Delhi and Kolkata). Ch 62's story is the vendor pitch and "active_customer" definitions. Answer 3 repeats "(Chapter 62's two-macro story)".</t>
  </si>
  <si>
    <t xml:space="preserve">"…the duplicated, disagreeing logic Chapter 63's audit found when Delhi and Kolkata each built their own version of the consolidation macro". Fix answer 3 the same way.</t>
  </si>
  <si>
    <t xml:space="preserve">66.12</t>
  </si>
  <si>
    <t xml:space="preserve">§66.1 "in Chapter 21's vocabulary: real numbers, not adjectives"</t>
  </si>
  <si>
    <t xml:space="preserve">"Numbers, not adjectives" is Chapter 60 §60.3 (NFRs). Ch 21 is descriptive statistics and has no such phrase.</t>
  </si>
  <si>
    <t xml:space="preserve">"…in Chapter 60's vocabulary (section 60.3): numbers, not adjectives; and Chapter 23's KPIs".</t>
  </si>
  <si>
    <t xml:space="preserve">66.13</t>
  </si>
  <si>
    <t xml:space="preserve">§66.5 "exactly the kind of judgment call Chapter 60's fit-over-fashion principle"</t>
  </si>
  <si>
    <t xml:space="preserve">"Fit over fashion" is Chapter 62's phrase.</t>
  </si>
  <si>
    <t xml:space="preserve">"Chapter 62's fit-over-fashion principle".</t>
  </si>
  <si>
    <t xml:space="preserve">66.14</t>
  </si>
  <si>
    <t xml:space="preserve">§66.5 Figure 66.3 "Lock-in risk … Edge to: Buy"; text "Lock-in risk: genuinely the one point in the vendor's favor"</t>
  </si>
  <si>
    <t xml:space="preserve">Lock-in is a point against the vendor. The text then argues build has a worse kind of lock-in, and the figure says Buy. The wording says the opposite of what's meant.</t>
  </si>
  <si>
    <t xml:space="preserve">Reword the text: "Lock-in risk: the one dimension where buying carries a real cost — switching away is expensive. But an internal tool only one person understands is its own lock-in, arguably worse… so even here the edge goes, narrowly, to buy."</t>
  </si>
  <si>
    <t xml:space="preserve">66.15</t>
  </si>
  <si>
    <t xml:space="preserve">Figure 66.3 note "buy wins on every dimension" vs caption "The one place build wins — perfect fit" vs table "Fit … Edge to: Buy"</t>
  </si>
  <si>
    <t xml:space="preserve">Three different statements about the Fit row.</t>
  </si>
  <si>
    <t xml:space="preserve">Set the Fit row's edge to "Build (eventually)", make the note "buy wins on four of five dimensions", and keep the caption.</t>
  </si>
  <si>
    <t xml:space="preserve">66.16</t>
  </si>
  <si>
    <t xml:space="preserve">§66.5 "Cost at current scale: predictable subscription vs engineering time, unbounded"</t>
  </si>
  <si>
    <t xml:space="preserve">Build-vs-buy is taught as "a real framework rather than a preference", but no numbers appear: no catalog subscription price and no engineer-months.</t>
  </si>
  <si>
    <t xml:space="preserve">Add one line of arithmetic: e.g. "Managed catalog ≈ ₹X lakh/yr (vendor list price, verify) vs build ≈ 3 engineer-months (₹Y) + 20% of one engineer ongoing (₹Z/yr)." Label figures as illustrative. Ties to Ch 65's rule of attaching a cost estimate to every ADR.</t>
  </si>
  <si>
    <t xml:space="preserve">66.17</t>
  </si>
  <si>
    <t xml:space="preserve">Figure order: 66.1 (§66.2) → 66.4 (§66.3) → 66.2 (§66.4) → 66.3 (§66.5)</t>
  </si>
  <si>
    <t xml:space="preserve">Figure numbers are out of reading order.</t>
  </si>
  <si>
    <t xml:space="preserve">Renumber in order of appearance: ROI figure = 66.2, team figure = 66.3, build/buy = 66.4. Update all in-text references.</t>
  </si>
  <si>
    <t xml:space="preserve">66.18</t>
  </si>
  <si>
    <t xml:space="preserve">§66.3 "Figure 66.4 — The honest version…"</t>
  </si>
  <si>
    <t xml:space="preserve">No figure content appears (only the caption after the error text). The chart Ch 67's board speech calls "the one chart already built in Chapter 66" is missing.</t>
  </si>
  <si>
    <t xml:space="preserve">Render the chart (bar: platform cost vs cumulative measured savings, with the gap labelled "unmeasured ceiling") and ideally show the few lines of matplotlib that draw it (Ch 18 skills).</t>
  </si>
  <si>
    <t xml:space="preserve">66.19</t>
  </si>
  <si>
    <t xml:space="preserve">§66.2 code (4 print lines)</t>
  </si>
  <si>
    <t xml:space="preserve">The long f-strings wrap in the PDF (unsafe to copy). idxmin/idxmax and .loc[row, col] go unexplained.</t>
  </si>
  <si>
    <t xml:space="preserve">Put weakest = maturity.loc[maturity.stage.idxmin()] on its own line, print weakest.dimension, weakest.stage, and explain idxmin ("the row label of the smallest value"). Keep lines ≤ 85 characters.</t>
  </si>
  <si>
    <t xml:space="preserve">66.20</t>
  </si>
  <si>
    <t xml:space="preserve">Story "Nine months later, with the catalog owner in place…"; Figure 66.2 "Today: + 1 domain hire (Taloja)"</t>
  </si>
  <si>
    <t xml:space="preserve">Timeline. Ch 62 has the Taloja analyst hired ~9 months after March 2026, i.e. about Dec 2026. This chapter's governance hire follows that, and "nine months later" lands in late 2027. But Ch 67's board meeting is "late 2026" and already reuses this chapter's 45%.</t>
  </si>
  <si>
    <t xml:space="preserve">Create a single dated timeline for Part VII (Ch 60 Feb 2026 → Ch 63 audit Apr 2026 → Ch 64 audit Jun 2026 → Ch 62 Taloja hire → Ch 66 proposal → Ch 67 board). Adjust "nine months later" (or Ch 67's "late 2026") so the order holds. Consider a small timeline box at the start of Ch 60 or 66.</t>
  </si>
  <si>
    <t xml:space="preserve">66.21</t>
  </si>
  <si>
    <t xml:space="preserve">§66.6 "Model the behavior from the top — Anita Rao declining the vendor's pitch"</t>
  </si>
  <si>
    <t xml:space="preserve">Anita Rao is the Sales Head (Ch 3). The MD sits above her. "From the top" overstates it.</t>
  </si>
  <si>
    <t xml:space="preserve">"Model the behavior from leadership — Anita Rao, as Sales Head, declining…".</t>
  </si>
  <si>
    <t xml:space="preserve">66.22</t>
  </si>
  <si>
    <t xml:space="preserve">Story "with … Chapter 64's cataloging gap closed"</t>
  </si>
  <si>
    <t xml:space="preserve">Ch 64 doesn't identify a specific cataloging gap. §64.6 describes catalogs in general.</t>
  </si>
  <si>
    <t xml:space="preserve">"…with the cataloging gap from Chapter 63's audit and section 66.2 closed". Or add one sentence in Ch 64 §64.6 noting Riverstone has no catalog yet.</t>
  </si>
  <si>
    <t xml:space="preserve">66.23</t>
  </si>
  <si>
    <t xml:space="preserve">Terms: CFO, ROI, table stakes, hub and spoke, headcount</t>
  </si>
  <si>
    <t xml:space="preserve">CFO and ROI are not expanded in this chapter (ROI is used since Ch 63). "Table stakes" is an idiom a non-native reader may not know.</t>
  </si>
  <si>
    <t xml:space="preserve">Expand CFO (chief financial officer) at first use; gloss ROI (return on investment = benefit ÷ cost) once; replace "table stakes" with "the minimum expected".</t>
  </si>
  <si>
    <t xml:space="preserve">66.24</t>
  </si>
  <si>
    <t xml:space="preserve">Tools "Python 3.13 or 3.14 … (run here on Python 3.12…)"</t>
  </si>
  <si>
    <t xml:space="preserve">Authoring voice and contradictory versions (same as Ch 64/65).</t>
  </si>
  <si>
    <t xml:space="preserve">"Tested with Python 3.12 and pandas 3.0.2."</t>
  </si>
  <si>
    <t xml:space="preserve">66.25</t>
  </si>
  <si>
    <t xml:space="preserve">66.26</t>
  </si>
  <si>
    <t xml:space="preserve">Answer 13 "₹4,000-per-miss figure established in Part VI"</t>
  </si>
  <si>
    <t xml:space="preserve">✓ Ch 53, but ₹1,50,000/yr implies ~37.5 misses avoided, and the reasoning isn't shown.</t>
  </si>
  <si>
    <t xml:space="preserve">Add: "≈38 avoided misses a year × ₹4,000 (Chapter 53)".</t>
  </si>
  <si>
    <t xml:space="preserve">V66.1</t>
  </si>
  <si>
    <t xml:space="preserve">p. 7 · Output of the ROI script (continues from p. 6)</t>
  </si>
  <si>
    <t xml:space="preserve">The output ends with "IndexError: single positional indexer is out-of-bounds". The code's roi.item.str.contains("three known automations, total") matches no row, so the script crashes before printing the coverage percentage the text relies on (45 %). A reader sees a failing script presented as verified.</t>
  </si>
  <si>
    <t xml:space="preserve">Fix the string to match the CSV row ("Quantified savings, three known automations…"), re-run, and paste the real output.</t>
  </si>
  <si>
    <t xml:space="preserve">V66.2</t>
  </si>
  <si>
    <t xml:space="preserve">p. 5 · Output of maturity.to_string()</t>
  </si>
  <si>
    <t xml:space="preserve">The "evidence" column wraps, so the header reads "dimension stage / evidence" and each evidence line splits to column 0 ("62) — still centralized, still young"). The 5-row scorecard is hard to read.</t>
  </si>
  <si>
    <t xml:space="preserve">Drop evidence from the print, or render the scorecard as a book table.</t>
  </si>
  <si>
    <t xml:space="preserve">V66.3</t>
  </si>
  <si>
    <t xml:space="preserve">p. 6, 7, 8, 9 · Figure numbering</t>
  </si>
  <si>
    <t xml:space="preserve">The figures appear in page order as 66.1 (p. 6), 66.4 (p. 7), 66.2 (p. 8) and 66.3 (p. 9).</t>
  </si>
  <si>
    <t xml:space="preserve">Renumber the p. 7 chart as 66.2 and shift the others, or move it. Update in-text references ("Figure 66.1", "66.4").</t>
  </si>
  <si>
    <t xml:space="preserve">V66.4</t>
  </si>
  <si>
    <t xml:space="preserve">p. 6 · Figure 66.1 (maturity dot plot)</t>
  </si>
  <si>
    <t xml:space="preserve">Dimension labels 4.4–5.5 pt, stage headers about 5 pt.</t>
  </si>
  <si>
    <t xml:space="preserve">V66.5</t>
  </si>
  <si>
    <t xml:space="preserve">p. 8 · Figure 66.2 (team structure)</t>
  </si>
  <si>
    <t xml:space="preserve">Text 4.2–5.5 pt, and the boxes are about 40 % empty.</t>
  </si>
  <si>
    <t xml:space="preserve">Enlarge to 7 pt or more; shorten the boxes.</t>
  </si>
  <si>
    <t xml:space="preserve">V66.6</t>
  </si>
  <si>
    <t xml:space="preserve">p. 9 · Figure 66.3 (build vs buy)</t>
  </si>
  <si>
    <t xml:space="preserve">Text 4.6–5.5 pt. "Edge to" is "Buy" in every row but coloured green, amber or red with no key, and the left row bars use the same unexplained colours.</t>
  </si>
  <si>
    <t xml:space="preserve">Enlarge; explain or drop the colour coding (all rows say Buy).</t>
  </si>
  <si>
    <t xml:space="preserve">V66.7</t>
  </si>
  <si>
    <t xml:space="preserve">The decorative rule strikes through "GOVERNANCE" in the Part kicker. The cover shows "Approved chapter v1", "Approved 20 September 2026" and "Maturity scores and ROI case computed from figures already verified in earlier chapters" (a production note, and contradicted by V66.1).</t>
  </si>
  <si>
    <t xml:space="preserve">Fix the rule; remove approval and production lines.</t>
  </si>
  <si>
    <t xml:space="preserve">V66.8</t>
  </si>
  <si>
    <t xml:space="preserve">V66.9</t>
  </si>
  <si>
    <t xml:space="preserve">p. 15–16 · Exercises 10–17</t>
  </si>
  <si>
    <t xml:space="preserve">Two-digit numbers clip into the margin ("l0.", "l7." at the top of p. 16).</t>
  </si>
  <si>
    <t xml:space="preserve">V66.10</t>
  </si>
  <si>
    <t xml:space="preserve">p. 7 · Figure 66.4 (bar chart)</t>
  </si>
  <si>
    <t xml:space="preserve">Uses "Rs" and "Rupees per year" while the text uses ₹. The y-axis has no thousands separators (500000).</t>
  </si>
  <si>
    <t xml:space="preserve">Use ₹ and format the axis as ₹5 lakh or 500,000.</t>
  </si>
  <si>
    <t xml:space="preserve">V66.11</t>
  </si>
  <si>
    <t xml:space="preserve">p. 5 · Page foot</t>
  </si>
  <si>
    <t xml:space="preserve">25 % blank because Fig 66.1 moved to p. 6.</t>
  </si>
  <si>
    <t xml:space="preserve">Let text flow around the figure.</t>
  </si>
  <si>
    <t xml:space="preserve">V66.12</t>
  </si>
  <si>
    <t xml:space="preserve">p. 16 · Answers heading</t>
  </si>
  <si>
    <t xml:space="preserve">67.1</t>
  </si>
  <si>
    <t xml:space="preserve">§67.5 "Chapter 64 had to verify two facts by live search … since its training data"</t>
  </si>
  <si>
    <t xml:space="preserve">Drafting/AI-authoring leftover. It exposes the writing process ("live search", "training data") and makes no sense to a reader.</t>
  </si>
  <si>
    <t xml:space="preserve">Replace with a reader-facing example: "The field moves quickly — Chapter 64's regulatory section had to be re-checked against current sources because two deadlines changed within months of being set." Or delete the sentence.</t>
  </si>
  <si>
    <t xml:space="preserve">67.2</t>
  </si>
  <si>
    <t xml:space="preserve">"Before you start: this is the last chapter of the book"; "Where this leads: There is no next chapter"; final line "sixty-seven chapters of practice"</t>
  </si>
  <si>
    <t xml:space="preserve">Part VIII (Chapters 68–82, including 72A, 76A, 76B) and the Closing chapter (83, "The Long Game") follow. The reader turns the page and finds Chapter 68.</t>
  </si>
  <si>
    <t xml:space="preserve">Reword to "the last teaching chapter" / "This closes the main curriculum; Part VIII prepares you for interviews and the Closing chapter looks at the long game." Change "sixty-seven chapters" to "sixty-seven teaching chapters" (or drop the count). Change "There is no next chapter" to "There is no next technical chapter".</t>
  </si>
  <si>
    <t xml:space="preserve">67.3</t>
  </si>
  <si>
    <t xml:space="preserve">Where this leads: "the Question Banks in the appendices (Chapters 70 through 79)"</t>
  </si>
  <si>
    <t xml:space="preserve">They are Part VIII, not appendices. The banks run 70–80 (plus 72A, 76A, 76B), and the "dedicated Architecture &amp; Leadership bank" is Chapter 80, outside the stated range. Ch 68, 69, 81 and 82 (hiring, method, behavioural, take-homes) aren't mentioned.</t>
  </si>
  <si>
    <t xml:space="preserve">"Part VIII (Chapters 68–82) covers how hiring works, the question banks (Chapters 70–80) and mock interviews; the Architecture &amp; Leadership bank (Chapter 80) draws directly on this chapter."</t>
  </si>
  <si>
    <t xml:space="preserve">67.4</t>
  </si>
  <si>
    <t xml:space="preserve">Project steps 4 and 5 "using section 67.6's pattern"</t>
  </si>
  <si>
    <t xml:space="preserve">Both patterns (influence without authority, saying no) are in §67.4. §67.6 is the 90-day plan.</t>
  </si>
  <si>
    <t xml:space="preserve">Change both to "section 67.4's pattern".</t>
  </si>
  <si>
    <t xml:space="preserve">67.5</t>
  </si>
  <si>
    <t xml:space="preserve">§67.7 "You began, in Chapter 1, learning to go to the data — a single query, against one table"; Figure 67.3 "Part I · Ch 1 · One query against one table"</t>
  </si>
  <si>
    <t xml:space="preserve">Chapter 1 is in Part 0 ("What Is Data?") and has no query. The first query is Chapter 12 (Part II).</t>
  </si>
  <si>
    <t xml:space="preserve">Text: "You began, in Chapter 1, asking what data even is; by Chapter 12 you had written your first query against one table." Figure: first box "Part 0 · Ch 1 · What data is", second "Part II · Ch 12 · One query against one table", then keep the rest.</t>
  </si>
  <si>
    <t xml:space="preserve">67.6</t>
  </si>
  <si>
    <t xml:space="preserve">§67.1 "the queries in Part I, the pipelines in Part V, the models in Part VI"</t>
  </si>
  <si>
    <t xml:space="preserve">Part I is careers (Ch 7–9). Queries are Part II (Ch 12–13, 28 in Part III). Models are Part IV (Ch 35–44) as well as VI.</t>
  </si>
  <si>
    <t xml:space="preserve">"the queries in Part II, the models in Parts IV and VI, the pipelines in Part V, the platform design in this Part".</t>
  </si>
  <si>
    <t xml:space="preserve">67.7</t>
  </si>
  <si>
    <t xml:space="preserve">Project step 6 "in Chapter 21's vocabulary: a real number, not an adjective"</t>
  </si>
  <si>
    <t xml:space="preserve">"Numbers, not adjectives" is Ch 60 §60.3. Ch 21 is descriptive statistics. (Ch 66 §66.1 has the same error.)</t>
  </si>
  <si>
    <t xml:space="preserve">"…in Chapter 60's vocabulary (section 60.3): a number, not an adjective; measured as a KPI (Chapter 23)".</t>
  </si>
  <si>
    <t xml:space="preserve">67.8</t>
  </si>
  <si>
    <t xml:space="preserve">§67.4 "use the data contract standard from Chapter 62 … instead of the ad hoc spreadsheets that caused the duplicated-macro incident"; "the real cost in Chapter 62's own numbers"</t>
  </si>
  <si>
    <t xml:space="preserve">The duplicated-macro incident is Ch 63 §63.8 (Delhi and Kolkata branch macros). It wasn't caused by the sales team's exports, and Ch 62 has no numbers for it. Data contracts are taught in Ch 47. Ch 62 only names a "company-wide data contract standard" as a mesh-readiness criterion.</t>
  </si>
  <si>
    <t xml:space="preserve">Consistency / Polish (xref)</t>
  </si>
  <si>
    <t xml:space="preserve">"…to start using a data contract (Chapter 47), which Chapter 62 named as the company-wide standard Riverstone lacked, for every new export, instead of the ad hoc spreadsheets behind the duplicated branch macros Chapter 63's audit found." "…the real cost from Chapter 63's audit." Check that the branch macros belong to Vikram's sales team; if they're branch operations, pick the branch managers as the audience.</t>
  </si>
  <si>
    <t xml:space="preserve">67.9</t>
  </si>
  <si>
    <t xml:space="preserve">§67.3 board speech "save us ₹2,03,775 a year … costs ₹4,56,168 … not yet break-even"; story "the 45% figure"</t>
  </si>
  <si>
    <t xml:space="preserve">Inherits Ch 66's numbers, which depend on the unresolved hourly-rate conflict with Ch 63 (Ch 66 review 66.5: at Ch 63's rate coverage is 109%). Also, Ch 66 uses international grouping (₹203,775) while this chapter uses Indian lakh grouping (₹2,03,775).</t>
  </si>
  <si>
    <t xml:space="preserve">After Ch 66's fix, update the speech, the "nearly half" wording and the story's "45%" to the resolved figure. Pick one rupee grouping style book-wide (Indian lakh grouping suits an Indian audience: ₹2,03,775) and apply it in Ch 65–67.</t>
  </si>
  <si>
    <t xml:space="preserve">67.10</t>
  </si>
  <si>
    <t xml:space="preserve">Story "In late 2026 … eighteen months of honest, checkable work"</t>
  </si>
  <si>
    <t xml:space="preserve">Timeline conflict. Meera became Head of Data Platform around Feb 2026 (Ch 63: "April 2026, two months into her role"), so late 2026 is about 10 months, not 18. Ch 62 has the Taloja hire around Dec 2026, and Ch 66's "nine months later" follows it.</t>
  </si>
  <si>
    <t xml:space="preserve">Move the meeting to "late 2027" (consistent with Ch 62/66), or change "eighteen months" to "ten months" and adjust Ch 66. Use the Part VII timeline proposed in Ch 66 review 66.20.</t>
  </si>
  <si>
    <t xml:space="preserve">67.11</t>
  </si>
  <si>
    <t xml:space="preserve">§67.3 "no slides beyond the one chart already built in Chapter 66"</t>
  </si>
  <si>
    <t xml:space="preserve">That chart (Figure 66.4) doesn't render in Ch 66; an IndexError appears in its place (Ch 66 review 66.1, 66.18).</t>
  </si>
  <si>
    <t xml:space="preserve">Resolved by fixing Ch 66. Optionally show the chart again here as Figure 67.x.</t>
  </si>
  <si>
    <t xml:space="preserve">67.12</t>
  </si>
  <si>
    <t xml:space="preserve">§67.4 "Chapter 51's real incident … the reasoning … only existed in one person's head, and that person was on a different task"</t>
  </si>
  <si>
    <t xml:space="preserve">Ch 51's account: the second sync was built by a different contractor, "in a hurry outside the team's normal process", with PUT instead of PATCH. It's close, but the retelling adds details Ch 51 doesn't have.</t>
  </si>
  <si>
    <t xml:space="preserve">Align with Ch 51: "…the CRM sync that erased a negotiated discount (Chapter 51): built in a hurry, outside our normal process, by a contractor whose reasoning nobody had written down."</t>
  </si>
  <si>
    <t xml:space="preserve">67.13</t>
  </si>
  <si>
    <t xml:space="preserve">§67.2 "when to take on technical debt deliberately and when to pay it down"</t>
  </si>
  <si>
    <t xml:space="preserve">"Technical debt" appears nowhere earlier in the book and isn't defined here.</t>
  </si>
  <si>
    <t xml:space="preserve">Define at first use: "technical debt: the future cost of a shortcut taken now (a hard-coded value, a missing test, a manual step), which, like financial debt, charges interest until it is repaid." Add it to Key terms.</t>
  </si>
  <si>
    <t xml:space="preserve">67.14</t>
  </si>
  <si>
    <t xml:space="preserve">§67.4 "Team topologies (Chapter 62, section 62.7's Conway's Law…)"; Key terms "team topology"</t>
  </si>
  <si>
    <t xml:space="preserve">Conway's Law is §62.8 (§62.7 is data products). "Team topologies" is also the name of a well-known framework (Skelton &amp; Pais) and is used here without definition. Ch 66 defined only centralized/embedded/hybrid.</t>
  </si>
  <si>
    <t xml:space="preserve">Polish (xref) / First-time reader</t>
  </si>
  <si>
    <t xml:space="preserve">Change to "section 62.8". Add: "team topology: the shape of how teams are organized and interact (Chapter 66's centralized, embedded, hybrid); the term also names a widely used book by Skelton and Pais."</t>
  </si>
  <si>
    <t xml:space="preserve">67.15</t>
  </si>
  <si>
    <t xml:space="preserve">§67.2 "December's revenue dip stopped costing us a meeting every quarter (Chapter 24)"</t>
  </si>
  <si>
    <t xml:space="preserve">The December diagnosis is Chapter 23's analysis, used in Ch 24's memo. Neither chapter states the outcome "stopped costing a meeting every quarter"; it's invented here.</t>
  </si>
  <si>
    <t xml:space="preserve">"(Chapters 23–24)", and phrase it as illustrative ("an outcome sounds like…"), or use an outcome the book actually reports (e.g. Ch 64's "East response time 41 → 6 hours").</t>
  </si>
  <si>
    <t xml:space="preserve">67.16</t>
  </si>
  <si>
    <t xml:space="preserve">Figure 67.3 "Part VII Ch 60-61 … Part VII Ch 63-66 … Governed, secured, costed, and led"</t>
  </si>
  <si>
    <t xml:space="preserve">It skips Ch 62 and puts "led" (Ch 67's subject) under 63–66. It also jumps Part III (28–34) and Part IV (35–44).</t>
  </si>
  <si>
    <t xml:space="preserve">Boxes: Part 0–I (1–9) foundations; Part II (10–27) one query → one automation; Parts III–IV (28–44) engineering and models; Parts V–VI (45–59) production pipelines and AI; Part VII (60–66) designed, governed, secured, costed; Ch 67 led.</t>
  </si>
  <si>
    <t xml:space="preserve">67.17</t>
  </si>
  <si>
    <t xml:space="preserve">Ch 60 Where-this-leads "Chapter 67 … the conversation between Meera and Vikram in this chapter's story — … done properly"</t>
  </si>
  <si>
    <t xml:space="preserve">Ch 67 mentions the Ch 60 near-rewrite only briefly (§67.5). Its Meera–Vikram scene is a different conversation (data contracts). The Ch 60 pointer promises more than Ch 67 delivers.</t>
  </si>
  <si>
    <t xml:space="preserve">Either edit Ch 60's pointer to "Chapter 67's influencing-without-authority scenario", or add 3–4 lines to §67.4 revisiting how Vikram's question in Ch 60 was itself influence without authority.</t>
  </si>
  <si>
    <t xml:space="preserve">67.18</t>
  </si>
  <si>
    <t xml:space="preserve">"In candor, and as it should be: this mastery accrues over years…" (after "You've got it when…")</t>
  </si>
  <si>
    <t xml:space="preserve">Stray, oddly phrased line, apparently a leftover editorial note.</t>
  </si>
  <si>
    <t xml:space="preserve">Delete, or fold into the list's lead-in: "Honestly, these take years of real responsibility, not the end of a book."</t>
  </si>
  <si>
    <t xml:space="preserve">67.19</t>
  </si>
  <si>
    <t xml:space="preserve">Key terms "(All terms are defined in the Glossary, Appendix A.)"</t>
  </si>
  <si>
    <t xml:space="preserve">Several terms (leverage, portfolio thinking, executive storytelling) are defined only implicitly in prose.</t>
  </si>
  <si>
    <t xml:space="preserve">Give each key term a one-line bold definition at first use in the text, matching the glossary entry.</t>
  </si>
  <si>
    <t xml:space="preserve">67.20</t>
  </si>
  <si>
    <t xml:space="preserve">Spine: declared prerequisites "—"</t>
  </si>
  <si>
    <t xml:space="preserve">The chapter heavily reuses Ch 24, 51, 60, 62–66.</t>
  </si>
  <si>
    <t xml:space="preserve">"Before you start: Chapters 60–66 in particular, plus Chapter 24 (communication)."</t>
  </si>
  <si>
    <t xml:space="preserve">V67.1</t>
  </si>
  <si>
    <t xml:space="preserve">p. 10 · Figure 67.3 ("The arc of this book, in one line")</t>
  </si>
  <si>
    <t xml:space="preserve">The horizontal timeline rule passes through the chapter labels ("Ch 1", "Ch 20", "Ch 46-58" …), striking them through. The top 45 % of the figure frame is empty. Text is 4.4–5.5 pt. The fifth stop is labelled "Part VII" again (Ch 63–66), which reads like a duplicate.</t>
  </si>
  <si>
    <t xml:space="preserve">Put the chapter labels above the rule with clearance, crop the empty top, enlarge to 7 pt or more, and label the fifth stop distinctly (e.g. "Part VII (cont.)").</t>
  </si>
  <si>
    <t xml:space="preserve">V67.2</t>
  </si>
  <si>
    <t xml:space="preserve">p. 4 · Figure 67.1 (IC vs leverage)</t>
  </si>
  <si>
    <t xml:space="preserve">Text 4.5–5.6 pt; both boxes are about 40 % empty.</t>
  </si>
  <si>
    <t xml:space="preserve">Shorten the boxes; set text at 7 pt or more.</t>
  </si>
  <si>
    <t xml:space="preserve">V67.3</t>
  </si>
  <si>
    <t xml:space="preserve">p. 9 · Figure 67.2 (first-90-days plan)</t>
  </si>
  <si>
    <t xml:space="preserve">Text 4.4–5.7 pt; boxes about 35 % empty.</t>
  </si>
  <si>
    <t xml:space="preserve">V67.4</t>
  </si>
  <si>
    <t xml:space="preserve">The decorative rule strikes through "GOVERNANCE" in the Part kicker. The badge reads "Approved chapter v1 — final chapter of the book", with "Approved 20 September 2026" and "The arc of Analyst to Architect, resolved".</t>
  </si>
  <si>
    <t xml:space="preserve">Fix the rule; remove the approval lines; drop "final chapter of the book" (see V67.6).</t>
  </si>
  <si>
    <t xml:space="preserve">V67.5</t>
  </si>
  <si>
    <t xml:space="preserve">V67.6</t>
  </si>
  <si>
    <t xml:space="preserve">p. 1, 15 · Book structure</t>
  </si>
  <si>
    <t xml:space="preserve">The cover badge and the closing italic note ("This is the final chapter of Analyst to Architect. Thank you for reading…") present Ch 67 as the end of the book. Part VIII (Ch 68–82 and the Closing) follows, and p. 15 itself points to "the Question Banks in the appendices (Chapters 70 through 79)", which are chapters in Part VIII, not appendices.</t>
  </si>
  <si>
    <t xml:space="preserve">Reword to "the final chapter of the core curriculum", and call the banks "Part VIII".</t>
  </si>
  <si>
    <t xml:space="preserve">V67.7</t>
  </si>
  <si>
    <t xml:space="preserve">p. 6 · Board-pitch quote</t>
  </si>
  <si>
    <t xml:space="preserve">"₹2,03,775" and "₹4,56,168" use Indian lakh grouping. The same numbers print as "₹203,775" and "₹456,168" in Ch 65/66 and in this book's other chapters.</t>
  </si>
  <si>
    <t xml:space="preserve">Pick one grouping convention book-wide.</t>
  </si>
  <si>
    <t xml:space="preserve">V67.8</t>
  </si>
  <si>
    <t xml:space="preserve">p. 10→11 · "Common mistakes" table</t>
  </si>
  <si>
    <t xml:space="preserve">Splits 2 rows + 7 rows. The header repeats (good), but only two rows sit on p. 10.</t>
  </si>
  <si>
    <t xml:space="preserve">Keep the table together, or break before the heading.</t>
  </si>
  <si>
    <t xml:space="preserve">68.1</t>
  </si>
  <si>
    <t xml:space="preserve">"In the real world: what Farah actually did": "asked a former colleague, already at a company she was targeting, for a referral"</t>
  </si>
  <si>
    <t xml:space="preserve">Contradicts Chapter 8. There, Farah's route is an internal move at Riverstone: she tells Anita, Anita keeps the posting open and interviews others on the same must-haves, and Farah helps Meera on Friday afternoons. Here she applies externally through a referral, and the role is "likely to close" in ten weeks (Ch 8: "The posting would stay open"). A reader who followed Farah through Ch 8–9 will be confused about which story is true.</t>
  </si>
  <si>
    <t xml:space="preserve">Rewrite the story so it continues Ch 8, not a new path. Suggested shape: "Farah stayed on the internal route from Chapter 8. Anita's posting was still open, and Anita would interview outside candidates on the same must-haves, so Farah prepared exactly as an outside candidate would." Keep the gates (updated CV and LinkedIn, re-scored must-haves, Chapter 69's moves in the technical round). Replace the referral with the internal equivalent: "Meera, who had seen her Friday work, told Anita what Farah had built. That got her a seat at the table; it didn't do the sitting for her." If the author wants a referral example, move it to Example 6/7 (which already cover referrals).</t>
  </si>
  <si>
    <t xml:space="preserve">68.2</t>
  </si>
  <si>
    <t xml:space="preserve">Same story: "She spent the first six weeks on SQL and Power BI" … "By week eight … about 80%"</t>
  </si>
  <si>
    <t xml:space="preserve">Contradicts Chapter 9, where Farah's SQL practice alone takes 12 weeks, with a plateau in weeks 4–8 and a score of 9/10 only in week 12. Ch 8 also says "Six weeks later, the email worked" (the Apps Script automation, not SQL + Power BI). The must-have jump from 50% to 80% in eight weeks is not supported by either chapter.</t>
  </si>
  <si>
    <t xml:space="preserve">Align the timeline with Ch 9: "She spent twelve weeks on SQL (Chapter 9 tells that story, plateau included), building her Monday email along the way (Chapter 8). Power BI came next." The "80%" can be kept if it's derived from Ch 8's table: after SQL (1→2) and the Monday email (automated report 0→2), with Power BI not yet started (0), must-haves are 2 + 2 + 0 + 2 + 2 = 8 of 10 = 80%. Print that working line, and say it's "by week 12, before Power BI". If Power BI then reaches 1, coverage is 9/10 = 90%.</t>
  </si>
  <si>
    <t xml:space="preserve">68.3</t>
  </si>
  <si>
    <t xml:space="preserve">§68.6 "90 days: close the real gaps … Weeks 1–8: the three skill gaps"</t>
  </si>
  <si>
    <t xml:space="preserve">Load/consistency with the book's own timeline method. Ch 12–13 + 16 + 19–20 are 90–112 hours by their own Time needed lines (19–23 + 15–20 + 18–22 + 20–25 + 18–22). In 8 weeks that's 11–14 h/week. Ch 9 §9.1 calls 6 h/week "realistic alongside a full-time job", and Farah has a full-time sales job. The plan breaks the chapter-hours arithmetic Ch 9 taught.</t>
  </si>
  <si>
    <t xml:space="preserve">Consistency / Load</t>
  </si>
  <si>
    <t xml:space="preserve">Add the arithmetic Ch 9 teaches and make the plan honest: "Farah's three gaps add up to about 90–112 hours of chapter work (Chapters 12–13, 16, 19–20). At 6 hours a week that's 15–19 weeks, not 8. So even 90 days means triage: SQL fully (34–43 h), Power BI to 'can demonstrate' (the first half of Chapter 16), and one automation she's already started (Chapter 8's Monday email)." Then give the week plan for that scope. Do the same check for the 60- and 30-day plans (60 days ≈ 8.6 weeks ≈ 52 h at 6 h/week: enough for SQL only).</t>
  </si>
  <si>
    <t xml:space="preserve">68.4</t>
  </si>
  <si>
    <t xml:space="preserve">§68.6 90-day: "mock interviews last two weeks" vs "Week 12: mock interviews … begin in parallel with the drilling, not after it"</t>
  </si>
  <si>
    <t xml:space="preserve">Internal contradiction. The text says mocks take the last two weeks, the plan gives them one week (12), and then says they start "in parallel with the drilling" although drilling is weeks 9–11.</t>
  </si>
  <si>
    <t xml:space="preserve">Rewrite the weekly list as: "Weeks 1–8: skill gaps … Weeks 9–12: drilling with Chapters 69–71; from week 11, two mock interviews a week (Chapter 82); applications and referral outreach start in week 10, alongside the drilling." Delete "last two weeks" or make it match.</t>
  </si>
  <si>
    <t xml:space="preserve">68.5</t>
  </si>
  <si>
    <t xml:space="preserve">§68.6 "Chapters 69–71 (and 76, if targeting BA-flavored roles too)"</t>
  </si>
  <si>
    <t xml:space="preserve">There is no Chapter 76; the BA bank is 76B (and the DA/DS bank is 76A). Numbering is still pending (sequence map: 72A/76A/76B renumbering).</t>
  </si>
  <si>
    <t xml:space="preserve">After renumbering, point to the BA bank by its final number and name: "(and the Business Analyst Question Bank, Chapter NN, if you're also targeting BA roles)". Also add the DA/DS bank (76A) for a data analyst like Farah. Check every "Chapter 76"/"Chapters 70–82" in this chapter after renumbering.</t>
  </si>
  <si>
    <t xml:space="preserve">68.6</t>
  </si>
  <si>
    <t xml:space="preserve">§68.7 Example 3 table "Total 12 / 26"</t>
  </si>
  <si>
    <t xml:space="preserve">Wrong maximum. Five must-haves × 2 points × weight 2 = 20, plus two nice-to-haves × 2 × 1 = 4, so the maximum is 24, not 26. 12/24 = 50%.</t>
  </si>
  <si>
    <t xml:space="preserve">Change "Total 12 / 26" to "Total 12 / 24 (50%)" and add Ch 8's working line: "Maximum: 5 must-haves × 2 points × 2 = 20, plus 2 nice-to-haves × 2 points × 1 = 4, so 24." The must-have coverage line (6/10 = 60%) is correct; keep it.</t>
  </si>
  <si>
    <t xml:space="preserve">68.7</t>
  </si>
  <si>
    <t xml:space="preserve">§68.8.1 "every must-have keyword from the JD (SQL, Excel, pivot tables, basic visualization) appears in the Skills line in the JD's own words"</t>
  </si>
  <si>
    <t xml:space="preserve">Not true of the resume shown. Aditi's Skills line has no "visualization"/"data visualization" at all (only "Power BI"). The annotation teaches the keyword-mirroring rule and then claims a resume follows it when it doesn't.</t>
  </si>
  <si>
    <t xml:space="preserve">Either add "data visualization" to Aditi's Skills line ("… · Power BI (data visualization, dashboards) · …") or change the annotation to say what is true. Recommend fixing the resume, so the annotation stays a clean example.</t>
  </si>
  <si>
    <t xml:space="preserve">68.8</t>
  </si>
  <si>
    <t xml:space="preserve">§68.8.3 "every must-have term (statistics, hypothesis testing, SQL, machine learning, model evaluation) appears … in the JD's own words"</t>
  </si>
  <si>
    <t xml:space="preserve">Kavya's Skills line says "evaluation and calibration", not "model evaluation", and never says "supervised learning", which the JD lists. Same problem as 68.7.</t>
  </si>
  <si>
    <t xml:space="preserve">Edit the Skills line: "Machine learning (supervised learning: logistic regression, gradient boosting; model evaluation and calibration)".</t>
  </si>
  <si>
    <t xml:space="preserve">68.9</t>
  </si>
  <si>
    <t xml:space="preserve">§68.8.4 "the must-have list (SQL, Python, an orchestration tool, a cloud warehouse) … all appear in the exact JD wording"</t>
  </si>
  <si>
    <t xml:space="preserve">Arjun's Skills line says "Apache Airflow" and "Snowflake", not the JD's words "pipeline orchestration" and "cloud data warehouse"; "data quality frameworks" appears as "Data quality testing (Great Expectations)". This is the synonym trap §68.2 warns about.</t>
  </si>
  <si>
    <t xml:space="preserve">Either add the JD phrases ("Pipeline orchestration (Apache Airflow) · Cloud data warehouse (Snowflake) · Data quality frameworks (Great Expectations)") or rewrite the annotation to make the teaching point explicitly: "the tool names match most searches, but adding the JD's generic phrase too covers a recruiter who searches the category." Recommend both: fix the resume and add that sentence.</t>
  </si>
  <si>
    <t xml:space="preserve">68.10</t>
  </si>
  <si>
    <t xml:space="preserve">§68.8.3 "both experience bullets and the one project follow Chapter 9's full seven-part portfolio shape"</t>
  </si>
  <si>
    <t xml:space="preserve">There are four experience bullets (three at Solvix, one at Kestrel), not two; and the claim "full seven-part shape" is then qualified as "question, approach, result, and a check or honest caveat" (four parts).</t>
  </si>
  <si>
    <t xml:space="preserve">"Every experience bullet and the project compress Chapter 9's seven-part shape into one line: the question, the approach, the result, and a check or caveat."</t>
  </si>
  <si>
    <t xml:space="preserve">68.11</t>
  </si>
  <si>
    <t xml:space="preserve">§68.8.3 Kavya summary "Data Scientist with 4 years building and evaluating models"</t>
  </si>
  <si>
    <t xml:space="preserve">Timeline: DS at Solvix since 2023 (≈3 years by 2026); the 2021–23 role is Data Analyst. "4 years building and evaluating models" overstates; also, the book's own advice is not to pad.</t>
  </si>
  <si>
    <t xml:space="preserve">"Data scientist with 5 years in data, 3 of them building and evaluating models …" (or change dates). Also check Rohan (§68.8.2): "3 years" in the summary vs 2022–Present (≈4 years in 2026).</t>
  </si>
  <si>
    <t xml:space="preserve">68.12</t>
  </si>
  <si>
    <t xml:space="preserve">§68.8.3 "correctly accounting for a stopping-time bias the initial design had missed"</t>
  </si>
  <si>
    <t xml:space="preserve">"Stopping-time bias" is not the standard term and isn't in the book. Chapter 30 teaches this as peeking (optional stopping). A reader can't connect it to what they learned.</t>
  </si>
  <si>
    <t xml:space="preserve">Replace with "…correcting a peeking problem (stopping the test as soon as it looked significant) that the initial design had missed".</t>
  </si>
  <si>
    <t xml:space="preserve">68.13</t>
  </si>
  <si>
    <t xml:space="preserve">§68.8.2 "Certifications CBAP coursework in progress, 2026"</t>
  </si>
  <si>
    <t xml:space="preserve">CBAP is IIBA's senior certification and needs thousands of hours of BA work experience; a career switcher can't hold it or credibly "work toward" it yet. The entry-level IIBA certificate is ECBA (CCBA for mid-level). An interviewer would notice.</t>
  </si>
  <si>
    <t xml:space="preserve">Change to "ECBA (IIBA Entry Certificate in Business Analysis), in progress, 2026". Verify current IIBA requirements before print and date the note.</t>
  </si>
  <si>
    <t xml:space="preserve">68.14</t>
  </si>
  <si>
    <t xml:space="preserve">§68.7 Example 4 "Infrastructure tools (TensorFlow, Docker, Kubernetes, Airflow)"</t>
  </si>
  <si>
    <t xml:space="preserve">TensorFlow is a machine-learning/deep-learning library, not an infrastructure tool. For a "build models to predict churn" role it's arguably core ML, not a red flag.</t>
  </si>
  <si>
    <t xml:space="preserve">Split the list: "TensorFlow is an ML library, so it belongs with the core skills (and deep learning is rarely needed for churn); Docker, Kubernetes and Airflow are infrastructure." Keep Kubernetes as the clarifying-question example.</t>
  </si>
  <si>
    <t xml:space="preserve">68.15</t>
  </si>
  <si>
    <t xml:space="preserve">Example 3 "tier 1"; Example 4 "a tier 2 posting"; §68.4 "especially at tier 1 and tier 2"</t>
  </si>
  <si>
    <t xml:space="preserve">"Tier" here means company tier (large product/MNC vs mid-sized firms, an Indian job-market usage) but is never defined. In Chapter 8, "tier" means the career-tree tier (tier 1 = analyst core, tier 3 = data science). "A tier 2 Data Scientist posting" reads as a contradiction (DS is tier 3 on the tree).</t>
  </si>
  <si>
    <t xml:space="preserve">Don't reuse the word. Replace with "a large company", "a mid-sized company", or define once in §68.1: "Recruiters in India often say 'tier 1' for large product and multinational companies and 'tier 2' for mid-sized firms; this is a different thing from Chapter 8's career-tree tiers." Recommend replacing.</t>
  </si>
  <si>
    <t xml:space="preserve">68.16</t>
  </si>
  <si>
    <t xml:space="preserve">§68.3 round table (Recruiter call … Behavioral/HR)</t>
  </si>
  <si>
    <t xml:space="preserve">The table maps rounds to only Chapters 71, 73–75, 77, 81, 82. It omits the Excel/Sheets/BI round (Ch 70) even though the next paragraph says a DA interview "leans on SQL, Excel/Sheets"; also Python (72), DSA (72A), DA/DS portfolio (76A), BA (76B), automation (78), GenAI/MLOps (79), architecture/leadership (80).</t>
  </si>
  <si>
    <t xml:space="preserve">Alignment</t>
  </si>
  <si>
    <t xml:space="preserve">Add rows: "Spreadsheet / BI exercise → Chapter 70"; "Python / pandas live coding → Chapter 72 (and 72A for algorithm questions)"; "Portfolio / project deep-dive → Chapter 76A"; "BA case (requirements, process) → Chapter 76B"; "Automation design → Chapter 78"; "GenAI / MLOps → Chapter 79"; "Architecture &amp; leadership (senior) → Chapters 77 and 80". Use final chapter numbers after renumbering.</t>
  </si>
  <si>
    <t xml:space="preserve">68.17</t>
  </si>
  <si>
    <t xml:space="preserve">§68.1 gate 7 "§8.6 already covers how to read salary numbers; use that groundwork now"</t>
  </si>
  <si>
    <t xml:space="preserve">Approved plan (fix-instructions 8.7): Ch 8 §8.6 keeps one row (Data Analyst) as a worked reading example; the Data Scientist and Data Engineer rows and the growth-percentage discussion move here, "where pay is discussed for the job search". Nothing has been moved yet.</t>
  </si>
  <si>
    <t xml:space="preserve">Flow (approved move)</t>
  </si>
  <si>
    <t xml:space="preserve">Add a new subsection after §68.5 (or inside a new §68.6 "Pay at the offer gate", renumbering later sections): (1) the two moved rows with the same columns and the dated source line ("PayScale India, pages updated 9–14 July 2026, retrieved 16 September 2026"), plus the kept DA row repeated for comparison; (2) the growth paragraph with its working: DA (565,999 ÷ 413,462 − 1) × 100 = 36.9%, DS 68.9%, DE 56.4% (all recomputed ✓), and the "different groups of people, not the same people later" warning; (3) the "DS median ≈ 1.73 × DA median" line (✓ 1,000,000 ÷ 577,000 = 1.733) with "roughly" kept because PayScale rounds; (4) a "This changes; verify before you rely on it" box like §68.4's. Carry over the unresolved Ch 8 issue I.5 (median vs average label for ₹577k) and fix it in both places at once. Link to Ch 81 for negotiation.</t>
  </si>
  <si>
    <t xml:space="preserve">68.18</t>
  </si>
  <si>
    <t xml:space="preserve">Knock-on of 68.17 in Ch 8 exercises 6–7</t>
  </si>
  <si>
    <t xml:space="preserve">Ch 8 ex. 6 asks for the data-engineer growth % using "the PayScale table in section 8.6"; after the move, the DE row lives in Ch 68, which the reader meets ~60 chapters later. Fix-instructions 8.7 says "Exercises 6 and 7 keep working from the kept row and Ch 68's table", which would be a forward dependency (test 7).</t>
  </si>
  <si>
    <t xml:space="preserve">In Ch 8, rewrite ex. 6 to use the kept DA row (answer: 36.9%). Move the DE version of the exercise into this chapter's Practice exercises (new ex. 6: "Using the table in §68.x, how much higher is average total pay for data engineers with 1–4 years than under 1 year? Why isn't that a promised raise?" Answer: 56.4%). Add answers for it (see 68.29).</t>
  </si>
  <si>
    <t xml:space="preserve">68.19</t>
  </si>
  <si>
    <t xml:space="preserve">§68.3 Recruiter call row "your current CTC range (§8.6)"; §68.1 gate 3 "current pay expectations in general terms"</t>
  </si>
  <si>
    <t xml:space="preserve">§8.6 teaches how to read salary data, not what your own CTC is; and the phrase "current pay expectations in general terms" is unclear (current pay, or expected pay?). The recruiter call normally asks both current CTC and expected CTC, plus notice period.</t>
  </si>
  <si>
    <t xml:space="preserve">Gate 3: "Confirms basics: notice period, current CTC and expected CTC (as ranges), location…". Table: "Know your notice period, your current and expected CTC (use §8.6 and §68.x's figures to set the expected range)…".</t>
  </si>
  <si>
    <t xml:space="preserve">68.20</t>
  </si>
  <si>
    <t xml:space="preserve">§68.2 ATS platform table (Workday … Taleo "the least forgiving of the four") and "at most companies above a few hundred employees"</t>
  </si>
  <si>
    <t xml:space="preserve">Vendor-specific behaviour and adoption are stated as fact with no source or date, unlike §68.4's LinkedIn box. These claims go stale and vary by version/configuration.</t>
  </si>
  <si>
    <t xml:space="preserve">Add the same box used in §68.4: "This changes; verify before you rely on it. Parsers are updated and each company configures its ATS differently. Checked September 2026." Soften "the least forgiving" to "generally reported as less forgiving". Drop "at most companies above a few hundred employees" or cite a source.</t>
  </si>
  <si>
    <t xml:space="preserve">68.21</t>
  </si>
  <si>
    <t xml:space="preserve">§68.4 "'Open to Work' (recruiter-only visibility mode) … without alerting your current employer"</t>
  </si>
  <si>
    <t xml:space="preserve">Overstated. LinkedIn hides the recruiter-only signal from recruiters at your own company, but says it can't guarantee full privacy (e.g., recruiters at affiliated companies or who move jobs). A reader could be exposed at work.</t>
  </si>
  <si>
    <t xml:space="preserve">"…signals you're open to offers to recruiters, and LinkedIn tries to hide it from recruiters at your current company, but it says it can't guarantee that. If being discovered would cause a problem at work, leave it off."</t>
  </si>
  <si>
    <t xml:space="preserve">68.22</t>
  </si>
  <si>
    <t xml:space="preserve">§68.4 "A profile photo and a completed profile both measurably raise search ranking and response rates … well-documented payoff"</t>
  </si>
  <si>
    <t xml:space="preserve">"Search ranking" and "well-documented" are unsupported; LinkedIn publishes view/message-rate claims for photos, not ranking. It also sits oddly beside §68.2's "no photo" rule for CVs, with no explanation why the two differ.</t>
  </si>
  <si>
    <t xml:space="preserve">"LinkedIn reports that profiles with a photo get more views and messages. (A CV is different: leave the photo off, for the reasons in §68.2; LinkedIn is a networking profile, where a photo is expected.)"</t>
  </si>
  <si>
    <t xml:space="preserve">68.23</t>
  </si>
  <si>
    <t xml:space="preserve">§68.4 InMail "Response rate and response time are both tracked internally at many companies as recruiter performance metrics"</t>
  </si>
  <si>
    <t xml:space="preserve">Unsourced; the causal step ("so a fast reply gets more attention") is speculation stated as fact.</t>
  </si>
  <si>
    <t xml:space="preserve">Replace with the practical advice alone: "Reply within a day or two, and specifically. A reply that just says 'Interested!' wastes the opening…"</t>
  </si>
  <si>
    <t xml:space="preserve">68.24</t>
  </si>
  <si>
    <t xml:space="preserve">§68.7 intro "Ten examples, graded from easy to hard … read them in order … the reasoning builds"</t>
  </si>
  <si>
    <t xml:space="preserve">Difficulty labels run Easy, Easy, Medium, Medium, Hard, Easy, Medium, Hard, Medium, Hard: three mini-sequences (CV bullets/JD scoring, referrals, plans), not one easy→hard run.</t>
  </si>
  <si>
    <t xml:space="preserve">Difficulty progression</t>
  </si>
  <si>
    <t xml:space="preserve">Either say so ("Three groups, each graded easy to hard: CV bullets and JD scoring (1–5), referral messages (6–8), preparation plans (9–10)") and add group headings, or reorder. Recommend the headings. Also label Example 9 "(Medium)" → keep, but put it before Example 10 (it is).</t>
  </si>
  <si>
    <t xml:space="preserve">68.25</t>
  </si>
  <si>
    <t xml:space="preserve">Example 9 "Weeks 2–9 … Weeks 8–10 (overlapping…)"</t>
  </si>
  <si>
    <t xml:space="preserve">The fresher's 90-day plan stops at week 10 of ~13; drilling, mock interviews and applications (weeks 11–13) are missing, so it isn't "the shape from 68.6". Also "identical shape to Farah's skills-first weeks" inherits the load problem in 68.3.</t>
  </si>
  <si>
    <t xml:space="preserve">Add "Weeks 11–13: Chapters 69–71 drilling, two mocks a week (Chapter 82), applications." Add one line of hour arithmetic: "a fresher studying full-time (say 25 h/week) can cover Chapters 10–16 and 19–20 in these weeks; part-time, cut the scope to SQL + one BI tool."</t>
  </si>
  <si>
    <t xml:space="preserve">68.26</t>
  </si>
  <si>
    <t xml:space="preserve">Example 10 "prioritize the statistics and evaluation chapters (… Chapter 73)"</t>
  </si>
  <si>
    <t xml:space="preserve">The priority list omits Chapter 30 (Inference &amp; Experiments), which teaches A/B testing, the most interviewed DS statistics topic, and Chapter 36 (the ML workflow). Also 60 days for Ch 21–22 and 35–39 is 80–106 hours (their own Time needed) ≈ 9–12 h/week; say so.</t>
  </si>
  <si>
    <t xml:space="preserve">Alignment / Load</t>
  </si>
  <si>
    <t xml:space="preserve">"…prioritize Chapters 21–22 and 30 (statistics and experiments), 36 and 39 (the ML workflow and honest evaluation), then 37; that's roughly 70–90 hours, so about 9–11 hours a week for 60 days. Chapter 43 can wait."</t>
  </si>
  <si>
    <t xml:space="preserve">68.27</t>
  </si>
  <si>
    <t xml:space="preserve">Examples 6–8 "Riverstone Traders", "Riverstone's work", "Vikram"</t>
  </si>
  <si>
    <t xml:space="preserve">"Riverstone Traders" is easily confused with Riverstone Supplies (the book's company, where Farah already works), and Example 7 targets "Riverstone". "Vikram" is Vikram Singh, Riverstone's Sales Manager, reused as an unrelated hiring contact; "Farhan" is Ch 8's ML engineer.</t>
  </si>
  <si>
    <t xml:space="preserve">Use fresh, clearly external names: "Northwind Distributors" (Ex 6), "Meridian Logistics" (Ex 7, already used in §68.8.2), a new contact name in Ex 8 (not Vikram).</t>
  </si>
  <si>
    <t xml:space="preserve">68.28</t>
  </si>
  <si>
    <t xml:space="preserve">§68.6 "Interview extra point. Whatever your runway, bring your decoded job description…"</t>
  </si>
  <si>
    <t xml:space="preserve">Repeats Ch 8 §8.5's Interview extra point almost word for word. Ch 8 promised that "Chapter 68 explains why this lands well"; this box doesn't explain why, it restates.</t>
  </si>
  <si>
    <t xml:space="preserve">Replace with the explanation: "Why it lands: the hiring manager wrote those duties because they're the work they need done; naming two and matching each to something you built answers their real question (can you do this job?) in 30 seconds, and the hidden-skill question shows you've spotted the part of the job that's hard." Keep one line pointing back to §8.5.</t>
  </si>
  <si>
    <t xml:space="preserve">68.29</t>
  </si>
  <si>
    <t xml:space="preserve">Practice exercises 1–5 (no answers)</t>
  </si>
  <si>
    <t xml:space="preserve">Every other chapter has answers (Appendix G). These are personal, but ex. 3 ("output, not duty" bullet) and ex. 4 (referral request) can have model answers, and a moved salary exercise (68.18) needs one. Ex. 4 introduces a 70% threshold that the chapter never mentions (§68.5 says "clear most of the must-haves").</t>
  </si>
  <si>
    <t xml:space="preserve">Add "Answers to practice exercises" with a sample answer for 3 and 4 and a checklist for 1, 2, 5. Align the threshold: either state "about 70% must-have coverage" in §68.5 or change ex. 4 to "once you clear most must-haves".</t>
  </si>
  <si>
    <t xml:space="preserve">68.30</t>
  </si>
  <si>
    <t xml:space="preserve">§68.8 resumes: "SHAP", "0.79 AUC", "calibration", "gradient boosting", "Great Expectations", "Kafka", "BPMN", "Prophet"</t>
  </si>
  <si>
    <t xml:space="preserve">These terms are taught in Parts IV–V (Ch 25, 37, 39, 40, 46–47, 50). A data-analyst-route reader (Ch 8 §8.7 skips Parts IV–V) meets them unexplained. They're content examples, not things to learn here, but a beginner doesn't know that.</t>
  </si>
  <si>
    <t xml:space="preserve">Add one line before §68.8.1: "Some terms in the DS and DE resumes (AUC, SHAP, Kafka…) come from Parts IV–V. You don't need them to follow this section; look at how each bullet is built, not at the tools."</t>
  </si>
  <si>
    <t xml:space="preserve">68.31</t>
  </si>
  <si>
    <t xml:space="preserve">Throughout: "CV" and "resume" used interchangeably</t>
  </si>
  <si>
    <t xml:space="preserve">Never stated that they mean the same here (in some countries they differ).</t>
  </si>
  <si>
    <t xml:space="preserve">First use in §68.1: "Your CV (also called a résumé; in Indian hiring the two words mean the same thing)".</t>
  </si>
  <si>
    <t xml:space="preserve">68.32</t>
  </si>
  <si>
    <t xml:space="preserve">§68.1 gate 7 "Reference checks and offer"</t>
  </si>
  <si>
    <t xml:space="preserve">In Indian hiring, background verification usually runs after the offer is signed, and references are less common than in the US/UK. "Pay … negotiated here, not before" also conflicts with the recruiter call asking expected CTC.</t>
  </si>
  <si>
    <t xml:space="preserve">"7. Offer, then background verification. Pay, level and start date are settled here; the expected CTC you gave in the recruiter call is the opening number, not the final one."</t>
  </si>
  <si>
    <t xml:space="preserve">68.33</t>
  </si>
  <si>
    <t xml:space="preserve">Example 1 bullet "(missing values, inconsistent city names) … cutting duplicate records from 12% to under 1%"</t>
  </si>
  <si>
    <t xml:space="preserve">The metric (duplicates) doesn't match the problems named (missing values, inconsistent names); the solution text says "what was the question" but the bullet states no question.</t>
  </si>
  <si>
    <t xml:space="preserve">"…standardized inconsistent city names and resolved missing values, cutting duplicate records from 12% to under 1% so route-level counts could be trusted."</t>
  </si>
  <si>
    <t xml:space="preserve">68.34</t>
  </si>
  <si>
    <t xml:space="preserve">Key terms "runway · triage (in preparation)"</t>
  </si>
  <si>
    <t xml:space="preserve">"Runway" is used from §68.6 but never defined.</t>
  </si>
  <si>
    <t xml:space="preserve">Define at §68.6's first line: "your runway: the time you have before you need to be interviewing".</t>
  </si>
  <si>
    <t xml:space="preserve">68.35</t>
  </si>
  <si>
    <t xml:space="preserve">Where this leads "Chapters 70–82 are the question banks"</t>
  </si>
  <si>
    <t xml:space="preserve">After renumbering the range changes (72A, 76A, 76B).</t>
  </si>
  <si>
    <t xml:space="preserve">Update after the Part VIII renumber.</t>
  </si>
  <si>
    <t xml:space="preserve">V68.1</t>
  </si>
  <si>
    <t xml:space="preserve">p. 3→4 · "68.1 The whole process, gate by gate"</t>
  </si>
  <si>
    <t xml:space="preserve">The heading plus the lead-in "For a typical data role, in order:" sit at the foot of p. 3. The numbered 7-gate list starts on p. 4.</t>
  </si>
  <si>
    <t xml:space="preserve">Keep the heading, lead-in and first list items together (break-before on the H2).</t>
  </si>
  <si>
    <t xml:space="preserve">V68.2</t>
  </si>
  <si>
    <t xml:space="preserve">Shows "Approved chapter · v1" and "21 September 2026". The subtitle is the "You will learn to" list pasted with "·" separators and no closing full stop ("…for whichever of the ten roles you're aiming at").</t>
  </si>
  <si>
    <t xml:space="preserve">Remove the badge and date for print; write a one-sentence cover subtitle.</t>
  </si>
  <si>
    <t xml:space="preserve">V68.3</t>
  </si>
  <si>
    <t xml:space="preserve">V68.4</t>
  </si>
  <si>
    <t xml:space="preserve">p. 4→5 · ATS platforms table ("Platform (common in India-facing hiring)")</t>
  </si>
  <si>
    <t xml:space="preserve">Splits 3 + 2 rows; the header is repeated.</t>
  </si>
  <si>
    <t xml:space="preserve">Keep together (5 short rows).</t>
  </si>
  <si>
    <t xml:space="preserve">V68.5</t>
  </si>
  <si>
    <t xml:space="preserve">p. 6→7 · "What each round actually tests" table</t>
  </si>
  <si>
    <t xml:space="preserve">Splits 2 + 6 rows.</t>
  </si>
  <si>
    <t xml:space="preserve">Break before the table, or keep together.</t>
  </si>
  <si>
    <t xml:space="preserve">V68.6</t>
  </si>
  <si>
    <t xml:space="preserve">p. 11 · Example 3 scoring table</t>
  </si>
  <si>
    <t xml:space="preserve">The numeric columns (Score, Weight, Points) are left-aligned. The total "12 / 26" does not match the scheme shown (the maximum is 5×2×2 + 2×1×2 = 24).</t>
  </si>
  <si>
    <t xml:space="preserve">Right-align the numbers; content reviewer to confirm the denominator.</t>
  </si>
  <si>
    <t xml:space="preserve">V68.7</t>
  </si>
  <si>
    <t xml:space="preserve">p. 15–18 · Sample resumes</t>
  </si>
  <si>
    <t xml:space="preserve">Emails are styled as blue links and phone numbers are masked "+91-98XXXXXXX1". This is intentional and consistent. The resume panels use the same light-blue fill as quotes and JD excerpts, so three different kinds of content look identical.</t>
  </si>
  <si>
    <t xml:space="preserve">Consider a white "document" panel with border for resumes.</t>
  </si>
  <si>
    <t xml:space="preserve">69.1</t>
  </si>
  <si>
    <t xml:space="preserve">Practice exercises, end note "(In the finished book, one worked answer per exercise … appears in Appendix G…)"</t>
  </si>
  <si>
    <t xml:space="preserve">Drafting leftover (the known "Appendix G" pattern), and worse: the answers don't exist in this chapter at all, unlike every other chapter whose answers are printed. The reader is told to answer each question three times and has nothing to compare against. "At a glance" also promises the moves are "practiced on twenty short examples", which they aren't.</t>
  </si>
  <si>
    <t xml:space="preserve">Write the answers now and print them after the exercises (or in Appendix G when the appendix is built, removing the note). For each exercise give the three tiers in the §69.4 format, but compact: Passes (one line), Strong (two–three lines), Extra points (labelled moves, four–six short lines), plus "Learn it in: Chapter N §N.N". At minimum, fully work 5 exercises (e.g. 1, 5, 7, 13, 20) and give one-line strong answers + pointers for the other 15; say so in the chapter. Change "At a glance" to match what's delivered.</t>
  </si>
  <si>
    <t xml:space="preserve">69.2</t>
  </si>
  <si>
    <t xml:space="preserve">§69.3 intro "Each move below gets a short before/after on a realistic Riverstone-style question"</t>
  </si>
  <si>
    <t xml:space="preserve">Only Move 1 (top customers) and Move 5 (MoM growth) have a question plus Without/With. Moves 2, 3, 6–12 have only a "with" sentence and no question; Move 4 has no example at all ("Covered in full in section 69.2"). A beginner can't see what the move adds without the "before".</t>
  </si>
  <si>
    <t xml:space="preserve">Give every move the same 3-line pattern: Question: … Without the move: … With the move: …. Suggested questions: Move 2 "Calculate Riverstone's 2025 revenue" (take-home); Move 3 "How would you find churned customers?"; Move 4 reuse §69.2's duplicates question in two lines; Move 6 "Find each customer's latest order"; Move 7 "Revenue by segment"; Move 8 "Which accounts haven't ordered in 90 days?"; Move 9 same query, "run it every Monday"; Move 10 "Have you used Spark?"; Move 11 "Have you built anything like this?"; Move 12 "List customers who never ordered".</t>
  </si>
  <si>
    <t xml:space="preserve">69.3</t>
  </si>
  <si>
    <t xml:space="preserve">§69.4 tags "[+Structure]", "[+Depth]"; Recap "label moves with the same tags, e.g. [+Edge cases]"</t>
  </si>
  <si>
    <t xml:space="preserve">The tags aren't the move names. There is no "Structure" or "Depth" move (Move 3 is "Signpost", Depth is a rubric dimension). The banks then add more tag names: Ch 70 uses [Depth] ×9, [Structure], [Maintenance], [Real evidence] (for "equivalent of a Python debugger", which isn't evidence from your own work), and never [Clarify]; Ch 71 adds [Practical], [Simple first], [Red flag]. The "same tags everywhere" promise fails.</t>
  </si>
  <si>
    <t xml:space="preserve">Add a small table after §69.3: "Move → tag": 1 Clarify → [+Clarify]; 2 State assumptions → [+Assume]; 3 Signpost → [+Signpost]; 4 Simple first → [+Simple first]; 5 Edge cases → [+Edge cases]; 6 Trade-offs → [+Trade-offs]; 7 Validate → [+Validate]; 8 Business impact → [+Business]; 9 Scale and maintenance → [+Scale]; 10 Admit limits → [+Limits]; 11 Real evidence → [+Evidence]; 12 Close the loop → [+Close]. In §69.4 retag "[+Structure]" → [+Signpost] (or explain it's the metric tree = Move 3) and "[+Depth]" → [+Edge cases]/[+Business] as appropriate. Then normalize all bank chapters to this list and one format ("[+Tag]", not "+ [Tag]").</t>
  </si>
  <si>
    <t xml:space="preserve">69.4</t>
  </si>
  <si>
    <t xml:space="preserve">§69.4 [+Structure] "average order value is units per order times price realized times product mix"</t>
  </si>
  <si>
    <t xml:space="preserve">Not a valid product. AOV = units per order × average price per unit. Product mix isn't a separate multiplier; it's one of the things that moves average price per unit (alongside list-price changes and discounts). A numerate interviewer will catch it.</t>
  </si>
  <si>
    <t xml:space="preserve">"…average order value is units per order times average price per unit, and average price moves with list prices, discounts and product mix." Keep "orders = active customers × orders per customer" (correct).</t>
  </si>
  <si>
    <t xml:space="preserve">69.5</t>
  </si>
  <si>
    <t xml:space="preserve">§69.1 "interviewers judge answers on five dimensions, whether or not they've written a rubric down"</t>
  </si>
  <si>
    <t xml:space="preserve">Presented as a fact about all interviewers, with no source. It's the author's synthesis of common rubrics, which is fine, but should be labelled so.</t>
  </si>
  <si>
    <t xml:space="preserve">"Companies' written rubrics differ, but most score some version of these five dimensions. This book uses this table as its rubric:" Keep the table. Optionally add a Simplification note: "Real rubrics often use 'hire / no hire' with notes; the dimensions are what the notes are about."</t>
  </si>
  <si>
    <t xml:space="preserve">69.6</t>
  </si>
  <si>
    <t xml:space="preserve">§69.1 "Notice what's not here: raw technical knowledge. That's assumed."</t>
  </si>
  <si>
    <t xml:space="preserve">Contradicts the table directly above, whose first dimension is Correctness (which is technical knowledge applied). The "You've got it when" line ("none of them is 'technical knowledge' alone") says it better.</t>
  </si>
  <si>
    <t xml:space="preserve">"Notice that four of the five dimensions aren't about how much you know. Correctness is assumed to be necessary; the other four are what separate candidates who are all correct."</t>
  </si>
  <si>
    <t xml:space="preserve">69.7</t>
  </si>
  <si>
    <t xml:space="preserve">Before you start "nothing technical: this chapter is about how you answer"</t>
  </si>
  <si>
    <t xml:space="preserve">The exercises need content from many chapters: WHERE vs HAVING (Ch 12), left join (12), latest order per customer (13, windows), mean/median (21), outliers (14/21), confidence interval (22), bar vs line (15), KPI dashboard (15–16, 23), data warehouse vs lake (49), overfitting (36–37), correlation vs causation (22, 31), scheduled report failure (20), health score (51), stakeholder pushback (24), prioritizing requests (24–25), onboarding (26). A DA-route reader (Ch 8 §8.7 skips Parts IV–V) can't do 10 or 15.</t>
  </si>
  <si>
    <t xml:space="preserve">Alignment / Sequence</t>
  </si>
  <si>
    <t xml:space="preserve">Change "Before you start" to: "The method needs nothing technical. The practice exercises draw on Chapters 12–49; each one names where its content is taught, so skip any you haven't studied." Then add "(Learn it in Chapter N)" and a role tag to each exercise, e.g. "10. What's the difference between a data warehouse and a data lake? (DE, DS, architect; Chapter 49)".</t>
  </si>
  <si>
    <t xml:space="preserve">69.8</t>
  </si>
  <si>
    <t xml:space="preserve">Practice exercises 1–20</t>
  </si>
  <si>
    <t xml:space="preserve">No difficulty labels and no role labels; the order mixes easy definitions (1, 5) with open design questions (4, 9) and a behavioural question (20). Ch 68's examples use Easy/Medium/Hard; this chapter doesn't.</t>
  </si>
  <si>
    <t xml:space="preserve">Difficulty labelling</t>
  </si>
  <si>
    <t xml:space="preserve">Add labels and group them: "Definitions (Easy): 1, 3, 5, 10, 14, 15, 18. Diagnosis (Medium): 2, 6, 7, 12, 13, 16. Design and judgment (Hard): 4, 8, 9, 11, 17, 19. Behavioural: 20." Order within the list the same way.</t>
  </si>
  <si>
    <t xml:space="preserve">69.9</t>
  </si>
  <si>
    <t xml:space="preserve">§69.1 "Every model answer in every bank chapter (70–82) is written against this table"; §69.4 "This is the format every core question in Chapters 70–82 uses"</t>
  </si>
  <si>
    <t xml:space="preserve">Over-claims. Ch 70's rapid-fire rows have no tiers (one answer + one extra point), its dashboard critiques use a problem/why/fix table, Ch 81 (behavioural) and Ch 82 (take-homes) use their own formats.</t>
  </si>
  <si>
    <t xml:space="preserve">"Every core question in the banks uses this three-tier format; rapid-fire tables give the strong answer plus one extra point." Verify against 70–82 after their reviews and adjust wording.</t>
  </si>
  <si>
    <t xml:space="preserve">69.10</t>
  </si>
  <si>
    <t xml:space="preserve">Move 10 example "the same idea as parallelizing a GROUP BY across shards, which I have done"</t>
  </si>
  <si>
    <t xml:space="preserve">A model sentence that asserts experience most readers don't have (sharding isn't taught before Ch 48/61). Readers may copy it verbatim, which is the bluffing the move warns against.</t>
  </si>
  <si>
    <t xml:space="preserve">Make it a template: "I haven't used Spark, but I've [split a large job into chunks, e.g. processed a year of data month by month in Python]. The idea, splitting work so parts run in parallel, is the same. I'd expect…" Add: "Only claim what you've done."</t>
  </si>
  <si>
    <t xml:space="preserve">69.11</t>
  </si>
  <si>
    <t xml:space="preserve">Move 6 "it scans the table once instead of once per row"</t>
  </si>
  <si>
    <t xml:space="preserve">Oversimplified: many databases rewrite (decorrelate) correlated subqueries into joins, so "once per row" isn't guaranteed. An interviewer may push back.</t>
  </si>
  <si>
    <t xml:space="preserve">"…a correlated subquery can run once per row unless the database rewrites it; a window function reliably scans once, which matters once this table has millions of rows. I'd check the query plan to be sure."</t>
  </si>
  <si>
    <t xml:space="preserve">69.12</t>
  </si>
  <si>
    <t xml:space="preserve">Move 8 "This tells us 40 accounts haven't ordered in 90+ days"</t>
  </si>
  <si>
    <t xml:space="preserve">Riverstone has 24 customers in the book's data (Customers!A2:A25), so 40 at-risk accounts is impossible for "Riverstone-style" data.</t>
  </si>
  <si>
    <t xml:space="preserve">Use "6 accounts" or make it clearly another company ("At my last company, this tells us 40 accounts…").</t>
  </si>
  <si>
    <t xml:space="preserve">69.13</t>
  </si>
  <si>
    <t xml:space="preserve">Move 12 example "So: left join, filter on NULL, watch out for cancelled orders"</t>
  </si>
  <si>
    <t xml:space="preserve">Summarizes an answer to a question that isn't stated anywhere in the move.</t>
  </si>
  <si>
    <t xml:space="preserve">Add the question: "Question: 'List customers who have never placed an order.'" then the closing line.</t>
  </si>
  <si>
    <t xml:space="preserve">69.14</t>
  </si>
  <si>
    <t xml:space="preserve">§69.4 "so you can see the twelve moves working together"</t>
  </si>
  <si>
    <t xml:space="preserve">The worked answer uses 7 moves (Clarify, Validate, Signpost/Structure, Edge cases, Business, Scale, Close); Assumptions, Simple first (arguably), Trade-offs, Admit limits and Real evidence aren't shown.</t>
  </si>
  <si>
    <t xml:space="preserve">"…so you can see seven of the twelve moves working together; the others (assumptions, trade-offs, limits, evidence) fit other kinds of questions, as §69.5 shows."</t>
  </si>
  <si>
    <t xml:space="preserve">69.15</t>
  </si>
  <si>
    <t xml:space="preserve">"Chapter at a glance … carry a question through all three answer tiers"; rubric has four levels</t>
  </si>
  <si>
    <t xml:space="preserve">"Three tiers" (passes, strong, extra-points) vs four rubric levels (Weak, Acceptable, Strong, Outstanding): the mapping is only implied by "(scores ~2)", "(~3)", "(~4)".</t>
  </si>
  <si>
    <t xml:space="preserve">One sentence after the rubric: "In this book an answer that passes scores mostly 2s, a strong answer mostly 3s, an extra-points answer mostly 4s; a 1 is a fail and gets no tier."</t>
  </si>
  <si>
    <t xml:space="preserve">69.16</t>
  </si>
  <si>
    <t xml:space="preserve">"In the real world": Sneha "moving from a BA role toward data analytics"; "an interviewer asks her to find Riverstone's top customers"; "The interviewer's note, which Sneha sees months later"</t>
  </si>
  <si>
    <t xml:space="preserve">(a) "Sneha" is Ch 8's fintech data engineer, a different person; (b) Sneha is Meera's colleague, so an interview "on Riverstone's top customers" reads as an internal interview without saying so; (c) candidates almost never see interviewers' notes, so "sees months later" undermines the story (Ch 70's story repeats the same device).</t>
  </si>
  <si>
    <t xml:space="preserve">Rename (e.g. "Kiran"). Make the interview external ("…asks her to find a distributor's top customers by revenue…"). Replace the note device: "The hiring manager told her in the offer call what stood out: she checked her own work without being asked."</t>
  </si>
  <si>
    <t xml:space="preserve">69.17</t>
  </si>
  <si>
    <t xml:space="preserve">§69.2 weak shape "…in the first place, and. Okay, so, to find…"</t>
  </si>
  <si>
    <t xml:space="preserve">Punctuation break reads like an extraction or typing error rather than deliberate rambling.</t>
  </si>
  <si>
    <t xml:space="preserve">"…in the first place, and… okay, so, to find duplicate customers…"</t>
  </si>
  <si>
    <t xml:space="preserve">69.18</t>
  </si>
  <si>
    <t xml:space="preserve">Move 5 formula "(this month − last month) ÷ last month"</t>
  </si>
  <si>
    <t xml:space="preserve">Correct as a ratio, but the "growth %" question expects ×100; Ch 4 teaches percent change with ×100.</t>
  </si>
  <si>
    <t xml:space="preserve">"(this month − last month) ÷ last month × 100".</t>
  </si>
  <si>
    <t xml:space="preserve">69.19</t>
  </si>
  <si>
    <t xml:space="preserve">Recap "the goal is for it to become automatic" / Where this leads</t>
  </si>
  <si>
    <t xml:space="preserve">Fine, but spine lists Ch 69's prerequisites as Chapters 70–82 (all later). That's structurally awkward: the method chapter depends on banks the reader hasn't met.</t>
  </si>
  <si>
    <t xml:space="preserve">Keep the order (method before banks is right) but change the declared prerequisites to "none (method); exercises use Chapters 12–49" in the spine and chapter opener, matching 69.7.</t>
  </si>
  <si>
    <t xml:space="preserve">V69.1</t>
  </si>
  <si>
    <t xml:space="preserve">p. 12–13 · Practice exercises 10–20</t>
  </si>
  <si>
    <t xml:space="preserve">Two-digit numbers hang into the left margin and their first digit is clipped ("l0.", "l7.", "20." reads "?0."). Eleven of the twenty exercises are affected.</t>
  </si>
  <si>
    <t xml:space="preserve">V69.2</t>
  </si>
  <si>
    <t xml:space="preserve">Shows "Approved chapter · v1" and "21 September 2026". The subtitle is the "You will learn to" list joined by "·" with no final full stop.</t>
  </si>
  <si>
    <t xml:space="preserve">Remove the label and date; write a one-sentence subtitle.</t>
  </si>
  <si>
    <t xml:space="preserve">V69.3</t>
  </si>
  <si>
    <t xml:space="preserve">V69.4</t>
  </si>
  <si>
    <t xml:space="preserve">p. 13 · Note after exercises</t>
  </si>
  <si>
    <t xml:space="preserve">"(In the finished book, one worked answer per exercise … appears in Appendix G…)" is a production note visible to readers. The same note appears in Ch 63–66.</t>
  </si>
  <si>
    <t xml:space="preserve">Replace with the real cross-reference, or remove.</t>
  </si>
  <si>
    <t xml:space="preserve">70.1</t>
  </si>
  <si>
    <t xml:space="preserve">Opening box "…weren't executed live in this environment; see the status report…"</t>
  </si>
  <si>
    <t xml:space="preserve">Drafting/coordinator text addressed to the author, not the reader: "this environment", "the status report", "companion file riverstone_orders_mini.md", "verified by recalculating … in a spreadsheet engine".</t>
  </si>
  <si>
    <t xml:space="preserve">Delete the last three sentences of the box. Replace with one reader-facing line: "Every formula result below comes from the 6-row practice table in §70.0; the VBA, Apps Script and DAX snippets follow Chapters 19 and 16." (Only after they have actually been run: see 70.4.)</t>
  </si>
  <si>
    <t xml:space="preserve">70.2</t>
  </si>
  <si>
    <t xml:space="preserve">Opening "Learn it in pointers use chapter-level references … since this chat doesn't have those chapters' approved text … flagged for a recheck"</t>
  </si>
  <si>
    <t xml:space="preserve">Drafting leftover; and the recheck it asks for is now done (below).</t>
  </si>
  <si>
    <t xml:space="preserve">Polish / Alignment</t>
  </si>
  <si>
    <t xml:space="preserve">Delete the paragraph. Replace every "Learn it in" with a section-level pointer using this map (checked against the chapter texts): SUMIFS/COUNTIFS, IF/nested IF, COUNT/COUNTA/COUNTBLANK, IFERROR → Ch 10 §10.7; $ references, F4, named ranges, #REF → §10.6; TEXT, TODAY → §10.8; first XLOOKUP/VLOOKUP → §10.9; Tables (Ctrl+T) → §10.10; conditional formatting → §10.11; protection → §10.13; IFS family + SUMPRODUCT → Ch 11 §11.2; IFNA → §11.3; INDEX/MATCH, approximate match → §11.4; pivots, slicers, Top N, Show Values As, calculated fields → §11.5; FILTER/UNIQUE/#SPILL! → §11.6; Power Query (From Folder, Merge, Unpivot, Split Column, Close &amp; Load) → §11.7; QUERY, ARRAYFORMULA, IMPORTRANGE → §11.10; IMPORTXML/GOOGLEFINANCE → §11.10–11.11; PERSONAL.XLSB → Ch 19 §19.2; loops, Integer 32,767 → §19.4; object model, End(xlUp) → §19.5; On Error → §19.6/§19.9; UDF, UserForm → §19.8; debugging (F8, Locals) → §19.9; ScreenUpdating, calculation, EnableEvents, Timer → §19.10; Apps Script getValues/setValues → §19.12; triggers, MailApp/GmailApp, UrlFetchApp, PropertiesService, 6-minute limit → §19.13; Import/DirectQuery → Ch 16 §16.2; star schema, Date table → §16.3; calculated column vs measure → §16.4; CALCULATE, REMOVEFILTERS → §16.5; SAMEPERIODLASTYEAR, DIVIDE → §16.6; gauges, report design → §16.7; publishing, dashboards → §16.9; RLS, View as → §16.10; Tableau → §16.12; chart choice, pies, 3D, colour → Ch 15 §15.7, §15.10, §15.12.</t>
  </si>
  <si>
    <t xml:space="preserve">70.3</t>
  </si>
  <si>
    <t xml:space="preserve">Q70-001 "→ 1,894 on the practice table"; Q70-002 "→ 90"; Q70-004 "row 2 (net revenue 850)"; Q70-005 "→ 7,674"</t>
  </si>
  <si>
    <t xml:space="preserve">The 6-row table these results come from is never shown; the reader can't reproduce a single number, and the column letters (D = category, I = net revenue, A2:I7) are guesswork. It also differs from Ch 10–11's practice sheet (there J = net revenue, N = segment, H = status).</t>
  </si>
  <si>
    <t xml:space="preserve">Add §70.0 "The practice table" before §70.1: print all 6 rows × 9 columns (A order_id … I net_revenue, with D = category, and include status and discount_pct), with a note: "Type it into a blank sheet at A1 to check every result in this chapter." Include enough to make each answer checkable: two Sharma Hardware rows (one with quantity &lt; 3), a "Crate Lid 50L" row at 90, row 2 net revenue 850, one row &gt; 1000, and a Cancelled row (see 70.12). Show the hand working for 1,894 and 7,674 underneath. I could not verify any of these four numbers.</t>
  </si>
  <si>
    <t xml:space="preserve">70.4</t>
  </si>
  <si>
    <t xml:space="preserve">Opening "VBA, Apps Script, DAX, and Power Query snippets … weren't executed live"</t>
  </si>
  <si>
    <t xml:space="preserve">Same production gap Ch 19 has (Ch 19 review 19.24). I ran the two Apps Script pairs against a mock sheet in Node (below); the VBA and DAX are still unrun.</t>
  </si>
  <si>
    <t xml:space="preserve">Before print, run Q70-040/041/042/043 VBA in Excel for Windows on the §70.0 table, Q70-052/053 in a real Sheet, and Q70-060/062 DAX in Power BI Desktop on Ch 16's model. Print the actual outputs (Immediate window / cell values) under each fixed version.</t>
  </si>
  <si>
    <t xml:space="preserve">70.5</t>
  </si>
  <si>
    <t xml:space="preserve">Q70-023 "'Item2' appears in row labels: why? — A blank or error-valued source cell got a generic placeholder label"</t>
  </si>
  <si>
    <t xml:space="preserve">Wrong. In an Excel pivot, a blank source value appears as "(blank)" (Ch 11 §11.5 shows exactly this: "it appears as (blank) in Excel's pivot"), and an error value shows as the error text. Generic "Item1/Item2"-style names come from calculated items, and "Group1/Group2" from manual grouping.</t>
  </si>
  <si>
    <t xml:space="preserve">Rewrite the row: Question "'(blank)' appears in the row labels: why?" Answer "Some source rows have an empty value in that field; the pivot groups them under (blank) instead of dropping them." Extra point "[+Validate] count them and trace to the source rows; it's a data-quality signal (Ch 11 §11.5 found ₹204,502.50 of revenue with no rep this way)."</t>
  </si>
  <si>
    <t xml:space="preserve">70.6</t>
  </si>
  <si>
    <t xml:space="preserve">Q70-026 "Add order_date to Values twice (Min, Max), calculated field = Max − Min"</t>
  </si>
  <si>
    <t xml:space="preserve">Impossible as written. A pivot calculated field always operates on the sums of the fields it references, not on the Min/Max you chose in Values; "=order_date − order_date" in a calculated field gives 0. Ironically, Q70-018 two pages earlier teaches exactly this trap.</t>
  </si>
  <si>
    <t xml:space="preserve">Answer: "Put customer in Rows and order_date in Values twice, set to Min and Max; then compute Max − Min in a plain formula beside the pivot (with GETPIVOTDATA, Ch 11 §11.5), or skip the pivot: =MAXIFS(dates, customers, A2) − MINIFS(dates, customers, A2) (Ch 11 §11.2)." Extra point "[+Edge cases] a calculated field can't do this, because it works on sums (Q70-018)". Change the pointer "Chapter 37's churn features" to "Chapter 36's recency and tenure features" (aggregate/recency features are taught in Ch 36; Part IV is optional for DA readers, so mark it "(if you've read Part IV)").</t>
  </si>
  <si>
    <t xml:space="preserve">70.7</t>
  </si>
  <si>
    <t xml:space="preserve">Q70-014 "Conditional formatting 'stop if true'? … without it, two overlapping rules silently conflict and only the last one visually wins"</t>
  </si>
  <si>
    <t xml:space="preserve">Wrong on precedence. In Excel, when two rules' formats conflict, the rule higher in the Manage Rules list wins; formats that don't conflict (e.g., fill vs font colour) both apply. "Stop If True" stops lower rules from being evaluated at all. Also, "Stop If True" isn't taught anywhere in the book (Ch 10 §10.11 covers conditional formatting, but not rule order).</t>
  </si>
  <si>
    <t xml:space="preserve">Correctness / Alignment</t>
  </si>
  <si>
    <t xml:space="preserve">Answer: "When a rule with Stop If True matches, rules below it aren't applied to that cell." Extra point: "[+Edge cases] without it, non-conflicting formats from several rules stack; when formats conflict, the rule higher in the list wins, so order the rules on purpose." Add "Learn it in: Chapter 10 §10.11", and add a two-line note on rule order and Stop If True to §10.11 (or drop this question).</t>
  </si>
  <si>
    <t xml:space="preserve">70.8</t>
  </si>
  <si>
    <t xml:space="preserve">Q70-028 "Remember it as: Append = SQL UNION (stack rows)"</t>
  </si>
  <si>
    <t xml:space="preserve">Append keeps every row, including duplicates, so its SQL equivalent is UNION ALL; UNION removes duplicates (Ch 12 teaches the difference). Saying "UNION" in an interview is a classic trap.</t>
  </si>
  <si>
    <t xml:space="preserve">"Append = SQL UNION ALL (stack rows, keep duplicates). Merge = SQL JOIN (add columns)." In the Strong tier: "Append = UNION ALL, same columns". Pointer: "Chapter 12 (UNION vs UNION ALL)".</t>
  </si>
  <si>
    <t xml:space="preserve">70.9</t>
  </si>
  <si>
    <t xml:space="preserve">Q70-028 "a duplicate-key Merge can silently fan out rows, exactly Chapter 13's fan-out trap"</t>
  </si>
  <si>
    <t xml:space="preserve">The fan-out trap is taught in Chapter 12 ("The fan-out trap: when joins inflate your numbers"), not 13.</t>
  </si>
  <si>
    <t xml:space="preserve">"…exactly Chapter 12's fan-out trap".</t>
  </si>
  <si>
    <t xml:space="preserve">70.10</t>
  </si>
  <si>
    <t xml:space="preserve">Q70-005 "Learn it in: Chapters 10 and 35"; hook "SUMPRODUCT is a dot product: the same w·x from Chapter 35"</t>
  </si>
  <si>
    <t xml:space="preserve">SUMPRODUCT isn't in Ch 10 at all; it's taught in Ch 11 §11.2. Ch 35 is Part IV (math under models), which the DA, BA and BI routes skip (Ch 8 §8.7), so the memory hook depends on a chapter most readers of this bank won't have read. With three arrays it's also not a dot product of two vectors.</t>
  </si>
  <si>
    <t xml:space="preserve">Pointer: "Chapter 11 §11.2". Hook: "SUMPRODUCT multiplies row by row, then adds: quantity × price × (1 − discount) for every row, summed." Move the dot-product link to an optional aside: "(If you've read Chapter 35: with two arrays it's exactly a dot product.)" Rename discount to the book's discount_pct.</t>
  </si>
  <si>
    <t xml:space="preserve">70.11</t>
  </si>
  <si>
    <t xml:space="preserve">Q70-069 "Learn it in: Chapter 16 (and Chapter 5's visualization principles, pending that chapter's confirmed section numbers)"</t>
  </si>
  <si>
    <t xml:space="preserve">Known leftover and wrong chapter: visualization principles are Chapter 15.</t>
  </si>
  <si>
    <t xml:space="preserve">"Learn it in: Chapter 15 §15.7 (pies and parts of a whole), §15.11 (titles and clutter), and Chapter 16 §16.7 (designing the report page)."</t>
  </si>
  <si>
    <t xml:space="preserve">70.12</t>
  </si>
  <si>
    <t xml:space="preserve">Q70-001, Q70-005, Q70-034 model answers (SUMIFS, SUMPRODUCT, QUERY)</t>
  </si>
  <si>
    <t xml:space="preserve">None excludes cancelled orders, although the book's revenue rule (Ch 10–12; Ch 11's own QUERY example has where H &lt;&gt; 'Cancelled'; Ch 69 Move 2 "a cancelled order is not a sale") does. A "strong" answer that silently includes cancelled revenue is the exact wrong-but-plausible error the book warns about, and no Clarify move is used anywhere in this chapter.</t>
  </si>
  <si>
    <t xml:space="preserve">Consistency / Alignment</t>
  </si>
  <si>
    <t xml:space="preserve">Add a status column to the §70.0 table with one Cancelled row, and a condition to each answer: SUMIFS …, status_range, "&lt;&gt;Cancelled"; SUMPRODUCT …*(status&lt;&gt;"Cancelled"); QUERY WHERE D IS NOT NULL AND H &lt;&gt; 'Cancelled' (use the table's real letter). Add to Q70-001's Extra points: "[+Clarify] 'Total revenue including or excluding cancelled orders?'"</t>
  </si>
  <si>
    <t xml:space="preserve">70.13</t>
  </si>
  <si>
    <t xml:space="preserve">Q70-020 "[Edge cases] ties at the boundary still only show 3 rows unless handled explicitly"</t>
  </si>
  <si>
    <t xml:space="preserve">Doubtful. Excel's Top N value filter (Ch 11 §11.5 uses "Top 10… → Top 3 Items") includes all items tied at the cut-off, so it can return more than 3 rows. Verify in Excel before print.</t>
  </si>
  <si>
    <t xml:space="preserve">If confirmed, rewrite: "[+Edge cases] ties at the cut-off are all included, so 'Top 3' can show 4 rows; say how you'd break the tie (e.g. by order count)".</t>
  </si>
  <si>
    <t xml:space="preserve">70.14</t>
  </si>
  <si>
    <t xml:space="preserve">Q70-058 "SpreadsheetApp.flush() … without it, reading a cell right after writing it can return the stale, pre-write value"</t>
  </si>
  <si>
    <t xml:space="preserve">Misleading. Apps Script applies pending writes before a read in the same script, so a read-after-write normally returns the new value. flush() is needed to make changes visible to the user (or another script) mid-run, e.g. a progress cell, or before releasing a lock. flush() also isn't taught anywhere (not in Ch 19 or 20).</t>
  </si>
  <si>
    <t xml:space="preserve">Answer: "Applies all pending changes now, instead of when the script ends." Extra point: "[+Edge cases] use it when a user or another process must see a change mid-run (a status cell, before releasing a LockService lock)." Mark "(beyond Chapter 19)" or add one sentence to Ch 19 §19.12.</t>
  </si>
  <si>
    <t xml:space="preserve">70.15</t>
  </si>
  <si>
    <t xml:space="preserve">Q70-062 "a DAX filter comparing a SalesRep column to USERNAME()"</t>
  </si>
  <si>
    <t xml:space="preserve">Ch 16 §16.10 teaches USERPRINCIPALNAME() against an email column (UserRegion[email]). USERNAME() returns the email in the Service but DOMAIN\user in Desktop, so "View as" tests behave differently. The bank contradicts the chapter it points to.</t>
  </si>
  <si>
    <t xml:space="preserve">"…a DAX filter such as [email] = USERPRINCIPALNAME() on a users/regions table (Chapter 16 §16.10)". Add follow-up: "Why USERPRINCIPALNAME rather than USERNAME?"</t>
  </si>
  <si>
    <t xml:space="preserve">70.16</t>
  </si>
  <si>
    <t xml:space="preserve">Q70-064 "What does ALL do inside CALCULATE?"; extra "ALLEXCEPT / ALL(table[col]) is often safer"</t>
  </si>
  <si>
    <t xml:space="preserve">Ch 16 teaches REMOVEFILTERS (11 uses) and never ALL or ALLEXCEPT; the question tests functions the book doesn't teach. Q70-060's follow-up also asks about ALL.</t>
  </si>
  <si>
    <t xml:space="preserve">Reframe: "What do REMOVEFILTERS / ALL do inside CALCULATE?" Answer: "Remove filters so the measure sees the unfiltered total; REMOVEFILTERS is the newer, clearer name, ALL is the older one you'll see in inherited models." Either add ALLEXCEPT to Ch 16 §16.5 or drop it here.</t>
  </si>
  <si>
    <t xml:space="preserve">70.17</t>
  </si>
  <si>
    <t xml:space="preserve">Q70-061 "Learn it in: Chapter 16 (and Part V for the warehouse version…)"</t>
  </si>
  <si>
    <t xml:space="preserve">Dimensional modeling/star schema for the warehouse is taught in Chapter 28 (Advanced SQL &amp; Data Modeling: "design a star schema", 18 uses) and used in Ch 32; Part V (Ch 49) doesn't mention star schema.</t>
  </si>
  <si>
    <t xml:space="preserve">"Learn it in: Chapter 16 §16.3 (and Chapter 28 for the warehouse version)".</t>
  </si>
  <si>
    <t xml:space="preserve">70.18</t>
  </si>
  <si>
    <t xml:space="preserve">Q70-066 "Handle a many-to-many relationship … introduce a bridge table"</t>
  </si>
  <si>
    <t xml:space="preserve">Many-to-many and bridge tables are only mentioned in Ch 12 (SQL design); Ch 16 never covers them in Power BI. The question requires content the book doesn't teach for BI.</t>
  </si>
  <si>
    <t xml:space="preserve">Either add a short "many-to-many and bridge tables" note to Ch 16 §16.3, or tag the row "(beyond this book: know the idea from Chapter 12)".</t>
  </si>
  <si>
    <t xml:space="preserve">70.19</t>
  </si>
  <si>
    <t xml:space="preserve">Q70-004 and Q70-040 tier labels "Passes (broken)"</t>
  </si>
  <si>
    <t xml:space="preserve">A broken formula/macro scores 1 (Weak) on Ch 69's rubric; it doesn't "pass". The label contradicts the rubric the chapter says it follows.</t>
  </si>
  <si>
    <t xml:space="preserve">Rename the row "Common wrong answer" (and keep the explanation); put a real "Passes" row above it (Q70-004: "the fixed order, with no mention of boundaries"; Q70-040: "End(xlUp) without explaining why").</t>
  </si>
  <si>
    <t xml:space="preserve">70.20</t>
  </si>
  <si>
    <t xml:space="preserve">All 70 questions</t>
  </si>
  <si>
    <t xml:space="preserve">No difficulty or level labels (Easy/Medium/Hard, or fresher / 1–3 yrs / senior), and no role tags, although Ch 68 uses Easy/Medium/Hard and this bank serves DA, BA, BI and automation roles at different depths (e.g. Q70-062 RLS and Q70-066 bridge tables are BI-developer level; Q70-006 COUNT vs COUNTA is fresher level).</t>
  </si>
  <si>
    <t xml:space="preserve">Add a label to each core question heading and a column to each rapid-fire table: "Level: Fresher / Mid / Senior" and "Roles: DA, BA, BI, AUT". Suggested: Fresher → 001–004, 006–012, 015, 016, 019, 020, 024, 029–033, 036, 059; Mid → 005, 013, 014, 017, 018, 021–023, 025–028, 034, 035, 037–045, 052–058, 060, 061, 063–065, 067, 069; Senior → 046–051, 062, 066, 068, 070. Within each section, keep core before rapid-fire but order core questions easy → hard.</t>
  </si>
  <si>
    <t xml:space="preserve">70.21</t>
  </si>
  <si>
    <t xml:space="preserve">All 46 rapid-fire rows (Q70-006–015, 019–026, 029–033, 036–039, 044–051, 054–058, 063–068)</t>
  </si>
  <si>
    <t xml:space="preserve">No "Learn it in" pointer on any row, so a reader who can't answer one doesn't know where to go. Some test content not taught (see 70.7, 70.14, 70.16, 70.18, 70.27).</t>
  </si>
  <si>
    <t xml:space="preserve">Add a narrow "Learn it in" column to each rapid-fire table using the map in 70.2 (e.g. Q70-006 → 10.7; Q70-008 → 11.3; Q70-009 → 11.6; Q70-044 → 19.2; Q70-047 → 19.10; Q70-063 → 16.2).</t>
  </si>
  <si>
    <t xml:space="preserve">70.22</t>
  </si>
  <si>
    <t xml:space="preserve">Tags used: [Depth] ×9, [Structure], [Maintenance], [Real evidence] (Q70-050, Q70-061); no [Clarify]</t>
  </si>
  <si>
    <t xml:space="preserve">Tags don't match Ch 69's twelve moves (see Ch 69 issue 69.3). "[Real evidence] the VBA equivalent of a Python debugger" isn't evidence from the candidate's own work; "[Depth]" is a rubric dimension, not a move; format is "+ [Tag]" while Ch 69 uses "[+Tag]".</t>
  </si>
  <si>
    <t xml:space="preserve">After Ch 69 adds its Move→tag table, retag every row. Examples: Q70-050 [Real evidence] → [+Signpost] ("describe the workflow step by step"); Q70-061 [Real evidence] → keep but phrase as the candidate's own: "'On my last report, moving to a star schema cut load time from X to Y'"; [Depth] rows → [+Edge cases] or [+Trade-offs] as fits; [Maintenance] → [+Scale].</t>
  </si>
  <si>
    <t xml:space="preserve">70.23</t>
  </si>
  <si>
    <t xml:space="preserve">"Chapter at a glance" (no "Before you start" or "Time needed")</t>
  </si>
  <si>
    <t xml:space="preserve">Every other chapter states prerequisites and time. The bank also needs Ch 12 (joins, UNION, GROUP BY in QUERY answers), Ch 15 (critiques), 69 (tiers) as well as 10, 11, 16, 19.</t>
  </si>
  <si>
    <t xml:space="preserve">Add "Before you start: Chapter 69 (the tiers and moves). The questions test Chapters 10, 11, 15, 16 and 19, with a few links to Chapter 12. Time needed: 4–6 hours for a first pass; 1 hour for the final-week list."</t>
  </si>
  <si>
    <t xml:space="preserve">70.24</t>
  </si>
  <si>
    <t xml:space="preserve">Q70-052 FAST version return [row[0] &gt; 1000 ? "Large" : ""] … setValues(results)</t>
  </si>
  <si>
    <t xml:space="preserve">Not equivalent to the SLOW version. SLOW only writes "Large" and leaves other J cells untouched; FAST writes "" into every non-large row, wiping anything already in column J. Also, on a sheet with only a header row, getRange(2, 9, lastRow - 1, 1) asks for 0 rows and throws. (Confirmed in a Node mock: slow → keep\ | Large\ | keep; fast → ""\ | Large\ | "".)</t>
  </si>
  <si>
    <t xml:space="preserve">Either read column J too and keep existing values (sheet.getRange(2, 9, lastRow - 1, 2).getValues() then [row[0] &gt; 1000 ? "Large" : row[1]]), or say so in the tier table: "Note: this rewrites all of column J." Add a guard: if (lastRow &lt; 2) return; and an [+Edge cases] line about it. Also: this code uses var, function(row) {…}, .map, the ? : operator and 0-based row[0]; JavaScript isn't taught (Ch 19 review 19.10), so the pointer should name the exact Ch 19 section once 19.10's "JavaScript in 20 minutes" box exists.</t>
  </si>
  <si>
    <t xml:space="preserve">70.25</t>
  </si>
  <si>
    <t xml:space="preserve">Q70-035 "functions like SUMIFS already do this natively and don't need the wrapper"; example =ARRAYFORMULA(IF(D2:D7="Storage","Yes","No"))</t>
  </si>
  <si>
    <t xml:space="preserve">(a) Muddled: SUMIFS takes ranges but returns one total; in Google Sheets, SUMIFS with an array of criteria doesn't expand inside ARRAYFORMULA (a well-known limitation; SUMIF does), so the follow-up "When is ARRAYFORMULA around SUMIFS redundant?" invites a wrong answer. (b) The Extra point recommends open-ended D2:D, but that version of the example fills "No" down every empty row; Ch 11 §11.10 teaches the guard IF(E2:E="", "", …).</t>
  </si>
  <si>
    <t xml:space="preserve">(a) "Functions that already return one answer from a whole range (SUM, SUMIFS, FILTER, UNIQUE) don't need it; per-row formulas (IF, &amp;, arithmetic) do." Replace the follow-up with "Why does SUMIFS not expand inside ARRAYFORMULA, and what would you use instead (SUMIF, or QUERY)?" (b) Show the open-ended version with Ch 11's guard: =ARRAYFORMULA(IF(D2:D="", "", IF(D2:D="Storage","Yes","No"))).</t>
  </si>
  <si>
    <t xml:space="preserve">70.26</t>
  </si>
  <si>
    <t xml:space="preserve">Q70-002 Extra "[Validate] wrap risky lookups in IFERROR" vs Q70-008 "IFERROR used broadly can hide a real bug"</t>
  </si>
  <si>
    <t xml:space="preserve">The two answers contradict each other.</t>
  </si>
  <si>
    <t xml:space="preserve">Q70-002: "[+Validate] handle not-found explicitly: XLOOKUP's if_not_found argument or IFNA, not a blanket IFERROR (see Q70-008)."</t>
  </si>
  <si>
    <t xml:space="preserve">70.27</t>
  </si>
  <si>
    <t xml:space="preserve">Q70-022 "in VBA, ThisWorkbook.RefreshAll"; Q70-039 "Data → Protected sheets and ranges"</t>
  </si>
  <si>
    <t xml:space="preserve">RefreshAll isn't in Ch 19 (Ch 11 covers the Refresh All button only). The Sheets menu item is "Data → Protect sheets and ranges" (the panel is titled "Protected sheets &amp; ranges").</t>
  </si>
  <si>
    <t xml:space="preserve">Alignment / Polish</t>
  </si>
  <si>
    <t xml:space="preserve">Q70-022: keep the VBA call but add "(one line; not covered in Ch 19)". Q70-039: "Data → Protect sheets and ranges" and pointer "Chapter 10 §10.13".</t>
  </si>
  <si>
    <t xml:space="preserve">70.28</t>
  </si>
  <si>
    <t xml:space="preserve">Q70-043 "Screen updating off, calculation manual, arrays not cells: in that order of impact"</t>
  </si>
  <si>
    <t xml:space="preserve">Its own Extra point says the array rewrite is "often a 10–100x speedup"; that's usually the largest gain, so the hook's "order of impact" is backwards.</t>
  </si>
  <si>
    <t xml:space="preserve">"Arrays not cells first (the biggest win), then screen updating off and calculation manual; restore both at the end."</t>
  </si>
  <si>
    <t xml:space="preserve">70.29</t>
  </si>
  <si>
    <t xml:space="preserve">Q70-001 hook "They're backwards from each other on purpose to trip you up"</t>
  </si>
  <si>
    <t xml:space="preserve">Not true (SUMIF's sum range is last because it's optional; SUMIFS put it first because criteria pairs repeat). A memory hook shouldn't teach a false reason.</t>
  </si>
  <si>
    <t xml:space="preserve">"SUMIFS: sum range first (because the condition pairs can repeat after it). SUMIF: sum range last (because it's optional)."</t>
  </si>
  <si>
    <t xml:space="preserve">70.30</t>
  </si>
  <si>
    <t xml:space="preserve">Q70-011 "[Scale] a whole-column Named Range auto-extends as rows are added"</t>
  </si>
  <si>
    <t xml:space="preserve">A whole-column range (A:A) doesn't "extend"; it already covers every row, including headers and stray cells below. The safe auto-extending option is a Table (Q70-015).</t>
  </si>
  <si>
    <t xml:space="preserve">"[+Scale] name a Table column (Orders[net_revenue]) rather than a fixed range, so it grows with the data."</t>
  </si>
  <si>
    <t xml:space="preserve">70.31</t>
  </si>
  <si>
    <t xml:space="preserve">Q70-013 =TRIM(LOWER(A2))=TRIM(LOWER(A3))</t>
  </si>
  <si>
    <t xml:space="preserve">Only compares adjacent rows, so it works only on sorted data; the answer doesn't say so.</t>
  </si>
  <si>
    <t xml:space="preserve">Add "(after sorting by name)" or use =COUNTIF(clean_range, TRIM(LOWER(A2)))&gt;1 on a helper column of cleaned names.</t>
  </si>
  <si>
    <t xml:space="preserve">70.32</t>
  </si>
  <si>
    <t xml:space="preserve">Q70-030 "[Edge cases] … need 'By Number of Characters' or a custom Text.Split"</t>
  </si>
  <si>
    <t xml:space="preserve">"By Number of Characters" doesn't help with inconsistent commas; the usual fix is "Split at: Left-most / Right-most delimiter" (same dialog).</t>
  </si>
  <si>
    <t xml:space="preserve">"…use 'Split at the right-most delimiter' so extra commas in the city stay together, or trim spaces first."</t>
  </si>
  <si>
    <t xml:space="preserve">70.33</t>
  </si>
  <si>
    <t xml:space="preserve">Q70-070 "Learn it in: Chapter 16"</t>
  </si>
  <si>
    <t xml:space="preserve">The three chart problems (3D pie, gauges, colour) are Ch 15 content (§15.7, §15.10, §15.12: "3D pies are never acceptable"); Ch 16 §16.7 covers gauges and §16.2 DirectQuery.</t>
  </si>
  <si>
    <t xml:space="preserve">"Learn it in: Chapter 15 §15.7, §15.10, §15.12; Chapter 16 §16.2 and §16.7."</t>
  </si>
  <si>
    <t xml:space="preserve">70.34</t>
  </si>
  <si>
    <t xml:space="preserve">Q70-069/070 "The dashboard, as described"</t>
  </si>
  <si>
    <t xml:space="preserve">"At a glance" promises "critique a real dashboard", but there's no figure; a beginner critiquing from a text description is harder than the interview (which shows a screen).</t>
  </si>
  <si>
    <t xml:space="preserve">Add a simple mock-up figure for each (even a wireframe), or change "At a glance" to "critique a dashboard from a description".</t>
  </si>
  <si>
    <t xml:space="preserve">70.35</t>
  </si>
  <si>
    <t xml:space="preserve">Q70-042 object model comes after Q70-040/041</t>
  </si>
  <si>
    <t xml:space="preserve">Q70-040/041 use Cells, Rows.Count and End(xlUp) before the object-model question explains what those objects are; ordering is hard → basic.</t>
  </si>
  <si>
    <t xml:space="preserve">Move Q70-042 to the top of §70.5.</t>
  </si>
  <si>
    <t xml:space="preserve">70.36</t>
  </si>
  <si>
    <t xml:space="preserve">Q70-041 red flag "fixing the infinite loop but missing the Integer overflow risk"</t>
  </si>
  <si>
    <t xml:space="preserve">Harsh: the question asks to fix the infinite loop; Integer→Long is an extra point, not a red flag.</t>
  </si>
  <si>
    <t xml:space="preserve">Red flag: "adding an increment but not checking the loop stops at the last row (or can run past it)". Keep Integer→Long as an extra point.</t>
  </si>
  <si>
    <t xml:space="preserve">70.37</t>
  </si>
  <si>
    <t xml:space="preserve">Q70-053 FIXED code (send, then set "Sent")</t>
  </si>
  <si>
    <t xml:space="preserve">Works (mock run: first run 2 emails, second run 0 ✓), but the answer claims it's "safe to manually re-run after a partial failure" without noting that a failure between sendEmail and setValue re-sends that one row, and two overlapping trigger runs can both send.</t>
  </si>
  <si>
    <t xml:space="preserve">Correctness / Depth</t>
  </si>
  <si>
    <t xml:space="preserve">Add to Extra points: "[+Edge cases] a crash between send and flag re-sends that one row; overlapping runs need LockService (Chapter 19 §19.13 / Chapter 78)."</t>
  </si>
  <si>
    <t xml:space="preserve">70.38</t>
  </si>
  <si>
    <t xml:space="preserve">Q70-051 "ActiveSheet.ExportAsFixedFormat Type:=xlTypePDF then … attach"</t>
  </si>
  <si>
    <t xml:space="preserve">Without Filename:= the PDF path isn't known, so it can't be attached reliably.</t>
  </si>
  <si>
    <t xml:space="preserve">"ActiveSheet.ExportAsFixedFormat Type:=xlTypePDF, Filename:=pdfPath … .Attachments.Add pdfPath".</t>
  </si>
  <si>
    <t xml:space="preserve">70.39</t>
  </si>
  <si>
    <t xml:space="preserve">Key terms "ATS-safe formatting · …"</t>
  </si>
  <si>
    <t xml:space="preserve">"ATS-safe formatting" is Ch 68's topic, not this chapter's; it's a leftover (and the spine lists it as Ch 70's first term). "calculated field vs. calculated column" mixes pivot and DAX terms.</t>
  </si>
  <si>
    <t xml:space="preserve">Delete "ATS-safe formatting". Split into "calculated field (pivot)" and "calculated column vs. measure (DAX)". Regenerate the spine's Ch 70 row.</t>
  </si>
  <si>
    <t xml:space="preserve">70.40</t>
  </si>
  <si>
    <t xml:space="preserve">"In the real world" "The interviewer's notes, later shared with him…"</t>
  </si>
  <si>
    <t xml:space="preserve">Same implausible device as Ch 69 (candidates rarely see notes).</t>
  </si>
  <si>
    <t xml:space="preserve">"…In the feedback call, the hiring manager singled out that line…".</t>
  </si>
  <si>
    <t xml:space="preserve">70.41</t>
  </si>
  <si>
    <t xml:space="preserve">Tools "Nothing beyond what Chapters 10, 11, 16, and 19 already covered"</t>
  </si>
  <si>
    <t xml:space="preserve">The critiques rely on Ch 15, and Q70-028/034 on Ch 12.</t>
  </si>
  <si>
    <t xml:space="preserve">"…Chapters 10, 11, 15, 16 and 19 (plus Chapter 12 for the SQL comparisons)."</t>
  </si>
  <si>
    <t xml:space="preserve">70.42</t>
  </si>
  <si>
    <t xml:space="preserve">Scope: no Office Scripts question</t>
  </si>
  <si>
    <t xml:space="preserve">Ch 19 §19.11 teaches Office Scripts (Excel on the web), and many companies on Microsoft 365 ask "VBA or Office Scripts?" The title says "VBA", and §70.5/70.6 skip it.</t>
  </si>
  <si>
    <t xml:space="preserve">Add one rapid-fire row to §70.5: "VBA vs Office Scripts? — VBA: desktop Excel, full object model, Outlook; Office Scripts: Excel on the web, TypeScript, runs in Power Automate flows. [+Trade-offs] pick by where the file lives. Learn it in: 19.11."</t>
  </si>
  <si>
    <t xml:space="preserve">70.43</t>
  </si>
  <si>
    <t xml:space="preserve">Q70-017 / Q70-025 wording, Q70-027 "check row count against 12 files × their own row counts"</t>
  </si>
  <si>
    <t xml:space="preserve">"12 files × their own row counts" reads as multiplication; it means the sum.</t>
  </si>
  <si>
    <t xml:space="preserve">"…check the combined row count equals the sum of the 12 files' row counts".</t>
  </si>
  <si>
    <t xml:space="preserve">70.44</t>
  </si>
  <si>
    <t xml:space="preserve">Where this leads / Final-week list</t>
  </si>
  <si>
    <t xml:space="preserve">Fine; but after renumbering (72A, 76A/B) check "Chapter 71", "Chapter 78" references still point right.</t>
  </si>
  <si>
    <t xml:space="preserve">Recheck after Part VIII renumbering.</t>
  </si>
  <si>
    <t xml:space="preserve">V70.1</t>
  </si>
  <si>
    <t xml:space="preserve">Production notes are printed for readers: "…weren't executed live in this environment; see the status report for what that means for verification" and "Learn it in pointers use chapter-level references … since this chat doesn't have those chapters' approved text … flagged for a re-check once that text is available."</t>
  </si>
  <si>
    <t xml:space="preserve">Delete both passages; resolve the "Learn it in" references to sections.</t>
  </si>
  <si>
    <t xml:space="preserve">V70.2</t>
  </si>
  <si>
    <t xml:space="preserve">The subtitle is the learn-to list cut off mid-sentence: "…critique a real dashboard the way a hiring manager would" (the glance continues "would · walk out with…"). The cover also shows "Approved chapter · v1" and "21 September 2026".</t>
  </si>
  <si>
    <t xml:space="preserve">Write a complete one-sentence subtitle; remove the label and date.</t>
  </si>
  <si>
    <t xml:space="preserve">V70.3</t>
  </si>
  <si>
    <t xml:space="preserve">p. 5–17 (every rapid-fire table) · "#" column</t>
  </si>
  <si>
    <t xml:space="preserve">The ID column is too narrow, so every ID wraps as "Q70- / 010", "Q70- / 044" … (about 60 rows).</t>
  </si>
  <si>
    <t xml:space="preserve">Widen "#" to fit "Q70-010" on one line (about 14 mm) or use a non-breaking hyphen.</t>
  </si>
  <si>
    <t xml:space="preserve">V70.4</t>
  </si>
  <si>
    <t xml:space="preserve">p. 8→9, 9→10, 15→16 · Tier tables Q70-028, Q70-034, Q70-059</t>
  </si>
  <si>
    <t xml:space="preserve">The "Extra points" row (the one the chapter is about) is orphaned alone at the top of the next page under a repeated header.</t>
  </si>
  <si>
    <t xml:space="preserve">Keep tier tables together (they are 3–4 rows; break-inside: avoid).</t>
  </si>
  <si>
    <t xml:space="preserve">V70.5</t>
  </si>
  <si>
    <t xml:space="preserve">V70.6</t>
  </si>
  <si>
    <t xml:space="preserve">p. 4, 7, 10, 16 · Inline code in prose</t>
  </si>
  <si>
    <t xml:space="preserve">Pill padding leaves a gap before punctuation ("COUNTIFS ?", "IFERROR ?") and splits plurals ("SUMIF s").</t>
  </si>
  <si>
    <t xml:space="preserve">Tighten the pill's right padding; write "SUMIF formulas".</t>
  </si>
  <si>
    <t xml:space="preserve">V70.7</t>
  </si>
  <si>
    <t xml:space="preserve">p. 3, 4 · Q70-001 answer; Q70-002 heading</t>
  </si>
  <si>
    <t xml:space="preserve">The long inline formula breaks across lines mid-argument ("…"Sharma Hardware", / quantity_range, "&gt;=3")"). The inline code in the H3 heading is set smaller than the heading ("XLOOKUP vs INDEX/MATCH vs VLOOKUP"), so the heading looks uneven.</t>
  </si>
  <si>
    <t xml:space="preserve">Put long formulas in a code block; size heading code at 0.9 em of the heading.</t>
  </si>
  <si>
    <t xml:space="preserve">V70.8</t>
  </si>
  <si>
    <t xml:space="preserve">p. 3–17 · Tier tables</t>
  </si>
  <si>
    <t xml:space="preserve">The "Extra points" cells pack 2–3 bracketed moves into one run-on line ("+ [Edge cases] … + [Trade-offs] … + [Validate] …"). They are readable but dense.</t>
  </si>
  <si>
    <t xml:space="preserve">One move per line inside the cell.</t>
  </si>
  <si>
    <t xml:space="preserve">71.1</t>
  </si>
  <si>
    <t xml:space="preserve">Intro "this chat doesn't have their approved text to check exact section numbers against"</t>
  </si>
  <si>
    <t xml:space="preserve">Drafting leftover that talks about the authoring chat, not the reader.</t>
  </si>
  <si>
    <t xml:space="preserve">Delete the whole sentence "Learn it in pointers reference Chapters 12 and 13 at chapter level (this chat … where claimed)." Replace with: "Each *Learn it in* pointer names the chapter and section that teaches the idea. Questions marked *Beyond the book* go further than the teaching chapters. Each of those questions carries its own short explanation." Then fix every pointer as listed in 71.14–71.20.</t>
  </si>
  <si>
    <t xml:space="preserve">71.2</t>
  </si>
  <si>
    <t xml:space="preserve">§71.10 Q71-041 "not re-verified inline here since a schema change isn't re-runnable in this checker"</t>
  </si>
  <si>
    <t xml:space="preserve">Drafting leftover about the author's verification tool. The CREATE INDEX statement that produced the second plan is also missing.</t>
  </si>
  <si>
    <t xml:space="preserve">Replace the sentence with a shown cell: CREATE INDEX idx_orders_customer ON orders (customer_id); then ANALYZE orders; then EXPLAIN SELECT * FROM orders WHERE customer_id = 1; and show its output (same Seq Scan). Add one line: "ANALYZE refreshes the table statistics the planner uses; without it the planner may be working from stale row counts." Finish with DROP INDEX idx_orders_customer; so the reader's database is left as it was.</t>
  </si>
  <si>
    <t xml:space="preserve">71.3</t>
  </si>
  <si>
    <t xml:space="preserve">§71.11 Q71-047B "Note the fix mid-draft … caught by this chapter's own formal re-verification step"</t>
  </si>
  <si>
    <t xml:space="preserve">Drafting leftover. It also contradicts the same question's Extra points ("explicitly caught the default-frame trap before writing any code").</t>
  </si>
  <si>
    <t xml:space="preserve">Rewrite the note as a teaching point with no reference to drafting: "A common first attempt puts the window function straight into WHERE (WHERE revenue &gt; AVG(revenue) OVER (…)). That fails, for the reason in Q71-026: window functions run after WHERE. Wrap the window in a CTE (with_avg) and filter the outer query, the same pattern as Q71-019 and Q71-021." Show the actual error (PostgreSQL: ERROR: window functions are not allowed in WHERE). Delete "mid-draft", "formal re-verification step" and "Left the correction visible here rather than quietly rewriting it".</t>
  </si>
  <si>
    <t xml:space="preserve">71.4</t>
  </si>
  <si>
    <t xml:space="preserve">Intro "Every single query … was actually run against real PostgreSQL 16 and MySQL 8.0"</t>
  </si>
  <si>
    <t xml:space="preserve">The claim is false as printed. Roughly a third of the blocks use syntax that fails in MySQL: date_trunc and ::date (Q71-013, 014, 022, 047B, 047C); VALUES … AS t(val) and val::int (Q71-049); CREATE TEMP TABLE (Q71-051, 061, 063, 068); order_date - (…)::int (Q71-028); FILTER (WHERE …) (Q71-047D); ::numeric(10,2) (047B/C); MATERIALIZED VIEW (Q71-069, 073); ILIKE. Every error message shown is PostgreSQL's. A reader on Ch 12's MySQL track gets syntax errors on the "verified" code.</t>
  </si>
  <si>
    <t xml:space="preserve">(a) Change the claim to: "Every query is shown in PostgreSQL and was run on PostgreSQL 16. Where MySQL needs different syntax, a *MySQL:* line follows the block, and that version was run on MySQL 8.4." (b) Add the MySQL lines: DATE_FORMAT(o.order_date, '%Y-%m-01') for date_trunc('month', …)::date; CAST(val AS SIGNED) for ::int; SELECT column_0 FROM (VALUES ROW('9'), ROW('10'), ROW('2')) AS t ORDER BY column_0; CREATE TEMPORARY TABLE; DATE_SUB(order_date, INTERVAL rn DAY) for Q71-028; SUM(CASE WHEN status='Cancelled' THEN 1 ELSE 0 END) for FILTER; ROUND(x, 2) for ::numeric(10,2); "no materialized views in MySQL: use a summary table refreshed by a scheduled job". (c) Give the MySQL wording of each error once, e.g. Q71-048 ERROR 1054 (42S22): Unknown column 'loc' in 'where clause' and Q71-052 ERROR 1066 (42000): Not unique table/alias: 'employees'.</t>
  </si>
  <si>
    <t xml:space="preserve">71.5</t>
  </si>
  <si>
    <t xml:space="preserve">Tools "run against PostgreSQL 16.15 and MySQL 8.0.46"</t>
  </si>
  <si>
    <t xml:space="preserve">Ch 12 §12.3 tells the reader to "Avoid 8.0, which reached end of life in April 2026" and to install 9.7 LTS or 8.4 LTS. This chapter was verified on the version the book says to avoid.</t>
  </si>
  <si>
    <t xml:space="preserve">Re-run the MySQL side on 8.4 LTS (or 9.7) and change the Tools line to match Ch 12. Watch the two differences that version brings: 9.x enforces inline REFERENCES (71.10), and CHECK has been enforced since 8.0.16 (71.30).</t>
  </si>
  <si>
    <t xml:space="preserve">71.6</t>
  </si>
  <si>
    <t xml:space="preserve">Throughout, e.g. Q71-002 "orders.sales_rep_id has 11 NULL rows"; Q71-045 "Riverstone's mini database"</t>
  </si>
  <si>
    <t xml:space="preserve">Only Q71-045 says which database it uses. Ch 13 §13.1 labels every query and calls the wrong database "the most common 'why doesn't this work?' moment". A reader on the mini database (riverstone) gets different answers: 1 NULL rep not 11, 8 customers not 24, Garden Chair never sold (so Q71-030 returns 1 row, not 0), Garden Chair ₹1,200 not ₹1,150, 6 products not 8.</t>
  </si>
  <si>
    <t xml:space="preserve">Put a database tag on every "Verified" line: "(riverstone_2025)" for Q71-001, 002, 009, 010, 014, 016, 019–022, 027–030, 033, 041, 047B–D, 069; "(riverstone, the mini database)" for Q71-015, 045, 052. Add one sentence to "How this chapter is built": "Most questions use riverstone_2025 (Ch 13 §13.1). Q71-015, 045 and 052 use the mini database from Ch 12 §12.2."</t>
  </si>
  <si>
    <t xml:space="preserve">71.7</t>
  </si>
  <si>
    <t xml:space="preserve">Question IDs and rapid-fire headings throughout</t>
  </si>
  <si>
    <t xml:space="preserve">IDs run 001–008, 047–060, 009–013, 068–073, 014–018, 019–026, 027–032, 061–067, 033–040, 041–046, then 047B/C/D, which reuse the number of Q71-047. Rapid-fire headings don't match their sections: "Rapid-fire, 71.9" sits in §71.2, "71.2" in §71.3, "71.11" in §71.4, "71.3" in §71.5, "71.4" in §71.6, "71.5" in §71.7, "71.10" in §71.8, "71.6" in §71.9, "71.7" in §71.10. Leftovers from inserting sections.</t>
  </si>
  <si>
    <t xml:space="preserve">Renumber in reading order (Q71-001 … Q71-081) and title each table "Rapid-fire, §71.N" after the section it sits in. Update every cross-reference in Ch 71 (Q71-002, 006, 015, 019, 021, 026, 041/045, 047D, 051, 061–064) and in Ch 72 (Q72-021 and Q72-035 cite Q71-047D; Q72-023 cites Q71-001; Q72-026 cites Q71-006), the revision list, and the Project steps.</t>
  </si>
  <si>
    <t xml:space="preserve">71.8</t>
  </si>
  <si>
    <t xml:space="preserve">Common mistakes "exactly Q71-041's doubled revenue"; Project step 5 "the way Q71-041 did"</t>
  </si>
  <si>
    <t xml:space="preserve">Broken cross-reference. Q71-041 is EXPLAIN. The doubled revenue is Q71-045.</t>
  </si>
  <si>
    <t xml:space="preserve">Change both to "Q71-045" (or the new number after 71.7).</t>
  </si>
  <si>
    <t xml:space="preserve">71.9</t>
  </si>
  <si>
    <t xml:space="preserve">Intro "walk out with a 20-question final-week revision list"</t>
  </si>
  <si>
    <t xml:space="preserve">The list has 19 IDs.</t>
  </si>
  <si>
    <t xml:space="preserve">Add Q71-047 (NULL = NULL) or Q71-047D (profiling query), since both are high-yield. Or change the intro to "19-question".</t>
  </si>
  <si>
    <t xml:space="preserve">71.10</t>
  </si>
  <si>
    <t xml:space="preserve">§71.4 Q71-068 "child_t (id INT, parent_id INT REFERENCES parent_t(id) ON DELETE CASCADE)"</t>
  </si>
  <si>
    <t xml:space="preserve">Ch 12 (§12.13 dialect note) says "MySQL 8.4 and earlier read that form and silently ignore it" and tells readers to write FOREIGN KEY on its own line. InnoDB also doesn't support foreign keys on temporary tables. On MySQL 8.x the "blocked" delete therefore succeeds and the cascade never fires, which contradicts the printed result and Ch 12's advice.</t>
  </si>
  <si>
    <t xml:space="preserve">Rewrite both demos with table-level constraints on ordinary tables: CREATE TABLE child_r (id INT, parent_id INT, FOREIGN KEY (parent_id) REFERENCES parent_r(id)); (and … ON DELETE CASCADE for child_t). Drop the tables at the end. Show the MySQL error as well: ERROR 1451 (23000): Cannot delete or update a parent row: a foreign key constraint fails …. Point back to Ch 12's dialect note.</t>
  </si>
  <si>
    <t xml:space="preserve">71.11</t>
  </si>
  <si>
    <t xml:space="preserve">§71.4 Q71-068 title "the default ( RESTRICT ) behavior"</t>
  </si>
  <si>
    <t xml:space="preserve">PostgreSQL's default is NO ACTION, not RESTRICT. The two differ: NO ACTION is checked at the end of the statement and can be deferred. In MySQL they behave the same.</t>
  </si>
  <si>
    <t xml:space="preserve">Title: "…ON DELETE CASCADE and the default (NO ACTION) behavior". Add to Extra points: "[Depth] PostgreSQL's default is NO ACTION, checked at the end of the statement (and deferrable). RESTRICT checks immediately. In MySQL the two are identical."</t>
  </si>
  <si>
    <t xml:space="preserve">71.12</t>
  </si>
  <si>
    <t xml:space="preserve">§71.2 Q71-050 "TRUNCATE TABLE t … resets any auto-increment counter"</t>
  </si>
  <si>
    <t xml:space="preserve">Wrong for PostgreSQL. TRUNCATE defaults to CONTINUE IDENTITY and resets the sequence only with TRUNCATE … RESTART IDENTITY. MySQL does reset AUTO_INCREMENT. Interviewers ask exactly this.</t>
  </si>
  <si>
    <t xml:space="preserve">Replace with: "…minimally logged. In MySQL it also resets AUTO_INCREMENT. In PostgreSQL the identity/sequence keeps counting unless you write TRUNCATE TABLE t RESTART IDENTITY." Add the dialect to the follow-up list.</t>
  </si>
  <si>
    <t xml:space="preserve">71.13</t>
  </si>
  <si>
    <t xml:space="preserve">§71.2 Q71-050 "[Business] … running TRUNCATE instead of a DELETE … WHERE because a WHERE clause got accidentally left off"</t>
  </si>
  <si>
    <t xml:space="preserve">The logic is muddled. Leaving WHERE off a DELETE gives a DELETE of every row, not a TRUNCATE. The point about TRUNCATE's speed making the mistake "harder to catch" doesn't follow.</t>
  </si>
  <si>
    <t xml:space="preserve">Rewrite: "[Business] The classic production incident is a DELETE whose WHERE got lost in a copy-paste, which empties the table. Inside BEGIN … ROLLBACK you can undo it. TRUNCATE in MySQL commits immediately, so there is no undo."</t>
  </si>
  <si>
    <t xml:space="preserve">71.14</t>
  </si>
  <si>
    <t xml:space="preserve">§71.5 Q71-015 "Learn it in: Chapter 13"</t>
  </si>
  <si>
    <t xml:space="preserve">Recursive CTEs are taught in Ch 28 §28.2. Ch 13 only uses WITH RECURSIVE in a 3-line MySQL note, and approved change M.7 removes even that. The reader following the pointer finds nothing.</t>
  </si>
  <si>
    <t xml:space="preserve">"Learn it in: Chapter 28, §28.2." Add the dialect edge case: "MySQL stops a runaway recursion at cte_max_recursion_depth (1,000 by default); PostgreSQL has no limit, so add WHERE h.level &lt; 20." Label the result "(mini database: 5 employees)".</t>
  </si>
  <si>
    <t xml:space="preserve">71.15</t>
  </si>
  <si>
    <t xml:space="preserve">§71.10 Q71-041 "Learn it in: Chapter 12 (and Part V for indexing at production scale)"; Q71-042–044 (no pointer)</t>
  </si>
  <si>
    <t xml:space="preserve">EXPLAIN, sequential vs index scans, composite and covering indexes are taught in Ch 28 §28.4–28.6. Ch 12 has no EXPLAIN or CREATE INDEX.</t>
  </si>
  <si>
    <t xml:space="preserve">Q71-041: "Learn it in: Chapter 28, §28.4–28.5 (and Chapter 49 for storage at scale)". Q71-042–044: add "→ Ch 28 §28.6" to each Extra-point cell.</t>
  </si>
  <si>
    <t xml:space="preserve">71.16</t>
  </si>
  <si>
    <t xml:space="preserve">§71.4 Q71-069 "Learn it in: Chapter 12"; "[Trade-offs] a materialized view…"</t>
  </si>
  <si>
    <t xml:space="preserve">Views are taught in Ch 13 §13.2 (CREATE VIEW sales_lines), not Ch 12. Materialized views are taught in Ch 28 (§28.11 denormalization). MySQL has no materialized views. Formatting: "Business a view is also…" is missing its "+ [" tag.</t>
  </si>
  <si>
    <t xml:space="preserve">Pointer: "Chapter 13, §13.2 (views); Chapter 28, §28.11 (materialized views)". Add "(PostgreSQL only; MySQL has none)" after CREATE MATERIALIZED VIEW. Fix the tag to "+ [Business] a view is also…".</t>
  </si>
  <si>
    <t xml:space="preserve">71.17</t>
  </si>
  <si>
    <t xml:space="preserve">§71.8 Q71-061–067; Q71-062 "Learn it in: Chapter 12"</t>
  </si>
  <si>
    <t xml:space="preserve">Ch 12 teaches BEGIN/COMMIT/ROLLBACK but defers ACID: "part of the ACID properties you'll study in Chapter 49" (Ch 49 §49.4). Isolation levels, dirty reads, deadlocks and MVCC (Q71-064–067) are taught nowhere in the book (0 hits outside Ch 71). These questions need material the reader has never seen.</t>
  </si>
  <si>
    <t xml:space="preserve">(1) Q71-062 pointer: "Chapter 12, §12.13 (transactions); Chapter 49, §49.4 (ACID)". (2) Mark Q71-064–067 "Beyond the book". Either give each a 3–4 line worked explanation (for dirty read, a two-session timeline table: Session A UPDATE … / Session B SELECT sees? / A ROLLBACK), or ask the author to add a one-page "Concurrency: isolation levels, locks and MVCC" box to Ch 49 §49.4 and point there.</t>
  </si>
  <si>
    <t xml:space="preserve">71.18</t>
  </si>
  <si>
    <t xml:space="preserve">§71.9 Q71-033 "Learn it in: Chapter 12, §12.16 (MySQL dialect)"</t>
  </si>
  <si>
    <t xml:space="preserve">STRING_AGG and GROUP_CONCAT appear nowhere in Ch 12 or Ch 13 (0 hits). §12.16 does not teach them.</t>
  </si>
  <si>
    <t xml:space="preserve">Either add both functions to the §12.16 / §13.8 dialect tables (preferred), or mark Q71-033 "Beyond the book" and teach it here with a full output grid for all four categories (Kitchen → "Food Container Set, Lunch Box Set, Water Bottle 1L", and so on).</t>
  </si>
  <si>
    <t xml:space="preserve">71.19</t>
  </si>
  <si>
    <t xml:space="preserve">§71.7 Q71-029 "(Chapter 22-adjacent territory)"; "Chapter 22 for retention/cohort analysis proper"</t>
  </si>
  <si>
    <t xml:space="preserve">Broken cross-reference. Ch 22 is statistics and has no retention or cohort content. Cohort retention is Ch 13 §13.7 Pattern 7. Retention as a KPI is Ch 23.</t>
  </si>
  <si>
    <t xml:space="preserve">Replace both with "Chapter 13, §13.7 Pattern 7 (cohort retention)". The Extra point becomes "(Ch 13's Pattern 7 builds the full grid)".</t>
  </si>
  <si>
    <t xml:space="preserve">71.20</t>
  </si>
  <si>
    <t xml:space="preserve">§71.2 Q71-052 "exactly Chapter 13's own self-join, reused in this chapter's Q71-015-adjacent hierarchy work"; "Learn it in: Chapter 12 and 13"</t>
  </si>
  <si>
    <t xml:space="preserve">The self-join is taught in Ch 12 §12.10 ("The self-join: a table joined to itself"), not Ch 13. "Q71-015-adjacent" is authoring shorthand.</t>
  </si>
  <si>
    <t xml:space="preserve">"…exactly Chapter 12's self-join (§12.10), and the base of Q71-015's hierarchy query". Pointer: "Chapter 12, §12.10".</t>
  </si>
  <si>
    <t xml:space="preserve">71.21</t>
  </si>
  <si>
    <t xml:space="preserve">§71.2 Q71-052 "It errors: … makes every column reference ambiguous"</t>
  </si>
  <si>
    <t xml:space="preserve">The one-line answer gives the wrong cause. The printed error, and the Extra point, say the failure is "table name specified more than once", an earlier error than "ambiguous column". The answer contradicts its own evidence. (SQLite reports "ambiguous column", so engines differ.)</t>
  </si>
  <si>
    <t xml:space="preserve">One-line answer: "It errors. PostgreSQL rejects the FROM clause itself ('table name "employees" specified more than once'); MySQL says 'Not unique table/alias'. Without two aliases there's no way to say which copy each column comes from."</t>
  </si>
  <si>
    <t xml:space="preserve">71.22</t>
  </si>
  <si>
    <t xml:space="preserve">§71.3 Q71-009 Passes "Filters with WHERE SUM(quantity) &gt; 500 : errors"; Q71-015 Passes "Can't produce a working recursive CTE at all"; Q71-028 Passes "can't produce the row-number-minus-date trick"</t>
  </si>
  <si>
    <t xml:space="preserve">Tier labels are wrong. A "Passes" answer that errors, or doesn't produce code, is a fail under Ch 69's rubric. The WHERE-on-aggregate answer is already the Red flag.</t>
  </si>
  <si>
    <t xml:space="preserve">Make Passes a working but basic answer. Q71-009: "Correct GROUP BY + HAVING, but doesn't explain why WHERE can't do it". Q71-015: "Writes the recursive CTE with help, but can't name the anchor and recursive parts or the termination condition". Q71-028: "Solves it with LAG (flag a row when the gap to the previous date is more than 1 day, then a running SUM of the flags), which is correct but longer". Leave the non-answers in Red flag.</t>
  </si>
  <si>
    <t xml:space="preserve">71.23</t>
  </si>
  <si>
    <t xml:space="preserve">Whole chapter</t>
  </si>
  <si>
    <t xml:space="preserve">No per-question difficulty label. Brief test (c) can't be applied. Section order puts DDL (§71.4) between aggregation and subqueries, and splits it from transactions (§71.8). Q71-014 (CTE, §71.5) uses a window running total before windows are covered (§71.6).</t>
  </si>
  <si>
    <t xml:space="preserve">Add a difficulty tag after each ID: Warm-up (§71.1–71.3, Q71-047–060), Core (CTEs, windows, classic problems), Advanced (recursive CTE, gaps-and-islands, frames, transactions, indexes). Add a role tag where useful (DA / DS / AE). Reorder the sections to 71.1 → 71.2 → 71.3 → 71.5 → 71.6 → 71.7 → (71.4 + 71.8 merged as "Schema, constraints and transactions") → 71.9 → 71.10 → 71.11.</t>
  </si>
  <si>
    <t xml:space="preserve">71.24</t>
  </si>
  <si>
    <t xml:space="preserve">§71.5 Q71-014 "SUM(revenue) OVER (ORDER BY month) AS running_total"</t>
  </si>
  <si>
    <t xml:space="preserve">Sequence inside the chapter. A CTE question introduces a window function and a running total, which the chapter covers two sections later (Q71-023). Two new ideas in one answer.</t>
  </si>
  <si>
    <t xml:space="preserve">Keep the CTE answer to one idea: SELECT month, revenue FROM monthly_revenue ORDER BY month; and show 3 output rows (Jan 202,640; Feb 253,664; Mar 278,007.50). Move the running-total version and its ✓ reconciliation (202,640 + 253,664 = 456,304) to Q71-023.</t>
  </si>
  <si>
    <t xml:space="preserve">71.25</t>
  </si>
  <si>
    <t xml:space="preserve">§71.6 Q71-021 query "SELECT category, product_name, revenue FROM (…)"; output columns "category product_name rn"</t>
  </si>
  <si>
    <t xml:space="preserve">The output can't come from the code. The query returns revenue, not rn. The Extra point then cites revenue figures (₹546,630 / ₹523,745) that the table doesn't show.</t>
  </si>
  <si>
    <t xml:space="preserve">Change the outer SELECT to SELECT category, product_name, revenue, rn and print all four columns for the 6 rows, including the Kitchen values the text cites. Replace the hand-waving [Validate] ("plausible against … typical Kitchen prices") with a real reconciliation: the sum of each category's rows equals that category's total from a plain GROUP BY category revenue query.</t>
  </si>
  <si>
    <t xml:space="preserve">71.26</t>
  </si>
  <si>
    <t xml:space="preserve">§71.6 Q71-021 note "Each of those categories genuinely has only one product with recorded sales"</t>
  </si>
  <si>
    <t xml:space="preserve">Misleading. Q71-030 says every one of the 8 products has sold. Furniture and Industrial each contain only one product at all.</t>
  </si>
  <si>
    <t xml:space="preserve">"…Furniture and Industrial each have only one product in the catalogue."</t>
  </si>
  <si>
    <t xml:space="preserve">71.27</t>
  </si>
  <si>
    <t xml:space="preserve">§71.6 Q71-020 "ROW_NUMBER() OVER (ORDER BY COUNT(*) DESC)"; output "Sharma Hardware 16 2 … Metro Mart 16 3"</t>
  </si>
  <si>
    <t xml:space="preserve">The order of ROW_NUMBER between tied rows is arbitrary, so a reader may get Metro Mart = 2 and Sharma = 3. Grouping by name rather than ID also merges any two customers that share a name.</t>
  </si>
  <si>
    <t xml:space="preserve">Add a tie-breaker to every OVER clause and to the final ORDER BY: ORDER BY COUNT(*) DESC, c.customer_name, and GROUP BY c.customer_id, c.customer_name. Add to Extra points: "[Edge cases] ROW_NUMBER on a tie is non-deterministic unless you add a tie-breaker; two runs can disagree."</t>
  </si>
  <si>
    <t xml:space="preserve">71.28</t>
  </si>
  <si>
    <t xml:space="preserve">§71.6 Q71-022 Passes "self-join … breaks if a month is entirely missing"; Extra "LAG assumes no gaps in the sequence"</t>
  </si>
  <si>
    <t xml:space="preserve">The two statements contradict each other. A self-join on month = previous month (date arithmetic) handles a missing month correctly, because it finds no match and returns NULL. LAG is the one that silently compares with a non-adjacent month.</t>
  </si>
  <si>
    <t xml:space="preserve">Passes: "A self-join on month = month − 1 month: correct, even with gaps, but verbose." Strong: "LAG, plus a note that LAG needs a gap-free month series, so build one first (Ch 13 §13.7 Pattern 5, fill in the missing months) or check month − LAG(month) = 1 month."</t>
  </si>
  <si>
    <t xml:space="preserve">71.29</t>
  </si>
  <si>
    <t xml:space="preserve">§71.6 rapid-fire Q71-023 "the default frame is 'start to current row'"</t>
  </si>
  <si>
    <t xml:space="preserve">Incomplete in a way that matters. With ORDER BY, the default frame is RANGE UNBOUNDED PRECEDING AND CURRENT ROW, so rows tied on the ORDER BY value share the same running total (verified: two rows for month 2 both show 22). Ch 13 §13.6 teaches exactly this trap ("Several rows show the same total, then it jumps").</t>
  </si>
  <si>
    <t xml:space="preserve">"…the default frame is RANGE BETWEEN UNBOUNDED PRECEDING AND CURRENT ROW, so rows that tie on the ORDER BY value get the same running total. Write ROWS BETWEEN UNBOUNDED PRECEDING AND CURRENT ROW for a strict row-by-row running total (Ch 13 §13.6)."</t>
  </si>
  <si>
    <t xml:space="preserve">71.30</t>
  </si>
  <si>
    <t xml:space="preserve">§71.8 rapid-fire Q71-064 "Read Committed (PostgreSQL and MySQL's usual default)"</t>
  </si>
  <si>
    <t xml:space="preserve">Wrong. MySQL/InnoDB's default isolation level is REPEATABLE READ. PostgreSQL's is READ COMMITTED. Interviewers ask this directly.</t>
  </si>
  <si>
    <t xml:space="preserve">"…Read Committed (PostgreSQL's default), Repeatable Read (MySQL InnoDB's default), Serializable." Update Q71-067 to "Under each engine's default level (Read Committed in PostgreSQL, Repeatable Read in MySQL), a plain SELECT isn't blocked…". Add the exception: SELECT … FOR UPDATE does wait.</t>
  </si>
  <si>
    <t xml:space="preserve">71.31</t>
  </si>
  <si>
    <t xml:space="preserve">§71.9 rapid-fire Q71-037 "CURDATE() , NOW()"; "date-only needs the engine-specific function"</t>
  </si>
  <si>
    <t xml:space="preserve">Wrong. CURRENT_DATE is standard SQL and works in MySQL too (CURDATE() is a synonym).</t>
  </si>
  <si>
    <t xml:space="preserve">MySQL cell: "CURRENT_DATE (or CURDATE()), NOW()". Extra point: "[Trade-offs] CURRENT_DATE and NOW() work in both; prefer CURRENT_DATE for portability. The real difference is date arithmetic (Ch 12 §12.16: DATEDIFF and INTERVAL)."</t>
  </si>
  <si>
    <t xml:space="preserve">71.32</t>
  </si>
  <si>
    <t xml:space="preserve">§71.7 Q71-028 title "Find every customer's longest streak"; query ends "GROUP BY customer_id, grp HAVING COUNT(*) &gt;= 2"</t>
  </si>
  <si>
    <t xml:space="preserve">The query returns every streak of 2+ days, not each customer's longest. A customer with two streaks gets two rows (verified in SQLite). Ch 13 Pattern 8 adds the "number, then keep 1" step. order_date - (…)::int is PostgreSQL-only and fails if order_date is a TIMESTAMP.</t>
  </si>
  <si>
    <t xml:space="preserve">Add a third CTE, streaks AS (SELECT customer_id, MIN(order_date) AS streak_start, MAX(order_date) AS streak_end, COUNT(*) AS streak_len FROM numbered GROUP BY customer_id, grp), then SELECT … FROM (SELECT s.*, ROW_NUMBER() OVER (PARTITION BY customer_id ORDER BY streak_len DESC, streak_start) AS rn FROM streaks s) t WHERE rn = 1 AND streak_len &gt;= 2. Show the output grid (customer 15 Jun 9–10; customer 5 Jan 12–13). Add the MySQL line DATE_SUB(order_date, INTERVAL ROW_NUMBER() OVER (…) DAY). Pointer: "Chapter 13, §13.7 Pattern 8".</t>
  </si>
  <si>
    <t xml:space="preserve">71.33</t>
  </si>
  <si>
    <t xml:space="preserve">§71.7 rapid-fire Q71-032 "x / SUM(x) OVER () * 100"</t>
  </si>
  <si>
    <t xml:space="preserve">Integer-division trap. If x is an integer column (quantity), PostgreSQL returns 0 for every row, because integer / bigint is an integer. Verified in SQLite, which follows the same rule. MySQL's / always returns a decimal, so the bug only shows when porting.</t>
  </si>
  <si>
    <t xml:space="preserve">Write 100.0 * x / SUM(x) OVER () and add: "[Edge cases] multiply by 100.0 first; in PostgreSQL an integer column divided by an integer total gives 0".</t>
  </si>
  <si>
    <t xml:space="preserve">71.34</t>
  </si>
  <si>
    <t xml:space="preserve">§71.5 rapid-fire Q71-016 "EXISTS vs. IN : when do they differ in behavior?"; answer "gave the identical count (23)"</t>
  </si>
  <si>
    <t xml:space="preserve">The question isn't answered: the reply only says they agree. The real difference is in the negated forms.</t>
  </si>
  <si>
    <t xml:space="preserve">One-line answer: "IN and EXISTS return the same rows, even with NULLs. They differ when negated: NOT IN returns nothing if the subquery holds a NULL (Q71-002); NOT EXISTS doesn't. Verified: EXISTS and IN both give 23 customers."</t>
  </si>
  <si>
    <t xml:space="preserve">71.35</t>
  </si>
  <si>
    <t xml:space="preserve">§71.11 Q71-047C pivot "storage … kitchen … industrial" (no Furniture); "[Validate] row totals were spot-checked against the plain GROUP BY category version"</t>
  </si>
  <si>
    <t xml:space="preserve">Only 3 of 4 categories are pivoted, so row totals won't reconcile in any month with Furniture sales. The reconciliation cited is wrong: Q71-009 is quantity by category, not revenue by month. Recomputed: Jan 172,240 + 30,400 + 0 = 202,640 ✓ and Feb 150,231.50 + 54,152.50 + 49,280 = 253,664 ✓. That matches Q71-014's monthly totals, and only because Jan/Feb had no Furniture revenue.</t>
  </si>
  <si>
    <t xml:space="preserve">Add a furniture column. Change [Validate] to: "each row's four columns add up to that month's total in Q71-014 (Jan 202,640 ✓, Feb 253,664 ✓)". Add the edge case: "leave a category out and its revenue silently disappears from the row total".</t>
  </si>
  <si>
    <t xml:space="preserve">71.36</t>
  </si>
  <si>
    <t xml:space="preserve">§71.11 Q71-046 query "…ORDER BY total_revenue DESC LIMIT 5;"</t>
  </si>
  <si>
    <t xml:space="preserve">No output shown for the walk-through query.</t>
  </si>
  <si>
    <t xml:space="preserve">Show the 5-row result (first three match Q71-069: Sharma Hardware 502,775.00; Harbour Traders 412,680.50; Northgate Distributors 353,088.50). Group by c.customer_id, c.customer_name.</t>
  </si>
  <si>
    <t xml:space="preserve">71.37</t>
  </si>
  <si>
    <t xml:space="preserve">§71.2 Q71-051 follow-up "(A partial/filtered unique index, or a NOT NULL constraint …)"</t>
  </si>
  <si>
    <t xml:space="preserve">Misses the modern PostgreSQL answer, UNIQUE NULLS NOT DISTINCT (PostgreSQL 15+). The demo's CREATE TEMP TABLE is PostgreSQL-only.</t>
  </si>
  <si>
    <t xml:space="preserve">Add: "PostgreSQL 15+ also offers email VARCHAR(50) UNIQUE NULLS NOT DISTINCT, which treats NULLs as equal for this constraint." MySQL: CREATE TEMPORARY TABLE (see 71.4).</t>
  </si>
  <si>
    <t xml:space="preserve">71.38</t>
  </si>
  <si>
    <t xml:space="preserve">§71.2 Q71-053 "[Edge cases] older MySQL, in its default (non-strict) SQL mode"</t>
  </si>
  <si>
    <t xml:space="preserve">Correct but incomplete. MySQL has had ONLY_FULL_GROUP_BY on by default since 5.7.5 (Ch 12 key term). PostgreSQL also allows ungrouped columns when you GROUP BY the primary key (functional dependency), so SELECT * FROM orders GROUP BY order_id works.</t>
  </si>
  <si>
    <t xml:space="preserve">Add: "Since MySQL 5.7.5 ONLY_FULL_GROUP_BY is on by default, so modern MySQL errors too (Ch 12 §12.16). Both engines accept ungrouped columns that depend on a grouped primary key."</t>
  </si>
  <si>
    <t xml:space="preserve">71.39</t>
  </si>
  <si>
    <t xml:space="preserve">§71.2 rapid-fire Q71-056 "omitting it inside a multistatement script can merge two statements into one, garbled query, rather than erroring cleanly"</t>
  </si>
  <si>
    <t xml:space="preserve">Doubtful as stated. The usual result is a syntax error on the second statement. Silent merging needs very specific statements.</t>
  </si>
  <si>
    <t xml:space="preserve">"[Edge cases] in a multi-statement script a missing semicolon usually makes the next statement a syntax error, and the error points at the wrong line, which makes it confusing to debug."</t>
  </si>
  <si>
    <t xml:space="preserve">71.40</t>
  </si>
  <si>
    <t xml:space="preserve">§71.4 rapid-fire Q71-072 "( SELECT COUNT(*) WHERE col IS NULL )"</t>
  </si>
  <si>
    <t xml:space="preserve">Missing FROM, so the query errors in PostgreSQL.</t>
  </si>
  <si>
    <t xml:space="preserve">SELECT COUNT(*) FROM t WHERE col IS NULL.</t>
  </si>
  <si>
    <t xml:space="preserve">71.41</t>
  </si>
  <si>
    <t xml:space="preserve">§71.4 rapid-fire Q71-071 "but a PRIMARY KEY on the same column would (since it forbids NULL entirely)"</t>
  </si>
  <si>
    <t xml:space="preserve">Email as a primary key is poor design advice, and it still wouldn't stop blank '' emails (Q71-060).</t>
  </si>
  <si>
    <t xml:space="preserve">"…but adding NOT NULL to the UNIQUE column would. (A CHECK (email &lt;&gt; '') also blocks blanks, per Q71-060.)"</t>
  </si>
  <si>
    <t xml:space="preserve">71.42</t>
  </si>
  <si>
    <t xml:space="preserve">§71.4 rapid-fire Q71-073 "or refresh triggered by the underlying data changing"</t>
  </si>
  <si>
    <t xml:space="preserve">PostgreSQL has no automatic change-triggered refresh. You'd build it with a trigger or an orchestrator (Ch 46). As written it implies a built-in option.</t>
  </si>
  <si>
    <t xml:space="preserve">"…or refresh from a trigger or pipeline step after the source loads (PostgreSQL has no automatic refresh)…".</t>
  </si>
  <si>
    <t xml:space="preserve">71.43</t>
  </si>
  <si>
    <t xml:space="preserve">§71.9 Q71-063 CHECK demo; rapid-fire table has no CHECK row</t>
  </si>
  <si>
    <t xml:space="preserve">The chapter claims MySQL verification but doesn't mention that MySQL enforces CHECK only from 8.0.16 (before that it parsed and ignored it). This is a classic dialect trap.</t>
  </si>
  <si>
    <t xml:space="preserve">Add to Q71-063 Extra points: "[Edge cases] MySQL before 8.0.16 accepted CHECK and ignored it. Always test that a constraint rejects a bad row."</t>
  </si>
  <si>
    <t xml:space="preserve">71.44</t>
  </si>
  <si>
    <t xml:space="preserve">§71.9 rapid-fire Q71-040 "(Q71-019 through Q71-026, Q71-031, Q71-032)"</t>
  </si>
  <si>
    <t xml:space="preserve">Incomplete. Q71-014, Q71-028 and Q71-047B also use window functions.</t>
  </si>
  <si>
    <t xml:space="preserve">Add Q71-014, Q71-028 and Q71-047B (after renumbering).</t>
  </si>
  <si>
    <t xml:space="preserve">71.45</t>
  </si>
  <si>
    <t xml:space="preserve">§71.11 Q71-047B "A plain AVG() OVER (PARTITION BY customer) would include the current row"; pointer "Chapter 13"</t>
  </si>
  <si>
    <t xml:space="preserve">Imprecise. Without ORDER BY the window covers the whole partition, future months included. With ORDER BY, the default frame includes the current row. A frame that ends at 1 PRECEDING is taught in Ch 28 §28.3; Ch 13 only shows … AND CURRENT ROW.</t>
  </si>
  <si>
    <t xml:space="preserve">"A plain AVG() OVER (PARTITION BY customer_id) averages every month, future ones included. Adding ORDER BY month still includes the current row. I need …AND 1 PRECEDING." Pointer: "Chapter 13, §13.6; Chapter 28, §28.3 (frames)".</t>
  </si>
  <si>
    <t xml:space="preserve">71.46</t>
  </si>
  <si>
    <t xml:space="preserve">§71.1–71.11 rapid-fire tables (≈40 questions)</t>
  </si>
  <si>
    <t xml:space="preserve">Rapid-fire rows have no "Learn it in" pointer. Some depend on material taught only in Ch 28 (NTILE Q71-025 → §28.3; composite/covering index Q71-043/044 → §28.6) or nowhere (IFNULL, isolation, deadlock).</t>
  </si>
  <si>
    <t xml:space="preserve">Add a short pointer to each Extra-point cell ("→ Ch 12 §12.9"). Mark untaught rows "Beyond the book" (see 71.17).</t>
  </si>
  <si>
    <t xml:space="preserve">71.47</t>
  </si>
  <si>
    <t xml:space="preserve">Several "Verified:" lines (Q71-001, 009, 014, 015, 019, 022, 028, 029, 033)</t>
  </si>
  <si>
    <t xml:space="preserve">Results are given in prose, not as the result grid Ch 12–13 trained the reader to compare against. A reader can't check their output line by line.</t>
  </si>
  <si>
    <t xml:space="preserve">Print the first few result rows for each, in the same psql-style grid used in Q71-020 and 047B. For Q71-001, show the one row (Home Plus).</t>
  </si>
  <si>
    <t xml:space="preserve">71.48</t>
  </si>
  <si>
    <t xml:space="preserve">Q71-001 Red flag "filtering a left join's right-table column in WHERE … silently turns it into an inner join"</t>
  </si>
  <si>
    <t xml:space="preserve">A beginner sees the answer itself filtering a right-table column (o.order_id IS NULL) in WHERE, right after being told not to.</t>
  </si>
  <si>
    <t xml:space="preserve">Add: "The one deliberate exception is IS NULL on the right table's key: that is what makes this an anti-join (Ch 12 §12.10). Any other condition on the right table belongs in ON."</t>
  </si>
  <si>
    <t xml:space="preserve">71.49</t>
  </si>
  <si>
    <t xml:space="preserve">"Answer in one line:" before multi-line queries (Q71-001, 009, 019, 021, 022, 028)</t>
  </si>
  <si>
    <t xml:space="preserve">The label doesn't match what follows: 4- to 10-line queries.</t>
  </si>
  <si>
    <t xml:space="preserve">Use "The query:" for code answers and keep "Answer in one line:" for sentences.</t>
  </si>
  <si>
    <t xml:space="preserve">71.50</t>
  </si>
  <si>
    <t xml:space="preserve">Extra-point tags "[Practical]" (Q71-059, Q71-072), untagged "Business" (Q71-069)</t>
  </si>
  <si>
    <t xml:space="preserve">These don't match Ch 69's move vocabulary.</t>
  </si>
  <si>
    <t xml:space="preserve">Use Ch 69's move names ([Edge cases], [Trade-offs], [Validate], [Business], [Scale], [Clarify], [Simple first], [Depth]). Change "[Practical]" to "[Edge cases]" in both places.</t>
  </si>
  <si>
    <t xml:space="preserve">71.51</t>
  </si>
  <si>
    <t xml:space="preserve">Where this leads "Chapters 12 and 13 teach every technique this bank draws on, in full"</t>
  </si>
  <si>
    <t xml:space="preserve">False. Recursive CTEs, NTILE, frames ending before the current row, EXPLAIN, indexes and materialized views are in Ch 28. ACID is in Ch 49. Isolation, deadlocks, MVCC, STRING_AGG/GROUP_CONCAT, TRUNCATE identity behaviour and UNIQUE NULLS NOT DISTINCT are taught nowhere.</t>
  </si>
  <si>
    <t xml:space="preserve">"Chapters 12, 13 and 28 teach the techniques this bank draws on (Chapter 49 for ACID). Questions marked *Beyond the book* go further; each carries its own short explanation."</t>
  </si>
  <si>
    <t xml:space="preserve">71.52</t>
  </si>
  <si>
    <t xml:space="preserve">Intro "Same format as Chapters 70 and 72A"</t>
  </si>
  <si>
    <t xml:space="preserve">Points to one chapter behind and one ahead (72A comes after 72).</t>
  </si>
  <si>
    <t xml:space="preserve">"Same format as every question bank in Part VIII (Chapters 70–82)".</t>
  </si>
  <si>
    <t xml:space="preserve">71.53</t>
  </si>
  <si>
    <t xml:space="preserve">§71.1 rapid-fire Q71-006 "collapses to fewer with UNION"</t>
  </si>
  <si>
    <t xml:space="preserve">Vague where an exact number is available.</t>
  </si>
  <si>
    <t xml:space="preserve">"(2 identical rows → 2 with UNION ALL, 1 with UNION)".</t>
  </si>
  <si>
    <t xml:space="preserve">V71.1</t>
  </si>
  <si>
    <t xml:space="preserve">Production note printed: "Learn it in pointers reference Chapters 12 and 13 at chapter level (this chat doesn't have their approved text to check exact section numbers against, though their section list was checked directly against the actual manuscript…)".</t>
  </si>
  <si>
    <t xml:space="preserve">Delete; resolve the references.</t>
  </si>
  <si>
    <t xml:space="preserve">V71.2</t>
  </si>
  <si>
    <t xml:space="preserve">p. 10, 15, 19, 21, 23, 25, 26 · "Rapid-fire, 71.x" headings</t>
  </si>
  <si>
    <t xml:space="preserve">The heading numbers don't match the sections they sit in: "Rapid-fire, 71.9" in §71.2 (p. 10); "71.3" in §71.5 (p. 15); "71.4" in §71.6 (p. 19); "71.5" in §71.7 (p. 21); "71.10" in §71.8 (p. 23); "71.6" in §71.9 (p. 25); "71.7" in §71.10 (p. 26). Readers following "§71.9" land in the wrong place.</t>
  </si>
  <si>
    <t xml:space="preserve">Number each rapid-fire block after its enclosing section (or drop the number).</t>
  </si>
  <si>
    <t xml:space="preserve">V71.3</t>
  </si>
  <si>
    <t xml:space="preserve">p. 3–29 · Question IDs</t>
  </si>
  <si>
    <t xml:space="preserve">The IDs appear out of sequence: §71.1 has 001–008; §71.2 has 047–060; §71.3 has 009–013; §71.4 has 068–073; §71.5 has 014–018; … §71.8 has 061–067; §71.9 has 033–040; §71.10 has 041–044; §71.11 has 045, 046, 047B, 047C, 047D. "Q71-047" (p. 5) and "Q71-047B" (p. 28) look like siblings but are unrelated. The final-week revision list (p. 32) cites IDs by number.</t>
  </si>
  <si>
    <t xml:space="preserve">Renumber sequentially in page order (and update cross-references such as "Q71-002", "Q71-041").</t>
  </si>
  <si>
    <t xml:space="preserve">V71.4</t>
  </si>
  <si>
    <t xml:space="preserve">p. 17, 29 (also 11, 13, 20) · SQL code</t>
  </si>
  <si>
    <t xml:space="preserve">Long lines wrap to column 0 with no marker: "…unit_price*(1-" / "oi.discount_pct/100)) DESC) AS rn" (p. 17); "…ELSE" / "0 END))::numeric(10,2) AS storage" three times, and "…ON oi.product_id =" / "p.product_id" (p. 29). The wrapped fragments look like new clauses.</t>
  </si>
  <si>
    <t xml:space="preserve">Hard-break the SQL at about 90 characters with indentation.</t>
  </si>
  <si>
    <t xml:space="preserve">V71.5</t>
  </si>
  <si>
    <t xml:space="preserve">p. 16→17 · Q71-020</t>
  </si>
  <si>
    <t xml:space="preserve">The lead-in "Verified, live, on customers tied at 16 orders each…:" is stranded at the foot of p. 16; its query and result table are on p. 17.</t>
  </si>
  <si>
    <t xml:space="preserve">V71.6</t>
  </si>
  <si>
    <t xml:space="preserve">The subtitle is cut off: "…write window-function solutions to the "second highest," "top N…". The cover shows "Approved chapter · v1" and "21 September 2026".</t>
  </si>
  <si>
    <t xml:space="preserve">V71.7</t>
  </si>
  <si>
    <t xml:space="preserve">V71.8</t>
  </si>
  <si>
    <t xml:space="preserve">p. 3–26 (all rapid-fire tables) · "#" column</t>
  </si>
  <si>
    <t xml:space="preserve">The IDs wrap "Q71- / 003" … (about 70 rows). The "Question" column also wraps inline code mid-phrase ("SELECT / DISTINCT").</t>
  </si>
  <si>
    <t xml:space="preserve">Widen "#" (as Ch70 V70.3).</t>
  </si>
  <si>
    <t xml:space="preserve">V71.9</t>
  </si>
  <si>
    <t xml:space="preserve">p. 3→4, 7→8, 14→15, 18→19, 19→20, 22→23 · Tier tables</t>
  </si>
  <si>
    <t xml:space="preserve">The "Extra points" row (or Strong plus Extra) is orphaned onto the next page under a repeated header.</t>
  </si>
  <si>
    <t xml:space="preserve">Keep tier tables together.</t>
  </si>
  <si>
    <t xml:space="preserve">V71.10</t>
  </si>
  <si>
    <t xml:space="preserve">p. 17→18 · Q71-021 "Verified" result table</t>
  </si>
  <si>
    <t xml:space="preserve">The 6-row result splits 3 + 3 across the page break.</t>
  </si>
  <si>
    <t xml:space="preserve">V71.11</t>
  </si>
  <si>
    <t xml:space="preserve">p. 13 · Q71-069 tier table</t>
  </si>
  <si>
    <t xml:space="preserve">Adds a fourth tier row labelled "Business", which is a move tag, not a tier. Every other tier table uses Passes / Strong / Extra points.</t>
  </si>
  <si>
    <t xml:space="preserve">Fold into Extra points as "+ [Business] …".</t>
  </si>
  <si>
    <t xml:space="preserve">V71.12</t>
  </si>
  <si>
    <t xml:space="preserve">p. 17–18 · Verified results</t>
  </si>
  <si>
    <t xml:space="preserve">Two results are set as styled book tables (blue header, numbers left-aligned), while every other result in the chapter is monospace psql output.</t>
  </si>
  <si>
    <t xml:space="preserve">Use psql output consistently, or right-align numeric columns.</t>
  </si>
  <si>
    <t xml:space="preserve">V71.13</t>
  </si>
  <si>
    <t xml:space="preserve">p. 25–26 · Q71-041 EXPLAIN before/after</t>
  </si>
  <si>
    <t xml:space="preserve">The two QUERY PLAN blocks are identical (both Seq Scan). The prose explains why, but at a glance the "after" block looks like a copy-paste error.</t>
  </si>
  <si>
    <t xml:space="preserve">Add a one-line caption "(unchanged: table too small)" on the second block.</t>
  </si>
  <si>
    <t xml:space="preserve">72.1</t>
  </si>
  <si>
    <t xml:space="preserve">Intro "this chat doesn't have this book's Python-fundamentals and pandas chapters' approved text"</t>
  </si>
  <si>
    <t xml:space="preserve">Drafting leftover addressed to the authoring chat.</t>
  </si>
  <si>
    <t xml:space="preserve">Delete the sentence "Learn it in pointers are at chapter level (this chat … elsewhere in this part)." Replace with: "Each *Learn it in* pointer names the chapter and section that teaches the idea. Questions marked *Beyond the book* go further than Chapters 17–18 and carry their own short explanation."</t>
  </si>
  <si>
    <t xml:space="preserve">72.2</t>
  </si>
  <si>
    <t xml:space="preserve">Every question: "Learn it in: Chapter 72's own fundamentals section (this book's Python-basics chapter; exact number to confirm)" (20×)</t>
  </si>
  <si>
    <t xml:space="preserve">Self-referential and wrong. Ch 72 is this question bank. The teaching chapters are Ch 17 (Python from Zero), Ch 18 (pandas), Ch 29 (classes, packages) and Ch 33 (generators, memory). A reader following the pointer lands back where they started.</t>
  </si>
  <si>
    <t xml:space="preserve">Replace each pointer using the table in Sequence notes. Examples: Q72-002 → "Ch 17 §17.8 (is None)"; Q72-037 → "Ch 17 §17.5 (floats are approximate)"; Q72-010 → "Ch 33 (generators and memory)"; Q72-016 → "Ch 18 §18.1"; Q72-022 → "Ch 18 §18.6"; Q72-023 → "Ch 18 §18.7"; Q72-028 → "Ch 18 §18.5 and §18.16"; Q72-029 → "Ch 18 §18.10; Ch 14"; Q72-034 → "Ch 17 §17.5 (//)". Delete "exact number to confirm".</t>
  </si>
  <si>
    <t xml:space="preserve">72.3</t>
  </si>
  <si>
    <t xml:space="preserve">Q72-001, 003, 004, 007, 009, 011, 012–015, 038 (associativity), 039 (operand return), 040, 046–050</t>
  </si>
  <si>
    <t xml:space="preserve">These need material the book never teaches (0 hits in Ch 17/18/29/33): mutable default arguments, shallow vs deep copy and list aliasing, closures and late binding, lambda (first used untaught in Ch 18, per the Ch 18 review), *args/kwargs, __new__, writing a decorator (Ch 29 only uses @dataclass/@property), functools.wraps, keyword-only *, @staticmethod, the walrus operator, class-level attributes (classes first appear in Ch 29). A reader who did Ch 17–18 is being tested on things they never saw.</t>
  </si>
  <si>
    <t xml:space="preserve">Choose one route per topic and apply it consistently. (a) Teach it where it belongs. Ch 17 §17.10 gets defaults evaluated once (mutable default), *args/kwargs and keyword-only *. Ch 17 §17.6 gets "two names, one list" (aliasing, copy, deepcopy) with a 3-line example. Ch 18 gets lambda before §18.3. Ch 29 gets a short "closures and decorators" subsection next to classes. (b) Or mark the question Beyond the book and add a 3–5 line worked explanation with output before the tiers. At minimum, Q72-011 (write a decorator) and Q72-004 (closures) need (b) if (a) is declined.</t>
  </si>
  <si>
    <t xml:space="preserve">72.4</t>
  </si>
  <si>
    <t xml:space="preserve">§72.4 Q72-017 hook "Chained assignment now just works, safely, every time"</t>
  </si>
  <si>
    <t xml:space="preserve">Wrong for pandas 3.0.2. Under Copy-on-Write, df[df["category"]=="Storage"]["quantity"] = 99 never changes df, and pandas emits a ChainedAssignmentError warning (verified: df stays [3, 10, 2]). What "just works" is assigning into an explicit subset (sub = df[…]; sub["q"] = …), which changes sub only. The two are conflated. The chapter also contradicts Ch 18 §18.4, which says pandas 3 "raises an error" and "the SettingWithCopyWarning you'll see" (both wrong; Ch 18 review 18.15).</t>
  </si>
  <si>
    <t xml:space="preserve">Hook: "In pandas 3 every filtered table behaves like its own copy. Changing it never changes the original. To change the original, use .loc on it." One-line answer: add "Chained assignment (df[mask]["col"] = x) now never updates df; pandas warns ChainedAssignmentError. Write df.loc[mask, "col"] = x." Add a second cell showing the chained form, its warning text and the unchanged df. Align Ch 18 §18.4 with the same wording.</t>
  </si>
  <si>
    <t xml:space="preserve">72.5</t>
  </si>
  <si>
    <t xml:space="preserve">§72.6 rapid-fire Q72-032 "Returns NaN for that row by default, not False"</t>
  </si>
  <si>
    <t xml:space="preserve">Wrong for the chapter's own pandas 3.0.2. With the default str dtype, str.contains returns False for a missing value (verified: [False, False, True]). The NaN/None behaviour applies only to object dtype (pre-3.0, or dtype=object). This contradicts the currency note, which promises "old and current behaviour … clearly labeled".</t>
  </si>
  <si>
    <t xml:space="preserve">"pandas 3.0+ (str dtype): missing values give False. Older pandas / object dtype: gives NaN (None), and using that as a filter raises ValueError: Cannot mask with non-boolean array containing NA / NaN values. na=False makes both versions behave the same." Add the labelled pair of outputs.</t>
  </si>
  <si>
    <t xml:space="preserve">72.6</t>
  </si>
  <si>
    <t xml:space="preserve">§72.3 Q72-010 "list size in memory: 8,448,728 bytes (~8.4 MB…)"; "over 40,000 times smaller"</t>
  </si>
  <si>
    <t xml:space="preserve">The figures come from sys.getsizeof, which is shallow: it counts the list's pointer array, not the million int objects (~31.9 MB more, verified). The real footprint is ~40 MB, so the "40,000×" comparison is misleading. The measuring code isn't shown. The generator size varies by version (208 bytes on 3.11, 200 on 3.12). Ch 33 measures this properly with tracemalloc ("0.0005 MB peak").</t>
  </si>
  <si>
    <t xml:space="preserve">Show the measuring lines: import sys / print(sys.getsizeof(squares_list(1_000_000))) / print(sys.getsizeof(squares_gen(1_000_000))). Add: "getsizeof counts only the list's slots, not the numbers inside; with them, the list uses about 40 MB." Or switch to tracemalloc peak as in Ch 33 and point there. Change "over 40,000 times smaller" to "thousands of times smaller".</t>
  </si>
  <si>
    <t xml:space="preserve">72.7</t>
  </si>
  <si>
    <t xml:space="preserve">§72.1 Q72-001 code comments "# ['crate']" then output "['crate', 'lid'] ['crate', 'lid'] -- both calls return the SAME list"; Extra "both return values are literally True for is"</t>
  </si>
  <si>
    <t xml:space="preserve">The output can't come from the code. The code prints nothing and never uses is. The first comment ("['crate']") contradicts the output line. "[Business] the fix" is a mislabel: the fix is the Strong answer, not business impact.</t>
  </si>
  <si>
    <t xml:space="preserve">Split into two cells. Cell 1: r1 = add_item("crate") / print(r1) → ['crate']. Cell 2: r2 = add_item("lid") / print(r1, r2, r1 is r2) → ['crate', 'lid'] ['crate', 'lid'] True (verified). Say that r1 changed after the fact because it is the same list. Move the basket=None fix into the Strong tier and show it running (add_item("lid") → ['lid']).</t>
  </si>
  <si>
    <t xml:space="preserve">72.8</t>
  </si>
  <si>
    <t xml:space="preserve">§72.6 Q72-029 orders2["unit_price"] = orders2["unit_price"] # (one value set to NaN for this demo)</t>
  </si>
  <si>
    <t xml:space="preserve">The setup line does nothing. orders2 is never created, so the printed "missing count: 1" can't come from the code. Output labels ("fillna with mean:", "dropna shape:") don't match the bare expressions. "row 3 filled" means index 2.</t>
  </si>
  <si>
    <t xml:space="preserve">Cell 1: orders2 = orders.copy() / orders2.loc[2, "unit_price"] = None / print(orders2["unit_price"].isna().sum()) → 1. Cell 2: print(orders2["unit_price"].fillna(orders2["unit_price"].mean()).tolist()) → [320.0, 85.0, 393.0, 980.0, 260.0, 320.0]. Cell 3: print(orders2.dropna(subset=["unit_price"]).shape) → (5, 7). Say "index 2 (the third row)". Explain that the mean 393.0 = (320 + 85 + 980 + 260 + 320) / 5.</t>
  </si>
  <si>
    <t xml:space="preserve">72.9</t>
  </si>
  <si>
    <t xml:space="preserve">§72.5 Q72-022 orders["revenue"] = …; Q72-023 orders.merge(customers, …); Q72-024 pivot</t>
  </si>
  <si>
    <t xml:space="preserve">orders and customers are never built or shown, so none of the printed numbers can be reproduced. The data is called "Riverstone-style", but the values don't match Riverstone (Coastal Foods one order of ₹4,900; Riverstone's is tens of thousands). Q72-024 claims "verified" with no output.</t>
  </si>
  <si>
    <t xml:space="preserve">Add a setup cell before Q72-022 that builds the 6-row orders (order_id, customer, category, quantity, unit_price) and 7-row customers (customer, city, including Home Plus, Delhi) DataFrames, and print both. Derive from the printed results: Coastal Foods 5 × 980; Metro Mart 10 × 85 + 2 × 260; Sharma Hardware quantities 3, 4, 2 at 320, 90, 320 = 1,960. Call it "a 6-row toy table", not Riverstone-style. Show the Q72-024 pivot output.</t>
  </si>
  <si>
    <t xml:space="preserve">72.10</t>
  </si>
  <si>
    <t xml:space="preserve">§72.6 Q72-028 big.apply(lambda row: …, axis=1); "speedup: 1,116x"</t>
  </si>
  <si>
    <t xml:space="preserve">big is never created, and the timing and "results match" code is hidden. The speedup is machine-specific (I measured 863× on pandas 3.0.2). The block also needs NumPy (np.random.rand), which is untaught before Ch 35 (M.9).</t>
  </si>
  <si>
    <t xml:space="preserve">Show the setup (big = pd.DataFrame({"a": range(200_000), "b": range(200_000)}) avoids NumPy), the t0 = time.perf_counter() lines, and the (r1 == r2).all() check. Say "about 1,000×; your number will differ". Common-mistakes row: "hundreds to thousands of times slower".</t>
  </si>
  <si>
    <t xml:space="preserve">72.11</t>
  </si>
  <si>
    <t xml:space="preserve">§72.3 Q72-011 output "result: 499999500000"</t>
  </si>
  <si>
    <t xml:space="preserve">No line in the code prints "result:". Q72-013 teaches functools.wraps, but the Strong answer omits it.</t>
  </si>
  <si>
    <t xml:space="preserve">End the cell with result = slow_sum(1_000_000) / print("result:", result). Add from functools import wraps and @wraps(func) to the Strong answer, with one line: "keeps slow_sum's own name and docstring".</t>
  </si>
  <si>
    <t xml:space="preserve">72.12</t>
  </si>
  <si>
    <t xml:space="preserve">§72.7 Q72-035 prints "print(messy.duplicated(…).sum()) # 1" vs output "duplicate order_ids: 1"</t>
  </si>
  <si>
    <t xml:space="preserve">The printed labels aren't produced by the code. The cleaned result is never shown. errors="coerce" isn't exercised, because None becomes NaN anyway; coerce matters for text like "ten". quantity becomes float64 (3.0, 10.0, NaN), which is worth saying. On pandas &lt; 3 the clean["customer"] = … line after drop_duplicates is exactly the SettingWithCopyWarning case from Q72-017.</t>
  </si>
  <si>
    <t xml:space="preserve">Use f-strings so the output matches, e.g. print("duplicate order_ids:", messy.duplicated(subset=["order_id"]).sum()). Add "ten" to the quantity list so coerce matters. Add .copy() after drop_duplicates with a comment linking to Q72-017. Print clean and clean.dtypes (verified: rows 1001, 1002, 1004; quantity float64). Add "use .astype("Int64") to keep whole numbers with a missing value".</t>
  </si>
  <si>
    <t xml:space="preserve">72.13</t>
  </si>
  <si>
    <t xml:space="preserve">Question IDs and rapid-fire headings</t>
  </si>
  <si>
    <t xml:space="preserve">IDs run 001–009, 036–054, 010–015, 016–021, 022–027, 028–033, 034–035. Rapid-fire headings: "72.2A/72.2B" in §72.2, "72.2" in §72.3, "72.3" in §72.4, "72.4" in §72.5, "72.5" in §72.6. Leftovers from inserting §72.2.</t>
  </si>
  <si>
    <t xml:space="preserve">Renumber in reading order (Q72-001…054) and title each table "Rapid-fire, §72.N" (use "§72.2, part A/B" for the two in §72.2). Update the intro's references (Q72-019, Q72-035, §72.4), all in-chapter cross-references (Q72-001/003/004/007/010/040/048), the revision list, and Ch 71 → Ch 72 references if any.</t>
  </si>
  <si>
    <t xml:space="preserve">72.14</t>
  </si>
  <si>
    <t xml:space="preserve">§72.3 Q72-010 "(or pandas' chunksize parameter, §72.7)"</t>
  </si>
  <si>
    <t xml:space="preserve">Broken cross-reference. chunksize is Q72-033 in §72.6.</t>
  </si>
  <si>
    <t xml:space="preserve">"§72.6, Q72-033" (renumber per 72.13).</t>
  </si>
  <si>
    <t xml:space="preserve">72.15</t>
  </si>
  <si>
    <t xml:space="preserve">Whole chapter; §72.2 "Ordered easy to hard"</t>
  </si>
  <si>
    <t xml:space="preserve">No per-question difficulty labels, so test (c) can't be checked. §72.2 isn't in easy-to-hard order: Q72-036 (number bases) comes before much easier items (Q72-041 chained comparison, Q72-042 string repetition, Q72-043 sum([], 10)).</t>
  </si>
  <si>
    <t xml:space="preserve">Tag each question Warm-up / Core / Advanced (and DA/DS/AE role where useful). Reorder §72.2 by difficulty: 041, 042, 043, 037, 039, 044, 053, 038, 036, 051, 052, 054, 040, 048, 049, 050, 045, 046, 047. Mark Q72-009 (__new__), Q72-045 (int cache) and Q72-047 (walrus) Advanced.</t>
  </si>
  <si>
    <t xml:space="preserve">72.16</t>
  </si>
  <si>
    <t xml:space="preserve">§72.5 Q72-023 orders.merge(customers, on="customer", how="right")</t>
  </si>
  <si>
    <t xml:space="preserve">This works, but it isn't the idiom the book teaches. Ch 18 §18.7 teaches how="left" with indicator=True and a _merge check. The swapped table order is harder for a beginner to follow.</t>
  </si>
  <si>
    <t xml:space="preserve">Strong answer: m = customers.merge(orders, on="customer", how="left", indicator=True) then m[m["_merge"] == "left_only"][["customer", "city"]] → Home Plus, Delhi. Keep how="right" as an "equivalent" line. Pointer: "Ch 18 §18.7".</t>
  </si>
  <si>
    <t xml:space="preserve">72.17</t>
  </si>
  <si>
    <t xml:space="preserve">§72.2 Q72-002 output "a == b: True …"; Strong "if my_list is []: is always False"</t>
  </si>
  <si>
    <t xml:space="preserve">The output lines aren't printed by the code (no print). Python 3.8+ also emits SyntaxWarning: "is" with a literal for is [], which is worth showing because it is the interpreter catching the bug.</t>
  </si>
  <si>
    <t xml:space="preserve">Add print("a == b:", a == b) etc. Add: "[Edge cases] Python 3.8+ warns SyntaxWarning: "is" with 'list' literal. Did you mean "=="?".</t>
  </si>
  <si>
    <t xml:space="preserve">72.18</t>
  </si>
  <si>
    <t xml:space="preserve">§72.1 rapid-fire Q72-007 "verified: describe(1,2,3, name="crate", qty=5)"</t>
  </si>
  <si>
    <t xml:space="preserve">describe is never defined.</t>
  </si>
  <si>
    <t xml:space="preserve">Show def describe(*args, kwargs): print("args =", args, "kwargs =", kwargs) above the call.</t>
  </si>
  <si>
    <t xml:space="preserve">72.19</t>
  </si>
  <si>
    <t xml:space="preserve">§72.1 rapid-fire Q72-008 "is it always faster than a loop?"; "iteration happens in optimized C code internally"</t>
  </si>
  <si>
    <t xml:space="preserve">The "always?" isn't answered, and the reason is imprecise: comprehensions are faster mainly because they skip the repeated .append lookup and call, not because the loop runs in C.</t>
  </si>
  <si>
    <t xml:space="preserve">"Usually faster (no .append lookup per item), but not always and not by much. Readability is the real reason. For big numeric work, vectorised pandas/NumPy beats both (Q72-028)."</t>
  </si>
  <si>
    <t xml:space="preserve">72.20</t>
  </si>
  <si>
    <t xml:space="preserve">§72.1 rapid-fire Q72-005 "tuples can be dictionary keys and set members"</t>
  </si>
  <si>
    <t xml:space="preserve">True only when everything inside is hashable. Q72-050 shows a tuple containing a list, which can't be a key.</t>
  </si>
  <si>
    <t xml:space="preserve">"…tuples can be dictionary keys (if everything inside them is hashable: ([1], 2) isn't)".</t>
  </si>
  <si>
    <t xml:space="preserve">72.21</t>
  </si>
  <si>
    <t xml:space="preserve">§72.7 Q72-034 hook "Integer division in the wrong order truncates to zero"</t>
  </si>
  <si>
    <t xml:space="preserve">The problem is the operator, not the order. The worked example divides by 4,900, Coastal Foods' revenue, not the total (8,230 from Q72-022).</t>
  </si>
  <si>
    <t xml:space="preserve">Hook: "// throws away everything after the decimal point; a share is always below 1, so it becomes 0." Example: revenue_share(1960, 8230) → broken 0, fixed 0.238… (or keep 4,900 but call it a "category total").</t>
  </si>
  <si>
    <t xml:space="preserve">72.22</t>
  </si>
  <si>
    <t xml:space="preserve">§72.2 Q72-037 "(Chapter 12/70's revenue sums)"</t>
  </si>
  <si>
    <t xml:space="preserve">Odd cross-reference. Ch 70 is the spreadsheet bank. Ch 17 §17.5 already teaches "floats are approximate".</t>
  </si>
  <si>
    <t xml:space="preserve">"(the same point Ch 17 §17.5 makes, and why Ch 12 stores money as NUMERIC)".</t>
  </si>
  <si>
    <t xml:space="preserve">72.23</t>
  </si>
  <si>
    <t xml:space="preserve">§72.2 Q72-039 code comments "0 is falsy, so or moves on to and returns 5"</t>
  </si>
  <si>
    <t xml:space="preserve">Garbled comment.</t>
  </si>
  <si>
    <t xml:space="preserve">"# 5: 0 is falsy, so or returns its second operand".</t>
  </si>
  <si>
    <t xml:space="preserve">72.24</t>
  </si>
  <si>
    <t xml:space="preserve">§72.1 rapid-fire Q72-014 "A method is a function defined inside a class, implicitly receiving the instance"</t>
  </si>
  <si>
    <t xml:space="preserve">Incomplete: a @classmethod receives the class. @staticmethod is mentioned but never taught (72.3).</t>
  </si>
  <si>
    <t xml:space="preserve">Add "(@classmethod receives the class, @staticmethod receives neither)". Mark it Beyond the book or point to Ch 29 §29.5 for classes.</t>
  </si>
  <si>
    <t xml:space="preserve">72.25</t>
  </si>
  <si>
    <t xml:space="preserve">§72.4 rapid-fire Q72-018 "( df.loc[0:2] includes row 2)"</t>
  </si>
  <si>
    <t xml:space="preserve">True only when the index labels are 0, 1, 2… (the default). A beginner may generalise it wrongly.</t>
  </si>
  <si>
    <t xml:space="preserve">"(with the default 0, 1, 2… index, df.loc[0:2] returns 3 rows and df.iloc[0:2] returns 2)". Verified 3 vs 2.</t>
  </si>
  <si>
    <t xml:space="preserve">72.26</t>
  </si>
  <si>
    <t xml:space="preserve">In the real world "slightly different total … depending on which order the input files happen to load in"</t>
  </si>
  <si>
    <t xml:space="preserve">A never-reset "already counted" list makes later runs in the same session skip orders. That depends on run count, not file order, which is what Karan's own test (running twice) shows.</t>
  </si>
  <si>
    <t xml:space="preserve">"…a slightly different, lower total whenever the report ran more than once in the same session".</t>
  </si>
  <si>
    <t xml:space="preserve">72.27</t>
  </si>
  <si>
    <t xml:space="preserve">Intro "Same format as Chapters 70–73"</t>
  </si>
  <si>
    <t xml:space="preserve">Includes this chapter and later chapters; 72A sits between.</t>
  </si>
  <si>
    <t xml:space="preserve">72.28</t>
  </si>
  <si>
    <t xml:space="preserve">Key terms "positional-only / keyword-only arguments"</t>
  </si>
  <si>
    <t xml:space="preserve">Positional-only (/) is never covered. Only * (keyword-only) appears, in Q72-015.</t>
  </si>
  <si>
    <t xml:space="preserve">Change to "keyword-only arguments (*)", or add a rapid-fire row for /.</t>
  </si>
  <si>
    <t xml:space="preserve">72.29</t>
  </si>
  <si>
    <t xml:space="preserve">Q72-022 "one pass over the data"</t>
  </si>
  <si>
    <t xml:space="preserve">Overstated. Named aggregation groups once but computes each aggregation separately. The real benefit is one grouping and clean names.</t>
  </si>
  <si>
    <t xml:space="preserve">"…one grouping step and one tidy result, instead of three separate groupbys joined by hand".</t>
  </si>
  <si>
    <t xml:space="preserve">V72.1</t>
  </si>
  <si>
    <t xml:space="preserve">Production note printed: "Learn it in pointers are at chapter level (this chat doesn't have this book's Python-fundamentals and pandas chapters' approved text … flagged for a re-check once available…)".</t>
  </si>
  <si>
    <t xml:space="preserve">V72.2</t>
  </si>
  <si>
    <t xml:space="preserve">p. 14, 16, 18, 20 (and 11) · "Rapid-fire, 72.x" headings</t>
  </si>
  <si>
    <t xml:space="preserve">The headings don't match their sections: "Rapid-fire, 72.2" sits in §72.3 (p. 14); "72.3" in §72.4 (p. 16); "72.4" in §72.5 (p. 18); "72.5" in §72.6 (p. 20). Only 72.1, 72.2A and 72.2B (p. 11) match.</t>
  </si>
  <si>
    <t xml:space="preserve">Renumber after the enclosing section.</t>
  </si>
  <si>
    <t xml:space="preserve">V72.3</t>
  </si>
  <si>
    <t xml:space="preserve">p. 3–22 · Question IDs</t>
  </si>
  <si>
    <t xml:space="preserve">Out of page order: §72.1 has 001–009; §72.2 has 036–054; §72.3 continues at 010; … §72.7 has 034–035. The final-week list (p. 24) cites IDs by number.</t>
  </si>
  <si>
    <t xml:space="preserve">Renumber in page order and update cross-references.</t>
  </si>
  <si>
    <t xml:space="preserve">V72.4</t>
  </si>
  <si>
    <t xml:space="preserve">p. 19, 21 (also 15) · Code blocks</t>
  </si>
  <si>
    <t xml:space="preserve">Trailing comments and long lines wrap to column 0: "# str -- quantity is stored as text, not" / "numeric", "…that would break" / "an exact-match join" (p. 21); "-- row 3 filled with the column's" / "mean (393.0)" (p. 19); the pd.DataFrame({... line on p. 15 wraps its "quantity" key to column 0.</t>
  </si>
  <si>
    <t xml:space="preserve">Shorten the comments or put them on their own lines; hard-wrap long literals.</t>
  </si>
  <si>
    <t xml:space="preserve">V72.5</t>
  </si>
  <si>
    <t xml:space="preserve">p. 15 · Q72-017 output ("sub after assignment" / "original df")</t>
  </si>
  <si>
    <t xml:space="preserve">In the two DataFrames printed side by side, the third row of the original df ("2 C Storage 2") is shifted about 1 cm right of its column, so the right-hand table looks broken.</t>
  </si>
  <si>
    <t xml:space="preserve">Print the two frames one below the other.</t>
  </si>
  <si>
    <t xml:space="preserve">V72.6</t>
  </si>
  <si>
    <t xml:space="preserve">The subtitle is cut off: "…write idiomatic, correctly-vectorized pandas…". The cover shows "Approved chapter · v1" and "21 September 2026".</t>
  </si>
  <si>
    <t xml:space="preserve">Write a one-sentence subtitle; remove the label and date.</t>
  </si>
  <si>
    <t xml:space="preserve">V72.7</t>
  </si>
  <si>
    <t xml:space="preserve">p. 4 and 16 others · "Learn it in:" pointers</t>
  </si>
  <si>
    <t xml:space="preserve">They point to "Chapter 72's own fundamentals section" (this chapter), and on p. 4 add "(this book's Python-basics chapter; exact number to confirm)". A reader in Ch 72 is sent to Ch 72.</t>
  </si>
  <si>
    <t xml:space="preserve">Replace with the real chapter and section numbers of the Python and pandas teaching chapters.</t>
  </si>
  <si>
    <t xml:space="preserve">V72.8</t>
  </si>
  <si>
    <t xml:space="preserve">V72.9</t>
  </si>
  <si>
    <t xml:space="preserve">p. 4→5, 7→8, 9→10, 12→13, 14→15, 19→20 · Tier tables</t>
  </si>
  <si>
    <t xml:space="preserve">The "Extra points" row is orphaned onto the next page.</t>
  </si>
  <si>
    <t xml:space="preserve">V72.10</t>
  </si>
  <si>
    <t xml:space="preserve">p. 6–20 (rapid-fire tables) · "#" column</t>
  </si>
  <si>
    <t xml:space="preserve">The IDs wrap "Q72- / 005". In the 72.2A/B tables the narrow "Output" column wraps list literals ("h ['e', / 'l', 'l', / 'o']", "TypeError: can only / concatenate list…").</t>
  </si>
  <si>
    <t xml:space="preserve">Widen "#" and "Output"; narrow "Why".</t>
  </si>
  <si>
    <t xml:space="preserve">V72.11</t>
  </si>
  <si>
    <t xml:space="preserve">p. 20→21 · Q72-034</t>
  </si>
  <si>
    <t xml:space="preserve">The BROKEN code is at the foot of p. 20, and "What's wrong" plus the FIXED code are on p. 21.</t>
  </si>
  <si>
    <t xml:space="preserve">Keep the broken/fixed pair together.</t>
  </si>
  <si>
    <t xml:space="preserve">72A.1</t>
  </si>
  <si>
    <t xml:space="preserve">Opening note "the coordinator should renumber it into the main sequence at final assembly"</t>
  </si>
  <si>
    <t xml:space="preserve">Drafting leftover addressed to the production team, not the reader. It also says "This chapter doesn't exist in the original 15-chapter Part VIII plan" and "the author identified a real gap".</t>
  </si>
  <si>
    <t xml:space="preserve">Delete the whole "A note on this chapter's numbering" paragraph (lines 4–12). Renumber the chapter as proposed in 72A.2. If the author wants to keep the rationale, replace it with one reader-facing sentence: "Data Engineer and ML Engineer interviews often include a data-structures round; this bank sizes it for data roles."</t>
  </si>
  <si>
    <t xml:space="preserve">72A.2</t>
  </si>
  <si>
    <t xml:space="preserve">Chapter number "72A"; every ID "Q72A-0xx"</t>
  </si>
  <si>
    <t xml:space="preserve">Part VIII numbering (proposal for the whole part). The part uses 68–72, 72A, 73–75, 76A, 76B, 77–82, and there is no Chapter 76. Earlier chapters already cite "Chapter 76" for the BA bank (Ch 1 l.809, Ch 3 l.1038, Ch 5 l.572/841, Ch 14 l.1536, Ch 15 l.942, Ch 20 l.739, Ch 23 l.928, Ch 24 l.554, Ch 75 l.731), and that chapter is now 76B. The sequence map already approves "Renumber 72A/76A/76B".</t>
  </si>
  <si>
    <t xml:space="preserve">Adopt one clean sequence, reading order = number: 68 How Data Hiring Works · 69 Extra-Points Method · 70 Excel/Sheets/VBA/BI · 71 SQL · 72 Python &amp; pandas · 73 DSA (was 72A) · 74 Statistics (was 73) · 75 ML (was 74) · 76 Product Sense (was 75) · 77 DA &amp; DS (was 76A) · 78 BA (was 76B) · 79 Data Engineering (was 77) · 80 Automation (was 78) · 81 GenAI/LLM/MLOps (was 79) · 82 Architecture &amp; Leadership (was 80) · 83 Behavioral/HR (was 81) · 84 Take-Homes &amp; Mocks (was 82) · Closing 85 (was 83). Apply it as a mapping table with a find-and-replace run from the highest number down (82→84 first, …, 72A→73 last) so no number is replaced twice. Update the spine, Ch 69's prerequisite list ("70…82"), "Chapters 68–82" and "Chapters 70–75" mentions, and all Part 0–VII "Interview preparation" pointers. Several of those pointers are already wrong: Ch 23 "Case Study &amp; Guesstimate bank (Chapter 74)" should be 76; Ch 24 "Behavioral &amp; Case Interview bank (Chapter 75)" should be 83. Question IDs: either renumber the prefixes with the chapters (Q72A-→Q73-, Q73-→Q74-, Q74-→Q75-, …) or, better, switch to stable bank codes that never change again (DSA-001, STAT-001, ML-001, SQL-001…) and cite them as "DSA-018 (Chapter 73)". The second option means a future renumbering touches only chapter numbers, not the hundreds of cross-bank ID references (e.g., Q70-041 cited here, and Q72A cited 9× in Ch 77).</t>
  </si>
  <si>
    <t xml:space="preserve">72A.3</t>
  </si>
  <si>
    <t xml:space="preserve">Every "Learn it in: Chapter 72." (Q001, 002, 007, 008, 009, 014, 018, 020, 021, 025–030)</t>
  </si>
  <si>
    <t xml:space="preserve">Wrong target. Ch 72 is the Python &amp; pandas *question bank* and teaches none of this. The teaching chapter is Ch 33, which covers Big-O, dicts/sets, stacks/queues/deque, trees/graphs with DFS/BFS, binary search/bisect, Timsort/stable sort/heapq, recursion, hashing and memoization/DP.</t>
  </si>
  <si>
    <t xml:space="preserve">Replace per question: Q001 → "Chapter 33 §33.1"; Q002, Q014 → "§33.2 and §33.7"; Q007 (Two Sum) → "§33.2 (dictionary index) and §33.10 (patterns)"; Q008 (two pointers) → "§33.10"; Q009 (sliding window) → "§33.10; Chapter 40 §40.6 for .rolling()"; Q018 → "§33.8"; Q019 → "§33.6"; Q020, Q023, Q024 → "§33.5"; Q021 → "§33.5 (bisect) and the hand-written version in Chapter 33's answers; Chapter 28 for B-tree indexes"; Q022 → "§33.5 (heapq)"; Q028 → "§33.4 (and §33.3 for deque)"; Q030 → "§33.3 (stacks)". Use the section numbers after Ch 33's approved reorder (review 33.1 moves hashing to 33.3, recursion to 33.5, and trees to 33.6); re-point once that reorder is applied. Also delete line 22–24 "since this chat doesn't have Chapter 72's approved text…" (see 72A.4).</t>
  </si>
  <si>
    <t xml:space="preserve">72A.4</t>
  </si>
  <si>
    <t xml:space="preserve">"this chat doesn't have Chapter 72's approved text to check exact section numbers"</t>
  </si>
  <si>
    <t xml:space="preserve">AI/drafting leftover ("this chat").</t>
  </si>
  <si>
    <t xml:space="preserve">Delete the sentence and replace it with: "Learn it in pointers name the chapter and section that teach each idea."</t>
  </si>
  <si>
    <t xml:space="preserve">72A.5</t>
  </si>
  <si>
    <t xml:space="preserve">"Python DSA problems can run directly in this environment, unlike Chapter 70's Excel/VBA content"</t>
  </si>
  <si>
    <t xml:space="preserve">"This environment" is the author's drafting environment, not the reader's.</t>
  </si>
  <si>
    <t xml:space="preserve">Rewrite: "Every snippet was run in Python 3.12 and the outputs shown are real; run them yourself in a notebook (Chapter 17 set one up)."</t>
  </si>
  <si>
    <t xml:space="preserve">72A.6</t>
  </si>
  <si>
    <t xml:space="preserve">Q72A-025 linked list; Q72A-026 Floyd cycle detection</t>
  </si>
  <si>
    <t xml:space="preserve">Never taught in the book. Ch 33 teaches lists, dicts, sets, deques, trees and graphs as dict-of-lists, but no linked list, no Node class and no fast/slow pointers. The bank assumes material the reader never saw, and the key-terms list includes "linked list" and "fast/slow pointers".</t>
  </si>
  <si>
    <t xml:space="preserve">Either (a) add a short §33.x "Linked lists, and why Python rarely needs one" to Ch 33 (a Node dataclass, build a 3-node list, walk it, reverse it by hand with a drawn trace, then Floyd's algorithm with a 5-node diagram), or (b) keep the questions here but add a 10-line "New here" primer before Q72A-025: what a node is, what .next holds, a 3-node picture, and a traced reversal table (step, prev, head, nxt). Change "Learn it in" to that primer. Recommended: (a), with the bank pointing to it.</t>
  </si>
  <si>
    <t xml:space="preserve">72A.7</t>
  </si>
  <si>
    <t xml:space="preserve">Q72A-025/027 class Node: def __init__(self, val, nxt=None): self.val = val</t>
  </si>
  <si>
    <t xml:space="preserve">Hand-written classes with __init__ and self are not taught before this point. Ch 29 §29.5 teaches @dataclass only, which writes __init__ for you. The first hand-written __init__(self…) appears in Ch 43 (PyTorch).</t>
  </si>
  <si>
    <t xml:space="preserve">Rewrite both classes as dataclasses the reader knows: @dataclass class Node: val: int; next: "Node \ | None" = None and @dataclass class TreeNode: val: int; left: "TreeNode \ | None" = None; right: … = None. Or add a 4-line box: "__init__ is the function that runs when you write Node(5); self is the new object; self.val = val stores a value on it. A @dataclass (Ch 29 §29.5) writes this for you."</t>
  </si>
  <si>
    <t xml:space="preserve">72A.8</t>
  </si>
  <si>
    <t xml:space="preserve">Q72A-027 BST insert/in-order; Q72A-029 level-order</t>
  </si>
  <si>
    <t xml:space="preserve">BSTs (the left-smaller/right-larger invariant), in-order traversal and level grouping are not taught. Ch 33's trees are org charts and bills of materials (dict-of-lists), not binary search trees.</t>
  </si>
  <si>
    <t xml:space="preserve">Add a "binary search tree" subsection to Ch 33 §33.4 (new §33.6): the invariant, insert 50, 30, 70, 20 by hand with a drawing, in-order traversal traced, and why sorted input degenerates into a list. Or add a primer box here as in 72A.6. Point Q027/Q029 to it.</t>
  </si>
  <si>
    <t xml:space="preserve">72A.9</t>
  </si>
  <si>
    <t xml:space="preserve">Q72A-020 merge sort; Q72A-023 bubble sort; "quicksort … O(n²) worst case"</t>
  </si>
  <si>
    <t xml:space="preserve">Merge sort, quicksort and bubble sort are never taught. Ch 33 §33.5 teaches Timsort via sorted() and says interviews aren't "testing whether you memorized quicksort" (l.612). The bank then asks for a merge sort implementation.</t>
  </si>
  <si>
    <t xml:space="preserve">Add a merge-sort-by-hand box to Ch 33 §33.5: sort [38, 27, 43, 3] with a split/merge tree diagram and count the levels (log₂4 = 2) × work per level (4). Point Q72A-020 to it. Make Q72A-023 a rapid-fire answer only; it's fine as is once "bubble sort compares neighbours and swaps, repeating n times" is added.</t>
  </si>
  <si>
    <t xml:space="preserve">72A.10</t>
  </si>
  <si>
    <t xml:space="preserve">Q72A-009 sliding window; Q72A-008 two pointers</t>
  </si>
  <si>
    <t xml:space="preserve">Only named in a single sentence in Ch 33 §33.10 ("two pointers or a merge over sorted data"). Neither pattern is worked anywhere.</t>
  </si>
  <si>
    <t xml:space="preserve">Add one worked example of each to Ch 33 §33.10 (the palindrome check and the fixed-size window sum, each with a 6-row trace table of l/r or window/best). Or add a trace table under each code block here: for max_sum_subarray([2,1,5,1,3,2],3) → i=3: 8→7, best 8; i=4: 7+3−1=9, best 9; i=5: 9+2−5=6, best 9.</t>
  </si>
  <si>
    <t xml:space="preserve">72A.11</t>
  </si>
  <si>
    <t xml:space="preserve">Q72A-028 visited = [start] … if nb not in visited:</t>
  </si>
  <si>
    <t xml:space="preserve">The BFS keeps visited as a list, so every membership check is O(n) and BFS becomes O(V²). That contradicts Q72A-014 ("a list checks every element one by one"), Ch 33 §33.4 (which uses a set) and this chapter's own "Common mistakes" row. An interviewer would flag it.</t>
  </si>
  <si>
    <t xml:space="preserve">Change to visited = {start} and visited.add(nb). Add one Strong-tier line: "visited is a set, so each check is O(1); BFS is O(V + E)." Output is unchanged (['A','B','C','D','E'], verified).</t>
  </si>
  <si>
    <t xml:space="preserve">72A.12</t>
  </si>
  <si>
    <t xml:space="preserve">Q72A-018 def fib_memo(n, cache={}):</t>
  </si>
  <si>
    <t xml:space="preserve">A mutable default argument is the exact gotcha Q72-001 (the previous bank) teaches candidates to avoid. Here it's used deliberately and silently. It also means a second call is a pure cache hit (re-run: 0.00000057 s), which skews timings, and state leaks between calls. An interviewer who has seen Q72-001 will push on it.</t>
  </si>
  <si>
    <t xml:space="preserve">Show from functools import lru_cache + @lru_cache(maxsize=None) (taught in Ch 33 §33.8) as the Strong answer, or use def fib_memo(n, cache=None): if cache is None: cache = {}. Add an [Edge cases] note: "A cache={} default works, but it's the mutable-default behaviour from Q72-001: the cache survives between calls. Say so if you use it on purpose."</t>
  </si>
  <si>
    <t xml:space="preserve">72A.13</t>
  </si>
  <si>
    <t xml:space="preserve">Q72A-018 "recomputes the same answer millions of times"</t>
  </si>
  <si>
    <t xml:space="preserve">For n = 28, the naive version makes 832,039 calls in total, and fib(2) is recomputed 196,418 times. "Millions" is overstated at the n shown.</t>
  </si>
  <si>
    <t xml:space="preserve">"…recomputes the same small answers hundreds of thousands of times (fib(2) alone 196,418 times for n = 28)".</t>
  </si>
  <si>
    <t xml:space="preserve">72A.14</t>
  </si>
  <si>
    <t xml:space="preserve">Q72A-018 Extra points: bottom-up "O(1) space instead of O(n)"</t>
  </si>
  <si>
    <t xml:space="preserve">Correct, but the memoized recursive version also hits Python's recursion limit: fib_memo(1500) on a fresh cache raises RecursionError (verified). This is the practical reason to go bottom-up, and Ch 33 teaches the 1,000-frame limit.</t>
  </si>
  <si>
    <t xml:space="preserve">Add: "+ [Edge cases] the memoized recursive version still recurses n deep, so fib_memo(1500) raises RecursionError (Chapter 33 §33.6's 1,000-frame limit); the bottom-up loop doesn't." Show the 4-line bottom-up version, since it's the listed follow-up.</t>
  </si>
  <si>
    <t xml:space="preserve">72A.15</t>
  </si>
  <si>
    <t xml:space="preserve">Q72A-027 "self-balancing trees (AVL, Red-Black) exist in real database indexes"</t>
  </si>
  <si>
    <t xml:space="preserve">Database indexes are B-trees / B+-trees (Ch 28 §28.x teaches the B-tree), not AVL or red-black trees. Those are used in in-memory structures (e.g., C++ std::map, Java TreeMap).</t>
  </si>
  <si>
    <t xml:space="preserve">"…this is why balanced trees exist: in-memory libraries use red-black or AVL trees, and databases use B-trees (Chapter 28), which stay shallow by keeping many keys per node."</t>
  </si>
  <si>
    <t xml:space="preserve">72A.16</t>
  </si>
  <si>
    <t xml:space="preserve">Q72A-021 "Learn it in: … Chapter 12 for the database-index connection"</t>
  </si>
  <si>
    <t xml:space="preserve">Ch 12 mentions indexes only in passing (DROP INDEX). Indexes and B-trees are taught in Ch 28.</t>
  </si>
  <si>
    <t xml:space="preserve">"Chapter 28 for B-tree indexes".</t>
  </si>
  <si>
    <t xml:space="preserve">72A.17</t>
  </si>
  <si>
    <t xml:space="preserve">Q72A-001 "Learn it in: Chapter 72 (and Chapter 35 for the same 'does this scale' instinct…)"</t>
  </si>
  <si>
    <t xml:space="preserve">Ch 35 is *The Math Under the Models* (vectors, distances, probability for ML), not scaling.</t>
  </si>
  <si>
    <t xml:space="preserve">"Learn it in: Chapter 33 §33.1 (and Chapter 48 for the same instinct at distributed scale)".</t>
  </si>
  <si>
    <t xml:space="preserve">72A.18</t>
  </si>
  <si>
    <t xml:space="preserve">Q72A-001 Extra "Big-O describes the worst case by default"</t>
  </si>
  <si>
    <t xml:space="preserve">Imprecise. Big-O is an upper bound. By *convention* interview answers quote worst case, but "average O(1)" for dicts (Q72A-003) is also Big-O. As written, a reader could be corrected by an interviewer.</t>
  </si>
  <si>
    <t xml:space="preserve">"Big-O is an upper bound on growth; unless you say otherwise, people assume you mean the worst case. Say 'average case' explicitly when you mean it (e.g., dict lookup O(1) average)."</t>
  </si>
  <si>
    <t xml:space="preserve">72A.19</t>
  </si>
  <si>
    <t xml:space="preserve">Q72A-001 table: O(n²) "A nested loop comparing every pair — 25,000,000 steps" vs Q72A-002 code for j in range(i + 1, …)</t>
  </si>
  <si>
    <t xml:space="preserve">The code compares each pair once: n(n−1)/2 = 12,497,500 comparisons, not 25 M. That's still O(n²), but a sharp reader will notice the mismatch.</t>
  </si>
  <si>
    <t xml:space="preserve">Add under Q72A-002: "It compares each pair once, n(n−1)/2 ≈ 12.5 million comparisons for 5,000 items: half of n², still O(n²), because Big-O drops the ½." That teaches the "drop constants" rule from the one-line answer.</t>
  </si>
  <si>
    <t xml:space="preserve">72A.20</t>
  </si>
  <si>
    <t xml:space="preserve">Q72A-020 Extra "quicksort … O(log n) space … O(n²) worst case on already-sorted"</t>
  </si>
  <si>
    <t xml:space="preserve">Both are true only for specific implementations: O(log n) space is the *average* stack depth, and sorted input is the worst case only with a first/last-element pivot.</t>
  </si>
  <si>
    <t xml:space="preserve">"…quicksort is typically faster in practice, uses O(log n) stack on average, is unstable, and degrades to O(n²) when pivots are chosen badly (e.g., first element on already-sorted data); random or median-of-three pivots avoid that."</t>
  </si>
  <si>
    <t xml:space="preserve">72A.21</t>
  </si>
  <si>
    <t xml:space="preserve">Q72A-019 "causes infinite recursion and a stack overflow"</t>
  </si>
  <si>
    <t xml:space="preserve">In Python the symptom is RecursionError: maximum recursion depth exceeded, which Ch 33 shows. "Stack overflow" is the general term.</t>
  </si>
  <si>
    <t xml:space="preserve">"…infinite recursion; Python stops it with RecursionError (the language-neutral name is stack overflow)". Same in the Common-mistakes row "Stack overflow".</t>
  </si>
  <si>
    <t xml:space="preserve">72A.22</t>
  </si>
  <si>
    <t xml:space="preserve">Q72A-009 max_sum_subarray(arr, k)</t>
  </si>
  <si>
    <t xml:space="preserve">Unhandled edge case: if k &gt; len(arr), it silently returns the sum of fewer than k elements (max_sum_subarray([1,2],3) → 3, verified). Worth naming, since the bank stresses edge cases.</t>
  </si>
  <si>
    <t xml:space="preserve">Add to Extra points: "+ [Edge cases] guard if k &gt; len(arr) or k &lt;= 0: return None — otherwise the first sum(arr[:k]) quietly sums a short window".</t>
  </si>
  <si>
    <t xml:space="preserve">72A.23</t>
  </si>
  <si>
    <t xml:space="preserve">Q72A-014 "a list or dict can't go inside a set, but a tuple can"</t>
  </si>
  <si>
    <t xml:space="preserve">Only a tuple of hashable items can; {(1, [2])} raises TypeError.</t>
  </si>
  <si>
    <t xml:space="preserve">"…but a tuple of hashable values can (a tuple containing a list can't)".</t>
  </si>
  <si>
    <t xml:space="preserve">72A.24</t>
  </si>
  <si>
    <t xml:space="preserve">Q72A-015 "It has a __hash__ method and is immutable (or behaves as immutable)"</t>
  </si>
  <si>
    <t xml:space="preserve">Instances of ordinary user classes (e.g., this chapter's own Node) are hashable by identity even though they're mutable. That's why slow is fast and sets of nodes work in Q72A-026.</t>
  </si>
  <si>
    <t xml:space="preserve">"It has a working __hash__ and its hash never changes while it's in the set. Built-in immutables (str, int, tuple of hashables) qualify; list, dict and set don't. Plain class instances hash by identity."</t>
  </si>
  <si>
    <t xml:space="preserve">72A.25</t>
  </si>
  <si>
    <t xml:space="preserve">Q72A-017 "underlies Chapter 41's bag-of-words counting, just at a smaller scale here"</t>
  </si>
  <si>
    <t xml:space="preserve">The question itself says "a large text", so "smaller scale here" contradicts it.</t>
  </si>
  <si>
    <t xml:space="preserve">"…the same counting that builds Chapter 41's bag of words (§41.3)."</t>
  </si>
  <si>
    <t xml:space="preserve">72A.26</t>
  </si>
  <si>
    <t xml:space="preserve">Q72A-019 and Q72A-028 "Q70-041's infinite VBA loop"</t>
  </si>
  <si>
    <t xml:space="preserve">Valid ID (Ch 70 l.505). It will change under 72A.2 if IDs are renumbered.</t>
  </si>
  <si>
    <t xml:space="preserve">Include in the ID-mapping pass.</t>
  </si>
  <si>
    <t xml:space="preserve">72A.27</t>
  </si>
  <si>
    <t xml:space="preserve">Rapid-fire Q72A-005 → "Memoization (Q72A-018)"; Q72A-012 → "merge sort (Q72A-020)"</t>
  </si>
  <si>
    <t xml:space="preserve">Forward references inside the bank. Harmless in a revision bank, but they break the "basic → advanced" progression.</t>
  </si>
  <si>
    <t xml:space="preserve">Keep, but write "(see Q72A-018 below)" so the reader knows it's ahead. Alternatively move Q72A-005 into Rapid-fire 72A.5.</t>
  </si>
  <si>
    <t xml:space="preserve">72A.28</t>
  </si>
  <si>
    <t xml:space="preserve">Whole chapter: no difficulty labels</t>
  </si>
  <si>
    <t xml:space="preserve">Tiers (Passes / Strong / Extra points) grade *answers*, not *questions*. There's no marking of which questions are warm-ups (Q001, Q014) and which are harder (Q026 Floyd, Q029 level order, Karan's external sort). The sections do roughly progress in difficulty.</t>
  </si>
  <si>
    <t xml:space="preserve">Add a difficulty tag to each core heading, e.g., "Q72A-007 · Two Sum · ●○○ Core", "Q72A-026 · ●●○", and to Karan's follow-up "●●●". Use the same three-level scale in every Part VIII bank so readers can triage in the final week.</t>
  </si>
  <si>
    <t xml:space="preserve">72A.29</t>
  </si>
  <si>
    <t xml:space="preserve">No "Time needed"</t>
  </si>
  <si>
    <t xml:space="preserve">Every teaching chapter states one; the banks don't.</t>
  </si>
  <si>
    <t xml:space="preserve">Add under the title: "Time needed: 6–8 hours (run every snippet, answer each question aloud); plus the Ch 33 sections listed in 72A.3 if you haven't done them."</t>
  </si>
  <si>
    <t xml:space="preserve">72A.30</t>
  </si>
  <si>
    <t xml:space="preserve">"You will learn to: … implement … linked lists, trees, basic graphs, sorting…"</t>
  </si>
  <si>
    <t xml:space="preserve">A bank that "tests, doesn't teach" (Ch 73/74 say this explicitly) promises here to teach implementation.</t>
  </si>
  <si>
    <t xml:space="preserve">"You will practise: answering…; reasoning about Big-O out loud; implementing and explaining…" and add "Do Chapter 33 first."</t>
  </si>
  <si>
    <t xml:space="preserve">72A.31</t>
  </si>
  <si>
    <t xml:space="preserve">Tools "Python (already covered in Chapter 72), no additional installation"</t>
  </si>
  <si>
    <t xml:space="preserve">Python is covered in Ch 17–18 (set up in Ch 17), and DSA in Ch 33.</t>
  </si>
  <si>
    <t xml:space="preserve">"Python (Chapter 17), standard library only, as in Chapter 33."</t>
  </si>
  <si>
    <t xml:space="preserve">72A.32</t>
  </si>
  <si>
    <t xml:space="preserve">Where this leads: "Chapter 72, Python &amp; pandas Question Bank, covers the language fundamentals…"</t>
  </si>
  <si>
    <t xml:space="preserve">The previous chapter is listed as a "lead". The chapter that actually teaches the fundamentals for this bank (Ch 33) isn't mentioned anywhere.</t>
  </si>
  <si>
    <t xml:space="preserve">Add "Looking back: Chapter 33 teaches every structure in this bank; Chapter 72 covers the Python gotchas." Keep 69, 74 (→75 after renumbering), 77 (→79).</t>
  </si>
  <si>
    <t xml:space="preserve">72A.33</t>
  </si>
  <si>
    <t xml:space="preserve">Headings "In the real world: the DSA question that was really a dataquality question"</t>
  </si>
  <si>
    <t xml:space="preserve">Extraction joins aside, the story is about memory limits (scale), not data quality.</t>
  </si>
  <si>
    <t xml:space="preserve">Retitle: "In the real world: the DSA question that was really a scale question".</t>
  </si>
  <si>
    <t xml:space="preserve">V72A.1</t>
  </si>
  <si>
    <t xml:space="preserve">p. 3 · Intro callout, "A note on this chapter's numbering" and "Learn it in pointers"</t>
  </si>
  <si>
    <t xml:space="preserve">Instructions to the production team are printed for readers: "as a placeholder; the coordinator should renumber it into the main sequence at final assembly" and "…at chapter level, since this chat doesn't have Chapter 72's approved text to check exact section numbers against."</t>
  </si>
  <si>
    <t xml:space="preserve">Delete both passages. Resolve the chapter number and the Learn-it-in section references before print.</t>
  </si>
  <si>
    <t xml:space="preserve">V72A.2</t>
  </si>
  <si>
    <t xml:space="preserve">p. 13 · Page foot, Q72A-027</t>
  </si>
  <si>
    <t xml:space="preserve">Heading Q72A-027, its "Remember it as" line, then 41 % of the page left blank. The BST code block starts on p. 14.</t>
  </si>
  <si>
    <t xml:space="preserve">Let the code block split, or keep the heading with the code (move both to p. 14 and pull p. 14 text back).</t>
  </si>
  <si>
    <t xml:space="preserve">V72A.3</t>
  </si>
  <si>
    <t xml:space="preserve">p. 5, 6, 8, 9, 10, 11, 12 · Rapid-fire tables, "#" column</t>
  </si>
  <si>
    <t xml:space="preserve">The question ID breaks at its hyphen in every row: "Q72A-" / "003". Readers cite these IDs (the Final-week list uses them).</t>
  </si>
  <si>
    <t xml:space="preserve">Widen the "#" column to about 16 mm, or set IDs to no-wrap (non-breaking hyphen U+2011).</t>
  </si>
  <si>
    <t xml:space="preserve">V72A.4</t>
  </si>
  <si>
    <t xml:space="preserve">Reader-visible status label "Approved chapter · v1" and date "21 September 2026". Differs from the pilot chapters ("Draft chapter · v1").</t>
  </si>
  <si>
    <t xml:space="preserve">Remove from the print cover.</t>
  </si>
  <si>
    <t xml:space="preserve">V72A.5</t>
  </si>
  <si>
    <t xml:space="preserve">p. 1 · Cover subtitle</t>
  </si>
  <si>
    <t xml:space="preserve">The subtitle is truncated mid-list with an ellipsis: "…patterns that actually recur: hash maps,…".</t>
  </si>
  <si>
    <t xml:space="preserve">Shorten the subtitle to fit, or allow more lines; never truncate.</t>
  </si>
  <si>
    <t xml:space="preserve">V72A.6</t>
  </si>
  <si>
    <t xml:space="preserve">V72A.7</t>
  </si>
  <si>
    <t xml:space="preserve">p. 5, 8, 9, 11 · Inline code pills</t>
  </si>
  <si>
    <t xml:space="preserve">Pill padding adds a space before punctuation or inside brackets: "built-in sort() ?", "( x in seen )", "Verified, n=28 :", "heapq.nlargest(k, nums)[-1] , or a".</t>
  </si>
  <si>
    <t xml:space="preserve">Remove outer pill margin, or set a zero-width join before punctuation.</t>
  </si>
  <si>
    <t xml:space="preserve">V72A.8</t>
  </si>
  <si>
    <t xml:space="preserve">p. 8, 17 · Widows</t>
  </si>
  <si>
    <t xml:space="preserve">The page opens with a one-line paragraph tail: "idea in pandas)." (p. 8) and "Learn it in: Chapter 72." (p. 17, above the next section).</t>
  </si>
  <si>
    <t xml:space="preserve">Widow/orphan control of 2 lines.</t>
  </si>
  <si>
    <t xml:space="preserve">V72A.9</t>
  </si>
  <si>
    <t xml:space="preserve">p. 6, 12 · Rapid-fire tables</t>
  </si>
  <si>
    <t xml:space="preserve">Tables split with only 1 row (p. 6, Q72A-006) or 2 rows (p. 12) on the next page. The header repeats correctly.</t>
  </si>
  <si>
    <t xml:space="preserve">Keep tables of 4 rows or fewer together.</t>
  </si>
  <si>
    <t xml:space="preserve">V72A.10</t>
  </si>
  <si>
    <t xml:space="preserve">p. 10, 11 · Tier tables</t>
  </si>
  <si>
    <t xml:space="preserve">Three-row Tier tables split, leaving only the "Extra points" row (under a repeated header) on the next page.</t>
  </si>
  <si>
    <t xml:space="preserve">Keep Tier tables unbroken.</t>
  </si>
  <si>
    <t xml:space="preserve">V72A.11</t>
  </si>
  <si>
    <t xml:space="preserve">p. 4 · Table "The common orders"</t>
  </si>
  <si>
    <t xml:space="preserve">The "5,000 items, roughly" column holds numbers ("~13 steps", "25,000,000 steps") but is left-aligned.</t>
  </si>
  <si>
    <t xml:space="preserve">Right-align the numeric column.</t>
  </si>
  <si>
    <t xml:space="preserve">V72A.12</t>
  </si>
  <si>
    <t xml:space="preserve">"ANALYST TO ARCHITECT · PART VIII — THE INTERVIEW" wraps, leaving "PLAYBOOK" alone on line 2.</t>
  </si>
  <si>
    <t xml:space="preserve">Shorten, or break after "·".</t>
  </si>
  <si>
    <t xml:space="preserve">V72A.13</t>
  </si>
  <si>
    <t xml:space="preserve">p. 4–16 · Code blocks</t>
  </si>
  <si>
    <t xml:space="preserve">Python input and its printed output use the same grey left rule and tint, so input and output are distinguished only by position.</t>
  </si>
  <si>
    <t xml:space="preserve">Use the dark-blue input rule (as SQL input has in Ch71/77) for Python input.</t>
  </si>
  <si>
    <t xml:space="preserve">73.1</t>
  </si>
  <si>
    <t xml:space="preserve">Intro "this chat doesn't have this book's statistics/experimentation/causal-inference chapters' approved text"</t>
  </si>
  <si>
    <t xml:space="preserve">AI/drafting leftover. It also claims "the same convention used for Chapters 10, 11, 16, and 19 elsewhere in this part", but those are Part II chapters, not banks in this part.</t>
  </si>
  <si>
    <t xml:space="preserve">Delete lines 18–21 and replace with: "Learn it in pointers name the chapter and section that teach each idea: Chapter 21 (probability and distributions), Chapter 22 (tests, A/B basics, confounders, Simpson's paradox), Chapter 30 (inference, power, experiment design, SRM) and Chapter 31 (causal inference without experiments)."</t>
  </si>
  <si>
    <t xml:space="preserve">73.2</t>
  </si>
  <si>
    <t xml:space="preserve">"Learn it in: Chapter 21 or nearby (statistics foundations; exact number to confirm)" and every "Chapter 21 or nearby" (Q001, 002, 003, 008, 009, 014, 037), "Chapter 21/30 or nearby" (Q015), "Chapter 22 or nearby (causal inference)" (Q031, 032)</t>
  </si>
  <si>
    <t xml:space="preserve">Placeholders left in the published text. They are also partly wrong: p-values (Q014) aren't in Ch 21, and Ch 22 isn't the causal-inference chapter.</t>
  </si>
  <si>
    <t xml:space="preserve">Replace with exact pointers: Q001 → "Chapter 21 §21.7 (Bayes' rule)"; Q002, Q003 → see 73.4; Q004–Q006 → "§21.6 (probability rules)"; Q007 → see 73.13; Q008 → "§21.5 (four distributions)"; Q009 → "§21.8 (central limit theorem)"; Q010 → "§21.2"; Q011, Q013 → "§21.4–21.5"; Q012 → "§21.5 (Uniform)"; Q014 → "Chapter 22 §22.2 and Chapter 30 §30.3"; Q015, Q017, Q020, Q021 → "Chapter 30 §30.7 (power and sample size) and Chapter 22 §22.3"; Q016 → "§22.2 and §30.7"; Q018 → "§30.3 (t-test) and §22.2"; Q019 → "§22.1 and §30.2"; Q022 → "§22.3 and §30.8"; Q023 → "§22.2"; Q025 → "§22.4 and §30.10"; Q026 → "§30.9 (step 2, the sample-ratio check)"; Q027 → "§30.10 (novelty)"; Q028, Q029 → "§22.4"; Q030 → "Chapter 31 (spillovers)"; Q031 → "§22.6"; Q032 → "§22.5 and Chapter 31"; Q033 → "§22.7"; Q034 → "Chapter 31 §31.6"; Q036 → "§30.9 (Riverstone's website test, end to end)"; Q037 → "§30.5 (chi-square and Cramér's V)".</t>
  </si>
  <si>
    <t xml:space="preserve">73.3</t>
  </si>
  <si>
    <t xml:space="preserve">Where this leads: "Chapter 30 and Chapter 22 (experimentation and causal inference) teach every technique"</t>
  </si>
  <si>
    <t xml:space="preserve">Known cross-reference error (brief). Ch 22 is *Statistics Without Fooling Yourself*, and causal inference is Ch 31. The claim "every technique" is also false (see 73.4).</t>
  </si>
  <si>
    <t xml:space="preserve">"Chapters 21 and 22 (probability, distributions, tests), Chapter 30 (inference and experiments) and Chapter 31 (causal inference without experiments) teach what this bank draws on; the few puzzles not taught there (Monty Hall, the birthday problem) are worked in full here."</t>
  </si>
  <si>
    <t xml:space="preserve">73.4</t>
  </si>
  <si>
    <t xml:space="preserve">Q73-002 Monty Hall; Q73-003 birthday problem</t>
  </si>
  <si>
    <t xml:space="preserve">Never taught anywhere in the book (0 mentions in Ch 21/22/30/31 or elsewhere). "Learn it in: Chapter 21 or nearby" sends the reader to a chapter that doesn't have them. These are the two most classic interview puzzles, so a beginner needs them worked, not just answered.</t>
  </si>
  <si>
    <t xml:space="preserve">Choose one: (a) add a half-page "Two famous puzzles" box to Ch 21 after §21.7 (Monty Hall by enumerating the 3 car positions × stay/switch in a 6-row table; birthday by the complement rule from §21.6, computing 1 − 365·364·…·343/365²³ step by step), or (b) keep them here, but mark them "New in this bank" and add the enumeration table (Monty Hall) and the complement-rule derivation (birthday) before the code. Recommended: (a), because Ch 21's complement rule is exactly the tool the birthday problem needs.</t>
  </si>
  <si>
    <t xml:space="preserve">73.5</t>
  </si>
  <si>
    <t xml:space="preserve">Q73-032 r_partial = partial_corr(logins, revenue, account_size)</t>
  </si>
  <si>
    <t xml:space="preserve">partial_corr is not a SciPy/statsmodels function and isn't defined anywhere. The reader can't run it. Partial correlation is also never taught in the book (0 mentions).</t>
  </si>
  <si>
    <t xml:space="preserve">Show the function and explain it: "def partial_corr(x, y, z): fit x on z and y on z with np.polyfit(z, x, 1), take the residuals (what's left after size is removed), and correlate the residuals with stats.pearsonr." Output 0.029 is verified with that definition. Explain it in one sentence: "partial correlation = the correlation of what's left in logins and revenue once account size is removed from both". Also offer the regression version the book does teach: smf.ols("revenue ~ logins + account_size") (Ch 30 §30.11 / new Ch 22 regression section, D3), where the logins coefficient ≈ 0. Point "Learn it in" to those.</t>
  </si>
  <si>
    <t xml:space="preserve">73.6</t>
  </si>
  <si>
    <t xml:space="preserve">Q73-036 walk-through: 480/5,000 vs 545/5,000, "I'd check this sample size against what a proper power calculation … would have called for"</t>
  </si>
  <si>
    <t xml:space="preserve">The chapter already has the answer and doesn't give it. Q73-020 computed that detecting 9.6% → 10.9% needs 8,537 per group, and this test has 5,000. Power at n = 5,000 is only 57% (computed). Worse, Q73-020's "realistic MDE" of 9.6% → 10.9% is just the observed result of Q73-036, i.e. the MDE was back-calculated from the data, which is exactly the mistake Q73-021 warns against. An interviewer would expect the candidate to connect these. A significant result from an underpowered test also tends to overstate the effect (winner's curse).</t>
  </si>
  <si>
    <t xml:space="preserve">(1) In Q73-020, choose an MDE that isn't the Q73-036 result, e.g. "baseline 9.6%, smallest lift worth acting on 1.5 points (to 11.1%)", and recompute n. (2) Rewrite the Q73-036 talk-through ending: "…and this is where it gets interesting: for a 1.3-point lift on 9.6%, 80% power needs about 8,500 per arm (Q73-020). We have 5,000, so power was about 57%. Either the test was stopped early, or it was never sized. A 'significant' result from an underpowered test is more likely to overstate the true lift, so I'd report the 95% interval for the difference (+0.1 to +2.5 points) and recommend running to the planned size before shipping." Add [Validate] "power at n = 5,000 = 0.57" and the CI.</t>
  </si>
  <si>
    <t xml:space="preserve">73.7</t>
  </si>
  <si>
    <t xml:space="preserve">Q73-001 title "why '95% accurate' doesn't mean…"; body "99% accurate" test; "99% sensitive … 5% false-positive rate"</t>
  </si>
  <si>
    <t xml:space="preserve">The title says 95%, the body says 99%, and the example test is 99% sensitive and 95% specific. Calling it "99% accurate" is itself the loose use of "accuracy" the chapter warns about (accuracy here would be 0.99×0.01 + 0.95×0.99 = 95.0%).</t>
  </si>
  <si>
    <t xml:space="preserve">Title: "…why a '99% sensitive' test can still be wrong most of the time". Body: "Someone testing positive on a test that catches 99% of cases (sensitivity) and wrongly flags 5% of healthy people (false-positive rate) has the disease only 16.7% of the time." Red flag: "treating sensitivity as P(disease \ | positive)". Add the 1,000-person natural-frequency table (10 sick → 9.9 test positive; 990 healthy → 49.5 positive; 9.9 / 59.4 = 16.7%), which Ch 21 §21.7 style supports and which is the easiest way to explain it aloud.</t>
  </si>
  <si>
    <t xml:space="preserve">73.8</t>
  </si>
  <si>
    <t xml:space="preserve">Q73-003 tier "Passes: Guesses a much larger number (180…)"; Red flag "answering close to 183"</t>
  </si>
  <si>
    <t xml:space="preserve">The "Passes" tier describes a wrong answer, and the red flag says the same thing. In every other question, "Passes" is a minimally acceptable correct answer. (Also 180 vs 183.)</t>
  </si>
  <si>
    <t xml:space="preserve">Passes: "Says 23, from memory, can't explain why"; Strong: "Explains the complement and pairs insight (253 pairs)". Keep the 183 red flag.</t>
  </si>
  <si>
    <t xml:space="preserve">73.9</t>
  </si>
  <si>
    <t xml:space="preserve">Q73-003 Extra "why testing 20 unrelated metrics … racks up false positives fast: many pairs, many chances"</t>
  </si>
  <si>
    <t xml:space="preserve">Wrong analogy. Multiple comparisons across 20 metrics is 20 chances (1 − 0.95²⁰ = 64%), not "pairs". The pairs insight doesn't carry over. The cross-reference "(§73.7)" is also wrong: the 20-metric question is Q73-028 in §73.5.</t>
  </si>
  <si>
    <t xml:space="preserve">"+ [Business] the same 'count the chances, not the people' logic is behind multiple comparisons: 20 metrics at α = 0.05 give 20 chances of a false alarm, 64% overall (Q73-028)."</t>
  </si>
  <si>
    <t xml:space="preserve">73.10</t>
  </si>
  <si>
    <t xml:space="preserve">Q73-015 "(§73.5)" for sample-size planning; Q73-022 "(§73.8)" observational comparison</t>
  </si>
  <si>
    <t xml:space="preserve">Wrong in-chapter references. Sample size is §73.4 (Q73-020), and there is no §73.8 (causal is §73.6).</t>
  </si>
  <si>
    <t xml:space="preserve">"(§73.4, Q73-020)"; "(§73.6)".</t>
  </si>
  <si>
    <t xml:space="preserve">73.11</t>
  </si>
  <si>
    <t xml:space="preserve">Q73-009 Extra "Chapter 71's real revenue data (heavily right-skewed…)"</t>
  </si>
  <si>
    <t xml:space="preserve">Ch 71 is the SQL bank and has no skewed revenue data. Skewed order values are taught in Ch 21 §21.4, and t-tests on skewed revenue in Ch 30 §30.3.</t>
  </si>
  <si>
    <t xml:space="preserve">"…why Riverstone's order values (right-skewed, Chapter 21 §21.4) can still be compared with a t-test on the means (Chapter 30 §30.3)…".</t>
  </si>
  <si>
    <t xml:space="preserve">73.12</t>
  </si>
  <si>
    <t xml:space="preserve">Q73-012 Business "the position of a random number generator's seed, or a truly random A/B assignment before any group differences emerge"</t>
  </si>
  <si>
    <t xml:space="preserve">The first example is meaningless (a seed has no "position"; the seed is not uniformly distributed). The second is muddled: the *assignment* (hash bucket) is uniform; "before group differences emerge" is irrelevant.</t>
  </si>
  <si>
    <t xml:space="preserve">"[Business] a well-built A/B assignment: each user's hash bucket 0–99 is equally likely, which is what lets you check a 50/50 split (Q73-026); also rng.random() in every simulation in this chapter." (Ch 21 §21.5 uses "a random sample; a die".)</t>
  </si>
  <si>
    <t xml:space="preserve">73.13</t>
  </si>
  <si>
    <t xml:space="preserve">Q73-004 "mutually exclusive"; Q73-007 "expected value"</t>
  </si>
  <si>
    <t xml:space="preserve">Neither term is defined in Ch 21 (0 mentions of "mutually exclusive"; "expected value" first appears in Ch 23/39 in a business sense). §21.6 has the addition rule but not the special case.</t>
  </si>
  <si>
    <t xml:space="preserve">Add one line to Ch 21 §21.6: "If A and B can't both happen (mutually exclusive), P(A and B) = 0 and the addition rule becomes P(A) + P(B)." And one line to §21.1: "The mean of a probability distribution is its expected value: a die's is 3.5." Point Q004 and Q007 there.</t>
  </si>
  <si>
    <t xml:space="preserve">73.14</t>
  </si>
  <si>
    <t xml:space="preserve">Q73-016 Business "a drug side-effect check favors avoiding Type I (a false alarm halting a good drug)"</t>
  </si>
  <si>
    <t xml:space="preserve">Backwards for most readers. With H₀ = "no side effect", the costly error in a safety check is Type II (missing a real side effect). The example undercuts the lesson.</t>
  </si>
  <si>
    <t xml:space="preserve">Replace with a clean pair: "a fraud check favours avoiding Type II (missing real fraud); an automatic account-freeze rule favours avoiding Type I (freezing an honest customer's account)."</t>
  </si>
  <si>
    <t xml:space="preserve">73.15</t>
  </si>
  <si>
    <t xml:space="preserve">Q73-025 "checked every 20 new observations for 10 checks" vs code if len(data_a) &gt;= 40:</t>
  </si>
  <si>
    <t xml:space="preserve">The code skips the first look (n = 20), so it makes 9 checks, at n = 40…200 per group (verified: max 9 looks). The text says 10.</t>
  </si>
  <si>
    <t xml:space="preserve">Either say "9 checks, from 40 to 200 per group" or drop the if len(data_a) &gt;= 40 guard (then it's 10 looks, and the false-positive rate rises further). Also note that rng continues from the Q73-015 cell, so a fresh run gives a slightly different rate (I got 0.154 with a fresh seed; 0.163 is within simulation noise). Add "(about 15–16% across seeds)".</t>
  </si>
  <si>
    <t xml:space="preserve">73.16</t>
  </si>
  <si>
    <t xml:space="preserve">Q73-037 stats.chi2_contingency(observed) → "chi2 = 8.431"</t>
  </si>
  <si>
    <t xml:space="preserve">SciPy applies Yates' continuity correction to 2×2 tables by default, and the text never says so. Ch 22 (l.128, 140, 407) teaches chi2_contingency(..., correction=False), so a reader following the book gets 9.023, p = 0.0027, not 8.431 / 0.0037.</t>
  </si>
  <si>
    <t xml:space="preserve">Either use correction=False to match Ch 22 and change the output to "chi2 = 9.023, p = 0.0027", or keep the default and add: "For 2×2 tables SciPy applies Yates' continuity correction by default (a small, conservative adjustment); Chapter 22 turned it off with correction=False, which gives 9.02." Recommended: match Ch 22.</t>
  </si>
  <si>
    <t xml:space="preserve">73.17</t>
  </si>
  <si>
    <t xml:space="preserve">All code blocks: rng, np, stats, sms used with no imports</t>
  </si>
  <si>
    <t xml:space="preserve">No block shows import numpy as np, from scipy import stats, import statsmodels.stats.api as sms or rng = np.random.default_rng(73) (except where repeated). A reader copying Q73-002 gets NameError. The intro claims everything was run.</t>
  </si>
  <si>
    <t xml:space="preserve">Add a "Setup cell" before §73.1: the three imports plus rng = np.random.default_rng(73), with one line each ("statsmodels' stats.api collects the power and proportion tests used in Q73-020 and Q73-036; install it with pip install statsmodels as in Chapter 30"). State that every later block assumes this cell ran first, in order.</t>
  </si>
  <si>
    <t xml:space="preserve">73.18</t>
  </si>
  <si>
    <t xml:space="preserve">Q73-001, Q73-003, Q73-026, Q73-031 show code, then output lines that the code doesn't print (e.g., "P(positive) = 0.0594", "23 people: 0.5073")</t>
  </si>
  <si>
    <t xml:space="preserve">The print statements are missing, so the output can't come from the code as shown (Test 5: "outputs that can't match the code").</t>
  </si>
  <si>
    <t xml:space="preserve">Add the print lines, e.g. print(f"P(positive) = {p_positive:.4f}"), for n in (23, 50, 70): print(f"{n} people: {birthday_prob(n):.4f}"), print(f"Rep A overall: {39/110:.1%} (39/110)").</t>
  </si>
  <si>
    <t xml:space="preserve">73.19</t>
  </si>
  <si>
    <t xml:space="preserve">Q73-001 red-flag / ordering: Bayes (Q73-001) uses conditional probability, which is defined in rapid-fire Q73-006 afterwards</t>
  </si>
  <si>
    <t xml:space="preserve">In-chapter order runs the hard applications before the one-line definitions. The intro says "basics first, puzzles right after", but the section puts the puzzles first.</t>
  </si>
  <si>
    <t xml:space="preserve">Move rapid-fire Q73-004–Q73-007 to the top of §73.1 ("Warm-ups"), then Q73-001 Bayes, Q73-002 Monty Hall, Q73-003 birthday.</t>
  </si>
  <si>
    <t xml:space="preserve">73.20</t>
  </si>
  <si>
    <t xml:space="preserve">Q73-020 "Required sample size per group: 8,537"</t>
  </si>
  <si>
    <t xml:space="preserve">Correct (statsmodels uses Cohen's h, the arcsine effect size). Ch 22 §22.3 teaches a hand formula (sample_size_for_proportion) that gives 8,544 for the same inputs. A reader comparing the two may think one is wrong. proportion_effectsize (Cohen's h) is also unexplained here (taught in Ch 30 §30.7).</t>
  </si>
  <si>
    <t xml:space="preserve">Add: "Chapter 22's hand formula gives 8,544 for the same inputs; the small difference is the effect-size scale (statsmodels uses Cohen's h, an arcsine transform, Chapter 30 §30.7). Either answer is fine in an interview; say which you used."</t>
  </si>
  <si>
    <t xml:space="preserve">73.21</t>
  </si>
  <si>
    <t xml:space="preserve">Q73-026 "observed [5100, 4900]: … p = 0.0455 -&gt; borderline, worth watching closely"</t>
  </si>
  <si>
    <t xml:space="preserve">Common practice is a stricter SRM alarm (p &lt; 0.001, because SRM checks run on every test, every day). Under that rule 5,100/4,900 isn't flagged. Ch 30's example (p = 0.0003) sits under 0.001. The chapter's framing could push readers to chase noise.</t>
  </si>
  <si>
    <t xml:space="preserve">Add to Extra points: "+ [Depth] teams usually alarm on SRM at p &lt; 0.001, not 0.05, because they check every experiment daily. At 0.05, one healthy test in 20 would trip the alarm (Q73-028's logic)."</t>
  </si>
  <si>
    <t xml:space="preserve">73.22</t>
  </si>
  <si>
    <t xml:space="preserve">Q73-031 title "two sales reps, each individually better in every category, yet one appears worse overall"</t>
  </si>
  <si>
    <t xml:space="preserve">Garbled: only Rep A is better in every category.</t>
  </si>
  <si>
    <t xml:space="preserve">"…show a sales rep who is better in every category yet worse overall".</t>
  </si>
  <si>
    <t xml:space="preserve">73.23</t>
  </si>
  <si>
    <t xml:space="preserve">Q73-024 holdout group</t>
  </si>
  <si>
    <t xml:space="preserve">Not taught in any chapter (the only "holdout" is Ch 42's recommender split).</t>
  </si>
  <si>
    <t xml:space="preserve">Add two sentences to Ch 30 §30.8 ("keep 5% of users on the old version after launch to measure the lasting effect") and point there. Or mark it "New in this bank".</t>
  </si>
  <si>
    <t xml:space="preserve">73.24</t>
  </si>
  <si>
    <t xml:space="preserve">Q73-023 one-tailed vs two-tailed</t>
  </si>
  <si>
    <t xml:space="preserve">Ch 22 only mentions one- vs two-sided in passing (l.508, in the write-up checklist). The "decide before you look" rule isn't taught.</t>
  </si>
  <si>
    <t xml:space="preserve">Point to §22.2 and add one sentence there: "A one-sided test is chosen before seeing data, and only when a change in the other direction would lead to the same decision."</t>
  </si>
  <si>
    <t xml:space="preserve">73.25</t>
  </si>
  <si>
    <t xml:space="preserve">Q73-036 and Q73-026 use generic numbers</t>
  </si>
  <si>
    <t xml:space="preserve">The book has a fully worked Riverstone website test (Ch 30 §30.9: control 24,036 / variant 23,250, SRM p = 0.0003). The bank doesn't use it, so the reader can't connect "the test I ran in Ch 30" to "the interview answer".</t>
  </si>
  <si>
    <t xml:space="preserve">In Q73-026, add: "Chapter 30's Riverstone test (24,036 vs 23,250, p = 0.0003) is exactly this case." In Q73-036, optionally rebuild the walk-through on Ch 30's numbers.</t>
  </si>
  <si>
    <t xml:space="preserve">73.26</t>
  </si>
  <si>
    <t xml:space="preserve">Tools "Everything in this chapter ran on Python 3.12, SciPy 1.17.1, statsmodels 0.15.0"</t>
  </si>
  <si>
    <t xml:space="preserve">Fine and verified (same versions here). But Ch 30's Tools box and Ch 17's setup should list the same versions, or readers on older versions may see small differences (e.g., stats.chisquare output formatting).</t>
  </si>
  <si>
    <t xml:space="preserve">Keep; add "any recent SciPy/statsmodels gives the same numbers to three decimals".</t>
  </si>
  <si>
    <t xml:space="preserve">73.27</t>
  </si>
  <si>
    <t xml:space="preserve">Whole chapter: no difficulty labels, no "Time needed"</t>
  </si>
  <si>
    <t xml:space="preserve">Same as Ch 72A (72A.28, 72A.29).</t>
  </si>
  <si>
    <t xml:space="preserve">Add ●○○/●●○/●●● tags (e.g., Q073-007 ●○○; Q073-020 ●●○; Q073-036 ●●●) and "Time needed: 8–10 hours".</t>
  </si>
  <si>
    <t xml:space="preserve">73.28</t>
  </si>
  <si>
    <t xml:space="preserve">"How this chapter is built. Same format as Chapters 70–72A"</t>
  </si>
  <si>
    <t xml:space="preserve">Uses the placeholder number.</t>
  </si>
  <si>
    <t xml:space="preserve">"Chapters 70–73" after the Part VIII renumbering (see Ch 72A review, 72A.2); Q-IDs Q73-→Q74- or STAT-.</t>
  </si>
  <si>
    <t xml:space="preserve">73.29</t>
  </si>
  <si>
    <t xml:space="preserve">Q73-032 code account_size = rng.uniform(1, 10, 200)</t>
  </si>
  <si>
    <t xml:space="preserve">Explanation of the data-generating process is good. The "no direct causal link" point would be clearer with one sentence on how the data was built.</t>
  </si>
  <si>
    <t xml:space="preserve">Add after the code: "Revenue is built from size only; logins from size only. Logins never enter the revenue formula, so any logins→revenue correlation must come through size."</t>
  </si>
  <si>
    <t xml:space="preserve">V73.1</t>
  </si>
  <si>
    <t xml:space="preserve">p. 3 · Intro callout, "Learn it in pointers"</t>
  </si>
  <si>
    <t xml:space="preserve">A drafting note is printed: "(this chat doesn't have this book's statistics/experimentation/causal-inference chapters' approved text to check exact section numbers against: flagged for a re-check once available…)".</t>
  </si>
  <si>
    <t xml:space="preserve">Delete the note and resolve the references.</t>
  </si>
  <si>
    <t xml:space="preserve">V73.2</t>
  </si>
  <si>
    <t xml:space="preserve">p. 4, 5, 6, 7, 8, 9, 14, 15 · "Learn it in:" lines</t>
  </si>
  <si>
    <t xml:space="preserve">The cross-reference placeholders are visible: "Chapter 21 or nearby (statistics foundations; exact number to confirm)", "Chapter 21/30 or nearby", "Chapter 22 or nearby". Readers are sent to a chapter the text itself doesn't trust.</t>
  </si>
  <si>
    <t xml:space="preserve">Replace with confirmed chapter and section numbers.</t>
  </si>
  <si>
    <t xml:space="preserve">V73.3</t>
  </si>
  <si>
    <t xml:space="preserve">p. 6, 7, 9, 11, 13, 15 · Rapid-fire tables, "#" column</t>
  </si>
  <si>
    <t xml:space="preserve">IDs break at the hyphen: "Q73-" / "004".</t>
  </si>
  <si>
    <t xml:space="preserve">Widen the "#" column, or set IDs no-wrap.</t>
  </si>
  <si>
    <t xml:space="preserve">V73.4</t>
  </si>
  <si>
    <t xml:space="preserve">"Approved chapter · v1" and "21 September 2026" are visible to readers.</t>
  </si>
  <si>
    <t xml:space="preserve">V73.5</t>
  </si>
  <si>
    <t xml:space="preserve">Truncated with an ellipsis: "…misinterprets them at first · design…".</t>
  </si>
  <si>
    <t xml:space="preserve">Shorten to fit; don't truncate.</t>
  </si>
  <si>
    <t xml:space="preserve">V73.6</t>
  </si>
  <si>
    <t xml:space="preserve">V73.7</t>
  </si>
  <si>
    <t xml:space="preserve">p. 13 · Rapid-fire Q73-028, Extra point</t>
  </si>
  <si>
    <t xml:space="preserve">The inline code formula is split over three lines ("P(at least one false positive) =" / "0.634, matching the theoretical 1 −" / "0.95²⁰ = 0.642"). The superscript "²⁰" is tiny and spaced apart.</t>
  </si>
  <si>
    <t xml:space="preserve">Put the formula on its own line, or use plain text math with non-breaking spaces.</t>
  </si>
  <si>
    <t xml:space="preserve">V73.8</t>
  </si>
  <si>
    <t xml:space="preserve">p. 3→4, 11→12, 16→17 · Lead-ins at page foot</t>
  </si>
  <si>
    <t xml:space="preserve">"…has a 5% false-positive rate:", "…checked every 20 new observations for 10 checks:" and "Verified, live, on a segment-by-conversion table:" end their pages, and the code starts overleaf.</t>
  </si>
  <si>
    <t xml:space="preserve">Keep lead-in with the next block.</t>
  </si>
  <si>
    <t xml:space="preserve">V73.9</t>
  </si>
  <si>
    <t xml:space="preserve">p. 5, 11, 13 · Tier tables</t>
  </si>
  <si>
    <t xml:space="preserve">Split across pages with only 1 row carried over under a repeated header.</t>
  </si>
  <si>
    <t xml:space="preserve">Keep Tier tables together.</t>
  </si>
  <si>
    <t xml:space="preserve">V73.10</t>
  </si>
  <si>
    <t xml:space="preserve">p. 19 · Final-week revision list</t>
  </si>
  <si>
    <t xml:space="preserve">The ID "Q73-" / "020" is hyphen-broken at the line end in body text.</t>
  </si>
  <si>
    <t xml:space="preserve">Use non-breaking hyphens in Q-IDs.</t>
  </si>
  <si>
    <t xml:space="preserve">V73.11</t>
  </si>
  <si>
    <t xml:space="preserve">p. 4, 15 · Glyph fallback</t>
  </si>
  <si>
    <t xml:space="preserve">"→" is set in DejaVu Serif/Sans inside Lora text. It is slightly heavier, but acceptable.</t>
  </si>
  <si>
    <t xml:space="preserve">Use a Lora-compatible arrow, or accept it.</t>
  </si>
  <si>
    <t xml:space="preserve">V73.12</t>
  </si>
  <si>
    <t xml:space="preserve">p. 3–17 · Code blocks</t>
  </si>
  <si>
    <t xml:space="preserve">Python input and output share the same grey rule and tint (e.g., p. 4 Bayes code and its "P(positive) = 0.0594" output).</t>
  </si>
  <si>
    <t xml:space="preserve">Use the blue input rule for Python input.</t>
  </si>
  <si>
    <t xml:space="preserve">V73.13</t>
  </si>
  <si>
    <t xml:space="preserve">"PLAYBOOK" is left alone on the second line.</t>
  </si>
  <si>
    <t xml:space="preserve">As V72A.12.</t>
  </si>
  <si>
    <t xml:space="preserve">74.1</t>
  </si>
  <si>
    <t xml:space="preserve">Intro "which this author wrote earlier … not 'chapter-level, to be confirmed' pointers like several other banks in this part"</t>
  </si>
  <si>
    <t xml:space="preserve">Drafting leftover. It comments on other banks' unfinished state and on the writing process. It also claims "Every 'Learn it in' reference below is precise", which 74.2–74.9 show is false.</t>
  </si>
  <si>
    <t xml:space="preserve">Replace lines 11–15 with: "Every Learn it in pointer names the Part IV section that teaches the idea; the numbers quoted are the ones you produced there." Delete "which this author wrote earlier" and the comparison with other banks.</t>
  </si>
  <si>
    <t xml:space="preserve">74.2</t>
  </si>
  <si>
    <t xml:space="preserve">Q74-036 "Verified … on Riverstone's lead data: logistic regression (test) 0.797 / tuned gradient boosting (test) 0.839" and "on a different dataset … engineered logistic regression tied or beat tuned boosting"</t>
  </si>
  <si>
    <t xml:space="preserve">Wrong dataset and inverted conclusion. 0.797 / 0.839 are Ch 37 §37.11's churn test results, and on that same churn data, logistic + engineered features scored 0.850, beating boosting. Ch 37 then recommends the simpler model to Anita. On lead data (§37.12) boosting didn't win either (valid 0.829 vs 0.823; test 0.832 vs 0.838 for logistic). So the talk-through line "boosting won by a real, meaningful margin, so the added complexity was worth it" contradicts the book.</t>
  </si>
  <si>
    <t xml:space="preserve">Rewrite the evidence block: "Churn (Chapter 37 §37.11), test AUC: plain logistic 0.797 · tuned boosting 0.839 · logistic + engineered features 0.850. Leads (§37.12), test AUC: logistic 0.838 · tuned boosting 0.832." Rewrite the talk-through: "On churn, boosting beat the *plain* baseline by 0.04, but a logistic model with three engineered features beat boosting, and it's explainable. On leads, boosting didn't win at all; the signal is mostly additive. That's why I always run the baseline, and a *good* baseline, before trusting the complex model." Keep §43.5 (NN 0.773 between logistic 0.764 and boosting 0.788) as the third data point ✓.</t>
  </si>
  <si>
    <t xml:space="preserve">74.3</t>
  </si>
  <si>
    <t xml:space="preserve">Q74-001 Extra "Chapter 37's tuned gradient boosting (test AUC 0.839) beat both an unconstrained single tree and a heavily regularized one on Riverstone's lead data"</t>
  </si>
  <si>
    <t xml:space="preserve">Same dataset error (0.839 is churn), and Ch 37 has no such three-way comparison. It also conflicts with 74.2: on that data a regularized/engineered linear model won.</t>
  </si>
  <si>
    <t xml:space="preserve">Replace with a claim Ch 37 does support: "+ [Business] Chapter 37 §37.6 shows the same curve on Riverstone data: an unconstrained tree scores 1.000 on training and 0.557 on validation, and depth 4 does best (0.748). §37.10's learning curves show logistic regression limited by bias and boosting by variance."</t>
  </si>
  <si>
    <t xml:space="preserve">74.4</t>
  </si>
  <si>
    <t xml:space="preserve">Q74-001 "Verified, live: the same dataset, decision trees at increasing depth … train 0.651 test 0.600"</t>
  </si>
  <si>
    <t xml:space="preserve">"The same dataset" isn't named (it isn't the lead or churn data: accuracy is used, not AUC, and the values don't match §37.6). X_train is undefined. Only 3 of 7 depths are shown, but the text claims depth 5 is "the best test score in this sweep". The reader can't reproduce or check it.</t>
  </si>
  <si>
    <t xml:space="preserve">Replace with Ch 37 §37.6's own depth sweep (Riverstone churn/leads, validation AUC, depths 1…None, with depth 4 = 0.748 best and None = 1.000/0.557), quoted as a table of all depths. Or name the synthetic data (make_classification(n_samples=…, random_state=74)), show the full loop with its print, and print all 7 rows.</t>
  </si>
  <si>
    <t xml:space="preserve">74.5</t>
  </si>
  <si>
    <t xml:space="preserve">Q74-016 "on Riverstone's lead data it flags only 7 of 2,225 leads, worse than predicting 'no' for everyone"</t>
  </si>
  <si>
    <t xml:space="preserve">False. At 0.5, accuracy = (4 + 2,076)/2,225 = 0.9348; all-"no" = 2,079/2,225 = 0.9344. The model is marginally *better* on accuracy. The error comes from Ch 39 l.93–95 ("93.5%, which is worse than … 93.4%"). The Part IV review of Ch 39 marked both numbers ✓ but missed the wrong comparison.</t>
  </si>
  <si>
    <t xml:space="preserve">Here: "…it flags only 7 of 2,225 leads, catching 4 of 146 wins. Its 93.5% accuracy is no better than predicting 'no' for everyone (93.4%)." Also fix Ch 39 §39.1 l.93–95 the same way ("no better than", not "worse than"), and add this to the Ch 39 review.</t>
  </si>
  <si>
    <t xml:space="preserve">74.6</t>
  </si>
  <si>
    <t xml:space="preserve">Q74-032 "[Learn it in] Chapter 40, §40.5's Holt-Winters overfitting to in-sample error"</t>
  </si>
  <si>
    <t xml:space="preserve">Wrong section and wrong idea. Holt–Winters is §40.4 (§40.5 is ARIMA/SARIMA), and neither shows validation loss rising during training. Early stopping on a train/validation loss curve is taught in Ch 43 (§43.5 epoch log; l.971 "managed with early stopping") and Ch 37 §37.8 (boosting's early_stopping, l.1804).</t>
  </si>
  <si>
    <t xml:space="preserve">"[Learn it in] Chapter 43 §43.5 (validation AUC by epoch) and Chapter 37 §37.8 (early stopping for boosting); Chapter 53 goes deeper."</t>
  </si>
  <si>
    <t xml:space="preserve">74.7</t>
  </si>
  <si>
    <t xml:space="preserve">Q74-030 "Chapter 52 (deployment and monitoring, referenced ahead)"</t>
  </si>
  <si>
    <t xml:space="preserve">Ch 52 is *The Cloud, Containers &amp; IaC*. Monitoring, data drift and concept drift are Ch 56 (MLOps). "Referenced ahead" is also wrong: Ch 52/56 come before Ch 74. (The same 52 → 56 error was found in Ch 36 and Ch 40.)</t>
  </si>
  <si>
    <t xml:space="preserve">"Learn it in: Chapter 39 §39.9 (model cards) and Chapter 56 (MLOps: monitoring, data and concept drift)".</t>
  </si>
  <si>
    <t xml:space="preserve">74.8</t>
  </si>
  <si>
    <t xml:space="preserve">Q74-030 "training-serving skew"; Key terms; Common mistakes; Where this leads ("training-serving skew problem in §74.6")</t>
  </si>
  <si>
    <t xml:space="preserve">"Training-serving skew" is never taught in any teaching chapter; it appears only in Ch 74 and Ch 79 (both banks). It's the first item in the answer's checklist.</t>
  </si>
  <si>
    <t xml:space="preserve">Add a paragraph and a small demo to Ch 56 (e.g., a feature computed in pandas for training and in SQL in production that disagree on NULL handling), and point Q74-030 there. Or define it here in one line: "training-serving skew: the same feature computed differently in training and in production (different code, different timing, different defaults)."</t>
  </si>
  <si>
    <t xml:space="preserve">74.9</t>
  </si>
  <si>
    <t xml:space="preserve">Q74-018 "macro and weighted F1 for a multi-class problem"</t>
  </si>
  <si>
    <t xml:space="preserve">Never taught. Ch 39 covers binary F1 only, and there is no multi-class metric anywhere in Part IV. No "Learn it in" is given (the column has a [Business] note instead).</t>
  </si>
  <si>
    <t xml:space="preserve">Add a 3-class example to Ch 39 §39.1 (per-class F1 0.9, 0.8, 0.2 with supports 800/150/50 → macro 0.633, weighted 0.850; the rare class drags macro down), then point here. Or mark "New in this bank" and include that worked example inline.</t>
  </si>
  <si>
    <t xml:space="preserve">74.10</t>
  </si>
  <si>
    <t xml:space="preserve">Q74-009 "R² mechanically increases … adjusted R² … needed"; "[Learn it in] Chapter 37, §37.1"</t>
  </si>
  <si>
    <t xml:space="preserve">Adjusted R² is never taught (0 mentions; the only "adjusted" in Part IV is the adjusted *Rand* index in Ch 38). The one-line answer is also imprecise: only training (in-sample) R² can't fall when you add a feature. Ch 37 §37.1 reports test R² (0.9546), which can fall.</t>
  </si>
  <si>
    <t xml:space="preserve">Rewrite: "No: *training* R² never goes down when you add a feature, even a useless one. Judge with held-out R² (Chapter 37 §37.1 reports test R²) or adjusted R², which charges for each extra feature: 1 − (1 − R²)(n − 1)/(n − p − 1)." Add adjusted R² to the new Ch 22 regression section (D3), or define it here with a one-line example (R² 0.90, n = 50, p = 10 → 0.874).</t>
  </si>
  <si>
    <t xml:space="preserve">74.11</t>
  </si>
  <si>
    <t xml:space="preserve">Q74-025 "frequency encoding … or feature hashing"; "Learn it in: Chapter 36, §36.6"</t>
  </si>
  <si>
    <t xml:space="preserve">§36.6 teaches one-hot and target encoding (TargetEncoder inside the pipeline). Frequency encoding and feature hashing aren't taught anywhere. The pointer suggests they are.</t>
  </si>
  <si>
    <t xml:space="preserve">Either add a 6-line "two more options" box to §36.6 (frequency encoding on company with value_counts(normalize=True); FeatureHasher(n_features=32) with one sentence on collisions), or change the pointer to "Chapter 36 §36.6 (one-hot and target encoding); frequency encoding and hashing are new here", and give a 2-line example of each.</t>
  </si>
  <si>
    <t xml:space="preserve">74.12</t>
  </si>
  <si>
    <t xml:space="preserve">Q74-024 "[Learn it in] Chapter 40, §40.6 (a leaky rolling-mean feature, and why the score barely changed…)"</t>
  </si>
  <si>
    <t xml:space="preserve">§40.6 says that using rolling(4) on the unshifted series "is the most common leak" (l.489), but it never builds the leaky version or reports its score. "Why the score barely changed" isn't in the chapter.</t>
  </si>
  <si>
    <t xml:space="preserve">Either add a 3-line demo to §40.6 (build mean_4 without .shift(1), refit, print WAPE next to 9.3%), or change the pointer text to "§40.6 (the .shift(1) before .rolling() rule)".</t>
  </si>
  <si>
    <t xml:space="preserve">74.13</t>
  </si>
  <si>
    <t xml:space="preserve">Q74-001, Q74-002, Q74-019 code fragments (X_train, y, n, signal undefined; no model shown in Q74-002; no split shown)</t>
  </si>
  <si>
    <t xml:space="preserve">The "Verified, live" results can't be reproduced from what's printed. Q74-002 doesn't even say which model was used.</t>
  </si>
  <si>
    <t xml:space="preserve">For each, show a complete minimal cell: imports, data generation with a seed, split (train_test_split(…, test_size=0.3, random_state=74)), model, and the print loop. Or place them in a named companion notebook (as Ch 37 does with companion/ch37/) and say so: "Full code: companion/ch74/demos.ipynb."</t>
  </si>
  <si>
    <t xml:space="preserve">74.14</t>
  </si>
  <si>
    <t xml:space="preserve">Q74-002 "200 features: … test AUC 0.575 … right around the 0.5"</t>
  </si>
  <si>
    <t xml:space="preserve">A single test AUC on ~60 rows is very noisy. In my 20 repeats, test AUC ranged 0.39–0.61 at each feature count. 0.437 at 50 features and 0.575 at 200 look like trends, but they're noise.</t>
  </si>
  <si>
    <t xml:space="preserve">Average over 20 seeds and report the mean (≈0.49–0.50) with its range, or add: "(single-run test AUCs on 60 rows swing ±0.1 around 0.5; all three are chance)".</t>
  </si>
  <si>
    <t xml:space="preserve">74.15</t>
  </si>
  <si>
    <t xml:space="preserve">Q74-022 one-line answer "The scaler's parameters … letting a little bit of the test set influence training"; cited "0.82 vs. 0.78"</t>
  </si>
  <si>
    <t xml:space="preserve">The one-liner is about a scaler (a tiny leak), but the cited evidence (§36.8) is target encoding fitted before CV, a large leak. A reader will think scalers cost 0.04 AUC.</t>
  </si>
  <si>
    <t xml:space="preserve">"[Learn it in] Chapter 36 §36.8: fitting the *target encoder* before cross-validation inflated AUC 0.78 → 0.82; a scaler fitted on all rows leaks far less, but the fix is the same pipeline."</t>
  </si>
  <si>
    <t xml:space="preserve">74.16</t>
  </si>
  <si>
    <t xml:space="preserve">Q74-013 hook "Precision reads across the 'predicted positive' row. Recall reads down the 'actually positive' column."</t>
  </si>
  <si>
    <t xml:space="preserve">Correct for Ch 39's printed table (rows = predicted). But scikit-learn's confusion_matrix, which Ch 39's code uses (tn, fp, fn, tp = …ravel()), puts actual on rows. An interviewer's layout may be either.</t>
  </si>
  <si>
    <t xml:space="preserve">Add to Extra points: "+ [Edge cases] layouts differ: scikit-learn puts actual classes on rows, so there precision reads *down* the predicted-positive column. Always say which axis is which before reading it."</t>
  </si>
  <si>
    <t xml:space="preserve">74.17</t>
  </si>
  <si>
    <t xml:space="preserve">Q74-014 "a model can rank cases perfectly … while still being badly calibrated, if it's simply confident in the wrong direction"</t>
  </si>
  <si>
    <t xml:space="preserve">"Confident in the wrong direction" suggests the ranking is wrong. What's meant is "systematically too high or too low".</t>
  </si>
  <si>
    <t xml:space="preserve">"…while being badly calibrated, if its probabilities are systematically too high or too low (Naive Bayes says 94% where the truth is 27%)."</t>
  </si>
  <si>
    <t xml:space="preserve">74.18</t>
  </si>
  <si>
    <t xml:space="preserve">Q74-035 question "a vendor pitches a '91% accurate' churn model"; talk-through "a deep-learning label alone tells me nothing"</t>
  </si>
  <si>
    <t xml:space="preserve">The question never mentions deep learning, so the talk-through refers to something the interviewer didn't say. (It comes from Ch 43's story, which is about a "deep learning churn prediction platform".)</t>
  </si>
  <si>
    <t xml:space="preserve">Question: "…a vendor pitches a '91% accurate' deep-learning churn model." Pointer ✓ Ch 43 real-world story; add "and Chapter 35's opening vendor story (lead score)".</t>
  </si>
  <si>
    <t xml:space="preserve">74.19</t>
  </si>
  <si>
    <t xml:space="preserve">Q74-003–Q74-006, Q74-009–Q74-012, etc.: "[Learn it in]" placed in the "Extra point" column</t>
  </si>
  <si>
    <t xml:space="preserve">Rapid-fire tables mix two formats: some rows put the pointer in the Extra-point column (so they have no extra point), and some have a real extra point and no pointer (Q74-006, 018, 023, 031). This differs from Ch 72A/73.</t>
  </si>
  <si>
    <t xml:space="preserve">Add a 4th column "Learn it in" to every rapid-fire table (all Part VIII banks), and give each row both an extra point and a pointer.</t>
  </si>
  <si>
    <t xml:space="preserve">74.20</t>
  </si>
  <si>
    <t xml:space="preserve">Q74-030 "label delay or leakage removed (was a feature available in training that's genuinely not available at real serving time)"</t>
  </si>
  <si>
    <t xml:space="preserve">Garbled label: "label delay" is a different problem (outcomes arrive late, so monitoring lags). The parenthesis describes feature availability.</t>
  </si>
  <si>
    <t xml:space="preserve">Split into two checklist items: "(3) feature availability: a feature present in training but missing or late at serving time; (4) label delay: outcomes arrive weeks later, so live accuracy can't be measured yet; monitor inputs until they do." Renumber to "five-category checklist".</t>
  </si>
  <si>
    <t xml:space="preserve">74.21</t>
  </si>
  <si>
    <t xml:space="preserve">Q74-007 / Q74-035 "Riverstone's actual churn rate: 9.7%" → "90.3% accuracy"</t>
  </si>
  <si>
    <t xml:space="preserve">✓ Correct (484/5,000 = 9.68%; Ch 37 §37.0). Q74-007 says "Chapter 37's own Riverstone churn data" ✓, but the pointer only names Ch 39.</t>
  </si>
  <si>
    <t xml:space="preserve">"Learn it in: Chapter 37 §37.0 (the 9.7% churn rate) and Chapter 39 §39.1–39.2."</t>
  </si>
  <si>
    <t xml:space="preserve">74.22</t>
  </si>
  <si>
    <t xml:space="preserve">Q74-034 "marketplace share rising from 30% to 44.5%"</t>
  </si>
  <si>
    <t xml:space="preserve">Ch 36 §36.3 gives 30.1% (2023) → 44.5% (2025).</t>
  </si>
  <si>
    <t xml:space="preserve">"30.1% to 44.5% (2023 → 2025)".</t>
  </si>
  <si>
    <t xml:space="preserve">74.23</t>
  </si>
  <si>
    <t xml:space="preserve">Section order: §74.1 (bias-variance with a live demo, noise-feature overfitting) before §74.2 "Basic-but-tricky"</t>
  </si>
  <si>
    <t xml:space="preserve">The hardest demonstration (Q74-002) comes before the basic-but-tricky questions (95% accuracy, R², scaling). There are no difficulty labels.</t>
  </si>
  <si>
    <t xml:space="preserve">Swap §74.1 and §74.2, or add ●○○/●●○/●●● tags per question (see Ch 72A review, 72A.28).</t>
  </si>
  <si>
    <t xml:space="preserve">74.24</t>
  </si>
  <si>
    <t xml:space="preserve">Same as other banks.</t>
  </si>
  <si>
    <t xml:space="preserve">"Time needed: 6–8 hours (re-run the three demos; answer each question aloud)".</t>
  </si>
  <si>
    <t xml:space="preserve">74.25</t>
  </si>
  <si>
    <t xml:space="preserve">"Same format as Chapters 70–73"; Where this leads "Chapter 77"; Q-IDs "Q74-"</t>
  </si>
  <si>
    <t xml:space="preserve">Affected by Part VIII renumbering (see Ch 72A review, 72A.2): this chapter becomes 75, Ch 73 → 74, Ch 77 → 79, IDs Q74- → Q75- (or ML-).</t>
  </si>
  <si>
    <t xml:space="preserve">Include in the renumbering pass.</t>
  </si>
  <si>
    <t xml:space="preserve">V74.1</t>
  </si>
  <si>
    <t xml:space="preserve">p. 3 · Intro callout, "How this chapter is built"</t>
  </si>
  <si>
    <t xml:space="preserve">Process commentary is printed for the reader: "…real, already-checked results for, not 'chapter-level, to be confirmed' pointers like several other banks in this part." It tells readers other chapters' references are unconfirmed.</t>
  </si>
  <si>
    <t xml:space="preserve">Delete the comparison clause.</t>
  </si>
  <si>
    <t xml:space="preserve">V74.2</t>
  </si>
  <si>
    <t xml:space="preserve">p. 4, 9 · Code output blocks</t>
  </si>
  <si>
    <t xml:space="preserve">Lines wrap back to column 0 with no continuation marker. On p. 4, "…worse on test: high" / "variance" makes the key word "variance" look like a separate output line. On p. 9, "…AFTER the outcome" / "is known".</t>
  </si>
  <si>
    <t xml:space="preserve">Hard-wrap with an indent, or shorten the comment.</t>
  </si>
  <si>
    <t xml:space="preserve">V74.3</t>
  </si>
  <si>
    <t xml:space="preserve">p. 5, 6, 7, 8, 10, 11, 12, 13 · Rapid-fire "#" column</t>
  </si>
  <si>
    <t xml:space="preserve">IDs break as "Q74-" / "003".</t>
  </si>
  <si>
    <t xml:space="preserve">Widen the column, or set IDs no-wrap.</t>
  </si>
  <si>
    <t xml:space="preserve">V74.4</t>
  </si>
  <si>
    <t xml:space="preserve">"Approved chapter · v1" and "21 September 2026" are visible.</t>
  </si>
  <si>
    <t xml:space="preserve">V74.5</t>
  </si>
  <si>
    <t xml:space="preserve">V74.6</t>
  </si>
  <si>
    <t xml:space="preserve">p. 3→4 · Q74-001 code</t>
  </si>
  <si>
    <t xml:space="preserve">The input block ends p. 3, and its output ("depth=1 … depth=None …") opens p. 4 without its code.</t>
  </si>
  <si>
    <t xml:space="preserve">Keep the input/output pair together.</t>
  </si>
  <si>
    <t xml:space="preserve">V74.7</t>
  </si>
  <si>
    <t xml:space="preserve">p. 5–13 · Rapid-fire "Extra point" column</t>
  </si>
  <si>
    <t xml:space="preserve">Most cells here carry "[Learn it in] Chapter 37, §37.2…" references, while other banks use this column for [Business] / [Edge cases] extra points. The column heading no longer matches its content.</t>
  </si>
  <si>
    <t xml:space="preserve">Rename the column "Extra point / Learn it in", or move references to a 5th narrow column.</t>
  </si>
  <si>
    <t xml:space="preserve">V74.8</t>
  </si>
  <si>
    <t xml:space="preserve">p. 5, 6, 10 · Tier tables</t>
  </si>
  <si>
    <t xml:space="preserve">Split with 1–2 rows under a repeated header on the next page.</t>
  </si>
  <si>
    <t xml:space="preserve">V74.9</t>
  </si>
  <si>
    <t xml:space="preserve">p. 16 · Final-week revision list</t>
  </si>
  <si>
    <t xml:space="preserve">"Q74-" / "025" hyphen-broken at the line end.</t>
  </si>
  <si>
    <t xml:space="preserve">Use non-breaking hyphens.</t>
  </si>
  <si>
    <t xml:space="preserve">V74.10</t>
  </si>
  <si>
    <t xml:space="preserve">The last line holds the single word "you". The eyebrow leaves "PLAYBOOK" orphaned.</t>
  </si>
  <si>
    <t xml:space="preserve">Rebalance line breaks.</t>
  </si>
  <si>
    <t xml:space="preserve">V74.11</t>
  </si>
  <si>
    <t xml:space="preserve">p. 3–13 · Code blocks</t>
  </si>
  <si>
    <t xml:space="preserve">Python input and output are styled identically (grey rule).</t>
  </si>
  <si>
    <t xml:space="preserve">Blue rule for input.</t>
  </si>
  <si>
    <t xml:space="preserve">75.1</t>
  </si>
  <si>
    <t xml:space="preserve">Every "Learn it in" line (Q75-001, 002, 004, 007, 008, 012, 013, 014, 016, 018, 019, 022, 024, 025, 030, 031)</t>
  </si>
  <si>
    <t xml:space="preserve">No pointer sends the reader to the chapter that *teaches* the idea. They send the reader to other banks (Ch 69 moves, Ch 70, Ch 73) or back into this chapter ("§75.2 below", "§75.3 below"). Every idea here is taught earlier: MECE in Ch 5 §5.4, leading/lagging in Ch 3 §3.5, Fermi estimates in Ch 4 §4.9, KPI tree / North Star / diagnosis / vanity / guardrail in Ch 23 §23.10–23.12, Simpson's paradox in Ch 22 §22.6, A/B design and MDE in Ch 22 §22.3 and Ch 30 §30.7–30.8, turning an ask into a question in Ch 24 §24.1. A reader who fails a question has nowhere to go back to and learn it.</t>
  </si>
  <si>
    <t xml:space="preserve">Use a two-part pointer on every question: "Learn it in: Ch N §x (teaching). Practise it with: Ch 69 Move k / Ch 73 Qxx (bank)". Replacements: Q75-001 → Ch 24 §24.1 + Ch 5 §5.2; Q75-002 → Ch 5 §5.1 (the four question types: diagnostic vs prescriptive); Q75-003 → Ch 5 §5.4; Q75-004 → Ch 5 §5.5 (fact, opinion, assumption); Q75-007 → Ch 23 §23.11 + Ch 5 §5.4; Q75-008 → Ch 23 §23.11 (decomposition, segment mix) + Ch 4 §4.10; Q75-012/016 → Ch 22 §22.6; Q75-013 → Ch 3 §3.6, Ch 15 §15.2, Ch 16 §16.7; Q75-014 → Ch 3 §3.5 + Ch 23 §23.12 (validating that it predicts: Ch 22 §22.5, Ch 31); Q75-015 → Ch 23 §23.12; Q75-017 → Ch 23 §23.10; Q75-018 → Ch 16 §16.2 (Import vs DirectQuery); Q75-019/022 → Ch 22 §22.3, Ch 30 §30.7–30.8; Q75-020 → Ch 25 §25.9/§25.12 (ranking); Q75-024/025 → Ch 4 §4.9; Q75-031 → Ch 23 §23.12 + Ch 30 §30.8 (guardrail metrics).</t>
  </si>
  <si>
    <t xml:space="preserve">75.2</t>
  </si>
  <si>
    <t xml:space="preserve">Q75-020 "reach × impact × confidence × effort, or similar"</t>
  </si>
  <si>
    <t xml:space="preserve">Wrong formula. RICE is (Reach × Impact × Confidence) ÷ Effort. Multiplying by effort ranks the most expensive feature highest. Worked check: same R, I, C, with effort 2 vs 10 → the book's formula scores 3,200 vs 16,000 (prefers the costly one); RICE gives 800 vs 160. A candidate who says this in an interview is marked down. RICE is also never taught in the book.</t>
  </si>
  <si>
    <t xml:space="preserve">Replace with: "reach for a simple, stated framework, for example RICE = (Reach × Impact × Confidence) ÷ Effort, so a feature scores higher when it helps more people, more, with more certainty, for less work". Add a one-row worked example (Reach 1,000 users/quarter, Impact 2, Confidence 80%, Effort 2 person-weeks → 800). Point "Learn it in" to Ch 25 §25.9's ranking table and §25.12's four ranking factors (frequency, time, error cost, effort). Say that RICE is the product-team version of the same idea.</t>
  </si>
  <si>
    <t xml:space="preserve">75.3</t>
  </si>
  <si>
    <t xml:space="preserve">Q75-011 "shift entirely toward acquisition/traffic/conversion, not pricing or basket size"</t>
  </si>
  <si>
    <t xml:space="preserve">Half right. Flat AOV does rule out basket size and price. But fewer orders can come from fewer active customers (churn *or* weaker acquisition) *or* from existing customers ordering less often. Ch 23 §23.10's tree is customers × orders per customer × AOV, and Ch 23 §23.11 walks exactly that. "Entirely toward acquisition" drops retention and frequency. The extra point also cites "Chapter 44's revenue tree". Ch 44 (the DS capstone) has no revenue tree; it is Ch 23 §23.10 (Figure 23.3).</t>
  </si>
  <si>
    <t xml:space="preserve">One-line answer: "The drop is in order count, not order value. Split order count into active customers × orders per customer: fewer customers points to acquisition or churn; the same customers ordering less often points to frequency or retention. Pricing and basket size are ruled out." Extra point: "the same decomposition as Chapter 23's KPI tree (§23.10, Figure 23.3), walked in §23.11".</t>
  </si>
  <si>
    <t xml:space="preserve">75.4</t>
  </si>
  <si>
    <t xml:space="preserve">Q75-001, 007, 013, 019, 024 tier rows "Passes: Jumps straight…" / "States a single guessed number…"</t>
  </si>
  <si>
    <t xml:space="preserve">The "Passes" row describes the same behaviour the question then lists as its red flag (e.g., Q75-007 "Passes: jumps straight to guessing specific causes" vs "Red flag: guessing a specific root cause before verifying"; Q75-024 "Passes: states a single guessed number" vs "Red flag: a single number with no visible chain"). In Ch 69 §69.1/§69.4, "passes" means a reasonable but unstructured answer scoring ~2, not a failure. A reader can't tell if this answer passes or fails.</t>
  </si>
  <si>
    <t xml:space="preserve">Consistency / Difficulty</t>
  </si>
  <si>
    <t xml:space="preserve">Rewrite each "Passes" row as Ch 69's ~2-score answer. Q75-001: "Restates the question, then starts answering with a sensible but unstructured list." Q75-007: "Checks one or two plausible causes (a release, a holiday) and segments by platform, but never asks whether the number itself is right." Q75-013: "A sensible list of support metrics (volume, handle time, SLA) not tied to decisions." Q75-019: "Lists pros and cons of loyalty programs and leans yes, with no sizing or pilot." Q75-024: "A chain of two factors with round numbers but no justification or sanity check." Keep the red flags as written.</t>
  </si>
  <si>
    <t xml:space="preserve">75.5</t>
  </si>
  <si>
    <t xml:space="preserve">Q75-017 "The single metric a team optimizes above all others"</t>
  </si>
  <si>
    <t xml:space="preserve">Contradicts Ch 23 §23.10: "A North Star is a communication tool, not a replacement for the tree — it's the one branch senior leadership watches weekly". "Optimizes above all others" is also the Goodhart trap Ch 23 §23.12 warns about.</t>
  </si>
  <si>
    <t xml:space="preserve">"A single number, upstream of revenue, that captures whether customers are getting value (Riverstone: active customers, Ch 23 §23.10). It is the one branch leadership watches weekly, not a replacement for the KPI tree, and it needs a guardrail because any single target can be gamed (Ch 23 §23.12)." Keep the extra point.</t>
  </si>
  <si>
    <t xml:space="preserve">75.6</t>
  </si>
  <si>
    <t xml:space="preserve">Q75-018 "[Learn it in] Chapter 70, §70.10 (Import mode vs. DirectQuery…)"</t>
  </si>
  <si>
    <t xml:space="preserve">Broken reference: Ch 70 has only §70.1–70.7. Import vs DirectQuery is Q70-063 (Rapid-fire 70.7), and it is taught in Ch 16 §16.2.</t>
  </si>
  <si>
    <t xml:space="preserve">Polish (cross-ref) / Alignment</t>
  </si>
  <si>
    <t xml:space="preserve">"[Learn it in] Chapter 16 §16.2 (Import or DirectQuery); practise with Chapter 70, Q70-063."</t>
  </si>
  <si>
    <t xml:space="preserve">75.7</t>
  </si>
  <si>
    <t xml:space="preserve">Q75-013 &amp; Q75-031 "Chapter 70, §70.7's dashboard critiques (Q70-069/070)"; "Where this leads" "Chapter 70, §70.7"</t>
  </si>
  <si>
    <t xml:space="preserve">§70.7 is "DAX and Power BI modeling". Q70-069/070 sit in an unnumbered "Dashboard critiques" block after Rapid-fire 70.7. Ch 76A cites the same block as "§70.11".</t>
  </si>
  <si>
    <t xml:space="preserve">Give the Ch 70 block a number (§70.8 "Dashboard critiques") and cite "Chapter 70 §70.8 (Q70-069/070)" here and in Ch 76A (see 76A.9). Teaching pointer: Ch 15 §15.2 and Ch 16 §16.7.</t>
  </si>
  <si>
    <t xml:space="preserve">75.8</t>
  </si>
  <si>
    <t xml:space="preserve">Q75-025 "Learn it in: Chapter 73, §73.1 (… as a Bayes' theorem calculation…)"</t>
  </si>
  <si>
    <t xml:space="preserve">Wrong target. Market sizing has nothing to do with Bayes. The four-step "break down, write assumptions, multiply, sanity-check" method is taught in Ch 4 §4.9, whose own example is "plastic storage boxes sold in Mumbai", and Ch 4 says "Chapter 75 has worked guesstimates".</t>
  </si>
  <si>
    <t xml:space="preserve">"Learn it in: Chapter 4 §4.9 (the four-step estimation method, with the storage-box example this question scales up)." Do the same for Q75-024, replacing "Chapter 69's Move 6 (trade-offs)", which is not about estimation.</t>
  </si>
  <si>
    <t xml:space="preserve">75.9</t>
  </si>
  <si>
    <t xml:space="preserve">Q75-024 "Mumbai population: ~20,000,000" + "Mumbai's roughly 24 wards"</t>
  </si>
  <si>
    <t xml:space="preserve">Mixed geographies. ~20 million is the metropolitan region. The 24 administrative wards belong to the BMC city area (≈12.4 million in the 2011 census). The sanity check divides a metro-region count by city wards. With the city figure the chain gives ≈750 gyms, ≈31 per ward.</t>
  </si>
  <si>
    <t xml:space="preserve">Either say "Greater Mumbai (the BMC area, ~12–13 million people, 24 wards)": 12,500,000 × 3% = 375,000 gym-goers ÷ 500 = 750 gyms ≈ 31 per ward. Or keep 20 million and call it "the Mumbai Metropolitan Region", with the sanity check "about 1 gym per 17,000 people". Add a line saying which geography you assumed, which is itself a Move 2 point.</t>
  </si>
  <si>
    <t xml:space="preserve">75.10</t>
  </si>
  <si>
    <t xml:space="preserve">Q75-025 "₹18,000,000,000 (₹18 billion)"</t>
  </si>
  <si>
    <t xml:space="preserve">Correct arithmetic (45,000,000 × ₹400 = ₹18,000,000,000). But the book trains the reader in lakh/crore (Ch 4) and every Riverstone figure is in crore. An Indian interviewer will expect "₹1,800 crore".</t>
  </si>
  <si>
    <t xml:space="preserve">"= ₹18,000,000,000, i.e. ₹1,800 crore (₹18 billion)". Add a Ch 4 extra point: "state it in the unit your audience uses".</t>
  </si>
  <si>
    <t xml:space="preserve">75.11</t>
  </si>
  <si>
    <t xml:space="preserve">Q75-025 "bottom-up (known sales × a growth multiplier)"</t>
  </si>
  <si>
    <t xml:space="preserve">That isn't what bottom-up sizing means. Bottom-up builds the total from units (e.g., number of retailers × containers each sells per month × price) or sums known players' sales. "Known sales × growth multiplier" is a projection.</t>
  </si>
  <si>
    <t xml:space="preserve">"…and bottom-up (build it from the supply side, e.g. ~X lakh kirana/home-goods stores × containers each sells a year × average price, or the sum of known brands' sales) should land in the same neighbourhood…". Add a two-line bottom-up worked example with verified numbers, so the "top-down vs bottom-up" key term is actually shown.</t>
  </si>
  <si>
    <t xml:space="preserve">75.12</t>
  </si>
  <si>
    <t xml:space="preserve">Q75-025 extra point "Riverstone's own actual category (Chapter 3's business…)"</t>
  </si>
  <si>
    <t xml:space="preserve">Riverstone sells to retailers, hospitality and wholesalers (Ch 3; Ch 23's segments), not directly to households. A household TAM is Riverstone's *end* market. The follow-up "refine the 15% using Riverstone's own unit sales" can't work without a market-share assumption.</t>
  </si>
  <si>
    <t xml:space="preserve">"…ties it to Riverstone (Ch 3): its retail customers sell into exactly this household market, so the figure bounds what Riverstone's retail segment could grow into". Follow-up: "How would Riverstone's unit sales plus an assumed market share cross-check the 15%?"</t>
  </si>
  <si>
    <t xml:space="preserve">75.13</t>
  </si>
  <si>
    <t xml:space="preserve">Q75-008 one-line answer (four mechanisms)</t>
  </si>
  <si>
    <t xml:space="preserve">Leaves out the most common reason a rising revenue number is bad news: growth from price rises (or inflation) while volume falls. It is also Ch 4 §4.10's "record without context" and the Ch 23 tree's price branch.</t>
  </si>
  <si>
    <t xml:space="preserve">Correctness (completeness)</t>
  </si>
  <si>
    <t xml:space="preserve">Add: "or it might be price-driven — list-price increases masking falling units or active customers (check units and active customers, Ch 23 §23.10)". Add "units and active-customer trend" to the extra-point list of follow-up metrics.</t>
  </si>
  <si>
    <t xml:space="preserve">75.14</t>
  </si>
  <si>
    <t xml:space="preserve">Q75-013 "For staffing, I'd want ticket volume trend and average handle time"</t>
  </si>
  <si>
    <t xml:space="preserve">Ch 23 §23.12 warns that "a 'reduce average handling time' target… can produce rushed, unresolved calls". The model dashboard puts AHT on without its guardrail, while the chapter's own Common-mistakes row says "pair a primary metric with at least one guardrail".</t>
  </si>
  <si>
    <t xml:space="preserve">"…average handle time, shown next to repeat-contact rate so a push for speed can't hide unresolved tickets (Ch 23 §23.12)".</t>
  </si>
  <si>
    <t xml:space="preserve">75.15</t>
  </si>
  <si>
    <t xml:space="preserve">Q75-014 "Learn it in: Chapter 73, §73.6 (… what actually validates a leading indicator…)"</t>
  </si>
  <si>
    <t xml:space="preserve">§73.6 covers confounders and Simpson's paradox. It doesn't show how to validate a leading indicator (lagged correlation, then a holdout or natural experiment). The teaching home for leading vs lagging is Ch 3 §3.5.</t>
  </si>
  <si>
    <t xml:space="preserve">Covered by 75.1. Also add one sentence to the answer: "check it moves *before* the outcome across several periods, then test it: does intervening on it change the outcome? (Ch 22 §22.5, Ch 31)".</t>
  </si>
  <si>
    <t xml:space="preserve">75.16</t>
  </si>
  <si>
    <t xml:space="preserve">"Where this leads" "Chapter 76, Business Analyst Question Bank, continues directly…"</t>
  </si>
  <si>
    <t xml:space="preserve">There is no Chapter 76, only 76A (DA &amp; DS, which comes next) and 76B (BA). It also skips 76A, the chapter that actually follows.</t>
  </si>
  <si>
    <t xml:space="preserve">"Chapters 76A (Data Analyst &amp; Data Scientist bank) and 76B (Business Analyst bank) continue from this chapter's case reasoning: 76A into project narratives, 76B into requirements and process questions." Use the final numbers once 72A/76A/76B are renumbered (sequence map).</t>
  </si>
  <si>
    <t xml:space="preserve">75.17</t>
  </si>
  <si>
    <t xml:space="preserve">Opening: "Section order was planned before writing: the general case framework first…"</t>
  </si>
  <si>
    <t xml:space="preserve">Drafting/meta leftover: it describes the author's writing process, not what the reader will do. "every number… is arithmetically checked" and "Worked calculation, verified arithmetic:" read as build notes.</t>
  </si>
  <si>
    <t xml:space="preserve">Delete "Section order was planned before writing" and replace with a reader-facing map: "The chapter moves from the general case framework (§75.1) to the three case types (§75.2–75.4), then guesstimates (§75.5) and two full cases (§75.6)." Change "Worked calculation, verified arithmetic:" to "Worked calculation:".</t>
  </si>
  <si>
    <t xml:space="preserve">75.18</t>
  </si>
  <si>
    <t xml:space="preserve">Front matter (none)</t>
  </si>
  <si>
    <t xml:space="preserve">Unlike Ch 68–69, there is no "Before you start" or "Time needed", and the spine lists no prerequisites. A reader who jumps into Part VIII here has no guide to what to revise first.</t>
  </si>
  <si>
    <t xml:space="preserve">Add a Chapter-at-a-glance block. "Before you start: Ch 3 §3.5–3.6 (KPIs, leading/lagging, dashboards), Ch 4 §4.9 (estimation), Ch 5 §5.2–5.4 (questions, issue trees, MECE), Ch 22 §22.3/22.6, Ch 23 §23.10–23.12, Ch 24 §24.1, Ch 69 (the moves). Time needed: 2.5–3.5 hours to read and drill once; 2–3 hours more for the project."</t>
  </si>
  <si>
    <t xml:space="preserve">75.19</t>
  </si>
  <si>
    <t xml:space="preserve">All questions</t>
  </si>
  <si>
    <t xml:space="preserve">No difficulty labels. Ch 68's worked examples use Easy/Medium/Hard, but no bank question does. Progression is loosely core → rapid-fire → full case. §75.5 guesstimates are the most entry-level material, yet they come fifth.</t>
  </si>
  <si>
    <t xml:space="preserve">Difficulty</t>
  </si>
  <si>
    <t xml:space="preserve">Tag every core and walk-through question with a level, e.g. "Q75-024 · Entry", "Q75-008 · Mid", "Q75-031 · Senior", and add one sentence to "How this chapter is built" explaining the tags (match Ch 68's Easy/Medium/Hard wording across all banks). Optionally move §75.5 to come after §75.1, since guesstimates need only Ch 4.</t>
  </si>
  <si>
    <t xml:space="preserve">75.20</t>
  </si>
  <si>
    <t xml:space="preserve">§75.6 heading "Live-coding-style walk-throughs: full worked cases"</t>
  </si>
  <si>
    <t xml:space="preserve">This chapter has no code ("This chapter has no code to execute"), so "live-coding" misleads. The same heading appears in 76A.6 and 76B.8.</t>
  </si>
  <si>
    <t xml:space="preserve">Rename it "Full cases, talked through live" (and use the same heading in 76A and 76B).</t>
  </si>
  <si>
    <t xml:space="preserve">75.21</t>
  </si>
  <si>
    <t xml:space="preserve">Q75-030 "Our email open rate dropped from 25% to 18%"</t>
  </si>
  <si>
    <t xml:space="preserve">This is the natural place to show Ch 4 §4.2's points vs percent discipline. The drop is 7 percentage points, a 28% relative fall, and the model answer never says so. Ch 4's interview extra point asks exactly for "restate with base and period".</t>
  </si>
  <si>
    <t xml:space="preserve">Consistency (missed reinforcement)</t>
  </si>
  <si>
    <t xml:space="preserve">Add one opening sentence to the talked-through answer: "So that's 7 percentage points, or a 28% relative drop, month on month; is that against last month only, or also the same month last year?" and tag it [Clarify].</t>
  </si>
  <si>
    <t xml:space="preserve">75.22</t>
  </si>
  <si>
    <t xml:space="preserve">Q75-005 "Roughly 10–15%, enough to set direction"</t>
  </si>
  <si>
    <t xml:space="preserve">Stated as fact with no source. Fine as a rule of thumb, but it should read as one.</t>
  </si>
  <si>
    <t xml:space="preserve">Correctness (claim)</t>
  </si>
  <si>
    <t xml:space="preserve">"As a rule of thumb, roughly 10–15% (1–2 minutes of a 15-minute case)…".</t>
  </si>
  <si>
    <t xml:space="preserve">75.23</t>
  </si>
  <si>
    <t xml:space="preserve">Real-world "Karan, interviewing for a Business Analyst role"</t>
  </si>
  <si>
    <t xml:space="preserve">"Karan" is already a Sales Executive (Karan Ahuja, Ch 28), a debugger in Ch 72, and a Data Engineer candidate in Ch 72A. One name with four roles confuses readers who follow the recurring cast.</t>
  </si>
  <si>
    <t xml:space="preserve">Use a distinct name (e.g., "Ishaan"), or make it one Karan with one consistent career across Ch 72, 72A and 75.</t>
  </si>
  <si>
    <t xml:space="preserve">75.24</t>
  </si>
  <si>
    <t xml:space="preserve">Q75-002 "Learn it in: §75.2 … and §75.4 … below"</t>
  </si>
  <si>
    <t xml:space="preserve">A pointer to later in the same chapter, not to where the idea is taught. The diagnostic-vs-prescriptive distinction is Ch 5 §5.1's four question types.</t>
  </si>
  <si>
    <t xml:space="preserve">"Learn it in: Chapter 5 §5.1 (descriptive, diagnostic, predictive, prescriptive questions); both shapes are worked in §75.2 and §75.4 below."</t>
  </si>
  <si>
    <t xml:space="preserve">V75.1</t>
  </si>
  <si>
    <t xml:space="preserve">p. 5, 6, 7, 8, 9, 10, 12, 15 · Rapid-fire "#" column</t>
  </si>
  <si>
    <t xml:space="preserve">IDs break as "Q75-" / "003".</t>
  </si>
  <si>
    <t xml:space="preserve">V75.2</t>
  </si>
  <si>
    <t xml:space="preserve">V75.3</t>
  </si>
  <si>
    <t xml:space="preserve">V75.4</t>
  </si>
  <si>
    <t xml:space="preserve">p. 10→11, 12→13 · Lead-ins at page foot</t>
  </si>
  <si>
    <t xml:space="preserve">"Worked calculation, verified arithmetic:" ends p. 10, and the gym calculation starts p. 11. "Talked through live, start to finish:" ends p. 12, and the quoted answer starts p. 13.</t>
  </si>
  <si>
    <t xml:space="preserve">V75.5</t>
  </si>
  <si>
    <t xml:space="preserve">p. 16 · Where this leads</t>
  </si>
  <si>
    <t xml:space="preserve">"Chapter 76, Business Analyst Question Bank": that chapter is titled 76B.</t>
  </si>
  <si>
    <t xml:space="preserve">Change to "Chapter 76B".</t>
  </si>
  <si>
    <t xml:space="preserve">V75.6</t>
  </si>
  <si>
    <t xml:space="preserve">p. 16 · Section divider</t>
  </si>
  <si>
    <t xml:space="preserve">The horizontal section rule sits alone at the very top of the page, above "Where this leads".</t>
  </si>
  <si>
    <t xml:space="preserve">Suppress the divider at the page top.</t>
  </si>
  <si>
    <t xml:space="preserve">V75.7</t>
  </si>
  <si>
    <t xml:space="preserve">p. 4, 6, 8, 10, 12 · Tier tables</t>
  </si>
  <si>
    <t xml:space="preserve">Tier tables split so that 1–2 rows sit under a repeated header on the next page.</t>
  </si>
  <si>
    <t xml:space="preserve">V75.8</t>
  </si>
  <si>
    <t xml:space="preserve">p. 15 · Final-week revision list</t>
  </si>
  <si>
    <t xml:space="preserve">"Q75-" / "030" is hyphen-broken at the line end.</t>
  </si>
  <si>
    <t xml:space="preserve">V75.9</t>
  </si>
  <si>
    <t xml:space="preserve">p. 10, 13, 15 · Glyph fallback</t>
  </si>
  <si>
    <t xml:space="preserve">"→" in Lora text is set in DejaVu Serif. It is slightly heavier.</t>
  </si>
  <si>
    <t xml:space="preserve">Accept, or substitute a Lora arrow.</t>
  </si>
  <si>
    <t xml:space="preserve">V75.10</t>
  </si>
  <si>
    <t xml:space="preserve">"PLAYBOOK" is orphaned on line 2.</t>
  </si>
  <si>
    <t xml:space="preserve">Rebalance.</t>
  </si>
  <si>
    <t xml:space="preserve">76A.1</t>
  </si>
  <si>
    <t xml:space="preserve">Q76A-012 "Boosting won by a real margin on held-out data, 0.839 AUC against 0.797"</t>
  </si>
  <si>
    <t xml:space="preserve">Contradicts the book. (a) 0.839 / 0.797 are Ch 37's churn test AUCs (tuned boosting vs plain logistic, Ch 37 "The test set, once"), not a lead model. (b) On leads, Ch 37 §37.12 found "boosting doesn't win": valid 0.829 vs 0.823, test 0.832 vs 0.838 for logistic, and "The decision: keep logistic regression for lead scoring". (c) On churn too, the recommended model was logistic + engineered features (0.850), not boosting ("I recommend the simpler model"). (d) Ch 36's lead target is "won within 90 days", not 30. The chapter's own "Where this leads" says the example is "kept consistent with that earlier chapter rather than invented fresh". It isn't, and a reader who did Part IV will notice at once.</t>
  </si>
  <si>
    <t xml:space="preserve">Rewrite the worked answer to match Ch 36–39. Suggested text: "The business problem was prioritizing which leads the inside sales desk should call first. I framed it as binary classification: won within 90 days, predicted 24 hours after the lead arrives, using only what's in the CRM by then. I built logistic regression as the baseline, then tried tuned gradient boosting to see whether the extra complexity earned its keep. It didn't: on the untouched test set, logistic scored 0.838 AUC and boosting 0.832, and logistic had the better log loss. So I kept the simpler, better-calibrated model. Then I set the call threshold by cost, not at 0.5: working a lead costs about ₹1,500, and a won lead is worth its first-year margin (Ch 39 §39.5). The honest limitation: it's a static model, so a shift in lead mix between retrainings wouldn't be caught automatically; that monitoring is the next thing I'd build." Update the extra points: "[Depth] *reporting that the complex model lost*, and keeping the simpler one, is itself the strongest signal of judgment." Update the follow-up "What would you have done differently if boosting hadn't beaten the baseline?" to "…why do you think boosting didn't win here? (Ch 37 §37.12: few interactions, ~580 wins in training.)"</t>
  </si>
  <si>
    <t xml:space="preserve">76A.2</t>
  </si>
  <si>
    <t xml:space="preserve">Q76A-021 resume line "you say this improved conversion by 12%"; Q76A-007 "about 12% versus 7%"</t>
  </si>
  <si>
    <t xml:space="preserve">The same project gives two different claims. 7% → 12% is +5 percentage points, a 71% relative lift, not "improved conversion by 12%". A chapter about defending the exact meaning of a resume number models the classic points-vs-percent error that Ch 4 §4.2 teaches.</t>
  </si>
  <si>
    <t xml:space="preserve">Resume line: "raised conversion on prioritized leads from 7% to 12%". Q76A-021 question text: "you say this raised conversion from 7% to 12%". Add to the Strong tier: "…and says whether it's points or percent: 5 points, about 70% relative (Ch 4 §4.2)".</t>
  </si>
  <si>
    <t xml:space="preserve">76A.3</t>
  </si>
  <si>
    <t xml:space="preserve">Q76A-021 worked answer "conversion on leads flagged by the scoring model compared to the prior quarter's average"</t>
  </si>
  <si>
    <t xml:space="preserve">The model answer is held up as "Strong" but its comparison is biased. It compares the top-scored subset after the change with the average of all leads before. Top-ranked leads would convert above the average even if the ranking changed nothing about outcomes (selection). Seasonality and headcount are the wrong confounds to lead with. It's also a pre/post comparison, which Ch 30–31 teach as weak. An interviewer who knows Ch 22 §22.5 / Ch 31 §31.2 would push exactly here.</t>
  </si>
  <si>
    <t xml:space="preserve">Rewrite: "That figure compares the leads we called first under the score with the leads called first under the old first-come order, same-sized groups, the quarter before. Comparing top-scored leads with *all* leads would have flattered it, because top-ranked leads convert better by construction. I also checked total conversion across all leads, which rose from x% to y%, so the gain wasn't just reshuffling who got called first. And I checked seasonality: the same quarter a year earlier was flat. What I can't rule out without a holdout is that reps simply tried harder on the flagged list. The clean test would be to randomly withhold the score from half the reps for a month (Ch 30 §30.8)." Change the Strong row to "baseline, like-for-like comparison, and at least one confound checked", and the Learn-it-in line to Ch 22 §22.5, Ch 30 §30.8, Ch 31 §31.2.</t>
  </si>
  <si>
    <t xml:space="preserve">76A.4</t>
  </si>
  <si>
    <t xml:space="preserve">Q76A-026 "trained on twelve months… predicting churn within the next 90 days"; "ranked by expected revenue at risk"</t>
  </si>
  <si>
    <t xml:space="preserve">Doesn't match Ch 44, which the Learn-it-in line and "Where this leads" name as "the capstone project this exact example draws from". Ch 44's target is "no order in 2025" predicted as of 31 Dec 2024 (a 12-month horizon, not 90 days). Its "value at risk" is p × revenue × margin, i.e. expected *margin* at risk, not revenue (the Part IV review, 44.2/44.4, recommends renaming it "expected margin at risk").</t>
  </si>
  <si>
    <t xml:space="preserve">"…gradient boosting, trained on one year of account activity, predicting whether an account places no order in the following year. I turned the scores into a monthly call list of 40 accounts, ranked by expected margin at risk (churn probability × last year's revenue × margin) rather than probability alone…". Keep the honest holdout line. If Ch 44 changes its term per review 44.4, use the same term here.</t>
  </si>
  <si>
    <t xml:space="preserve">76A.5</t>
  </si>
  <si>
    <t xml:space="preserve">Opening "A note on this chapter's numbering… a placeholder for the coordinator to renumber at final assembly"</t>
  </si>
  <si>
    <t xml:space="preserve">Drafting leftover: it speaks to the production team, not the reader (sequence map: "coordinator… renumber" notes, 72A/76A).</t>
  </si>
  <si>
    <t xml:space="preserve">Delete the whole paragraph. Renumber 72A/76A/76B at assembly (sequence map, "Interviews, Closing" row) and update every ID and cross-reference (see 76A.6, 76A.7).</t>
  </si>
  <si>
    <t xml:space="preserve">76A.6</t>
  </si>
  <si>
    <t xml:space="preserve">Rapid-fire 76A.3 "Q76A012B"</t>
  </si>
  <si>
    <t xml:space="preserve">A patch ID left in the text: a question inserted after Q76A-012 without renumbering.</t>
  </si>
  <si>
    <t xml:space="preserve">Renumber the rapid-fire block sequentially (Q76A-013 … Q76A-016) and shift all later IDs by one (Q76A-016 → 017 … Q76A-026 → 027). Update the Final-week list, the Project step 3 reference ("Q76A-002" is unchanged), and inbound refs (Ch 81 line 49 cites Q76A-007, which is unchanged).</t>
  </si>
  <si>
    <t xml:space="preserve">76A.7</t>
  </si>
  <si>
    <t xml:space="preserve">Q76A-016 "Chapter 76B's Q76-001"; Q76A-018 "Chapter 76B, Q76-033"</t>
  </si>
  <si>
    <t xml:space="preserve">ID mismatch: Ch 76B labels its questions Q76-xxx and sections §76.x, while this chapter uses Q76A-xxx. Once both are renumbered, "Q76-001" is ambiguous.</t>
  </si>
  <si>
    <t xml:space="preserve">Rename 76B's IDs to match its chapter number (Q76B-001…, §76B.1…; or the final numbers), then cite "Chapter 76B, Q76B-001" and "Q76B-033". Also add the teaching pointers: Q76A-016 → Ch 24 §24.1 ("make the report better") and Ch 25 §25.3; Q76A-018 → Ch 24 §24.8 ("can you just change the number?").</t>
  </si>
  <si>
    <t xml:space="preserve">76A.8</t>
  </si>
  <si>
    <t xml:space="preserve">Q76A-016 extra-points row "+ [Learn it in] this is the identical diagnostic instinct…"</t>
  </si>
  <si>
    <t xml:space="preserve">"[Learn it in]" is used as an extra-point *move tag*. The Ch 69 moves are Clarify, Validate, Business, etc. "Learn it in" is a pointer, not a move, so the row awards no extra point.</t>
  </si>
  <si>
    <t xml:space="preserve">Rewrite it as a move: "+ [Clarify] one specific question ('too much on the page, or can't find the number you check first?') before touching the dashboard." Move the cross-reference into the Learn-it-in line.</t>
  </si>
  <si>
    <t xml:space="preserve">76A.9</t>
  </si>
  <si>
    <t xml:space="preserve">Q76A-016 "Chapter 70, §70.11's dashboard-critique discipline"; Q76A-020 "Chapter 70, §70.11's dashboard critiques"</t>
  </si>
  <si>
    <t xml:space="preserve">Broken reference: Ch 70 ends at §70.7. The critiques (Q70-069/070) are an unnumbered block after Rapid-fire 70.7. Ch 75 cites the same block as "§70.7".</t>
  </si>
  <si>
    <t xml:space="preserve">Number the Ch 70 block §70.8 and cite "Chapter 70 §70.8 (Q70-069/070)" in both places (and in Ch 75; see 75.7). Teaching pointer: Ch 15 §15.2 and §15.12 (misleading charts), Ch 16 §16.7.</t>
  </si>
  <si>
    <t xml:space="preserve">76A.10</t>
  </si>
  <si>
    <t xml:space="preserve">Learn-it-in lines: Q76A-006 "Chapter 71, all of it"; Q76A-012 "Chapter 74, all of it"; Q76A-012B "Q74-001"; Q76A-021 "Chapter 73, all of it"; Q76A-026 "Chapter 73, §73.4"; Q76A-007 "Chapter 69's whole Extra-Points Method"</t>
  </si>
  <si>
    <t xml:space="preserve">They point to other banks, often "all of it", instead of the chapter that teaches the skill. That breaks the Part VIII promise that a reader who fails a question can go back and learn it.</t>
  </si>
  <si>
    <t xml:space="preserve">Two-part pointers ("Learn it in: teaching §. Practise it with: bank Q"). Q76A-001/003 → Ch 7 §7.2 + Ch 25 §25.1 (the four-role table: BA/DA/DS/DE); Q76A-006 → Ch 12–13 (and Ch 7 §7.2 "the one skill every role shares"); Q76A-007 → Ch 24 §24.4–24.6 (BLUF, memo) + Ch 27 (portfolio project write-up); Q76A-012 → Ch 36 §36.1 (framing), Ch 37 §37.12 (baseline vs boosting on leads), Ch 39 §39.5 (threshold by cost); Q76A-012B → Ch 37 §37.10 (bias, variance, learning curves); Q76A-013 → Ch 39 (cost-based decision) / Ch 44 §44.6 (capacity sweep, diminishing returns); Q76A-021 → Ch 22 §22.5, Ch 30, Ch 31 §31.2; Q76A-026 → Ch 44 §44.3–44.4 + Ch 30 §30.8 (designing the holdout). Keep Ch 69 Move 7/10 pointers as the "practise" half.</t>
  </si>
  <si>
    <t xml:space="preserve">76A.11</t>
  </si>
  <si>
    <t xml:space="preserve">Q76A-007 "built a simple scoring rule"; Q76A-021 "leads flagged by the scoring model"</t>
  </si>
  <si>
    <t xml:space="preserve">The DA project and the resume-scrutiny question describe the same project, once as a *rule* and once as a *model*. Q76A-012 (DS) is also lead scoring. The reader can't tell whether these are one project or three.</t>
  </si>
  <si>
    <t xml:space="preserve">Make it explicit: keep Q76A-007 as the DA version (a rule built from the historical win rates by source, like Ch 36 §36.9's rule of thumb "call referrals, trade-fair contacts, and partner leads first") and Q76A-012 as the DS version of the same problem ("the rule from Q76A-007 became the baseline my model had to beat"). In Q76A-021 say "leads flagged by the scoring rule". This also shows the DA → DS progression the chapter is about.</t>
  </si>
  <si>
    <t xml:space="preserve">76A.12</t>
  </si>
  <si>
    <t xml:space="preserve">Q76A-007 "found that lead source and company size were the strongest predictors of conversion"</t>
  </si>
  <si>
    <t xml:space="preserve">Plausible, but not checked against Ch 36–37. Ch 36's rule of thumb is "call referrals, trade-fair contacts, and partner leads first" (source). Company size isn't shown there as a top driver.</t>
  </si>
  <si>
    <t xml:space="preserve">Either cite what the book's data shows (source, plus the strongest coefficient in Ch 36's fitted model), or say "in my data" and make the example clearly the candidate's own, not Riverstone's.</t>
  </si>
  <si>
    <t xml:space="preserve">76A.13</t>
  </si>
  <si>
    <t xml:space="preserve">Tier rows: Q76A-007 "Passes: Describes the technical steps… with no mention of the business problem or the outcome" vs its red flag "never states a business impact"; Q76A-012 "Passes: Jumps straight to naming the algorithm…" vs red flag "dominated by algorithm names"</t>
  </si>
  <si>
    <t xml:space="preserve">As in Ch 75: the "Passes" row describes the red-flag behaviour. In Ch 69 §69.4, a passing answer (~2) is reasonable but unstructured, not a failure.</t>
  </si>
  <si>
    <t xml:space="preserve">Q76A-007 Passes: "Names the business problem and the method, but the impact is vague ('it helped the team'), with no number." Q76A-012 Passes: "Explains the problem and the model and gives an AUC, but no baseline and no link from the metric to a business decision." Q76A-016 Passes: "Asks one question, then removes the least-used charts."</t>
  </si>
  <si>
    <t xml:space="preserve">76A.14</t>
  </si>
  <si>
    <t xml:space="preserve">Q76A-015 "Should a DS candidate be able to explain… or is that a DA-specific skill?" answer "No, it's expected of both"</t>
  </si>
  <si>
    <t xml:space="preserve">"No" answers the second half of an either/or question, so it reads as "No, a DS shouldn't be able to explain their model".</t>
  </si>
  <si>
    <t xml:space="preserve">"It's expected of both: a DS who can't translate…".</t>
  </si>
  <si>
    <t xml:space="preserve">76A.15</t>
  </si>
  <si>
    <t xml:space="preserve">Q76A-004 "always check the actual JD's must-have list (Chapter 68, §68.2)"</t>
  </si>
  <si>
    <t xml:space="preserve">JD decoding and the must-have list are taught in Ch 8 §8.5. Ch 68 itself cites "Chapter 8, §8.5" for the must-have list.</t>
  </si>
  <si>
    <t xml:space="preserve">"(Chapter 8, §8.5)".</t>
  </si>
  <si>
    <t xml:space="preserve">76A.16</t>
  </si>
  <si>
    <t xml:space="preserve">Q76A-002 "Learn it in: Chapter 68, §68.6 (the same self-honest framing used for a 30/60/90-day plan…)"</t>
  </si>
  <si>
    <t xml:space="preserve">Weak link: §68.6 is about study runway, not motivation answers. Choosing a role and learning backward is taught in Ch 8 §8.9 ("pick your door"); role fit in Ch 7 §7.8.</t>
  </si>
  <si>
    <t xml:space="preserve">"Learn it in: Chapter 8 §8.9 (pick your door, then learn backward) and Chapter 7 §7.8 (where you are now)."</t>
  </si>
  <si>
    <t xml:space="preserve">76A.17</t>
  </si>
  <si>
    <t xml:space="preserve">Q76A-012 "retrained monthly" / "How would you detect the model going stale"</t>
  </si>
  <si>
    <t xml:space="preserve">Monitoring and drift are taught in Ch 56 (MLOps), after Part IV. That's fine for an interview bank, but no pointer is given.</t>
  </si>
  <si>
    <t xml:space="preserve">Add "(drift monitoring: Chapter 56)" to the likely follow-up.</t>
  </si>
  <si>
    <t xml:space="preserve">76A.18</t>
  </si>
  <si>
    <t xml:space="preserve">"Where this leads" "Chapter 44… is the real source for this chapter's worked DS project example, kept consistent with that earlier chapter rather than invented fresh"</t>
  </si>
  <si>
    <t xml:space="preserve">A build note ("rather than invented fresh"), and false as written (76A.1, 76A.4): only Q76A-026 comes from Ch 44. The lead example comes from Ch 36–39.</t>
  </si>
  <si>
    <t xml:space="preserve">"Chapters 36–39 (lead scoring) and Chapter 44 (the churn call list) are the projects behind this chapter's DS examples; if you did them, you can tell these stories as your own practice work."</t>
  </si>
  <si>
    <t xml:space="preserve">76A.19</t>
  </si>
  <si>
    <t xml:space="preserve">Front matter (none); "How this chapter is different from Chapters 70–75"</t>
  </si>
  <si>
    <t xml:space="preserve">No "Before you start" or "Time needed", unlike Ch 68–69. The spine lists no prerequisites, but the examples assume Ch 36, 37, 39 and 44.</t>
  </si>
  <si>
    <t xml:space="preserve">Add: "Before you start: Ch 7 §7.2, Ch 8 §8.5, Ch 24 §24.4–24.8, Ch 25 §25.1, Ch 36–39 (for §76A.3), Ch 44, Ch 69. Time needed: 2–2.5 hours to read and drill; 3–4 hours for the project."</t>
  </si>
  <si>
    <t xml:space="preserve">76A.20</t>
  </si>
  <si>
    <t xml:space="preserve">All core questions</t>
  </si>
  <si>
    <t xml:space="preserve">No difficulty labels, and no progression signal between the easy "which role?" questions and the hard portfolio deep-dive.</t>
  </si>
  <si>
    <t xml:space="preserve">Tag each core question with a level: Q76A-001/002 Entry; Q76A-007/016 Mid; Q76A-012/021/026 Senior (DS). Use the same labels across all banks (see 75.19).</t>
  </si>
  <si>
    <t xml:space="preserve">76A.21</t>
  </si>
  <si>
    <t xml:space="preserve">§76A.6 heading "Live-coding-style walk-throughs"</t>
  </si>
  <si>
    <t xml:space="preserve">No code in this chapter.</t>
  </si>
  <si>
    <t xml:space="preserve">"Full scenarios, talked through live" (same fix as 75.20).</t>
  </si>
  <si>
    <t xml:space="preserve">76A.22</t>
  </si>
  <si>
    <t xml:space="preserve">Q76A-019 "[Learn it in] Chapter 39, §39.8 (fairness/segment checks)"</t>
  </si>
  <si>
    <t xml:space="preserve">§39.8 "Fairness checks" is about performance across protected or sensitive groups. Hiding a weak *business* segment is broader. Close enough, but the stakeholder-honesty point is also Ch 24 §24.8 / Ch 44 §44.7 (memo limitations).</t>
  </si>
  <si>
    <t xml:space="preserve">"Chapter 39 §39.8 (checking performance by group) and Chapter 44 §44.7 (putting the limitation in the memo)."</t>
  </si>
  <si>
    <t xml:space="preserve">76A.23</t>
  </si>
  <si>
    <t xml:space="preserve">Q76A-025 "Generally yes… bring a laptop with your actual project code"</t>
  </si>
  <si>
    <t xml:space="preserve">Without a caveat about confidential employer code and data, this advice can get a candidate into trouble (NDAs, client data). The same bank stresses honesty and judgment elsewhere.</t>
  </si>
  <si>
    <t xml:space="preserve">Correctness (advice)</t>
  </si>
  <si>
    <t xml:space="preserve">Add: "…but only code and data you own or that is public (portfolio projects, synthetic data). Never show an employer's code, data or dashboards without permission; say 'I can't show that, but here's the same technique on public data'."</t>
  </si>
  <si>
    <t xml:space="preserve">76A.24</t>
  </si>
  <si>
    <t xml:space="preserve">Key terms "cost-based threshold (referenced)"</t>
  </si>
  <si>
    <t xml:space="preserve">"(referenced)" is an internal annotation.</t>
  </si>
  <si>
    <t xml:space="preserve">"cost-based threshold (Ch 39 §39.5)" or just "cost-based threshold".</t>
  </si>
  <si>
    <t xml:space="preserve">V76A.1</t>
  </si>
  <si>
    <t xml:space="preserve">p. 3 · Intro callout, "A note on this chapter's numbering"</t>
  </si>
  <si>
    <t xml:space="preserve">The callout reads: "It's numbered 76A, a placeholder for the coordinator to renumber at final assembly, exactly the convention already established for Chapter 72A." This production instruction is printed for readers.</t>
  </si>
  <si>
    <t xml:space="preserve">Delete the note. Fix the final chapter number.</t>
  </si>
  <si>
    <t xml:space="preserve">V76A.2</t>
  </si>
  <si>
    <t xml:space="preserve">p. 5, 6, 8, 9, 10, 11 · Rapid-fire "#" column</t>
  </si>
  <si>
    <t xml:space="preserve">The longer "Q76A-" prefix breaks on every row ("Q76A-" / "003").</t>
  </si>
  <si>
    <t xml:space="preserve">V76A.3</t>
  </si>
  <si>
    <t xml:space="preserve">V76A.4</t>
  </si>
  <si>
    <t xml:space="preserve">Truncated: "…at the right level of depth for each role · handle the…".</t>
  </si>
  <si>
    <t xml:space="preserve">Shorten to fit.</t>
  </si>
  <si>
    <t xml:space="preserve">V76A.5</t>
  </si>
  <si>
    <t xml:space="preserve">V76A.6</t>
  </si>
  <si>
    <t xml:space="preserve">p. 8 · Rapid-fire 76A.3</t>
  </si>
  <si>
    <t xml:space="preserve">The first row's ID is "Q76A-012B", the only lettered sub-ID in the part. It wraps as "Q76A-" / "012B".</t>
  </si>
  <si>
    <t xml:space="preserve">Renumber sequentially.</t>
  </si>
  <si>
    <t xml:space="preserve">V76A.7</t>
  </si>
  <si>
    <t xml:space="preserve">p. 9, 10 · Cross-references</t>
  </si>
  <si>
    <t xml:space="preserve">This chapter cites "Chapter 76B, Q76-001" and "Q76-033". Those IDs follow 76B's un-suffixed scheme (see V76B.2), while this chapter's own IDs carry the letter. Readers see two different conventions side by side.</t>
  </si>
  <si>
    <t xml:space="preserve">Align both chapters on one ID scheme.</t>
  </si>
  <si>
    <t xml:space="preserve">V76A.8</t>
  </si>
  <si>
    <t xml:space="preserve">p. 10 · Widow</t>
  </si>
  <si>
    <t xml:space="preserve">The page opens with a single word, "claim.", the tail of the p. 9 answer.</t>
  </si>
  <si>
    <t xml:space="preserve">Widow control (2 lines).</t>
  </si>
  <si>
    <t xml:space="preserve">V76A.9</t>
  </si>
  <si>
    <t xml:space="preserve">p. 6→7 · Page break before 76A.3</t>
  </si>
  <si>
    <t xml:space="preserve">26 % blank at the foot of p. 6. Section 76A.3 starts a fresh page, though no other section in the chapter does.</t>
  </si>
  <si>
    <t xml:space="preserve">Let the section start in the remaining space.</t>
  </si>
  <si>
    <t xml:space="preserve">V76A.10</t>
  </si>
  <si>
    <t xml:space="preserve">p. 4, 6, 9 · Tier tables</t>
  </si>
  <si>
    <t xml:space="preserve">Split so that only the "Extra points" row appears on the next page under a repeated header.</t>
  </si>
  <si>
    <t xml:space="preserve">V76A.11</t>
  </si>
  <si>
    <t xml:space="preserve">76B.1</t>
  </si>
  <si>
    <t xml:space="preserve">Opening "A note on sourcing… Chapter 25… not yet written at the time of this draft… Flagged clearly for a re-check"; "Where this leads" "…was written ahead of that chapter's own draft"; Ch 24 "already approved"</t>
  </si>
  <si>
    <t xml:space="preserve">Drafting leftovers addressed to the author/coordinator. Ch 25 now exists, so the note is false, and the re-check it promises was never done (see 76B.2–76B.8).</t>
  </si>
  <si>
    <t xml:space="preserve">Delete the whole "A note on sourcing" paragraph and the second half of the "Chapter 24 and Chapter 25…" paragraph in "Where this leads". Replace with: "Chapters 24 and 25 teach every technique this bank tests; each question's 'Learn it in' names the section." Then do the re-check: see 76B.2–76B.8 and 76B.12.</t>
  </si>
  <si>
    <t xml:space="preserve">76B.2</t>
  </si>
  <si>
    <t xml:space="preserve">Q76-028 as-is "Invoices are generated manually by finance… 1–2 days after actual shipment"</t>
  </si>
  <si>
    <t xml:space="preserve">Contradicts Ch 3 §3.2 step 7: "When goods ship, the ERP raises invoice 9001", on the same day and automatically. Ch 25 has the same contradiction (Part II review 25.1, High). The bank copies it into its flagship Riverstone example.</t>
  </si>
  <si>
    <t xml:space="preserve">Apply whichever fix the author approves for 25.1, word for word. If Ch 25 keeps the scenario, add one line saying which state is true: "(In Chapter 3 invoicing was automatic; this assumes the period before the ERP's shipping integration went live.)" If Ch 25 switches its gap example (e.g., to its ranked gap "Order re-keyed from email", ~17 hours/month, or to stock figures updated once a day), switch Q76-028 to the same gap so the two chapters agree.</t>
  </si>
  <si>
    <t xml:space="preserve">76B.3</t>
  </si>
  <si>
    <t xml:space="preserve">Q76-028 "Gap: No current system integration… Resulting requirement… within 1 hour of… 'Shipped'"; extra point "names the root cause (no system integration…)"</t>
  </si>
  <si>
    <t xml:space="preserve">Ch 25 §25.9's version of this exact row says the root cause is "Not 'finance is slow'. The warehouse updates the ERP once a day from its own spreadsheet, so the status change is not reliable enough to trigger anything". It warns that without this, "Riverstone would have built automatic invoicing on top of a status field that updates once a day, and invoices would have gone out a day late anyway, automatically". The bank's "Strong" answer names the missing integration (the symptom) as the root cause and produces only the FR, without the NFR it depends on. It teaches the mistake Ch 25 calls out, and its extra point praises it.</t>
  </si>
  <si>
    <t xml:space="preserve">Rewrite to match Ch 25 §25.9 (after 76B.2 is settled): "Gap: no link between shipment status and invoicing; the handoff is an email read by a person. Root cause: not 'finance is slow', and not only a missing integration. The warehouse updates the ERP's status once a day from its own spreadsheet, so the status isn't reliable enough to trigger anything. Resulting requirements: FR: when an order's status changes to Shipped, the system shall generate the invoice within one hour; depends on NFR: order status in the ERP shall be updated within fifteen minutes of dispatch." Change the extra point to: "+ [Depth] asks 'why' once more than feels necessary: the integration is missing because the status field isn't trustworthy, so the NFR on status freshness has to come first (Ch 25 §25.9)." Use the same FR/NFR numbers as Ch 25 once 25.2 is fixed.</t>
  </si>
  <si>
    <t xml:space="preserve">76B.4</t>
  </si>
  <si>
    <t xml:space="preserve">Q76-033 tier "Passes: Either flatly refuses… or quietly changes the number to avoid conflict"</t>
  </si>
  <si>
    <t xml:space="preserve">Labels silently falsifying a correct figure as a *passing* answer. The same question's red flag is "silently complying with a request to alter accurate data", and Ch 24 §24.8 treats it as unacceptable. A beginner reads "passes" as acceptable.</t>
  </si>
  <si>
    <t xml:space="preserve">"Passes: Explains politely that the number is correct and can't be changed, and offers to double-check it, but doesn't ask what's driving the request or offer an alternative." Move "quietly changes the number" to the red flag only, and strengthen it: "altering a correct figure is an integrity failure, not a stakeholder-management choice". Learn it in: "Chapter 24 §24.8 (the decision flow for 'can you just change the number?')".</t>
  </si>
  <si>
    <t xml:space="preserve">76B.5</t>
  </si>
  <si>
    <t xml:space="preserve">Q76-025 "The set of user stories committed to the current sprint; typically the Product Owner owns final prioritization"</t>
  </si>
  <si>
    <t xml:space="preserve">Wrong for Scrum. The Product Owner orders the product backlog. The sprint backlog (the sprint goal, the selected items and the plan) belongs to the Developers. "Product Owner" is also never introduced anywhere in the book (Ch 26 §26.10 teaches sprints and the backlog without roles).</t>
  </si>
  <si>
    <t xml:space="preserve">Rewrite the question and answer: "What's the difference between the product backlog and the sprint backlog, and who owns each? — The product backlog is everything not yet started, in priority order, owned and ordered by the Product Owner; the sprint backlog is what the team pulled into this sprint (plus its plan), owned by the developers who'll do it. The BA feeds the product backlog with refined, testable stories." Extra point unchanged (BA/PO overlap). Learn it in: Ch 26 §26.10. Add "Product Owner: the person accountable for what gets built and in what order" as a one-line definition, since no chapter teaches it.</t>
  </si>
  <si>
    <t xml:space="preserve">76B.6</t>
  </si>
  <si>
    <t xml:space="preserve">Q76-018 swimlane "Sales rep lane: receives customer order → enters order in CRM"</t>
  </si>
  <si>
    <t xml:space="preserve">Contradicts Ch 3 §3.2 and Ch 25 §25.4 / Figure 25.2: the order is "typed into the ERP" (the CRM holds leads and quotes). The lanes also differ from Ch 25's figure, which Q76-018 says it is consistent with: Ch 25 has stock check and reserve, signed POD scanned, payment matched, January report; the customer lane holds the enquiry.</t>
  </si>
  <si>
    <t xml:space="preserve">Use Ch 25 Figure 25.2's lanes and steps: "Customer: enquiry → (places order by phone/email) → receives goods → pays. Sales: visit and terms → quote → order typed into the ERP. Warehouse: stock check and reserve → pick, pack, ship → signed POD scanned. Finance: invoice → payment matched → monthly report." Add Ch 25's observation as the extra point: "five of nine transitions cross a lane; each crossing is where a data-quality problem is born (re-typed product codes at step 4, missing delivery dates at step 8)". Learn it in: Ch 25 §25.4.</t>
  </si>
  <si>
    <t xml:space="preserve">76B.7</t>
  </si>
  <si>
    <t xml:space="preserve">Q76-038 "match invoices to purchase orders… in two separate systems"; Ch 25 §25.12 "Riverstone's invoice matching… reads a bank statement line"</t>
  </si>
  <si>
    <t xml:space="preserve">"Riverstone's manual invoice-matching process" means something different in each chapter. Ch 25 (BR-05, FR-15–17, UC-04) matches bank payments to invoices (order-to-cash). Q76-038 matches invoices to POs, a purchasing (procure-to-pay) process that the book never shows at Riverstone. The model requirement also leaves out the two additions Ch 25 says are most often forgotten: an exception route to a named owner and an audit trail (FR-17).</t>
  </si>
  <si>
    <t xml:space="preserve">Re-base it on Ch 25: "…elicit requirements for automating Riverstone's payment matching (a finance assistant reading each bank line and working out which invoice it pays)". Keep the elicitation flow and use Ch 25's numbers where they exist. Draft requirement: "The system shall compare each imported bank line with the customer's open invoices and record a match when customer and amount agree within ₹1; any other line shall go to [named person] for review; every automatic match shall record the rule and time that produced it." Add "[Scale] asked for an audit trail and a named exception owner unprompted (Ch 25 §25.12)". Learn it in: Ch 25 §25.3 (the five moves) and §25.12.</t>
  </si>
  <si>
    <t xml:space="preserve">76B.8</t>
  </si>
  <si>
    <t xml:space="preserve">Q76-013 AC-1 "…'At Risk' flag on any account with a churn-risk score above the defined threshold"</t>
  </si>
  <si>
    <t xml:space="preserve">Ch 25 §25.8's lesson for this same story is "AC-2 contains the actual rule, not the word 'recently'". "The defined threshold" is the same vagueness, so the criterion can't be tested by hand. The model answer also drops Ch 25's scope criterion ("only accounts where I am the rep") and its "fourth kind" for data, the reconciliation criterion (AC-5).</t>
  </si>
  <si>
    <t xml:space="preserve">Name the rule: "…above 0.30 (the threshold set in FR-xx by call cost, Ch 39 §39.5)", or use Ch 25's rule ("last order more than 1.5× the account's own average gap"). Add "Given I am a logged-in sales rep, when I open the list, then I see only accounts where I am the assigned rep" and a reconciliation criterion ("Given the list is refreshed, when the count of accounts is compared with the model's output table for that day, then they agree"). Extra point: "+ [Validate] a reconciliation criterion, the one people new to data work miss (Ch 25 §25.8)".</t>
  </si>
  <si>
    <t xml:space="preserve">76B.9</t>
  </si>
  <si>
    <t xml:space="preserve">Section and ID scheme: "76.1 Requirements gathering", "Q76-001" … "§76.8"</t>
  </si>
  <si>
    <t xml:space="preserve">The chapter is 76B, but its sections and IDs say 76 / Q76-. Ch 76A uses Q76A-, cites this chapter as "Q76-001" / "Q76-033", and Ch 78 cites "Chapter 76B, §76.4". Once the chapters are renumbered, "Q76-001" is ambiguous.</t>
  </si>
  <si>
    <t xml:space="preserve">Renumber to §76B.1–76B.8 and Q76B-001–038 (or the final numbers set at assembly; sequence map). Update the internal refs (§76.3/§76.4/§76.6/§76.1/§76.8, "Q76-013", "Q76-002", "Q76-005" etc.), the Final-week list, Ch 76A (Q76A-016, Q76A-018) and Ch 78 (lines 494, 690).</t>
  </si>
  <si>
    <t xml:space="preserve">76B.10</t>
  </si>
  <si>
    <t xml:space="preserve">Q76-007 extra point "go straight to user stories (§76.4) for agile teams"</t>
  </si>
  <si>
    <t xml:space="preserve">Wrong section: user stories are §76.3; §76.4 is process mapping.</t>
  </si>
  <si>
    <t xml:space="preserve">"(§76.3)", then renumber per 76B.9.</t>
  </si>
  <si>
    <t xml:space="preserve">76B.11</t>
  </si>
  <si>
    <t xml:space="preserve">Q76-014 "Gherkin syntax"; Q76-015 INVEST; Q76-017 spike; Q76-026 Definition of Done; Q76-025 Product Owner; Q76-012 stakeholder register</t>
  </si>
  <si>
    <t xml:space="preserve">These are asked but never taught. Ch 25 §25.8 teaches Given/When/Then without the name "Gherkin"; Ch 26 §26.10 teaches sprints, backlog, Scrum and Kanban but not INVEST, spikes, DoD or roles; Ch 24 §24.3 teaches the power–interest grid and RACI but not a "stakeholder register". A reader who prepared with the book meets six terms cold.</t>
  </si>
  <si>
    <t xml:space="preserve">Pick one per item. (a) Teach it: add a short "Agile vocabulary a BA is asked about" box to Ch 26 §26.10 (INVEST, spike, Definition of Done, Product Owner / Scrum Master / Developers, product vs sprint backlog), add "(this format is called Gherkin)" to Ch 25 §25.8, and add "a stakeholder register is the grid written down as a table: name, role, power, interest, quadrant, how and when to update them" to Ch 24 §24.3. (b) Or mark each in the bank as "Not taught elsewhere in this book: learn the definition here" and give a two-line definition. Option (a) is recommended.</t>
  </si>
  <si>
    <t xml:space="preserve">76B.12</t>
  </si>
  <si>
    <t xml:space="preserve">Q76-003 "A business rule is a constraint the business operates under… ('orders over ₹5 lakh need manager approval')"</t>
  </si>
  <si>
    <t xml:space="preserve">Clashes with Ch 24 §24.2, which defines a business rule as "a definition that decides who's in a count and who isn't — 'active customer', 'on-time delivery'", written in Ch 23 §23.13's six-part template. Both meanings are legitimate (policy/constraint rules vs definitional rules), but a reader of Ch 24 will think one chapter is wrong.</t>
  </si>
  <si>
    <t xml:space="preserve">"A business rule is a statement of how the business works, independent of any system. Two kinds matter to a BA: constraints ('orders over ₹5 lakh need manager approval') and definitions ('active customer = a non-cancelled order in the trailing 90 days', Ch 24 §24.2). A requirement says what a system must do, often to enforce or compute one." Learn it in: Ch 24 §24.2 and Ch 23 §23.13.</t>
  </si>
  <si>
    <t xml:space="preserve">76B.13</t>
  </si>
  <si>
    <t xml:space="preserve">"Learn it in: Chapter 25 (BRD, FRD, and SRS documents)" and similar on Q76-002, 007, 008, 013, 018, 023, 028, 029</t>
  </si>
  <si>
    <t xml:space="preserve">Chapter-level pointers with no sections (a leftover of 76B.1: "not a specific section number, since that text doesn't exist yet"). Several rapid-fire items have no teaching pointer at all (Q76-004, 006, 009, 011, 019–022, 024, 026, 027, 031, 032, 034, 037). Others point back into the bank (Q76-016 → Q76-002; Q76-036 → Q76-005; Q76-030 → Q76-013; Q76-038 → §76.1/§76.6) or to Ch 69 only (Q76-010).</t>
  </si>
  <si>
    <t xml:space="preserve">Add exact sections. Q76-001 → Ch 24 §24.1 + Ch 25 §25.3; Q76-002 → Ch 25 §25.5; Q76-003 → Ch 24 §24.2; Q76-004 → Ch 25 §25.1 (the four verbs) + §25.3; Q76-005/036 → Ch 24 §24.3 + Ch 25 §25.4 ("the room starts talking"); Q76-006 → Ch 25 §25.7 (traceability matrix); Q76-007 → Ch 25 §25.7; Q76-008/009/013/014/016 → Ch 25 §25.8; Q76-010/011 → Ch 25 §25.7 (BRD contents: scope, assumptions, risks); Q76-012 → Ch 24 §24.3; Q76-015/017/024–026 → Ch 25 §25.2 + Ch 26 §26.10; Q76-018–022 → Ch 25 §25.4; Q76-023 → Ch 25 §25.2; Q76-027 → Ch 25 §25.11 + Common mistakes ("agreeing a scope change in a corridor"); Q76-028 → Ch 25 §25.9; Q76-029–032 → Ch 25 §25.10; Q76-033 → Ch 24 §24.8; Q76-035 → Ch 24 §24.4, §24.8; Q76-037 → Ch 24 §24.7; Q76-038 → Ch 25 §25.3 + §25.12.</t>
  </si>
  <si>
    <t xml:space="preserve">76B.14</t>
  </si>
  <si>
    <t xml:space="preserve">Q76-023 "planning, requirements/analysis, design, development, testing, deployment, maintenance… leads UAT (§76.6) during testing"</t>
  </si>
  <si>
    <t xml:space="preserve">Differs from Ch 25 §25.2 / Figure 25.1: six phases (no separate planning), with the BA *writing or reviewing* the UAT plan in Test and *running* UAT in Deploy. Ch 25 also warns "If the BA drives the mouse, the test measures the BA": real users run UAT. "Leads UAT" can read as the BA doing the testing.</t>
  </si>
  <si>
    <t xml:space="preserve">Use Ch 25's six phases and verbs: "Requirements (all of it) → Design (defend the requirement) → Build (stay available) → Test (write or review the UAT plan, prepare the users) → Deploy (users run UAT; BA facilitates, confirms sign-off, hands over) → Maintain (triage: defect or new requirement)." Add: "Ch 25 notes phase names vary; the sequence doesn't."</t>
  </si>
  <si>
    <t xml:space="preserve">76B.15</t>
  </si>
  <si>
    <t xml:space="preserve">Q76-029 extra points</t>
  </si>
  <si>
    <t xml:space="preserve">Leaves out the data-specific half of UAT that Ch 25 §25.10 calls the job "QA structurally cannot do": reconciling the numbers against a source the business already trusts, for one complete period, at more than one level of aggregation. This is the extra point a data-team BA interviewer is listening for.</t>
  </si>
  <si>
    <t xml:space="preserve">Add: "+ [Validate] for a data product, UAT has a second job: reconcile at least one complete period against a trusted source (last month's closed figures, the ERP report), at more than one level of aggregation, because a total can match while the breakdown doesn't (Ch 25 §25.10)."</t>
  </si>
  <si>
    <t xml:space="preserve">76B.16</t>
  </si>
  <si>
    <t xml:space="preserve">Tier rows: Q76-001 "Passes: Asks 'what do you mean by better?' and accepts whatever vague answer"; Q76-013 "Passes: Writes the one-sentence story, no acceptance criteria at all" vs red flag "criteria so vague they can't be tested"; Q76-018 "Passes: Draws a linear flowchart…"</t>
  </si>
  <si>
    <t xml:space="preserve">As in Ch 75/76A, some "Passes" rows describe answers that Ch 25 says fail ("A story without acceptance criteria cannot be tested, so it can never be finished"). In Ch 69 §69.4, a passing answer scores ~2: reasonable, unstructured.</t>
  </si>
  <si>
    <t xml:space="preserve">Q76-013 Passes: "A story plus one happy-path criterion, no edge case." Q76-001 Passes: "Asks what 'better' means, gets 'faster, clearer', and writes that down with one follow-up question." Q76-018 Passes: "A flowchart with the right steps in order, with a note on who does each, but no lanes and no handoffs called out."</t>
  </si>
  <si>
    <t xml:space="preserve">76B.17</t>
  </si>
  <si>
    <t xml:space="preserve">Q76-007 "an FRD… still readable by a business audience but more detailed"</t>
  </si>
  <si>
    <t xml:space="preserve">Ch 25 §25.7's table says an FRD is written for "developers, testers, the BA", detailed enough that "two developers reading it build the same thing". The BRD is the one "readable by someone who will never log in".</t>
  </si>
  <si>
    <t xml:space="preserve">"…an FRD translates them into numbered functional requirements, process flows, business rules and data definitions, written for developers and testers (detailed enough that two developers build the same thing)…" (Ch 25 §25.7).</t>
  </si>
  <si>
    <t xml:space="preserve">76B.18</t>
  </si>
  <si>
    <t xml:space="preserve">Q76-002 "the flag must appear within 2 seconds…"; follow-up "Give a non-functional requirement that isn't about speed"</t>
  </si>
  <si>
    <t xml:space="preserve">Ch 25 §25.5 has a whole table of data-specific NFRs (freshness, grain, completeness, reconciliation, timeliness, history, access, volume), described as "the ones that get dropped and then cause an incident". The bank doesn't reward knowing them, which is the natural extra point for a data BA.</t>
  </si>
  <si>
    <t xml:space="preserve">Add the extra point: "+ [Depth] names a data-specific NFR unprompted: freshness ('no more than two hours old during working hours') or reconciliation ('monthly revenue reconciles to the ERP to the rupee') (Ch 25 §25.5)."</t>
  </si>
  <si>
    <t xml:space="preserve">76B.19</t>
  </si>
  <si>
    <t xml:space="preserve">Q76-004 "via interviews, workshops, document analysis, observation, or surveys"</t>
  </si>
  <si>
    <t xml:space="preserve">The list of techniques is never taught. Ch 25 §25.3 teaches a five-move interview discipline, and §25.4 says you "cannot draw [a process] accurately from your desk" but doesn't name observation or workshops as techniques.</t>
  </si>
  <si>
    <t xml:space="preserve">Either add one line to Ch 25 §25.3 ("Techniques: one-to-one interviews, workshops, observing the work, reading existing documents and reports, surveys; the five moves below apply to all of them"), or keep the list here with "(not covered in Ch 25, which focuses on interviews)".</t>
  </si>
  <si>
    <t xml:space="preserve">76B.20</t>
  </si>
  <si>
    <t xml:space="preserve">Real world "Farah, now working as a Business Analyst after the career transition Chapters 8, 9, and 68 followed"</t>
  </si>
  <si>
    <t xml:space="preserve">In Ch 68 §68.6 and its real-world box, Farah is "working toward a data analyst role"; Ch 27 has her building a DA portfolio. "Finance wants… dormant accounts that should be written off" is also odd: finance writes off unpaid *receivables*, not customers who stopped ordering. Ch 25 already has a BA character, Ayesha Qureshi.</t>
  </si>
  <si>
    <t xml:space="preserve">Either "Farah, now a data analyst whose first project turned out to be requirements work…", or use Ayesha Qureshi (Ch 25's BA). Finance's need: "…flag dormant accounts with open balances for a bad-debt review, and close their credit limits".</t>
  </si>
  <si>
    <t xml:space="preserve">76B.21</t>
  </si>
  <si>
    <t xml:space="preserve">"Where this leads": "Chapter 78… picks up directly from this chapter's automation-requirement questions (Q76-038)"</t>
  </si>
  <si>
    <t xml:space="preserve">Ch 78 contains no invoice or payment matching. It cites 76B only for as-is-before-to-be (§76.4). Overclaimed link.</t>
  </si>
  <si>
    <t xml:space="preserve">"Chapter 78, Automation &amp; Integration Question Bank, takes automation from the requirement (Q76-038) to the build: choosing the tool, retries, idempotency, and alerting."</t>
  </si>
  <si>
    <t xml:space="preserve">76B.22</t>
  </si>
  <si>
    <t xml:space="preserve">Tools "Chapter 70's Excel/Sheets skills for a requirements traceability matrix"</t>
  </si>
  <si>
    <t xml:space="preserve">Ch 70 is a question bank. Ch 25 §25.7 says "Chapter 11's skills are enough to maintain one".</t>
  </si>
  <si>
    <t xml:space="preserve">"Chapter 11's spreadsheet skills (the same ones Chapter 25 §25.7 uses for a traceability matrix)".</t>
  </si>
  <si>
    <t xml:space="preserve">76B.23</t>
  </si>
  <si>
    <t xml:space="preserve">No "Before you start" or "Time needed" (Ch 68–69 have both). The spine lists no prerequisites.</t>
  </si>
  <si>
    <t xml:space="preserve">Add: "Before you start: Chapter 24 (all), Chapter 25 (all), Chapter 26 §26.10 (Agile, Scrum, backlog), Chapter 69. Time needed: 2.5–3 hours to read and drill once; 4–6 hours for the project."</t>
  </si>
  <si>
    <t xml:space="preserve">76B.24</t>
  </si>
  <si>
    <t xml:space="preserve">Section order / difficulty</t>
  </si>
  <si>
    <t xml:space="preserve">No per-question difficulty labels. "76.2 Basic-but-tricky BA questions" (BRD/FRD/SRS, user story vs requirement) comes *after* §76.1's applied elicitation, and SDLC (§76.5) comes after process mapping. Ch 25 teaches SDLC first. The progression runs applied → basic → applied.</t>
  </si>
  <si>
    <t xml:space="preserve">Tag each question Entry/Mid/Senior (as in 75.19). Either move §76.2 to the front ("Basic-but-tricky" first, as a warm-up), or rename §76.1 "Requirements gathering (core)" and keep the order, and add a one-line "How to use this chapter": entry-level candidates start with §76.2, §76.3, §76.5.</t>
  </si>
  <si>
    <t xml:space="preserve">76B.25</t>
  </si>
  <si>
    <t xml:space="preserve">§76.8 heading "Live-coding-style walk-throughs: full worked scenarios"</t>
  </si>
  <si>
    <t xml:space="preserve">"This chapter has no code to execute".</t>
  </si>
  <si>
    <t xml:space="preserve">"Full scenario, talked through live" (same as 75.20, 76A.21).</t>
  </si>
  <si>
    <t xml:space="preserve">76B.26</t>
  </si>
  <si>
    <t xml:space="preserve">Q76-038 "Say it's about 15% of invoices"</t>
  </si>
  <si>
    <t xml:space="preserve">Fine as an illustration, but Ch 25 §25.12 shows why the frequency matters ("If nine out of ten bank lines match cleanly…; if half of them need judgment…"). The answer asks for the number but doesn't say what 15% implies.</t>
  </si>
  <si>
    <t xml:space="preserve">Add: "At 15% exceptions, automation handles about 85% of lines unattended, which is worth building, as long as the other 15% go to a named person."</t>
  </si>
  <si>
    <t xml:space="preserve">V76B.1</t>
  </si>
  <si>
    <t xml:space="preserve">p. 3 · Intro callout, "A note on sourcing"</t>
  </si>
  <si>
    <t xml:space="preserve">The note reads: "Chapter 25 … not yet written at the time of this draft … Flagged clearly for a re-check once Chapter 25 is drafted…" It is internal status text printed for readers.</t>
  </si>
  <si>
    <t xml:space="preserve">Delete the note. Replace "chapter-level" pointers with real section numbers.</t>
  </si>
  <si>
    <t xml:space="preserve">V76B.2</t>
  </si>
  <si>
    <t xml:space="preserve">p. 2–17 · Section and question numbering</t>
  </si>
  <si>
    <t xml:space="preserve">The chapter title is "76B", but the Contents and headings read 76.1–76.8, the rapid-fire headings read "Rapid-fire, 76.1", and the IDs read Q76-001…Q76-038. Ch76A uses 76A.x / Q76A-xxx, so a cross-reference to "Q76-001" or "§76.4" (as in Ch76A and Ch78) doesn't say which chapter it means.</t>
  </si>
  <si>
    <t xml:space="preserve">Renumber to 76B.x / Q76B-xxx, or drop the letter from the title if the chapter becomes 76/77.</t>
  </si>
  <si>
    <t xml:space="preserve">V76B.3</t>
  </si>
  <si>
    <t xml:space="preserve">p. 9 · Worked example "order-to-cash, swimlane by role"</t>
  </si>
  <si>
    <t xml:space="preserve">The four lanes run together in one justified paragraph ("…enters order in CRM Warehouse lane: receives order → …"). There are no line breaks and no diagram, so the lanes and handoffs (the point of Q76-018) are not visible.</t>
  </si>
  <si>
    <t xml:space="preserve">Set one line per lane (a 2-column "Lane / Steps" table), or draw a simple swimlane figure.</t>
  </si>
  <si>
    <t xml:space="preserve">V76B.4</t>
  </si>
  <si>
    <t xml:space="preserve">p. 5, 6, 7, 8, 9, 10, 11, 12, 13, 14 · Rapid-fire "#" column</t>
  </si>
  <si>
    <t xml:space="preserve">IDs break as "Q76-" / "003".</t>
  </si>
  <si>
    <t xml:space="preserve">V76B.5</t>
  </si>
  <si>
    <t xml:space="preserve">V76B.6</t>
  </si>
  <si>
    <t xml:space="preserve">V76B.7</t>
  </si>
  <si>
    <t xml:space="preserve">p. 8→9 · Lead-in</t>
  </si>
  <si>
    <t xml:space="preserve">"Worked example, order-to-cash, swimlane by role:" ends p. 8 above a 17 % gap. The callout is on p. 9.</t>
  </si>
  <si>
    <t xml:space="preserve">V76B.8</t>
  </si>
  <si>
    <t xml:space="preserve">p. 3→4 · Lead-in</t>
  </si>
  <si>
    <t xml:space="preserve">"Worked example, a real elicitation dialogue:" ends p. 3. The dialogue starts p. 4.</t>
  </si>
  <si>
    <t xml:space="preserve">V76B.9</t>
  </si>
  <si>
    <t xml:space="preserve">The key-terms paragraph splits, with one line ("as-is vs. to-be · gap analysis · … UAT sign-off") at the top of p. 17.</t>
  </si>
  <si>
    <t xml:space="preserve">V76B.10</t>
  </si>
  <si>
    <t xml:space="preserve">p. 5, 6, 8, 9, 10, 12, 14 · Tier / rapid-fire tables</t>
  </si>
  <si>
    <t xml:space="preserve">Split with 1–2 rows under a repeated header.</t>
  </si>
  <si>
    <t xml:space="preserve">V76B.11</t>
  </si>
  <si>
    <t xml:space="preserve">"PLAYBOOK" is orphaned.</t>
  </si>
  <si>
    <t xml:space="preserve">77.1</t>
  </si>
  <si>
    <t xml:space="preserve">Header: "since this chat doesn't have Part V's approved text to check exact section numbers"</t>
  </si>
  <si>
    <t xml:space="preserve">Drafting leftover that reaches the reader ("this chat", "approved text"). It also isn't true any more: Part V is in the book, with numbered sections.</t>
  </si>
  <si>
    <t xml:space="preserve">Delete the whole paragraph from "Learn it in pointers reference…" to "…against." Replace it with: "Learn it in pointers name the chapter and section where each idea is taught, mostly Part V (Chapters 45–52) and Chapter 28 (data modeling)." Then fix every pointer as listed in 77.2–77.12.</t>
  </si>
  <si>
    <t xml:space="preserve">77.2</t>
  </si>
  <si>
    <t xml:space="preserve">Q77-001, 002, 007, 008, 028: "Learn it in: Part V (this book)"</t>
  </si>
  <si>
    <t xml:space="preserve">Five core questions point only to a whole Part, eight chapters long. A reader revising for an interview can't find the teaching. Every one of these topics has an exact section.</t>
  </si>
  <si>
    <t xml:space="preserve">Replace them: Q77-001 → "Chapter 32, §32.1 (ETL vs. ELT) and Chapter 45 (ingestion)". Q77-002 → "Chapter 50, §50.1 (what 'real-time' actually means)". Q77-007 → "Chapter 45 (upserts) and Chapter 46, §46.4 (idempotency, proven with a failure test)". Q77-008 → "Chapter 50, §50.3 (delivery guarantees) and Chapter 51, §51.4 (idempotent writes)". Q77-028 → "Chapter 47, §47.2–47.3 (tests in the pipeline, a check library) and §47.5 (volume)"; keep the Ch 36 §36.7 cross-link only as "see also".</t>
  </si>
  <si>
    <t xml:space="preserve">77.3</t>
  </si>
  <si>
    <t xml:space="preserve">Q77-013: "Learn it in: Chapter 16 (star schema/dimensional modeling)"</t>
  </si>
  <si>
    <t xml:space="preserve">Wrong chapter. Ch 16 (§16.3) builds a Power BI star schema but never teaches slowly changing dimensions. SCD Types 1/2/3, surrogate keys and validity periods are taught in Ch 28 §28.10, and dbt snapshots in Ch 32 §32.9. A beginner sent to Ch 16 won't find SCD at all.</t>
  </si>
  <si>
    <t xml:space="preserve">Change to "Learn it in: Chapter 28, §28.9–28.10 (dimensional modeling; slowly changing dimensions), and Chapter 32, §32.9 (dbt snapshots do Type 2 for you)."</t>
  </si>
  <si>
    <t xml:space="preserve">77.4</t>
  </si>
  <si>
    <t xml:space="preserve">Q77-018: "Learn it in: Chapter 72A (topological concepts build on…BFS/DFS questions)"</t>
  </si>
  <si>
    <t xml:space="preserve">The book never teaches topological sort or Kahn's algorithm: a search of every chapter finds "topological" only in Ch 77. Ch 72A Q72A-028 teaches BFS/DFS traversal, not dependency ordering. Ch 33 §33.4 covers graphs; Ch 46 §46.2 defines the DAG. Yet the Strong tier requires naming topological sort, and the red flag is "unable to name the standard algorithm". So the question grades against material that isn't taught.</t>
  </si>
  <si>
    <t xml:space="preserve">Either (a) teach it here in 4 short cells: build in-degree counts; queue the tasks with in-degree 0; pop a task, append it to the order, and decrement its children; if the order is shorter than the task count, there's a cycle. Show output after each cell and explain deque, popleft, and in-degree. Or (b) add a half-page "Running tasks in dependency order (topological sort)" box to Ch 33 §33.4 or Ch 46 §46.2 and point there. Either way, change the pointer to "Chapter 46, §46.2 (DAGs) and Chapter 33, §33.4 (graphs)" plus the new location.</t>
  </si>
  <si>
    <t xml:space="preserve">77.5</t>
  </si>
  <si>
    <t xml:space="preserve">Q77-018 code: "# topological sort via Kahn's algorithm" then the printed order</t>
  </si>
  <si>
    <t xml:space="preserve">The code block shows only the dag dictionary. The algorithm is a single comment, yet the output line is presented as "Verified, live" and "algorithmically-produced". A reader can't reproduce it, and can't see why extract_customers comes second (it depends on the queue being FIFO and the dict keeping insertion order).</t>
  </si>
  <si>
    <t xml:space="preserve">Show the full function (about 12 lines, see 77.4) under the dict and call it with print(topo_order(dag)). Explain that the order depends on dict insertion order and the FIFO queue, and that a different valid order (e.g. extract_customers first) is equally correct, which is the point of the question.</t>
  </si>
  <si>
    <t xml:space="preserve">77.6</t>
  </si>
  <si>
    <t xml:space="preserve">Q77-007: "INSERT INTO daily_summary VALUES ('2025-01-05', 10000) ON CONFLICT (order_date)…"</t>
  </si>
  <si>
    <t xml:space="preserve">As shown, this fails. ON CONFLICT (order_date) needs a unique constraint or primary key on order_date, and the chapter never creates the table. Reproduced on PG 16: "ERROR: there is no unique or exclusion constraint matching the ON CONFLICT specification". The output line "row count after running the same insert twice: 1" isn't psql output either; the SELECT COUNT(*) that produced it isn't shown.</t>
  </si>
  <si>
    <t xml:space="preserve">Add the setup cell first: CREATE TABLE daily_summary (order_date DATE PRIMARY KEY, total_revenue NUMERIC);. Say in one line: "ON CONFLICT only works when the conflict column is declared unique; the primary key is what makes 'the same day' detectable." Show the second run, then SELECT COUNT(*) FROM daily_summary; with psql's real output (count / 1). Explain EXCLUDED (the row you tried to insert). Add to the Strong tier: "the upsert needs a unique key on the business key".</t>
  </si>
  <si>
    <t xml:space="preserve">77.7</t>
  </si>
  <si>
    <t xml:space="preserve">Q77-013 SCD code: "INSERT INTO customer_history VALUES (1, 'Sharma Hardware', …)"</t>
  </si>
  <si>
    <t xml:space="preserve">Three problems. (1) There's no surrogate key: the table has only customer_id, which repeats across versions. Q77-015 in the same chapter says "each row still needs its own unique surrogate key", and Ch 28 §28.10 uses customer_key SERIAL PRIMARY KEY. (2) Dates: the old row closes on 2025-05-31 and the new one opens on 2025-06-01. Ch 28 §28.10 teaches a half-open period, where valid_to is excluded and facts join with order_date &lt; valid_to. Under that rule no version covers 2025-05-31, so a join drops orders from that day. (3) The Strong tier says "both inside the same transaction", but the code has no BEGIN/COMMIT.</t>
  </si>
  <si>
    <t xml:space="preserve">Show CREATE TABLE customer_history (customer_key SERIAL PRIMARY KEY, customer_id INT NOT NULL, …, valid_from DATE NOT NULL, valid_to DATE NOT NULL DEFAULT '9999-12-31', is_current BOOLEAN NOT NULL DEFAULT TRUE);. Wrap the two statements in BEGIN; … COMMIT;. Use valid_to = '2025-06-01' for the closed row, so the periods are half-open and there's no gap, and add one line: "valid_to is the first day the row is no longer true". Add customer_key to the output (1 and 2). Also flag for the Part III review: Ch 28's own example (close 2026-03-31, open 2026-04-01) has the same gap under its own half-open rule.</t>
  </si>
  <si>
    <t xml:space="preserve">77.8</t>
  </si>
  <si>
    <t xml:space="preserve">Q77-003: "[Learn it in] Chapter 16 (star schema) covers the warehouse modeling side"</t>
  </si>
  <si>
    <t xml:space="preserve">The question is warehouse vs. lake vs. lakehouse. That is taught in Ch 49 (§49.1 "Where data sits", §49.5 table formats, §49.7 warehouses), not Ch 16.</t>
  </si>
  <si>
    <t xml:space="preserve">Replace with "[Learn it in] Chapter 49, §49.1, §49.5, §49.7; star-schema modeling in Chapter 28, §28.9".</t>
  </si>
  <si>
    <t xml:space="preserve">77.9</t>
  </si>
  <si>
    <t xml:space="preserve">Q77-014: "[Learn it in] Chapter 70, §70.9 already covers this"</t>
  </si>
  <si>
    <t xml:space="preserve">Ch 70 has no §70.9; it ends at §70.7 (DAX and Power BI modeling), which mentions snowflake schemas only as a follow-up. The teaching is Ch 28 §28.9 ("Star or snowflake?") and Ch 16 §16.3.</t>
  </si>
  <si>
    <t xml:space="preserve">Change to "[Learn it in] Chapter 28, §28.9 (star or snowflake?), Chapter 16, §16.3; tested from the BI side in Chapter 70, §70.7".</t>
  </si>
  <si>
    <t xml:space="preserve">77.10</t>
  </si>
  <si>
    <t xml:space="preserve">Q77-035: "Learn it in: Chapter 71, Q71-023 (exact-match dedup)"</t>
  </si>
  <si>
    <t xml:space="preserve">Wrong question number. Q71-023 is "What does SUM(x) OVER (ORDER BY month) compute" (a running total). Exact-duplicate detection is Q71-027 ("Find any duplicate customer names"). The answer also skips where fuzzy dedup is taught in full: Ch 14 §14.4 (match keys, similarity, "never auto-merge"), which is exactly the design's approach.</t>
  </si>
  <si>
    <t xml:space="preserve">Change to "Chapter 14, §14.4 (exact and fuzzy duplicates, match keys), Chapter 71, Q71-027 (exact-match dedup), Chapter 33, §33.1 and Chapter 72A, Q72A-002 (the O(n²) cost)". In the answer, add "the same match-key idea as Chapter 14's" next to "blocking".</t>
  </si>
  <si>
    <t xml:space="preserve">77.11</t>
  </si>
  <si>
    <t xml:space="preserve">Q77-026: "[Learn it in] Chapter 71, Q71-053 (the same SELECT * habit…)"</t>
  </si>
  <si>
    <t xml:space="preserve">Q71-053 is about why SELECT * with GROUP BY errors, which is a correctness question, not an I/O-cost one. The pointer doesn't support the answer. The I/O argument is taught in Ch 49 §49.2 (row vs. columnar, measured).</t>
  </si>
  <si>
    <t xml:space="preserve">Change to "[Learn it in] Chapter 49, §49.2 (what a query has to read); see also Chapter 71, Q71-053 for SELECT * with GROUP BY".</t>
  </si>
  <si>
    <t xml:space="preserve">77.12</t>
  </si>
  <si>
    <t xml:space="preserve">Q77-023: "Learn it in: Chapter 71, §71.10 (indexing…partitioning is the table-level cousin…)"</t>
  </si>
  <si>
    <t xml:space="preserve">§71.10 is an interview bank section on EXPLAIN and indexes; it doesn't teach partitioning. Partitioning and pruning are taught in Ch 48 (pruning 91 of 92 folders) and Ch 49 §49.6. EXPLAIN is taught in Ch 28 §28.5. PostgreSQL's declarative syntax (PARTITION BY RANGE, PARTITION OF … FOR VALUES FROM … TO) appears nowhere else in the book, so the Strong answer depends on syntax that was never taught.</t>
  </si>
  <si>
    <t xml:space="preserve">Pointer → "Chapter 49, §49.6 (partitioning and file sizing), Chapter 48 (pruning), Chapter 28, §28.5 (reading EXPLAIN)". Under the code, add three lines explaining the new syntax: PARTITION BY RANGE (col) declares the parent; PARTITION OF parent FOR VALUES FROM (a) TO (b) creates a child, with a included and b excluded; a row is routed to its child automatically on INSERT.</t>
  </si>
  <si>
    <t xml:space="preserve">77.13</t>
  </si>
  <si>
    <t xml:space="preserve">Q77-023 plan: "(cost=0.00..25.00 rows=6 width=40)"</t>
  </si>
  <si>
    <t xml:space="preserve">The plan is correct but was captured before ANALYZE. rows=6 and width=40 are the planner's defaults, not the real ~32 matching rows; after ANALYZE the same query shows cost=0.00..18.50 rows=32 width=10. A reader who runs the chapter's own "load 1,000 rows" setup and then ANALYZE will see different numbers and think they made a mistake. The 1,000-row load statement isn't shown either.</t>
  </si>
  <si>
    <t xml:space="preserve">Code / Numbers</t>
  </si>
  <si>
    <t xml:space="preserve">Show the load (INSERT … SELECT … FROM generate_series(1,1000)), run ANALYZE events_partitioned;, and show the post-ANALYZE plan. Add one line: "the numbers in brackets are estimates; only the partition name matters here". Optionally add EXPLAIN with WHERE event_date = CURRENT_DATE to show "Subplans Removed" (pruning at execution time).</t>
  </si>
  <si>
    <t xml:space="preserve">77.14</t>
  </si>
  <si>
    <t xml:space="preserve">Q77-023 Extra: "dropping an entire month's stale data is DROP TABLE events_2025_01"</t>
  </si>
  <si>
    <t xml:space="preserve">True, but beginners should learn the safer idiom: ALTER TABLE events_partitioned DETACH PARTITION events_2025_01;, then archive, then drop.</t>
  </si>
  <si>
    <t xml:space="preserve">Change to "…is ALTER TABLE … DETACH PARTITION events_2025_01 (then archive or DROP TABLE) instead of a slow, logged DELETE…".</t>
  </si>
  <si>
    <t xml:space="preserve">77.15</t>
  </si>
  <si>
    <t xml:space="preserve">Q77-024: "Partitioning splits a table within one database instance; sharding splits…across…machines"</t>
  </si>
  <si>
    <t xml:space="preserve">This is true only of single-database table partitioning. The book itself uses "partition" for data spread across machines: Spark partitions across workers (Ch 48), Kafka topic partitions across brokers (Ch 50). A reader who learned Part V will find this answer contradicts it.</t>
  </si>
  <si>
    <t xml:space="preserve">Rewrite: "Table partitioning (as in Q77-023) splits a table into pieces inside one database; sharding spreads data across separate database servers, with a routing layer… (Note: in Spark and Kafka, Chapters 48 and 50, 'partition' also means a piece of data that can live on a different machine; the word depends on the system.)" Add "[Learn it in] Chapter 61 (sharding)".</t>
  </si>
  <si>
    <t xml:space="preserve">77.16</t>
  </si>
  <si>
    <t xml:space="preserve">Q77-017: "What's a junk dimension?"</t>
  </si>
  <si>
    <t xml:space="preserve">Never taught: the phrase appears in no other chapter. Ch 28 covers dimensions and denormalization but not junk dimensions.</t>
  </si>
  <si>
    <t xml:space="preserve">Either add a two-sentence "junk dimension" note to Ch 28 §28.9 (e.g. Riverstone's is_rush, is_gift_wrap and payment_type flags combined into dim_order_flags) and point to it, or mark the question "[Beyond the book]" with a one-line pointer to Kimball's *The Data Warehouse Toolkit*.</t>
  </si>
  <si>
    <t xml:space="preserve">77.17</t>
  </si>
  <si>
    <t xml:space="preserve">Q77-022: "What's backpressure, in a streaming context?"</t>
  </si>
  <si>
    <t xml:space="preserve">Never taught ("backpressure" appears only in Ch 77). Ch 50 teaches consumer lag, the closest idea. The answer also doesn't fit the Kafka design used in Q77-034: with a log/queue, a slow consumer just falls behind (lag grows) and doesn't signal the producer. Explicit backpressure is for push-based systems.</t>
  </si>
  <si>
    <t xml:space="preserve">Alignment / Correctness</t>
  </si>
  <si>
    <t xml:space="preserve">Add to the answer: "With a log such as Kafka (Chapter 50), producers aren't slowed down; the consumer reads at its own pace and the gap shows up as consumer lag, which is why §50.7 tells you to monitor lag." Pointer: "[Learn it in] Chapter 50, §50.2 and §50.7 (lag)".</t>
  </si>
  <si>
    <t xml:space="preserve">77.18</t>
  </si>
  <si>
    <t xml:space="preserve">Q77-020: "What's a sensor (or a 'wait for' task) in an orchestration tool?"</t>
  </si>
  <si>
    <t xml:space="preserve">In Ch 46, a "sensor" is Dagster's run_failure_sensor, something that watches for an event and triggers an action. Here a sensor is Airflow's "wait for" task. The reader who learned Ch 46 meets two meanings with no warning.</t>
  </si>
  <si>
    <t xml:space="preserve">Add: "In Airflow a sensor is a task that waits; in Dagster (Chapter 46, §46.6) a sensor watches for an event and starts a run or alert. Both react to something outside the schedule." Pointer: "[Learn it in] Chapter 46, §46.6 and §46.8".</t>
  </si>
  <si>
    <t xml:space="preserve">77.19</t>
  </si>
  <si>
    <t xml:space="preserve">Q77-019: "[Learn it in] Chapter 72A, Q72A-028 (BFS/DFS both need cycle-awareness…)"</t>
  </si>
  <si>
    <t xml:space="preserve">Acyclicity is defined and taught in Ch 46 §46.2 ("'Acyclic' means you can never follow the arrows back"). Q72A-028 is a traversal question.</t>
  </si>
  <si>
    <t xml:space="preserve">Change to "[Learn it in] Chapter 46, §46.2; cycle-awareness in traversal: Chapter 72A, Q72A-028".</t>
  </si>
  <si>
    <t xml:space="preserve">77.20</t>
  </si>
  <si>
    <t xml:space="preserve">Rapid-fire 77.1–77.6: Q77-004, 005, 006, 009, 010, 011, 012, 021, 025, 027, 029–032</t>
  </si>
  <si>
    <t xml:space="preserve">These rapid-fire rows have no "Learn it in", though each topic has an exact teaching section. Some rows use the Extra-point column for a pointer, others don't.</t>
  </si>
  <si>
    <t xml:space="preserve">Add a pointer in the Extra-point column (or a new last column): Q77-004 → Ch 47 §47.7; Q77-005 → Ch 45 §45.3–45.4; Q77-006 → Ch 45 §45.6; Q77-009 → Ch 45 §45.8; Q77-010 → Ch 46 §46.5; Q77-011 → Ch 45 §45.4–45.5; Q77-012 → Ch 50 (dead-letter path, §50.7); Q77-021 → Ch 46 §46.10; Q77-025 → Ch 28 (materialized view, §28.11) plus Q71-069/Q71-073; Q77-027 → Ch 49 §49.2–49.3; Q77-029 → Ch 47 §47.5; Q77-030 → Ch 47 §47.6; Q77-031 → Ch 47 §47.5 (freshness); Q77-032 → Ch 47 §47.9 and Ch 20 §20.8.</t>
  </si>
  <si>
    <t xml:space="preserve">77.21</t>
  </si>
  <si>
    <t xml:space="preserve">Q77-031 title: "Why alert on a pipeline's absence of failure alerts, not just its failures?"</t>
  </si>
  <si>
    <t xml:space="preserve">The title is hard to parse ("absence of failure alerts"). What it describes is a heartbeat / dead-man's-switch or freshness check. Ch 47 §47.5 calls it freshness.</t>
  </si>
  <si>
    <t xml:space="preserve">Retitle: "Why does a monitoring setup need a heartbeat, an alert when a pipeline or monitor has gone silent, and not just failure alerts?" Name the term "heartbeat (dead-man's switch)" in the answer and link it to Ch 47's freshness check.</t>
  </si>
  <si>
    <t xml:space="preserve">77.22</t>
  </si>
  <si>
    <t xml:space="preserve">Tier tables, e.g. Q77-008 Passes: "Claims a specific tool…'guarantees exactly-once' with no qualification"</t>
  </si>
  <si>
    <t xml:space="preserve">Ch 69 §69.4 defines "Passes" as a reasonable but unstructured answer scoring about 2. Here several "Passes" rows describe the red flag, i.e. a wrong answer: Q77-008 (same as its red flag), Q77-028 ("You'd check the data looks right" ≈ red flag "manual spot-checks"). A reader can't tell a pass from a fail.</t>
  </si>
  <si>
    <t xml:space="preserve">Rewrite each such Passes row as a partly-right answer. Q77-008: "Defines at-least-once and at-most-once correctly but treats exactly-once as a setting you switch on". Q77-028: "Names one sensible check (e.g. no negative revenue) but runs it manually, after the fact". Leave the wrong answer only in the Red flag.</t>
  </si>
  <si>
    <t xml:space="preserve">77.23</t>
  </si>
  <si>
    <t xml:space="preserve">Q77-008 Answer: "achieved in practice by combining at-least-once delivery with idempotent processing"</t>
  </si>
  <si>
    <t xml:space="preserve">Correct but incomplete against Ch 50, which also teaches the transactional way: "Exactly-once: achieved only when the processing and the offset commit happen in one [transaction]". A candidate who read Ch 50 may think the two contradict.</t>
  </si>
  <si>
    <t xml:space="preserve">Add to Extra points: "+ [Depth] the other route, used by Spark checkpoints and Kafka transactions (Chapter 50, §50.3), commits the output and the read position together in one transaction."</t>
  </si>
  <si>
    <t xml:space="preserve">77.24</t>
  </si>
  <si>
    <t xml:space="preserve">Q77-034 Answer: "event time, not processing time…with a defined lateness tolerance"</t>
  </si>
  <si>
    <t xml:space="preserve">Correct, but it doesn't name the term the book taught ("watermark", Ch 50 §50.5) or point to Riverstone's own plant-monitoring case (Ch 50 §50.8), which this question retells.</t>
  </si>
  <si>
    <t xml:space="preserve">Add "(a watermark)" after "lateness tolerance". Change the pointer to "Learn it in: Chapter 50, §50.5 (event time, windows, watermarks) and §50.8 (Riverstone's plant monitoring case), plus §77.1–77.2".</t>
  </si>
  <si>
    <t xml:space="preserve">77.25</t>
  </si>
  <si>
    <t xml:space="preserve">Q77-033 closing: "Learn it in: Every section of this chapter, pulled together."</t>
  </si>
  <si>
    <t xml:space="preserve">Points only to itself. The teaching case is Ch 46 §46.3 (building Riverstone's daily pipeline) and §46.7 (delivery only after checks pass), which this design mirrors.</t>
  </si>
  <si>
    <t xml:space="preserve">"Learn it in: Chapter 46, §46.3–46.7 (Riverstone's daily pipeline, built), Chapter 47, §47.4 (write–audit–publish); this chapter's §77.1–77.6 pulled together." Also mention write–audit–publish by name in the design ("quality checks run before the pipeline is considered successful" is WAP).</t>
  </si>
  <si>
    <t xml:space="preserve">77.26</t>
  </si>
  <si>
    <t xml:space="preserve">Header: "Same format as Chapters 70–76"</t>
  </si>
  <si>
    <t xml:space="preserve">Part VIII includes 72A, 76A and 76B, and those will be renumbered (sequence map). "70–76" will be wrong after that.</t>
  </si>
  <si>
    <t xml:space="preserve">Change to "Same format as the other question banks (Chapters 70 onward)", or fix it after the Part VIII renumbering. Same fix in Ch 78 ("70–77") and Ch 79 ("70–78").</t>
  </si>
  <si>
    <t xml:space="preserve">77.27</t>
  </si>
  <si>
    <t xml:space="preserve">Header: "Learn it in pointers reference Chapters 12–13 (SQL), 16…"</t>
  </si>
  <si>
    <t xml:space="preserve">Chapters 12–13 are never actually referenced in the chapter.</t>
  </si>
  <si>
    <t xml:space="preserve">Rewrite as in 77.1.</t>
  </si>
  <si>
    <t xml:space="preserve">77.28</t>
  </si>
  <si>
    <t xml:space="preserve">No "Before you start" line. Unlike the teaching chapters, this bank doesn't say it assumes Part V, Ch 28 (modeling), and Ch 71/72A. A reader who jumps here from the Part VIII contents list gets no warning.</t>
  </si>
  <si>
    <t xml:space="preserve">Add under the "You will learn to" block: "Before you start: Chapters 28 (modeling), 45–50 (ingestion to streaming), 71 (SQL bank) and 72A (complexity)."</t>
  </si>
  <si>
    <t xml:space="preserve">77.29</t>
  </si>
  <si>
    <t xml:space="preserve">Q77-028 Worked example: "more than 50% below the trailing 7-day average"</t>
  </si>
  <si>
    <t xml:space="preserve">Edge case the story then walks into. After a few zero-row days, the trailing average itself falls toward zero, so after about a week the check stops firing. That is exactly the three-week silent failure the story describes.</t>
  </si>
  <si>
    <t xml:space="preserve">Correctness (depth)</t>
  </si>
  <si>
    <t xml:space="preserve">Add to Extra points: "+ [Edge cases] compute the baseline from days that passed their checks, or use the same weekday over the last 4 weeks, so a run of bad days can't drag the baseline down with it."</t>
  </si>
  <si>
    <t xml:space="preserve">V77.1</t>
  </si>
  <si>
    <t xml:space="preserve">Drafting note printed: "…at chapter level, since this chat doesn't have Part V's approved text to check exact section numbers against."</t>
  </si>
  <si>
    <t xml:space="preserve">Delete it and resolve the references.</t>
  </si>
  <si>
    <t xml:space="preserve">V77.2</t>
  </si>
  <si>
    <t xml:space="preserve">p. 14 (also 13) · Q77-035 walk-through</t>
  </si>
  <si>
    <t xml:space="preserve">"Talked through live, start to finish:" ends p. 14, leaving 33 % of the page blank. The answer callout is on p. 15. The same stranding occurs at the foot of p. 13 (Q77-034).</t>
  </si>
  <si>
    <t xml:space="preserve">Allow the callout to split, or move the lead-in with it.</t>
  </si>
  <si>
    <t xml:space="preserve">V77.3</t>
  </si>
  <si>
    <t xml:space="preserve">p. 7, 10 · SQL code blocks</t>
  </si>
  <si>
    <t xml:space="preserve">Long statements wrap to column 0 with no marker. On p. 7: "…WHERE customer_id=1 AND" / "is_current=TRUE;" and "…'9999-12-31'," / "TRUE);". On p. 10: "…PARTITION BY RANGE" / "(event_date);" and "…TO" / "('2025-02-01');" twice. The wrapped fragments read like new statements.</t>
  </si>
  <si>
    <t xml:space="preserve">Break the SQL at clause boundaries with an indent (e.g., AND is_current = TRUE; on its own indented line).</t>
  </si>
  <si>
    <t xml:space="preserve">V77.4</t>
  </si>
  <si>
    <t xml:space="preserve">p. 4, 5, 6, 7, 8, 9, 10, 11, 12 · Rapid-fire "#" column</t>
  </si>
  <si>
    <t xml:space="preserve">IDs break as "Q77-" / "003".</t>
  </si>
  <si>
    <t xml:space="preserve">V77.5</t>
  </si>
  <si>
    <t xml:space="preserve">V77.6</t>
  </si>
  <si>
    <t xml:space="preserve">Truncated: "…idempotency, partitioning, and schema evolution, not just…".</t>
  </si>
  <si>
    <t xml:space="preserve">V77.7</t>
  </si>
  <si>
    <t xml:space="preserve">V77.8</t>
  </si>
  <si>
    <t xml:space="preserve">p. 8→9, 11→12 · Lead-ins at page foot</t>
  </si>
  <si>
    <t xml:space="preserve">"Verified, live:" ends p. 8 (the DAG code is on p. 9), and "Worked example, a concrete check:" ends p. 11.</t>
  </si>
  <si>
    <t xml:space="preserve">V77.9</t>
  </si>
  <si>
    <t xml:space="preserve">p. 15→16 · Common-mistakes table</t>
  </si>
  <si>
    <t xml:space="preserve">A single row ("A dedup design comparing every record pair…") is carried to p. 16 under a repeated header.</t>
  </si>
  <si>
    <t xml:space="preserve">V77.10</t>
  </si>
  <si>
    <t xml:space="preserve">p. 10 · Tier table Q77-023</t>
  </si>
  <si>
    <t xml:space="preserve">Inline code breaks across lines inside the cell ("DROP TABLE events_2025_01" / "instead of a slow, logged DELETE"), and the pill pads a space before ";" in the body text above ("events_2025_01 ;").</t>
  </si>
  <si>
    <t xml:space="preserve">Non-breaking inline code; trim pill margin.</t>
  </si>
  <si>
    <t xml:space="preserve">V77.11</t>
  </si>
  <si>
    <t xml:space="preserve">p. 4, 6, 12 · "Learn it in:" lines</t>
  </si>
  <si>
    <t xml:space="preserve">The pointers read "Part V (this book)", with no chapter number. They follow from V77.1.</t>
  </si>
  <si>
    <t xml:space="preserve">Give chapter numbers.</t>
  </si>
  <si>
    <t xml:space="preserve">V77.12</t>
  </si>
  <si>
    <t xml:space="preserve">p. 17 · Final-week revision list</t>
  </si>
  <si>
    <t xml:space="preserve">"Q77-" / "035" is hyphen-broken.</t>
  </si>
  <si>
    <t xml:space="preserve">V77.13</t>
  </si>
  <si>
    <t xml:space="preserve">p. 9 · Python block</t>
  </si>
  <si>
    <t xml:space="preserve">The DAG / topological-sort Python input uses the grey output rule, unlike SQL input in the same chapter.</t>
  </si>
  <si>
    <t xml:space="preserve">Blue rule for all input.</t>
  </si>
  <si>
    <t xml:space="preserve">78.1</t>
  </si>
  <si>
    <t xml:space="preserve">Q78-017 code: "time.sleep(delay)"</t>
  </si>
  <si>
    <t xml:space="preserve">time is never imported. Running the block as printed with a flaky function raises NameError: name 'time' is not defined on the first retry (reproduced). The printed output ("attempt 1 failed, retrying in 0.010s … succeeded on attempt 3") can't come from this code: it has no print statements, and the flaky test function isn't shown. The "Tools" paragraph also claims every pattern "runs on plain Python 3.12".</t>
  </si>
  <si>
    <t xml:space="preserve">Split into 3 cells. (1) import time plus a flaky() function that raises ConnectionError on its first two calls (show it, with a counter). (2) call_with_retry with a print(f"attempt {attempt} failed, retrying in {delay:.3f}s") before time.sleep, and a print(f"succeeded on attempt {attempt}") on success. (3) call_with_retry(flaky) with its real output. Explain each parameter: max_attempts, base_delay, 2  (attempt - 1), the bare raise (re-throws the last error), and why only ConnectionError is caught (retry transient errors; fail fast on others, as Ch 45 §45.9 teaches).</t>
  </si>
  <si>
    <t xml:space="preserve">78.2</t>
  </si>
  <si>
    <t xml:space="preserve">Q78-017: "Learn it in: Chapter 77, §77.2 (delivery guarantees and idempotency…)"</t>
  </si>
  <si>
    <t xml:space="preserve">Exponential backoff, jitter, Retry-After and "retry 429/503/timeouts, fail fast on 4xx" are all taught with runnable code in Ch 45 §45.9 ("The waits … are 1, 2, 4, 8, and 16 seconds. This is exponential backoff… jitter"), with retry policies in Ch 46 §46.6. Ch 77 has no retry/backoff content.</t>
  </si>
  <si>
    <t xml:space="preserve">Change to "Learn it in: Chapter 45, §45.9 (retries with exponential backoff and jitter), Chapter 46, §46.6 (retry policies and timeouts); why a retry must be idempotent: Chapter 46, §46.4." Add to the Strong tier: "retries only transient errors (429, 503, timeouts), not 400/401/404", since Ch 45 teaches it.</t>
  </si>
  <si>
    <t xml:space="preserve">78.3</t>
  </si>
  <si>
    <t xml:space="preserve">Q78-009: "Usually wait, with backoff (Q78-013)"</t>
  </si>
  <si>
    <t xml:space="preserve">Wrong cross-reference. Q78-013 is reverse ETL; backoff is Q78-017.</t>
  </si>
  <si>
    <t xml:space="preserve">Change "(Q78-013)" to "(Q78-017)".</t>
  </si>
  <si>
    <t xml:space="preserve">78.4</t>
  </si>
  <si>
    <t xml:space="preserve">Q78-029 code: "sync_lead_score("lead_101", 80) # -&gt; "updated lead_101: 72 -&gt; 80""</t>
  </si>
  <si>
    <t xml:space="preserve">sync_lead_score is called but never defined. Outputs appear only as comments, and the "record count after both operations: 3" line has no code behind it. It's labelled "Verified, live", but the reader can't run it.</t>
  </si>
  <si>
    <t xml:space="preserve">Show the function (6 lines): def sync_lead_score(lead_id, score): / if lead_id in existing_crm_records: / old = existing_crm_records[lead_id]["score"] / existing_crm_records[lead_id]["score"] = score / return f"updated {lead_id}: {old} -&gt; {score}" / else create and return f"created {lead_id} with score {score}". Then print each call and print(len(existing_crm_records)) → 3. Explain that the dict stands in for the CRM, and that the in check is the "look up by external ID" step.</t>
  </si>
  <si>
    <t xml:space="preserve">78.5</t>
  </si>
  <si>
    <t xml:space="preserve">Q78-015 Extra: "verified live: a simple rate limiter correctly allowed 3 rapid calls…rejected the 4th and 5th"</t>
  </si>
  <si>
    <t xml:space="preserve">Claims a verified run, but no code or output appears anywhere in the chapter. The header also lists "rate limiting" among the executed patterns.</t>
  </si>
  <si>
    <t xml:space="preserve">Either add a short worked block (a sliding-window limiter: a deque of timestamps, drop those older than 1 s, allow if len &lt; 3; loop 5 calls and print allowed/rejected), or drop "verified live" and point to Ch 45 §45.9, which handles real 429s.</t>
  </si>
  <si>
    <t xml:space="preserve">78.6</t>
  </si>
  <si>
    <t xml:space="preserve">Q78-012 code and hook: "Check it before processing, not after." / processed_ids.add(event_id) first</t>
  </si>
  <si>
    <t xml:space="preserve">The code marks the event as processed before doing the work. In a real handler, if processing fails after add, the sender's retry is skipped and the event is lost. The correct pattern: check first, and record the ID after successful processing, or in the same database transaction (a unique constraint on event_id, as in Ch 51 §51.4's idempotency key). The chapter's own follow-up ("a payload that fails processing partway through") points at this without answering it.</t>
  </si>
  <si>
    <t xml:space="preserve">Rewrite the hook: "Check the event ID before processing; record it only once processing has succeeded, ideally in the same transaction." In the code, move processed_ids.add(event_id) after the (simulated) work, and add a one-line comment. In Extra points, add: "+ [Edge cases] two copies arriving at the same moment can both pass an in-memory check; a UNIQUE constraint on event_id in the database closes that race." Pointer: "Learn it in: Chapter 51, §51.4 (idempotency keys) and §51.6 (webhooks)".</t>
  </si>
  <si>
    <t xml:space="preserve">78.7</t>
  </si>
  <si>
    <t xml:space="preserve">Q78-013 Extra: "turns a model's output (Chapter 74) into something a sales rep…sees"</t>
  </si>
  <si>
    <t xml:space="preserve">Ch 74 is the ML interview bank, not where the reader learned to build a model. And reverse ETL itself is taught in Ch 51 ("data activation, reverse ETL, lead score": the exact lead-score example used in Q78-014/029), which is never cited.</t>
  </si>
  <si>
    <t xml:space="preserve">Change to "…turns a model's output (Chapters 36–39) into…" and add "[Learn it in] Chapter 51, §51.1–51.4 (reverse ETL, computing what to sync, idempotent writes)".</t>
  </si>
  <si>
    <t xml:space="preserve">78.8</t>
  </si>
  <si>
    <t xml:space="preserve">Q78-029: "Learn it in: Chapter 77, Q77-007 (idempotent upserts, the source of this exact pattern)"</t>
  </si>
  <si>
    <t xml:space="preserve">The "exact pattern" (lead scores synced into a CRM by stable external ID, without duplicates) is Ch 51's worked Riverstone case (§51.2–51.5). Ch 77 is an interview bank.</t>
  </si>
  <si>
    <t xml:space="preserve">"Learn it in: Chapter 51, §51.3–51.5 (writing through an API, idempotent writes, system of record); the database version: Chapter 77, Q77-007." For the follow-up "CRM without native upsert", add "(Chapter 51, §51.3–51.4: PATCH by lead ID plus an idempotency key)".</t>
  </si>
  <si>
    <t xml:space="preserve">78.9</t>
  </si>
  <si>
    <t xml:space="preserve">Q78-006: "Learn it in: Chapter 70, §70.5's ExportAsFixedFormat/Outlook automation pattern"</t>
  </si>
  <si>
    <t xml:space="preserve">The report-email design is taught in Ch 20: §20.5 (the report as an email), §20.6 (sending mail from code safely), §20.12 (recipients and confidentiality: "config-driven lists … per-recipient filtering"). VBA ExportAsFixedFormat/Outlook is taught in Ch 19 §19.6–19.7. Ch 70 is a bank.</t>
  </si>
  <si>
    <t xml:space="preserve">"Learn it in: Chapter 20, §20.5–20.6 and §20.12 (per-recipient filtering, logging sends); Chapter 19, §19.7 (the VBA/Outlook version); tested for syntax in Chapter 70, §70.5."</t>
  </si>
  <si>
    <t xml:space="preserve">78.10</t>
  </si>
  <si>
    <t xml:space="preserve">Q78-007: "[Learn it in] Chapter 77, Q77-031 (the same 'silence isn't…good news' principle)"</t>
  </si>
  <si>
    <t xml:space="preserve">Ch 20 teaches exactly this: "Silence is ambiguous" (§20.5 and §20.8), "Silence when there's no data — Indistinguishable from a broken job — Send 'no sales were recorded'". The pointer goes to a bank instead of the teaching.</t>
  </si>
  <si>
    <t xml:space="preserve">"[Learn it in] Chapter 20, §20.8 (alerts and exception reports: 'silence is ambiguous'); see also Q77-031."</t>
  </si>
  <si>
    <t xml:space="preserve">78.11</t>
  </si>
  <si>
    <t xml:space="preserve">Q78-001: "Learn it in: Chapter 19 (VBA/Apps Script) and Chapter 70, §70.5–70.6"</t>
  </si>
  <si>
    <t xml:space="preserve">The tool-choice decision is taught in Ch 20 §20.1 (automation ladder), §20.3 (choosing the delivery tool), §20.10 (low-code); Ch 63 §63.3 (the tool decision matrix); Ch 58 §58.1 and Ch 51 §51.10 (RPA). Ch 19 and Ch 70 cover only one of the four options.</t>
  </si>
  <si>
    <t xml:space="preserve">"Learn it in: Chapter 63, §63.3 (choosing the right tool), Chapter 20, §20.1, §20.3, §20.10, Chapter 51, §51.10 and Chapter 58, §58.1 (RPA); macros themselves: Chapter 19." Same change in the intro paragraph and "Where this leads".</t>
  </si>
  <si>
    <t xml:space="preserve">78.12</t>
  </si>
  <si>
    <t xml:space="preserve">Q78-001 hook: "across systems with a friendly builder and no APIs needed (low-code)"</t>
  </si>
  <si>
    <t xml:space="preserve">Wrong. Low-code connectors (Power Automate, Zapier) are wrappers around the systems' APIs, so the systems do need APIs; what you don't need is to write API code. The one-line answer says "prebuilt connectors", which contradicts the hook. The whole ladder rests on this distinction, so it matters.</t>
  </si>
  <si>
    <t xml:space="preserve">Rewrite the hook: "…across systems with APIs, calling them yourself (script); across systems with APIs that already have ready-made connectors, clicking them together (low-code); or across systems with no API at all, mimicking clicks (RPA)…"</t>
  </si>
  <si>
    <t xml:space="preserve">78.13</t>
  </si>
  <si>
    <t xml:space="preserve">Intro: "since this chat doesn't have its approved text to check exact section numbers"</t>
  </si>
  <si>
    <t xml:space="preserve">Drafting leftover ("this chat", "approved text"). Ch 19 is in the book with numbered sections.</t>
  </si>
  <si>
    <t xml:space="preserve">Delete the sentence. Replace with: "Learn it in pointers name the chapter and section that teaches each idea, mainly Chapters 19–20 (spreadsheet and report automation), 45 and 51 (APIs, webhooks, reverse ETL), 57–58 and 63 (automation at scale)."</t>
  </si>
  <si>
    <t xml:space="preserve">78.14</t>
  </si>
  <si>
    <t xml:space="preserve">Q78-028: "referenced here as this chapter's first complete design case per the blueprint's own four named cases"</t>
  </si>
  <si>
    <t xml:space="preserve">Drafting leftover ("the blueprint"). Q78-028, 030 and 031 are numbered questions that only say "(Fully worked in §…)". They repeat Q78-006, 018 and 001, pad the count, and leave §78.6 with one real design case.</t>
  </si>
  <si>
    <t xml:space="preserve">Polish / Structure</t>
  </si>
  <si>
    <t xml:space="preserve">Either (a) delete Q78-028/030/031 and renumber, with a one-line note at the top of §78.6 ("Q78-006, Q78-018 and Q78-001 are also full design cases; practise them aloud"); or (b) write three genuinely new cases, e.g. "Automate the monthly vendor-invoice intake (PDF email → ERP) end to end", using Ch 58's intake pipeline, exceptions and human-in-the-loop. Either way, remove "per the blueprint's own four named cases".</t>
  </si>
  <si>
    <t xml:space="preserve">78.15</t>
  </si>
  <si>
    <t xml:space="preserve">Q78-031 title: "choosing between macros, scripts, Python, and low-code tools"</t>
  </si>
  <si>
    <t xml:space="preserve">"Scripts" and "Python" overlap, and RPA (the fourth option in Q78-001) is missing.</t>
  </si>
  <si>
    <t xml:space="preserve">If kept, retitle "choosing between a macro, a script, a low-code flow, and RPA for a specific new request".</t>
  </si>
  <si>
    <t xml:space="preserve">78.16</t>
  </si>
  <si>
    <t xml:space="preserve">Tier tables: Q78-001 "Passes: Reaches for whichever tool they personally know best"; Q78-006, 012, 017, 023</t>
  </si>
  <si>
    <t xml:space="preserve">Ch 69 §69.4 defines "Passes" (~2) as a reasonable but unstructured answer. Here five "Passes" rows are the red flag word for word: Q78-017 Passes "Retries immediately in a tight loop with no delay" = red flag "a retry loop with no delay". Q78-012 Passes "processes every payload without checking" = red flag. Q78-006 Passes "200 separate reports". Q78-023 Passes "always a pure improvement". This misleads the reader about what scores.</t>
  </si>
  <si>
    <t xml:space="preserve">Rewrite each Passes row as partially right. Q78-001: "Names the four options but matches them to tasks only loosely". Q78-006: "One template, but with a hand-maintained recipient list and no failure isolation". Q78-012: "Knows duplicates can happen and suggests checking the database for an existing record". Q78-017: "Adds a fixed delay between retries, with a cap". Q78-023: "Says the process should be reviewed first, without saying why".</t>
  </si>
  <si>
    <t xml:space="preserve">78.17</t>
  </si>
  <si>
    <t xml:space="preserve">§78.5 "Basic-but-tricky automation questions" placed after §78.4 failure handling</t>
  </si>
  <si>
    <t xml:space="preserve">In Ch 77 (§77.2), Ch 79 (§79.2) and Ch 74 (§74.2), basic-but-tricky comes right after the fundamentals. Here it comes fifth, after the hardest material.</t>
  </si>
  <si>
    <t xml:space="preserve">Move §78.5 to become §78.2, directly after "Choosing the right automation approach", and renumber the later sections. Keep Q-numbers stable, or renumber them all consistently.</t>
  </si>
  <si>
    <t xml:space="preserve">78.18</t>
  </si>
  <si>
    <t xml:space="preserve">Q78-005 and Q78-026 "worth automating"</t>
  </si>
  <si>
    <t xml:space="preserve">These are taught in Ch 20 §20.14 (measuring what it saved), Ch 58 §58.2/§58.10 (what to automate, when not to) and Ch 63 §63.2 (value/risk/effort prioritization), none of which is cited. Q78-026 points only to Q78-005.</t>
  </si>
  <si>
    <t xml:space="preserve">Q78-005 add "[Learn it in] Chapter 63, §63.2; Chapter 20, §20.14"; Q78-026 → "Chapter 58, §58.10 (when not to automate)".</t>
  </si>
  <si>
    <t xml:space="preserve">78.19</t>
  </si>
  <si>
    <t xml:space="preserve">Q78-021: "What's a circuit breaker pattern, in automation terms?"</t>
  </si>
  <si>
    <t xml:space="preserve">No pointer. Circuit breakers are taught with an exercise in Ch 57 §57.8 ("After n consecutive failures, stop calling for a minute") and appear in Ch 61.</t>
  </si>
  <si>
    <t xml:space="preserve">Add "[Learn it in] Chapter 57, §57.8 (failure and fallback)".</t>
  </si>
  <si>
    <t xml:space="preserve">78.20</t>
  </si>
  <si>
    <t xml:space="preserve">Q78-011: "Learn it in: Chapter 77, Q77-008 (delivery guarantees…)"</t>
  </si>
  <si>
    <t xml:space="preserve">Polling vs. webhook is taught in Ch 51 §51.6 ("Webhooks: pushing instead of polling"), with a runnable local webhook inbox. The fallback in the follow-up ("receiver down for an hour") is Ch 51 §51.7 (reconciliation).</t>
  </si>
  <si>
    <t xml:space="preserve">"Learn it in: Chapter 51, §51.6 (webhooks vs. polling) and §51.7 (reconciliation as the safety net); delivery guarantees: Chapter 50, §50.3."</t>
  </si>
  <si>
    <t xml:space="preserve">78.21</t>
  </si>
  <si>
    <t xml:space="preserve">Q78-016 API key vs. OAuth; Q78-019 expired credentials</t>
  </si>
  <si>
    <t xml:space="preserve">No pointers. Ch 51 §51.3 teaches OAuth 2.0 access tokens ("refreshes it before it expires"), Ch 45 §45.9 teaches API authentication, and Ch 52 §52.6 teaches secrets.</t>
  </si>
  <si>
    <t xml:space="preserve">Q78-016 → "[Learn it in] Chapter 51, §51.3; Chapter 52, §52.6". Q78-019 → "Chapter 51, §51.3 (token refresh)".</t>
  </si>
  <si>
    <t xml:space="preserve">78.22</t>
  </si>
  <si>
    <t xml:space="preserve">Q78-018 worked answer: "(Chapter 77's volume-anomaly pattern…): alert if…hasn't successfully completed within its expected window"</t>
  </si>
  <si>
    <t xml:space="preserve">The check described is a freshness/heartbeat check (Q77-031, Ch 47 §47.5), not a volume-anomaly check (Q77-028). The pointer names the wrong pattern. The teaching is Ch 20 §20.11 (making an automation trustworthy: log every run, alert on failure) and Ch 63 §63.7 (runbooks).</t>
  </si>
  <si>
    <t xml:space="preserve">Change to "(a freshness/heartbeat check, Chapter 47, §47.5 and Q77-031…)". Pointer: "Learn it in: Chapter 20, §20.11; Chapter 63, §63.7; Q77-028 and Q77-031."</t>
  </si>
  <si>
    <t xml:space="preserve">78.23</t>
  </si>
  <si>
    <t xml:space="preserve">Q78-022 and Q78-025 (alert routing; one-person "quick win")</t>
  </si>
  <si>
    <t xml:space="preserve">Ch 63 §63.7 (ownership, runbooks, support), §63.8 (sprawl and shadow IT) and Ch 20 §20.13 (documenting and handing over) teach exactly this but aren't cited.</t>
  </si>
  <si>
    <t xml:space="preserve">Q78-022 → "[Learn it in] Chapter 63, §63.7". Q78-025 → "Chapter 20, §20.13; Chapter 63, §63.8".</t>
  </si>
  <si>
    <t xml:space="preserve">78.24</t>
  </si>
  <si>
    <t xml:space="preserve">Q78-023: "Learn it in: Chapter 76B, §76.4's as-is-before-to-be discipline"</t>
  </si>
  <si>
    <t xml:space="preserve">The chapter is labelled 76B but its sections are 76.x, a known renumbering issue. The pointer is to a bank, and the direct teaching is Ch 20 §20.2 ("Map the flow before you automate") and Ch 58 §58.10.</t>
  </si>
  <si>
    <t xml:space="preserve">"Learn it in: Chapter 20, §20.2 (map the flow before you automate); Chapter 58, §58.10; tested in Chapter 76B, Q76-021 (as-is vs. to-be)". Update "76B/§76.4" after the Part VIII renumbering.</t>
  </si>
  <si>
    <t xml:space="preserve">78.25</t>
  </si>
  <si>
    <t xml:space="preserve">Story: "reading the column by position with a name-validation check that now fails loudly"</t>
  </si>
  <si>
    <t xml:space="preserve">Contradictory, and not best practice. Reading by position breaks as soon as someone inserts or reorders a column, which is the same kind of silent failure. The robust fix: read by name, and fail loudly if the name is missing (no default).</t>
  </si>
  <si>
    <t xml:space="preserve">Change to "…the immediate fix: read the column by name, and fail loudly with a clear message if that name isn't found, instead of silently defaulting to zero."</t>
  </si>
  <si>
    <t xml:space="preserve">78.26</t>
  </si>
  <si>
    <t xml:space="preserve">"Where this leads": "Chapter 77…already covers idempotency, retries, and monitoring"</t>
  </si>
  <si>
    <t xml:space="preserve">Ch 77 has no retry content (see 78.2).</t>
  </si>
  <si>
    <t xml:space="preserve">Change to "…covers idempotency, delivery guarantees, and monitoring…; retries with backoff are taught in Chapter 45, §45.9."</t>
  </si>
  <si>
    <t xml:space="preserve">78.27</t>
  </si>
  <si>
    <t xml:space="preserve">No "Before you start" line. The bank assumes Ch 19–20, 45, 51, 57–58 and 63.</t>
  </si>
  <si>
    <t xml:space="preserve">Add: "Before you start: Chapters 19–20 (spreadsheet and report automation), 45 and 51 (APIs, webhooks, reverse ETL), 58 and 63 (intelligent automation, automation architecture)."</t>
  </si>
  <si>
    <t xml:space="preserve">V78.1</t>
  </si>
  <si>
    <t xml:space="preserve">Drafting note printed: "…at chapter level for Chapter 19, since this chat doesn't have its approved text to check exact section numbers against."</t>
  </si>
  <si>
    <t xml:space="preserve">V78.2</t>
  </si>
  <si>
    <t xml:space="preserve">p. 11, 12 · 78.6 Full design cases</t>
  </si>
  <si>
    <t xml:space="preserve">Q78-028, Q78-030 and Q78-031 are full blue question headings followed only by an italic pointer ("(Fully worked in §78.2, Q78-006 above; referenced here as this chapter's first complete design case per the blueprint's own four named cases.)"). The planning term "blueprint" leaks, and the section promises full cases but delivers stubs.</t>
  </si>
  <si>
    <t xml:space="preserve">Drop the stubs (keep Q78-029), or replace them with a one-line cross-reference list. Remove "per the blueprint…".</t>
  </si>
  <si>
    <t xml:space="preserve">V78.3</t>
  </si>
  <si>
    <t xml:space="preserve">p. 7 · Code block (webhook idempotency)</t>
  </si>
  <si>
    <t xml:space="preserve">The comment "# -&gt; "skipped (already processed)" (same event," wraps with "delivered twice)" at column 0.</t>
  </si>
  <si>
    <t xml:space="preserve">Shorten the comment, or move it to its own line above.</t>
  </si>
  <si>
    <t xml:space="preserve">V78.4</t>
  </si>
  <si>
    <t xml:space="preserve">p. 4, 5, 6, 7, 8, 10, 11 · Rapid-fire "#" column</t>
  </si>
  <si>
    <t xml:space="preserve">IDs break as "Q78-" / "002".</t>
  </si>
  <si>
    <t xml:space="preserve">V78.5</t>
  </si>
  <si>
    <t xml:space="preserve">V78.6</t>
  </si>
  <si>
    <t xml:space="preserve">V78.7</t>
  </si>
  <si>
    <t xml:space="preserve">p. 11, 14 · Cross-references</t>
  </si>
  <si>
    <t xml:space="preserve">"Chapter 76B, §76.4" mixes the lettered chapter with its un-lettered section numbers (see V76B.2).</t>
  </si>
  <si>
    <t xml:space="preserve">Update once 76B is renumbered.</t>
  </si>
  <si>
    <t xml:space="preserve">V78.8</t>
  </si>
  <si>
    <t xml:space="preserve">p. 12→13 · Common-mistakes table</t>
  </si>
  <si>
    <t xml:space="preserve">2 rows are carried to p. 13 under a repeated header.</t>
  </si>
  <si>
    <t xml:space="preserve">V78.9</t>
  </si>
  <si>
    <t xml:space="preserve">p. 3→4, 8→9 · Tier tables</t>
  </si>
  <si>
    <t xml:space="preserve">Split with 1–2 rows on the next page.</t>
  </si>
  <si>
    <t xml:space="preserve">V78.10</t>
  </si>
  <si>
    <t xml:space="preserve">p. 5 · Inline code in body</t>
  </si>
  <si>
    <t xml:space="preserve">A pill breaks across the line, and the pill padding leaves a gap before the slash: "ExportAsFixedFormat /Outlook".</t>
  </si>
  <si>
    <t xml:space="preserve">V78.11</t>
  </si>
  <si>
    <t xml:space="preserve">79.1</t>
  </si>
  <si>
    <t xml:space="preserve">Q79-028 Extra: "input-drift detection is a leading indicator…for a model's health"</t>
  </si>
  <si>
    <t xml:space="preserve">This contradicts Ch 56 §56.8, whose headline finding is "Input drift is not model decay". In Riverstone's data, new lamps drove PSI to about 3–4 while recall stayed at 0.97–0.98. The new mould then cut recall to 0.81–0.87 with no additional drift signal. Ch 56 §56.7 teaches three monitoring layers, so outcome or proxy monitoring is not just a "Passes"-level answer. A reader who learned Ch 56 will find the bank marking Ch 56's lesson as the weaker answer.</t>
  </si>
  <si>
    <t xml:space="preserve">Rewrite the Strong tier: "Monitor input drift (PSI or the KS statistic) as an early warning, and outcomes (or a cheap proxy such as predicted vs. actual rate) as the verdict. Drift says the world changed, not that the model got worse (Chapter 56, §56.8)." Change the Passes row to "Watches only accuracy, which needs labels and arrives late". Replace the Extra point with: "+ [Depth] drift and decay are different: Riverstone's new lamps drifted brightness a lot with no loss in recall, while the new mould cut recall with little extra drift; that's why you need both layers." Keep the Q75-014 link, but say drift is a leading signal of change, not of harm.</t>
  </si>
  <si>
    <t xml:space="preserve">79.2</t>
  </si>
  <si>
    <t xml:space="preserve">Q79-028: "A statistical test…gives you a real p-value" / "p = 0.000000"</t>
  </si>
  <si>
    <t xml:space="preserve">Using the KS p-value as the drift alarm is a known trap. With production-sized samples, trivial shifts become "significant": n = 200,000 per sample and a 0.03-SD mean shift give KS D = 0.012, p ≈ 2×10⁻¹³ (run). Ch 56 uses the KS statistic (effect size) with calibrated thresholds, not the p-value. "p = 0.000000" also hides the real value (about 10⁻⁴⁰ to 10⁻⁵⁷ across seeds).</t>
  </si>
  <si>
    <t xml:space="preserve">Change the hook: "'It looks a little different' isn't drift detection. A distance between two distributions (PSI, or the KS statistic D), with a threshold calibrated on a stable period, is." Show both the statistic and p, and add one sentence: "With thousands of rows, the p-value will call almost any difference significant; alert on the size of D or PSI, as Chapter 56, §56.8 does." Print p in scientific notation (f"{p:.1e}").</t>
  </si>
  <si>
    <t xml:space="preserve">79.3</t>
  </si>
  <si>
    <t xml:space="preserve">Q79-028 code: "training_dist = rng.normal(50, 10, 1000)"</t>
  </si>
  <si>
    <t xml:space="preserve">rng and np are never created or imported, so the block raises NameError. Without a seed the printed numbers (KS 0.029, p 0.795; KS 0.317) can't be reproduced. Across 7 seeds, the no-drift case gave D 0.038–0.052 and p 0.13–0.47, and the drifted case D 0.30–0.36. Results are shown as comments, not output.</t>
  </si>
  <si>
    <t xml:space="preserve">First cell: import numpy as np / from scipy import stats / rng = np.random.default_rng(&lt;seed used&gt;) and explain what a seed is. Second cell: create the three samples and explain normal(mean, sd, n). Third cell: result = stats.ks_2samp(a, b); print(f"D = {result.statistic:.3f}, p = {result.pvalue:.1e}") for both pairs, with real output. Explain D as the largest gap between the two cumulative curves, pointing back to Ch 56.</t>
  </si>
  <si>
    <t xml:space="preserve">79.4</t>
  </si>
  <si>
    <t xml:space="preserve">Q79-031 and Q79-039: "a trigger tied to actual detected drift…instead of an arbitrary calendar date"</t>
  </si>
  <si>
    <t xml:space="preserve">Contradicts Ch 56 §56.9. Ch 56 ranks a schedule as "the right default", performance triggers as late, and drift triggers as "fires early, and sometimes for nothing". The best trigger there is an event trigger ("a known change: new mould… it comes from the business"), which Ch 79 never mentions. Q79-039's "schedule or drift, whichever comes first" repeats the error.</t>
  </si>
  <si>
    <t xml:space="preserve">Rewrite Q79-031: "A schedule is the simplest default; add a performance-floor trigger (late, needs labels), treat drift as a prompt to investigate rather than an automatic retrain, and above all retrain on known business events (a new product, supplier or machine). Chapter 56, §56.9." In Q79-039, change "…fires either on a baseline schedule or when drift crosses a defined threshold" to "…fires on a baseline schedule and on known business events; a drift alarm opens an investigation, and a confirmed drop in performance triggers the retrain."</t>
  </si>
  <si>
    <t xml:space="preserve">79.5</t>
  </si>
  <si>
    <t xml:space="preserve">Q79-033: "estimate_cost(500, 150, 0.15, 0.60) # illustrative rates" → "$0.1650…$330.00"</t>
  </si>
  <si>
    <t xml:space="preserve">The arithmetic is right, but the rates are 1,000× off in units. $0.15/$0.60 are real per-million prices for a small model, used here per 1K, i.e. $150/$600 per million. Ch 54 says prices "span roughly $0.05 to $50 per million", and Ch 57 §57.5 measured Riverstone at about Rs 0.08 per call. At the book's own scale this feature costs about $0.000165 per call, or $0.33 a day, not $330. The Extra point calls this "a concrete daily number a business can actually evaluate", so the reader learns a badly wrong sense of cost.</t>
  </si>
  <si>
    <t xml:space="preserve">Price per million, as Ch 54/57 do: def estimate_cost(input_tokens, output_tokens, input_price_per_m, output_price_per_m): return input_tokens/1_000_000*input_price_per_m + output_tokens/1_000_000*output_price_per_m. Use Ch 54's indicative prices (e.g. 2 and 10 per million) → 500 in / 150 out = $0.0025 per call, $5.00 a day at 2,000 calls. Or keep 0.15/0.60 per million → $0.000165 per call, $0.33 a day. Show print(f"per call: ${c:.6f}; per day: ${c*2000:.2f}"). Consider rupees, to match Riverstone and Ch 57.</t>
  </si>
  <si>
    <t xml:space="preserve">79.6</t>
  </si>
  <si>
    <t xml:space="preserve">Header: "since this chat doesn't have their approved text to check exact section numbers against"</t>
  </si>
  <si>
    <t xml:space="preserve">Drafting leftover. Chapters 54–57 are in the book with numbered sections.</t>
  </si>
  <si>
    <t xml:space="preserve">Delete the sentence. Replace with: "Learn it in pointers name the chapter and section that teaches each idea, mainly Chapters 54–57, with Chapter 35 (vectors) and Chapter 41 (embeddings)." Then apply 79.7–79.14.</t>
  </si>
  <si>
    <t xml:space="preserve">79.7</t>
  </si>
  <si>
    <t xml:space="preserve">Q79-002: "Learn it in: Chapter 54 and Chapter 35, §35.1 (the dot product)"</t>
  </si>
  <si>
    <t xml:space="preserve">§35.1 is "Vectors"; the dot product and cosine similarity are §35.2. Embeddings are Ch 54 §54.8, and their bridge is Ch 41 §41.7.</t>
  </si>
  <si>
    <t xml:space="preserve">"Learn it in: Chapter 35, §35.2 (dot product and cosine similarity), Chapter 41, §41.7 and Chapter 54, §54.8 (embeddings)". In the Extra point, change "Chapter 35 introduces" to "Chapter 35, §35.2 introduces".</t>
  </si>
  <si>
    <t xml:space="preserve">79.8</t>
  </si>
  <si>
    <t xml:space="preserve">Q79-002: "why does cosine similarity, not Euclidean distance, dominate" + the example</t>
  </si>
  <si>
    <t xml:space="preserve">The example doesn't show what the question asks: Euclidean distance ranks the same two documents identically (0.087 vs. 1.246, run). The deeper fact, which interviewers probe, is missing: most embedding models return unit-length vectors, and then cosine, dot product and Euclidean all give the same ranking; cosine only differs when lengths vary. The Strong answer as written would lose points with a well-informed interviewer.</t>
  </si>
  <si>
    <t xml:space="preserve">Add to Extra points: "+ [Depth] many embedding models return unit-length vectors; for those, cosine similarity equals the dot product, and ranking by Euclidean distance gives the same order, so the choice mostly matters when vector lengths differ." Add a 3rd document to the example: the same direction as doc_a but twice as long, e.g. [1.7, 0.3, 0.1]. Cosine stays 0.996 while its Euclidean distance grows, which shows the magnitude point.</t>
  </si>
  <si>
    <t xml:space="preserve">79.9</t>
  </si>
  <si>
    <t xml:space="preserve">Q79-002 code: "return np.dot(a, b) / (np.linalg.norm(a) * np.linalg.norm(b))"</t>
  </si>
  <si>
    <t xml:space="preserve">np isn't imported. The results appear as prose lines ("similarity to relevant doc: 0.996") that the code doesn't print. np.linalg.norm is used without explanation.</t>
  </si>
  <si>
    <t xml:space="preserve">Add import numpy as np. Add print(f"similarity to relevant doc: {cosine_sim(query, doc_a):.3f}") and the same for doc_b. Explain np.dot (sum of products, Ch 35 §35.2) and np.linalg.norm (the vector's length, √(sum of squares)). Show one by-hand line: 0.9×0.85 + 0.1×0.15 + 0×0.05 = 0.78; lengths 0.906 and 0.866; 0.78 ÷ 0.784 ≈ 0.996.</t>
  </si>
  <si>
    <t xml:space="preserve">79.10</t>
  </si>
  <si>
    <t xml:space="preserve">Q79-012 code: chunk_text → "chunk 0: "Riverstone's return policy…""</t>
  </si>
  <si>
    <t xml:space="preserve">The input text and the loop that prints "chunk 0: …" aren't shown. The reader can't reproduce the output. range-free while logic and text[start:end] slicing past the end aren't explained.</t>
  </si>
  <si>
    <t xml:space="preserve">Add policy = "Riverstone's return policy allows customers to return unused items within 30 days of purchase for a full refund, provided the original packaging is intact." (155 characters) and for i, c in enumerate(chunk_text(policy)): print(f'chunk {i}: "{c}"'). Explain: start moves by chunk_size - overlap = 45 each time; slicing beyond the end just stops at the end (hence the 20-character last chunk); overlap must be smaller than chunk_size, or start never moves and the loop runs forever.</t>
  </si>
  <si>
    <t xml:space="preserve">79.11</t>
  </si>
  <si>
    <t xml:space="preserve">Q79-012 Extra: ""return unused" appears at the end of chunk 0 and the start of chunk 1"</t>
  </si>
  <si>
    <t xml:space="preserve">Nearly right. The shared 15 characters are "o return unused" (the "o" of "to"). The chunks also cut words in half ("ase for a full", "packaging is in"), which is itself the best argument for the semantic chunking in the next sentence, and it isn't mentioned.</t>
  </si>
  <si>
    <t xml:space="preserve">"…the 15 overlapping characters, 'o return unused', appear at the end of chunk 0 and the start of chunk 1. Notice the cuts also land mid-word ('ase for a full', 'packaging is in'): character chunking doesn't know what a word is, which is why semantic chunking exists." Pointer: "Learn it in: Chapter 55, §55.3 (chunking)".</t>
  </si>
  <si>
    <t xml:space="preserve">79.12</t>
  </si>
  <si>
    <t xml:space="preserve">Q79-010: "[Learn it in] Chapter 57 (LLMOps: security, prompt injection)"</t>
  </si>
  <si>
    <t xml:space="preserve">Ch 57 doesn't discuss prompt injection (the word "injection" doesn't appear in it). It's taught in Ch 54 §54.11 (limits and risks) and Ch 55 §55.10 (guardrails, including injection through your own documents). Q79-037 points only to Q79-010.</t>
  </si>
  <si>
    <t xml:space="preserve">"[Learn it in] Chapter 54, §54.11; Chapter 55, §55.10 (injection through your own documents); governance in Chapter 64."</t>
  </si>
  <si>
    <t xml:space="preserve">79.13</t>
  </si>
  <si>
    <t xml:space="preserve">"Where this leads": "Chapter 77…supplies the batch pipeline and circuit-breaker patterns"</t>
  </si>
  <si>
    <t xml:space="preserve">The circuit breaker isn't in Ch 77. It's Ch 78 Q78-021 in the banks, and is taught in Ch 57 §57.8.</t>
  </si>
  <si>
    <t xml:space="preserve">"…Chapter 77 supplies the batch pipeline pattern; Chapter 78 (Q78-021) and Chapter 57, §57.8 supply the circuit breaker…".</t>
  </si>
  <si>
    <t xml:space="preserve">79.14</t>
  </si>
  <si>
    <t xml:space="preserve">Q79-019: "[Learn it in] Chapter 78, Q78-021 (a circuit breaker is the identical safety mechanism…)"</t>
  </si>
  <si>
    <t xml:space="preserve">Not identical. A step limit caps one run's loop, which is closer to Q78-017's max_attempts. A circuit breaker stops calls to a failing dependency across runs for a cooldown. Ch 55 §55.8 teaches the direct answer ("Every agent needs a step limit…").</t>
  </si>
  <si>
    <t xml:space="preserve">"[Learn it in] Chapter 55, §55.8 (step limits); the same idea as a retry cap, Q78-017; a circuit breaker (Q78-021) is the related cross-run version."</t>
  </si>
  <si>
    <t xml:space="preserve">79.15</t>
  </si>
  <si>
    <t xml:space="preserve">Q79-030 / Q79-039: "A centralized system…directly addressing training-serving skew (Chapter 74, Q74-030)"</t>
  </si>
  <si>
    <t xml:space="preserve">(a) The only pointer is to the ML interview bank. The underlying teaching is Ch 36 §36.8 (scikit-learn pipelines apply the same fitted transforms at serving time) and Ch 56 §56.4 (what travels with the model). The phrase "training-serving skew" is never taught in a teaching chapter. (b) Q79-039 puts a feature store at the centre of the design, but Ch 56 §56.11 advises "most companies should stop at level 2… a feature store is excellent when twenty models share features and terrible when one model has 108 of them".</t>
  </si>
  <si>
    <t xml:space="preserve">Alignment / Consistency</t>
  </si>
  <si>
    <t xml:space="preserve">Q79-030: add "[Learn it in] Chapter 36, §36.8 (one pipeline for training and serving); Chapter 56, §56.4 and §56.11". Add one clause to the answer: "(training-serving skew: the same feature computed differently in training and in production)". In Q79-039, add to the answer: "…a feature store if several models share features; for one or two models, packaging the preprocessing pipeline with the model does the same job (Chapter 56's maturity ladder)."</t>
  </si>
  <si>
    <t xml:space="preserve">79.16</t>
  </si>
  <si>
    <t xml:space="preserve">Q79-022: "single agent and a multi-agent system"</t>
  </si>
  <si>
    <t xml:space="preserve">Multi-agent systems aren't taught anywhere in the book. Ch 55 §55.8 covers single agents.</t>
  </si>
  <si>
    <t xml:space="preserve">Mark it "[Beyond the book]", or add two sentences to Ch 55 §55.8 (an orchestrator agent handing sub-tasks to specialised agents, and the trade-off) and point there.</t>
  </si>
  <si>
    <t xml:space="preserve">79.17</t>
  </si>
  <si>
    <t xml:space="preserve">Q79-017: "[Learn it in] Chapter 71's indexing discussion (§71.10)"</t>
  </si>
  <si>
    <t xml:space="preserve">Vector search and vector databases are taught in Ch 55 §55.4 ("Two ways to search") and §55.11 (pgvector, FAISS, "a NumPy array and a dot product are enough" at Riverstone's scale). The Ch 71 link is a loose analogy. Ch 55's nuance is also missing: pgvector puts vectors inside an existing relational database.</t>
  </si>
  <si>
    <t xml:space="preserve">"[Learn it in] Chapter 55, §55.4 and §55.11 (pgvector, dedicated vector DBs); relational indexes: Chapter 71, §71.10." Add to the answer: "…though extensions such as pgvector add this to PostgreSQL, often the right first choice (Chapter 55)."</t>
  </si>
  <si>
    <t xml:space="preserve">79.18</t>
  </si>
  <si>
    <t xml:space="preserve">Q79-001, 003, 004, 005, 006, 007, 008, 011, 012, 013, 014, 015, 018, 023, 024</t>
  </si>
  <si>
    <t xml:space="preserve">Chapter-level pointers ("Chapter 54", "Chapter 55") where exact sections exist; some rows have none.</t>
  </si>
  <si>
    <t xml:space="preserve">Q79-001 → Ch 54 §54.2; Q79-003 → §54.4; Q79-004 → §54.5; Q79-005 → §54.9; Q79-006 → §54.10; Q79-007 → §54.11 and Ch 55 §55.6; Q79-008 → Ch 55 §55.1 (why retrieval, not a longer prompt); Q79-011 → §54.11 (non-determinism); Q79-012 → Ch 55 §55.3; Q79-013 → §55.5 (rerankers); Q79-014/015 → §55.6; Q79-018 → §55.7–55.8; Q79-023 → §55.9 and Ch 57 §57.3; Q79-024 → §55.10; Q79-026/034 → Ch 57 §57.2–57.4; Q79-029 → Ch 56 §56.2; Q79-032 → §56.5; Q79-033 → Ch 57 §57.5–57.6; Q79-035 → Ch 57 §57.10 and Ch 55 (retrieved chunk IDs); Q79-036 → Ch 57 §57.8 (cheaper fallback model).</t>
  </si>
  <si>
    <t xml:space="preserve">79.19</t>
  </si>
  <si>
    <t xml:space="preserve">Tier tables: Q79-023 Passes "'You'd just check if the answers look good' (no systematic method at all)"</t>
  </si>
  <si>
    <t xml:space="preserve">Ch 69 §69.4 defines "Passes" as a reasonable but unstructured answer scoring about 2. Q79-023's Passes row is its own red flag ("spot-checking outputs by eye"). The same pattern appears in Q79-033 ("no structured way", which equals the red flag "no structured cost model at all").</t>
  </si>
  <si>
    <t xml:space="preserve">Q79-023 Passes → "Suggests a fixed test set of questions, but only exact-match scoring". Q79-033 Passes → "Knows cost is per token, but multiplies one blended price by an average length and ignores the input/output price split". Keep the failing answers only in Red flag.</t>
  </si>
  <si>
    <t xml:space="preserve">79.20</t>
  </si>
  <si>
    <t xml:space="preserve">Q79-028/031, key terms "KS test"</t>
  </si>
  <si>
    <t xml:space="preserve">The chapter never mentions PSI except in passing, though Ch 56 teaches PSI first, with its rule-of-thumb thresholds (&lt;0.1 stable, 0.1–0.25 watch, &gt;0.25 investigate), as the main drift metric.</t>
  </si>
  <si>
    <t xml:space="preserve">In Q79-028's answer, give PSI equal billing: "PSI (Chapter 56's main metric, with 0.1/0.25 rules of thumb calibrated on a stable period) or the KS statistic…". Add PSI to Key terms.</t>
  </si>
  <si>
    <t xml:space="preserve">79.21</t>
  </si>
  <si>
    <t xml:space="preserve">Q79-033 "$" currency and pricing unit</t>
  </si>
  <si>
    <t xml:space="preserve">Ch 57 prices Riverstone's LLM usage in rupees and Ch 54 in dollars per million; Ch 79 uses dollars per thousand. That's three conventions in four chapters.</t>
  </si>
  <si>
    <t xml:space="preserve">Use per-million pricing, as in 79.5. State the currency once. If you use rupees for Riverstone, give the conversion used.</t>
  </si>
  <si>
    <t xml:space="preserve">79.22</t>
  </si>
  <si>
    <t xml:space="preserve">Header: "Same format as Chapters 70–78"</t>
  </si>
  <si>
    <t xml:space="preserve">See 77.26 (72A/76A/76B renumbering).</t>
  </si>
  <si>
    <t xml:space="preserve">"Same format as the other question banks".</t>
  </si>
  <si>
    <t xml:space="preserve">79.23</t>
  </si>
  <si>
    <t xml:space="preserve">No "Before you start" line. The bank assumes Ch 35 §35.2, 41 §41.7, 54–57 and 74.</t>
  </si>
  <si>
    <t xml:space="preserve">Add: "Before you start: Chapters 54–57 (GenAI, RAG, MLOps, LLMOps), with Chapter 35, §35.2 for cosine similarity."</t>
  </si>
  <si>
    <t xml:space="preserve">79.24</t>
  </si>
  <si>
    <t xml:space="preserve">Q79-038: "I'd cache answers to genuinely repeated common questions"</t>
  </si>
  <si>
    <t xml:space="preserve">A support assistant caching whole answers can serve stale policy (the chapter's own story is about a policy answer) or answers that depend on the customer's order. Ch 57 §57.6 teaches caching and its limits.</t>
  </si>
  <si>
    <t xml:space="preserve">Add: "…keyed on the normalised question plus the policy-document version, and never for questions that depend on the customer's own order; clear the cache when a source document changes (Chapter 57, §57.6)."</t>
  </si>
  <si>
    <t xml:space="preserve">V79.1</t>
  </si>
  <si>
    <t xml:space="preserve">Drafting note printed: "…of this book, at chapter level, since this chat doesn't have their approved text to check exact section numbers against."</t>
  </si>
  <si>
    <t xml:space="preserve">V79.2</t>
  </si>
  <si>
    <t xml:space="preserve">p. 5, 6, 8, 9, 10, 11, 12, 13, 14 · Rapid-fire "#" column</t>
  </si>
  <si>
    <t xml:space="preserve">IDs break as "Q79-" / "003".</t>
  </si>
  <si>
    <t xml:space="preserve">V79.3</t>
  </si>
  <si>
    <t xml:space="preserve">V79.4</t>
  </si>
  <si>
    <t xml:space="preserve">Truncated: "…explain how a model actually survives production (registries, serving, drift…".</t>
  </si>
  <si>
    <t xml:space="preserve">V79.5</t>
  </si>
  <si>
    <t xml:space="preserve">V79.6</t>
  </si>
  <si>
    <t xml:space="preserve">p. 9 · Section divider</t>
  </si>
  <si>
    <t xml:space="preserve">The section rule sits alone at the top of the page, above "79.4 Agents and tool use".</t>
  </si>
  <si>
    <t xml:space="preserve">V79.7</t>
  </si>
  <si>
    <t xml:space="preserve">p. 12→13 · Page break before 79.7</t>
  </si>
  <si>
    <t xml:space="preserve">24 % blank at the foot of p. 12. "79.7 LLMOps" starts on a new page.</t>
  </si>
  <si>
    <t xml:space="preserve">V79.8</t>
  </si>
  <si>
    <t xml:space="preserve">p. 4, 12, 15→16 · Tier / common-mistakes tables</t>
  </si>
  <si>
    <t xml:space="preserve">Split with 1–2 rows on one side of the page break.</t>
  </si>
  <si>
    <t xml:space="preserve">V79.9</t>
  </si>
  <si>
    <t xml:space="preserve">"Q79-" / "039" is hyphen-broken.</t>
  </si>
  <si>
    <t xml:space="preserve">V79.10</t>
  </si>
  <si>
    <t xml:space="preserve">p. 4, 7, 11, 13 · Code blocks</t>
  </si>
  <si>
    <t xml:space="preserve">Python input and output share the grey rule.</t>
  </si>
  <si>
    <t xml:space="preserve">V79.11</t>
  </si>
  <si>
    <t xml:space="preserve">80.1</t>
  </si>
  <si>
    <t xml:space="preserve">Intro: "since this chat doesn't have their approved text to check exact section numbers"</t>
  </si>
  <si>
    <t xml:space="preserve">A drafting leftover addressed to the author, not the reader. "Included on direct request" in the scope note is another one. The approved Part VII text now exists, so section-level pointers can be given.</t>
  </si>
  <si>
    <t xml:space="preserve">Polish (leftover)</t>
  </si>
  <si>
    <t xml:space="preserve">Delete the whole "Learn it in pointers reference Chapters 61–67…" paragraph. In the scope note, replace "Included on direct request; readers targeting…" with "Readers targeting DA/DS/DE roles can treat this chapter as optional, forward-looking material for a later career stage." Then convert every pointer to section level (see 80.3–80.15 for the exact targets).</t>
  </si>
  <si>
    <t xml:space="preserve">80.2</t>
  </si>
  <si>
    <t xml:space="preserve">§80.5 Q80-022 "starting from today's single-database setup"</t>
  </si>
  <si>
    <t xml:space="preserve">Contradicts the book. By Ch 60 §60.5 ("by early 2026, Riverstone has built a warehouse and orchestrator (Part V)…") Riverstone already runs a Postgres+Delta warehouse, a Dagster orchestrator, models and automations (Ch 61 §61.7 failure table). A reader who has done Parts V–VII is told that none of it exists.</t>
  </si>
  <si>
    <t xml:space="preserve">Choose one: (a) reframe as history: "Design case: it's early 2025, and Riverstone runs everything off the single PostgreSQL database from Chapters 12–13. Architect its next three years." Then note at the end: "Chapters 45–52 and 60 are what actually happened; compare your roadmap with Ch 60 §60.5's design document." Or (b) start from Ch 60's platform: "architect the next three years starting from the platform in Ch 60 §60.5", with stages tied to Ch 62 §62.6's mesh-readiness check and Ch 66 §66.2's maturity score. Option (a) keeps the existing model answer almost unchanged and adds a useful self-check.</t>
  </si>
  <si>
    <t xml:space="preserve">80.3</t>
  </si>
  <si>
    <t xml:space="preserve">Q80-022 "(Chapter 62's warehouse-vs-operational-database separation)"; "patterns from Chapter 77"</t>
  </si>
  <si>
    <t xml:space="preserve">Wrong pointers. Ch 62 never discusses separating the warehouse from the operational database: that's Ch 49 (operational row store vs columnar warehouse, table at line ~533) and Ch 60 §60.5. Orchestration is *taught* in Ch 46; Ch 77 is a question bank. The lakehouse is taught in Ch 49.</t>
  </si>
  <si>
    <t xml:space="preserve">Replace with "(Chapter 49's row-oriented operational database vs columnar warehouse)", "the pipeline and orchestration patterns from Chapter 46 (drilled in Chapter 77)", and "consider a lakehouse (Chapter 49) or a mesh (Chapter 62 §62.4, only after §62.6's readiness check)". Change the final "Learn it in" to "Chapter 60 §60.5–60.6, Chapter 62 §62.6, Chapter 66 §66.1–66.2".</t>
  </si>
  <si>
    <t xml:space="preserve">80.4</t>
  </si>
  <si>
    <t xml:space="preserve">§80.2 Q80-006 "Learn it in: Chapter 62 (Data Architecture Patterns)"</t>
  </si>
  <si>
    <t xml:space="preserve">Build vs buy is taught in Ch 66 §66.5 ("Build versus buy", with a managed data catalog scored honestly). Total cost of ownership also appears in Ch 67. Ch 62 has no build-vs-buy content (0 matches).</t>
  </si>
  <si>
    <t xml:space="preserve">"Learn it in: Chapter 66, §66.5 (Build versus buy: a managed data catalog, scored honestly); total cost of ownership in Chapter 67 §67.5." Optionally add one line to the Strong tier that reuses §66.5's scoring ("score both options on the same criteria, including 3-year maintenance").</t>
  </si>
  <si>
    <t xml:space="preserve">80.5</t>
  </si>
  <si>
    <t xml:space="preserve">§80.1 Q80-004 "horizontal and vertical scaling"</t>
  </si>
  <si>
    <t xml:space="preserve">Tested, but never taught. No chapter defines scale up vs scale out: the only "horizontal" hits in Ch 33–66 are image kernels and Parquet row groups. The row has no "Learn it in". A reader following the book meets the term here first.</t>
  </si>
  <si>
    <t xml:space="preserve">Alignment (material never taught)</t>
  </si>
  <si>
    <t xml:space="preserve">Either add a 5–6 line box to Ch 61 §61.5 (the reliability toolkit, which already covers sharding and load balancing): "Vertical scaling (scale up) = a bigger machine; horizontal (scale out) = more machines behind a load balancer or with sharded data; Riverstone's single Postgres primary can only scale up (Ch 61 §61.7)". Then set the Extra point to "[Learn it in] Chapter 61 §61.5". Or mark the row "(not covered earlier in this book: new here)" and give a two-sentence definition plus the Riverstone example in the answer cell.</t>
  </si>
  <si>
    <t xml:space="preserve">80.6</t>
  </si>
  <si>
    <t xml:space="preserve">Q80-005 "leader-follower (primary-replica) architecture… [Learn it in] Chapter 61"</t>
  </si>
  <si>
    <t xml:space="preserve">Ch 61 teaches replication (§61.5; the replica simulation in §61.4) and names Riverstone's "single primary database" as the SPOF (§61.7). It never names the leader-follower pattern, failover, or replication lag as a trade-off.</t>
  </si>
  <si>
    <t xml:space="preserve">Change the pointer to "Chapter 61 §61.4 (replicas converging) and §61.7 (the single primary as SPOF)". Add to the answer "…and reads from followers can be stale (replication lag: Ch 61 §61.4's eventual consistency)". That links it to Q80-002 instead of adding new material.</t>
  </si>
  <si>
    <t xml:space="preserve">80.7</t>
  </si>
  <si>
    <t xml:space="preserve">§80.3 Q80-016 "Learn it in: Chapter 63's ROI worked example, and Chapter 65 (FinOps)"</t>
  </si>
  <si>
    <t xml:space="preserve">"Payback period" is never taught (0 hits for "payback" in Ch 60–67). Ch 63 §63.2's "worked ROI comparison" is a value/effort/risk table with no payback. Ch 65 is cloud billing, not automation ROI. The hours × rate × runs method is actually taught in Ch 20 (hours_saved*1200), and the business-case ROI in Ch 66 §66.3.</t>
  </si>
  <si>
    <t xml:space="preserve">Pointer: "Learn it in: Chapter 20 (hours saved × loaded rate), Chapter 63 §63.2 (value, effort and *risk*), Chapter 66 §66.3 (the honest business case)." Define payback in one line inside the answer: "payback period = one-time cost ÷ monthly net saving: the months until the build has paid for itself." Add the extra point from Ch 63 §63.2: "a good payback doesn't override a high-risk bubble".</t>
  </si>
  <si>
    <t xml:space="preserve">80.8</t>
  </si>
  <si>
    <t xml:space="preserve">Q80-016 code hourly_cost = 800 # fully loaded, INR</t>
  </si>
  <si>
    <t xml:space="preserve">Inconsistent with the book. Ch 20 (line ~522) and Ch 63 §63.2 (325 hrs ↔ ₹3.9 lakh) both use a fully-loaded ₹1,200/hour. With ₹1,200 the result changes: ₹187,200 a year, payback 3.8 months.</t>
  </si>
  <si>
    <t xml:space="preserve">Use hourly_cost = 1200  # fully loaded, same as Ch 20 and Ch 63, and update the outputs to "Annual savings: ₹187,200" and "Payback period: 3.8 months". Also update the extra point "a 5.8-month payback…" to 3.8. Or keep ₹800 and add "(a lower rate than Ch 20's ₹1,200, e.g. a junior analyst's time)".</t>
  </si>
  <si>
    <t xml:space="preserve">80.9</t>
  </si>
  <si>
    <t xml:space="preserve">Q80-016 "Verified, live:" code block and output lines</t>
  </si>
  <si>
    <t xml:space="preserve">The block has no print statements, so it produces no output. The printed lines ("Annual savings: Rs 124,800") can't come from the code shown. It uses "Rs" where the book uses ₹ everywhere, and no line is explained.</t>
  </si>
  <si>
    <t xml:space="preserve">Add two lines: print(f"Annual savings: ₹{annual_savings:,.0f}") and print(f"Payback period: {payback_months:.1f} months"). One sentence per line: "annual_savings multiplies the three drivers; payback divides the one-time cost by the monthly saving (annual ÷ 12)". Use ₹.</t>
  </si>
  <si>
    <t xml:space="preserve">80.10</t>
  </si>
  <si>
    <t xml:space="preserve">Q80-016 Strong tier "The real calculation above"</t>
  </si>
  <si>
    <t xml:space="preserve">The model answer omits ongoing maintenance, even though the chapter's own follow-up asks about it and Q80-006 makes TCO the headline. A Strong answer that ignores the lesson taught three questions earlier is inconsistent.</t>
  </si>
  <si>
    <t xml:space="preserve">Correctness (model answer)</t>
  </si>
  <si>
    <t xml:space="preserve">Add maintenance_hours_per_month = 2 and net_annual = annual_savings - maintenance_hours_per_month*12*hourly_cost, then payback on net. At ₹1,200: net ₹158,400, payback 4.5 months. At ₹800: net ₹105,600, payback 6.8 months. Strong tier: "…net of ongoing maintenance".</t>
  </si>
  <si>
    <t xml:space="preserve">80.11</t>
  </si>
  <si>
    <t xml:space="preserve">Q80-003 "[Learn it in] Chapter 77, Q77-021"</t>
  </si>
  <si>
    <t xml:space="preserve">Points to a question bank. The concept is taught in Ch 61 §61.6–61.7 (the container-by-container failure analysis that finds the warehouse as Riverstone's "one true single point of failure").</t>
  </si>
  <si>
    <t xml:space="preserve">"[Learn it in] Chapter 61 §61.7 (finding Riverstone's one true SPOF); drilled at pipeline level in Q77-021".</t>
  </si>
  <si>
    <t xml:space="preserve">80.12</t>
  </si>
  <si>
    <t xml:space="preserve">Q80-009 (ADR), Q80-010 (C4); intro "Chapters 61–67 of this book (Part VII…)"</t>
  </si>
  <si>
    <t xml:space="preserve">Part VII is Ch 60–67, and Ch 60 is omitted everywhere. ADRs (§60.4) and C4 diagrams (§60.2) are taught in Ch 60, but these two rows have no "Learn it in", and "Where this leads" repeats "Chapters 61–67".</t>
  </si>
  <si>
    <t xml:space="preserve">Change "61–67" to "60–67" in the intro and "Where this leads". Add to Q80-009: "[Learn it in] Chapter 60 §60.4; Chapter 67 (ADRs as institutional memory)". Add to Q80-010: "[Learn it in] Chapter 60 §60.2".</t>
  </si>
  <si>
    <t xml:space="preserve">80.13</t>
  </si>
  <si>
    <t xml:space="preserve">Q80-011 "Chapter 39's fairness checks"; "Learn it in: Chapter 64"</t>
  </si>
  <si>
    <t xml:space="preserve">Right chapters, but the most direct teaching is Ch 64 §64.7 ("A fairness audit, worked", including proxy discrimination) and §64.8 (model governance: who signs off, which answers the first follow-up). Ch 64 §64.4 covers privacy by design.</t>
  </si>
  <si>
    <t xml:space="preserve">"Learn it in: Chapter 39 §39.8 (segment fairness checks), Chapter 64 §64.4 (privacy by design), §64.7 (a fairness audit, worked) and §64.8 (model governance and sign-off)."</t>
  </si>
  <si>
    <t xml:space="preserve">80.14</t>
  </si>
  <si>
    <t xml:space="preserve">Q80-019 "[Learn it in] Chapter 24's storytelling discipline, at board level"</t>
  </si>
  <si>
    <t xml:space="preserve">Ch 67 §67.3 has a subsection titled "Presenting to a board" (line ~118), built on Ch 66's ROI case. It's the direct teaching of this exact question.</t>
  </si>
  <si>
    <t xml:space="preserve">"[Learn it in] Chapter 67 §67.3, 'Presenting to a board' (builds on Chapter 24's storytelling)".</t>
  </si>
  <si>
    <t xml:space="preserve">80.15</t>
  </si>
  <si>
    <t xml:space="preserve">Rapid-fire pointers without sections: Q80-002, 007, 008, 012, 013, 014, 015, 018, 020, 021</t>
  </si>
  <si>
    <t xml:space="preserve">Pointers are at chapter level, or missing, although the sections exist.</t>
  </si>
  <si>
    <t xml:space="preserve">Q80-002 → Ch 61 §61.4 (consistency spectrum). Q80-007/008 → Ch 62 §62.2 (Lambda and Kappa on one scenario). Q80-012 → Ch 64 §64.6. Q80-013 → Ch 64 §64.2–64.3. Q80-014 → Ch 63 §63.9. Q80-015 → Ch 65 §65.4 (budgets, tagging, showback). Q80-017/018 → Ch 67 §67.4 ("Influencing without authority", "Saying no"). Q80-020 → Ch 67 §67.6. Q80-021 (no pointer today) → Ch 67 §67.4–67.5 (leading people; judgment).</t>
  </si>
  <si>
    <t xml:space="preserve">80.16</t>
  </si>
  <si>
    <t xml:space="preserve">"In the real world": "Vikram, newly hired as a Data Architect"</t>
  </si>
  <si>
    <t xml:space="preserve">Name collision: Vikram Singh is an established Riverstone sales leader in Ch 60, 64, 66 and 67 (Meera persuades *him* in §67.4). The timeline also confuses: he's "newly hired", inherits the incident, then describes it "in his interview", which reads as if the interview came after the hire.</t>
  </si>
  <si>
    <t xml:space="preserve">Rename (e.g. "Rohan"), and set the timeline plainly: "In his previous role, Rohan inherited… Interviewing for an architect role a year later, he's asked…".</t>
  </si>
  <si>
    <t xml:space="preserve">80.17</t>
  </si>
  <si>
    <t xml:space="preserve">Tools "a spreadsheet for ROI… the same skills Chapter 70 already covers"</t>
  </si>
  <si>
    <t xml:space="preserve">Ch 70 is a question bank. Spreadsheet skills are taught in Ch 10–11, and the ROI arithmetic in Ch 20.</t>
  </si>
  <si>
    <t xml:space="preserve">"…the same skills Chapters 10–11 taught (and Chapter 70 drills)".</t>
  </si>
  <si>
    <t xml:space="preserve">80.18</t>
  </si>
  <si>
    <t xml:space="preserve">Chapter opening (no Time needed / prerequisites)</t>
  </si>
  <si>
    <t xml:space="preserve">Ch 68 and 69 give "Time needed". This chapter (like 70–79) gives neither time nor prerequisites. Its prerequisites are unusually heavy (all of Part VII), and it's optional for most readers.</t>
  </si>
  <si>
    <t xml:space="preserve">Add under "You will learn to": "Time needed: 2–3 hours to read and drill; 2–3 more for the project. Prerequisites: Chapters 60–67 and 69."</t>
  </si>
  <si>
    <t xml:space="preserve">80.19</t>
  </si>
  <si>
    <t xml:space="preserve">Structure: §80.1–80.5</t>
  </si>
  <si>
    <t xml:space="preserve">Sibling banks (Ch 71, 77, 78, 79) have a "Basic-but-tricky" section and move from fundamentals to design cases. This bank has none. Difficulty isn't labelled, and it's never said which questions are asked at senior-IC level and which at architect/lead level, even though the scope note says both.</t>
  </si>
  <si>
    <t xml:space="preserve">Difficulty / progression</t>
  </si>
  <si>
    <t xml:space="preserve">Either add a short "80.x Basic-but-tricky architecture questions" rapid-fire block (e.g. "Is the warehouse a SPOF if it has backups?", "Is eventual consistency a bug?", "Is Kappa always simpler?"), or tag each core question "[Senior IC]" or "[Architect/lead]" in its heading. Keep the design cases last.</t>
  </si>
  <si>
    <t xml:space="preserve">80.20</t>
  </si>
  <si>
    <t xml:space="preserve">"Where this leads": "Chapters 61–67… teach every technique this bank draws on, in full"</t>
  </si>
  <si>
    <t xml:space="preserve">False as written: scaling (80.5), leader-follower (80.6) and payback (80.7) aren't taught, and Ch 60 is omitted (80.12).</t>
  </si>
  <si>
    <t xml:space="preserve">After fixing 80.5–80.7 and 80.12, change to "Chapters 60–67 teach the techniques this bank draws on (plus Ch 20 for time-saving arithmetic); this chapter tests them rather than re-teaching them." If 80.5/80.6 are only defined here, say "except the two terms defined in Q80-004 and Q80-005".</t>
  </si>
  <si>
    <t xml:space="preserve">80.21</t>
  </si>
  <si>
    <t xml:space="preserve">Q80-001 Strong "a banking system favoring consistency"</t>
  </si>
  <si>
    <t xml:space="preserve">Fine as a teaching example (it matches Ch 61), but a senior interviewer often pushes back: ATM networks are the classic *AP* system with bounded-risk reconciliation. A senior candidate should know the nuance.</t>
  </si>
  <si>
    <t xml:space="preserve">Add to the Extra points: "+ [Edge cases] even banks choose AP in places: an offline ATM may allow a capped withdrawal and reconcile later. The business sets a *limit* on staleness risk rather than demanding CP everywhere."</t>
  </si>
  <si>
    <t xml:space="preserve">V80.1</t>
  </si>
  <si>
    <t xml:space="preserve">Drafting note printed: "…(Part VII: Architecture, Governance &amp; Leadership) at chapter level, since this chat doesn't have their approved text to check exact section numbers against."</t>
  </si>
  <si>
    <t xml:space="preserve">V80.2</t>
  </si>
  <si>
    <t xml:space="preserve">p. 3 · Intro callout, "A scope note"</t>
  </si>
  <si>
    <t xml:space="preserve">"…Included on direct request; readers targeting DA/DS/DE roles exclusively can treat this as optional…". The phrase "Included on direct request" refers to the commissioning process, not to the reader.</t>
  </si>
  <si>
    <t xml:space="preserve">Delete "Included on direct request". Keep the optional-reading guidance.</t>
  </si>
  <si>
    <t xml:space="preserve">V80.3</t>
  </si>
  <si>
    <t xml:space="preserve">p. 4, 5, 6, 7, 8, 9 · Rapid-fire "#" column</t>
  </si>
  <si>
    <t xml:space="preserve">IDs break as "Q80-" / "002".</t>
  </si>
  <si>
    <t xml:space="preserve">V80.4</t>
  </si>
  <si>
    <t xml:space="preserve">V80.5</t>
  </si>
  <si>
    <t xml:space="preserve">V80.6</t>
  </si>
  <si>
    <t xml:space="preserve">p. 7 · ROI code output</t>
  </si>
  <si>
    <t xml:space="preserve">"Annual savings: Rs 124,800" (and the "# fully loaded, INR" comment). Tables and body elsewhere in the book use "₹", e.g., Ch74 "₹232,567" and Ch81 "₹1.16 million".</t>
  </si>
  <si>
    <t xml:space="preserve">Print "₹124,800", or make the currency style consistent book-wide.</t>
  </si>
  <si>
    <t xml:space="preserve">V80.7</t>
  </si>
  <si>
    <t xml:space="preserve">p. 11→12 · The project</t>
  </si>
  <si>
    <t xml:space="preserve">"The project" heading and "Goal:" line end p. 11. The numbered tasks start p. 12.</t>
  </si>
  <si>
    <t xml:space="preserve">V80.8</t>
  </si>
  <si>
    <t xml:space="preserve">p. 5→6, 7→8 · Page breaks before 80.3 and 80.4</t>
  </si>
  <si>
    <t xml:space="preserve">25 % and 23 % blank at the page foot. Both sections start on a new page.</t>
  </si>
  <si>
    <t xml:space="preserve">V80.9</t>
  </si>
  <si>
    <t xml:space="preserve">p. 4, 7 · Tier tables / rapid-fire</t>
  </si>
  <si>
    <t xml:space="preserve">Split with 1 row carried over (Q80-015 alone at the top of p. 7).</t>
  </si>
  <si>
    <t xml:space="preserve">V80.10</t>
  </si>
  <si>
    <t xml:space="preserve">81.1</t>
  </si>
  <si>
    <t xml:space="preserve">§81.2 Q81-006 "a version of Chapter 71's own SQL-verification bug, adapted to first person"</t>
  </si>
  <si>
    <t xml:space="preserve">The worked story bank is built entirely from other people's stories: Farah's SRM incident at "a mid-size company" (Ch 73), the book's own drafting bug (Ch 71 line ~1476 "Note the fix mid-draft… caught by this chapter's own formal re-verification step"), Farah's BA elicitation (Ch 76B), a design question (Ch 78 Q78-006) and Arjun's incident (Ch 77). "Adapted to first person" tells a beginner to claim experiences they didn't have. That contradicts Q81-004 ("rather than forcing or fabricating"), Q81-024 ("never state… you don't actually have") and Ch 76A's resume-scrutiny discipline. A candidate caught doing this fails outright.</t>
  </si>
  <si>
    <t xml:space="preserve">Correctness (ethics of model answer) / Consistency</t>
  </si>
  <si>
    <t xml:space="preserve">Rewrite the lead-in to "Worked example: how Farah (the career switcher from Chapters 8–9) mapped *her own* experiences" and make every entry hers, labelled as her story: e.g. Conflict: "the Ch 73 pricing test she paused when the SRM check failed"; Ambiguity: "the Ch 76B 'one requirement was actually three' project". Replace the Ch 71 row with a genuine reader-available story, e.g. "Failure: in my Chapter 27 portfolio project, my first revenue total was wrong because I averaged line margins instead of dividing sums (Ch 12 §12.9); I caught it with a hand check". Add a bold rule box above the list: "Every story in your bank must be something *you* did. The book's projects (Ch 27, Ch 44) count as your own portfolio work. Always call them portfolio or practice projects, never work you did at a company. Never retell someone else's incident as yours."</t>
  </si>
  <si>
    <t xml:space="preserve">81.2</t>
  </si>
  <si>
    <t xml:space="preserve">§81.3 Q81-011 worked example: "A stakeholder wanted to ship a pricing test result…"</t>
  </si>
  <si>
    <t xml:space="preserve">(a) It's Farah's Ch 73 story in the first person (see 81.1). (b) It changes the facts: in Ch 73, Farah herself was "ready to recommend shipping" and ran the check; there was no stakeholder or disagreement. Ch 73 also says the re-run showed "no *significant* pricing effect", but here it's "no real pricing effect at all", which is the absence-of-evidence error Ch 22/30 warn about. (c) It contradicts itself: the hook says "a story where you were graciously wrong is often stronger", and the red flag warns against "'I was right and everyone eventually agreed'". The worked example is exactly an "I was right and everyone agreed" story.</t>
  </si>
  <si>
    <t xml:space="preserve">Replace with a story that fits the hook and is framed as Farah's (or as a clearly marked composite). Suggested: Situation, "Our sales head wanted the Daily Sales Flash (Ch 20) to go out at 7 a.m.; I argued for 9 a.m. so the overnight load checks could finish". Action, "I showed two past mornings where the 7 a.m. data was incomplete; she pointed out managers plan the day at 8. We agreed on 7:30 with a 'data incomplete' banner (Ch 47 freshness check)". Result, "the banner fired twice in the first quarter; nobody acted on a wrong number". Lesson: "I was half right. The deadline constraint was real and I hadn't asked about it." Keep the SRM story only as a labelled Farah example, and say "no significant effect".</t>
  </si>
  <si>
    <t xml:space="preserve">81.3</t>
  </si>
  <si>
    <t xml:space="preserve">§81.1 Q81-001 Result "protected an estimated ₹1.16 million… a real, measured three-times difference"</t>
  </si>
  <si>
    <t xml:space="preserve">Three errors carried from Ch 44 (see review 44.2/44.3). (1) ₹1.16M vs ₹374K is *expected gross margin at risk targeted* by the list, not money "protected"; nothing is protected unless calls change outcomes, which Ch 44 says is unproven. (2) It's modelled, not "measured". (3) The Situation says the old method was "gut feel", but the ₹374K comparison is a probability-only *model* ranking. The story also presents a textbook capstone as work at Riverstone, a fictional employer (81.1). Then the extra point praises it as "a real… checkable detail" under Ch 76A's resume-scrutiny rules, which it would fail.</t>
  </si>
  <si>
    <t xml:space="preserve">Rewrite the Situation as "In my capstone portfolio project (a public churn dataset modelled on a supplier like Riverstone)…". Result: "With the same 40 calls, the value-ranked list targeted about ₹1.16 million of expected margin at risk, against ₹374,000 for a list ranked by churn probability alone: about three times as much. I recommended a small experiment (Ch 30) to measure how many calls actually save an account." Change the extra point to "+ [Validate] says exactly what the number is (expected margin at risk, from the model) and what it isn't (money saved)". Drop "wrapped the whole thing in one function so it could be re-run monthly" unless Ch 44 is fixed (44.3/44.12).</t>
  </si>
  <si>
    <t xml:space="preserve">81.4</t>
  </si>
  <si>
    <t xml:space="preserve">§81.6 Handling offers (whole section)</t>
  </si>
  <si>
    <t xml:space="preserve">Ch 8 §8.6 "Where this leads" promises: "Chapter 81 covers… offer conversations, including negotiating on CTC." Ch 68 §68.1 gate 7 and §68.3 ("Know your notice period, your current CTC range (§8.6)") hand the pay conversation to this chapter. Yet Ch 81 never mentions CTC, in-hand pay, fixed vs variable, the breakup, notice period, or the recruiter's "current/expected CTC?" question, which every Indian candidate is asked. Q81-026 uses US framing ("bonus, equity, benefits").</t>
  </si>
  <si>
    <t xml:space="preserve">Consistency (with Ch 8, 68) / First-time reader</t>
  </si>
  <si>
    <t xml:space="preserve">Add a core question, "Q81-0xx · 'What's your expected CTC?' and reading the offer breakup", with: Remember it as, "Negotiate the fixed part; compare offers on monthly in-hand, not the CTC headline (Ch 8 §8.6)". A worked breakup, labelled illustrative: CTC ₹6,00,000 = fixed salary ₹5,10,000 + target variable ₹60,000 (not guaranteed) + employer PF ₹21,600 + gratuity ₹8,400 (paid only after qualifying service). Monthly fixed gross = ₹42,500, and in-hand is lower still after your own PF and income tax, which depend on the tax regime and rules at the time. A script: "Could you share the full breakup? Of the ₹6 lakh, how much is fixed, and how is the variable paid out historically?" And the counter: "Based on [research], I was hoping the fixed component could be closer to ₹5.6 lakh." Add rapid-fire rows: "Should you state your current CTC?" (answer truthfully when asked; it's often verified; you may lead with expected fixed pay based on market data), "Notice period: what to say" (state it accurately; ask whether they buy it out; never resign before a written offer). Change Q81-026 to "the CTC breakup (fixed vs variable, employer PF, gratuity, joining bonus and any clawback), start date and notice-period fit, location/remote, and role scope".</t>
  </si>
  <si>
    <t xml:space="preserve">81.5</t>
  </si>
  <si>
    <t xml:space="preserve">§81.6 all negotiation advice</t>
  </si>
  <si>
    <t xml:space="preserve">There's no caveat. Ch 8 §8.6 ends "This is general information, not financial advice." Offer letters contain legally binding clauses (bond/clawback, notice, non-compete, background verification), and tax on in-hand pay is individual.</t>
  </si>
  <si>
    <t xml:space="preserve">Correctness (caveat) / Consistency</t>
  </si>
  <si>
    <t xml:space="preserve">Add a "Watch out" box at the start of §81.6: "This section is general guidance on conversations, not financial, tax or legal advice. Read the whole offer letter before signing. Ask HR in writing about anything unclear (variable payout history, joining-bonus clawback, service bonds, notice period). For tax or contract questions, ask a qualified professional. Pay norms and rules change; check current sources as Ch 8 §8.6 showed."</t>
  </si>
  <si>
    <t xml:space="preserve">81.6</t>
  </si>
  <si>
    <t xml:space="preserve">Q81-023 "ask for… a few days, standard and expected"; Common mistakes "Always ask for a few days, even if you plan to accept"</t>
  </si>
  <si>
    <t xml:space="preserve">Too absolute. Many offers (campus drives, mass hiring) come with a 24–48 hour validity or fixed bands (Q81-025 half-admits this). "Always" can cost a fresher the offer. It's also silent on the reverse risk: accepting and then reneging, which damages reputation in a small industry (the chapter's own Q81-027 point).</t>
  </si>
  <si>
    <t xml:space="preserve">Q81-023 line: "…ask for time, typically a few days. If the offer has a stated deadline, respect it and ask only for what you need ('could I confirm by Friday?')." Common-mistakes fix: "Ask for a little time, within any stated deadline, even if you plan to accept." Add to Q81-025's edge case: "campus and bulk-hiring offers are often fixed bands; negotiate start date or location instead, or accept gracefully." Add a rapid-fire row: "Is it OK to accept one offer and keep interviewing?" (be honest; reneging after acceptance burns bridges; decide before you accept).</t>
  </si>
  <si>
    <t xml:space="preserve">81.7</t>
  </si>
  <si>
    <t xml:space="preserve">Q81-023 "Learn it in: Chapter 68, §68.1's whole hiring-process map"</t>
  </si>
  <si>
    <t xml:space="preserve">Misses the chapter that actually teaches pay reading: Ch 8 §8.6 (CTC vs in-hand, percentiles, "compare offers on fixed pay").</t>
  </si>
  <si>
    <t xml:space="preserve">"Learn it in: Chapter 8 §8.6 (reading salary data; CTC vs in-hand pay) and Chapter 68 §68.1 gate 7 and §68.3 (recruiter call)."</t>
  </si>
  <si>
    <t xml:space="preserve">81.8</t>
  </si>
  <si>
    <t xml:space="preserve">Q81-006 story-bank rows (Ch 78, Ch 77, "Chapter 76's"); "six or seven underlying themes"</t>
  </si>
  <si>
    <t xml:space="preserve">Factual mismatches with the cited chapters. Ch 78 Q78-006 is a design question with no "hard… delivery deadline" and no story. Ch 77's Arjun didn't "volunteer" a fix; he admits the blind spot was the team's "including me". "Chapter 76" doesn't exist; the story is in 76B. Count mismatch too: seven themes are listed and "five or six" stories promised, but only five are mapped. "Influencing without authority" and "receiving critical feedback" are left unmapped, even though the first follow-up asks for an influencing story.</t>
  </si>
  <si>
    <t xml:space="preserve">After the 81.1 rewrite: map all seven themes (one story may cover two, as the extra point says), cite "Chapter 76B", and drop claims the sources don't support (deadline, volunteer). Align numbers: say "five to eight stories" in Q81-006, Q81-008 and Tools consistently.</t>
  </si>
  <si>
    <t xml:space="preserve">81.9</t>
  </si>
  <si>
    <t xml:space="preserve">Q81-012 "Learn it in: Chapter 71's own real bug-catching story… this book applies to its own content"</t>
  </si>
  <si>
    <t xml:space="preserve">Drafting leftover. It refers to how the book was written and checked (Ch 71's "fix mid-draft"), not something the reader learned. It also isn't about duplicates.</t>
  </si>
  <si>
    <t xml:space="preserve">Polish (leftover) / Alignment</t>
  </si>
  <si>
    <t xml:space="preserve">"Learn it in: Chapter 14 (normalizing text before de-duplicating: TRIM, LOWER) and Chapter 69's Move 10 (admit limits honestly)." Flag Ch 71 line ~1476 ("Note the fix mid-draft… this chapter's own formal re-verification step") to the Ch 71 reviewer as the same leftover.</t>
  </si>
  <si>
    <t xml:space="preserve">81.10</t>
  </si>
  <si>
    <t xml:space="preserve">Q81-012 worked example: Action "I didn't verify against a second method…"; Result "meaningfully higher than zero"</t>
  </si>
  <si>
    <t xml:space="preserve">The STAR labels are misplaced. The "Action" describes the mistake, and the real actions (re-running with normalization, telling people, adding a caveat habit) sit under "Result". The Result has no number, which breaks Q81-001's own rule ("Result needs a number"). The follow-up "how did you communicate the correction" shows that a key action is missing.</t>
  </si>
  <si>
    <t xml:space="preserve">Consistency / Correctness (model answer)</t>
  </si>
  <si>
    <t xml:space="preserve">Re-label. Situation: "…reported zero duplicate customers." Task: "…the number fed a CRM clean-up decision." Action: "A week later I noticed two 'different' customers with the same phone number. I re-ran with TRIM and LOWER (Ch 14), found the near-duplicates, told the manager the same day with the corrected figure, and…". Result: "the real count was 37 of 1,200 records (3%). The clean-up plan changed; since then I state what any duplicate check does and doesn't catch." Use any illustrative number, but give one.</t>
  </si>
  <si>
    <t xml:space="preserve">81.11</t>
  </si>
  <si>
    <t xml:space="preserve">§81.7 Q81-028 "The 'wasted' time was a few hours"; extra point "quantified the trade-off explicitly"</t>
  </si>
  <si>
    <t xml:space="preserve">Ch 73 says "The fix took two days". Nothing is quantified: "a few hours vs. a real, costly wrong decision" isn't a number.</t>
  </si>
  <si>
    <t xml:space="preserve">Either "the check took minutes; tracing the bug took two days" and "two days against shipping a price change that measured a bug", or drop "quantified" from the extra point: "[Business] compared the cost of checking with the cost of a wrong decision".</t>
  </si>
  <si>
    <t xml:space="preserve">81.12</t>
  </si>
  <si>
    <t xml:space="preserve">§81.7 heading "Live-coding-style walk-throughs"</t>
  </si>
  <si>
    <t xml:space="preserve">Misnomer: there's no coding. It's a pressure follow-up to a behavioral answer.</t>
  </si>
  <si>
    <t xml:space="preserve">Rename "81.7 Handling a hostile follow-up, live".</t>
  </si>
  <si>
    <t xml:space="preserve">81.13</t>
  </si>
  <si>
    <t xml:space="preserve">Intro "A note on reuse… (Chapter 44's capstone, Chapter 68's hiring process, Chapter 78's automation incident)"</t>
  </si>
  <si>
    <t xml:space="preserve">Ch 68 isn't reused in any worked example, and Ch 78's "incident" is referenced only in the story-bank list (and wrongly, 81.8). After 81.1 the note needs rewriting anyway.</t>
  </si>
  <si>
    <t xml:space="preserve">Rewrite: "Worked examples reuse the book's recurring people and projects (Farah, Arjun, your Ch 27 and Ch 44 portfolio projects) so you can see a real story told well. Your own bank must hold only your own experiences."</t>
  </si>
  <si>
    <t xml:space="preserve">81.14</t>
  </si>
  <si>
    <t xml:space="preserve">Q81-002 "Roughly 1.5 to 2.5 minutes" vs Ch 82 §82.4 mock "(STAR answer, ~90 seconds)"</t>
  </si>
  <si>
    <t xml:space="preserve">Minor inconsistency: the Ch 82 model answer sits at the bottom edge of the range this chapter sets.</t>
  </si>
  <si>
    <t xml:space="preserve">Change the Ch 82 mock to "~2 minutes", or add here "90 seconds is fine for a follow-up-heavy round".</t>
  </si>
  <si>
    <t xml:space="preserve">81.15</t>
  </si>
  <si>
    <t xml:space="preserve">Chapter opening</t>
  </si>
  <si>
    <t xml:space="preserve">No "Time needed" or prerequisites, unlike Ch 68–69.</t>
  </si>
  <si>
    <t xml:space="preserve">"Time needed: 2–3 hours to read; 4–6 hours to build your story bank (the project). Prerequisites: Chapters 68–69, 76A."</t>
  </si>
  <si>
    <t xml:space="preserve">81.16</t>
  </si>
  <si>
    <t xml:space="preserve">§81.4 Basic-but-tricky HR questions</t>
  </si>
  <si>
    <t xml:space="preserve">Missing a common Indian HR round item: how to handle an inappropriate personal question (marital status, family plans, religion). There's also no note that health details in Q81-016 needn't be disclosed.</t>
  </si>
  <si>
    <t xml:space="preserve">Add a rapid-fire row: "What if you're asked something personal and irrelevant (marriage plans, religion)?" Answer: "You can redirect politely to what matters for the job ('I'm fully able to commit to the role's hours and travel'). You don't have to answer, and the question itself tells you something about the employer." In Q81-016 add: "you never owe details of a health matter".</t>
  </si>
  <si>
    <t xml:space="preserve">81.17</t>
  </si>
  <si>
    <t xml:space="preserve">Key terms: "counter-offer · total compensation · offer negotiation"</t>
  </si>
  <si>
    <t xml:space="preserve">"Counter-offer" never appears in the body. It's ambiguous too: it can mean your counter, or your current employer's retention counter-offer. "Total compensation" is never defined against CTC.</t>
  </si>
  <si>
    <t xml:space="preserve">Either add a rapid-fire row "Your current employer makes a counter-offer. Should you take it?" and define it, or remove it from Key terms. Replace "total compensation" with "CTC breakup · fixed vs variable pay · in-hand pay (Ch 8)".</t>
  </si>
  <si>
    <t xml:space="preserve">V81.1</t>
  </si>
  <si>
    <t xml:space="preserve">p. 3→4 · Q81-001 worked example</t>
  </si>
  <si>
    <t xml:space="preserve">"Worked example, reusing Chapter 44's capstone project:" ends p. 3 above 23 % blank. The STAR callout is on p. 4.</t>
  </si>
  <si>
    <t xml:space="preserve">Keep the lead-in with the callout, or let the callout split.</t>
  </si>
  <si>
    <t xml:space="preserve">V81.2</t>
  </si>
  <si>
    <t xml:space="preserve">p. 4, 6, 8, 9, 10, 11 · Rapid-fire "#" column</t>
  </si>
  <si>
    <t xml:space="preserve">IDs break as "Q81-" / "002".</t>
  </si>
  <si>
    <t xml:space="preserve">V81.3</t>
  </si>
  <si>
    <t xml:space="preserve">V81.4</t>
  </si>
  <si>
    <t xml:space="preserve">V81.5</t>
  </si>
  <si>
    <t xml:space="preserve">p. 7→8 · "Learn it in:" label</t>
  </si>
  <si>
    <t xml:space="preserve">The bold label is split across the page break: "…Learn it" (foot of p. 7) / "in: Chapter 71's own real bug-catching story…" (top of p. 8).</t>
  </si>
  <si>
    <t xml:space="preserve">Non-breaking space inside the label; widow control.</t>
  </si>
  <si>
    <t xml:space="preserve">V81.6</t>
  </si>
  <si>
    <t xml:space="preserve">p. 10→11 · Q81-023</t>
  </si>
  <si>
    <t xml:space="preserve">"Worked example:" ends p. 10. The script callout is on p. 11.</t>
  </si>
  <si>
    <t xml:space="preserve">V81.7</t>
  </si>
  <si>
    <t xml:space="preserve">p. 12 · Q81-028</t>
  </si>
  <si>
    <t xml:space="preserve">"Likely follow-ups:" runs on inside the "Extra-points moves demonstrated" paragraph ("…the investigation was worthwhile. Likely follow-ups: What if…"). Every other question starts it as its own paragraph.</t>
  </si>
  <si>
    <t xml:space="preserve">Start a new paragraph.</t>
  </si>
  <si>
    <t xml:space="preserve">V81.8</t>
  </si>
  <si>
    <t xml:space="preserve">1 row ("Getting defensive under a challenging follow-up") is carried to p. 13.</t>
  </si>
  <si>
    <t xml:space="preserve">V81.9</t>
  </si>
  <si>
    <t xml:space="preserve">p. 5 · Story-bank list</t>
  </si>
  <si>
    <t xml:space="preserve">"Ambiguity: Chapter 76's requirements-elicitation story". The chapter is 76B.</t>
  </si>
  <si>
    <t xml:space="preserve">Change to "Chapter 76B's".</t>
  </si>
  <si>
    <t xml:space="preserve">V81.10</t>
  </si>
  <si>
    <t xml:space="preserve">p. 4 · Glyph fallback</t>
  </si>
  <si>
    <t xml:space="preserve">"₹" in the Lora callout is set in DejaVu Serif. The difference is barely visible.</t>
  </si>
  <si>
    <t xml:space="preserve">Accept, or use a font with ₹.</t>
  </si>
  <si>
    <t xml:space="preserve">V81.11</t>
  </si>
  <si>
    <t xml:space="preserve">p. 6, 10 · Tier tables</t>
  </si>
  <si>
    <t xml:space="preserve">Split with 1 row under a repeated header.</t>
  </si>
  <si>
    <t xml:space="preserve">V81.12</t>
  </si>
  <si>
    <t xml:space="preserve">82.1</t>
  </si>
  <si>
    <t xml:space="preserve">Scope note: "The blueprint calls for 6 take-homes… matching this chat's confirmed DA/DS/DE focus"</t>
  </si>
  <si>
    <t xml:space="preserve">Drafting leftover addressed to the author ("blueprint", "this chat").</t>
  </si>
  <si>
    <t xml:space="preserve">Replace the whole scope note with: "This chapter gives three complete take-homes and three scored mock interviews, one each for Data Analyst, Data Scientist and Data Engineer. Business analysts can adapt the DA take-home using Chapter 76B's elicitation questions; automation and BI candidates can adapt the DE one." (See 82.24.)</t>
  </si>
  <si>
    <t xml:space="preserve">82.2</t>
  </si>
  <si>
    <t xml:space="preserve">§82.3 "a &lt;!-- db --&gt; -style staging layer"</t>
  </si>
  <si>
    <t xml:space="preserve">A literal HTML comment from the build pipeline has leaked into reader text, and the sentence makes no sense without it.</t>
  </si>
  <si>
    <t xml:space="preserve">"…a raw/staging layer (Chapter 45's raw → staging layers) so extracted data lands unmodified before transformation…".</t>
  </si>
  <si>
    <t xml:space="preserve">82.3</t>
  </si>
  <si>
    <t xml:space="preserve">§82.2 Step 1 "reusing this book's own verified Chapter 37 numbers"; summary "Gradient-boosted classifier… test AUC 0.839"</t>
  </si>
  <si>
    <t xml:space="preserve">Wrong model and dataset. 0.797 and 0.839 are Ch 37's churn model test AUCs on the 1,000 test *accounts* (Ch 37 line ~1277), not lead conversion. The Step 2 confusion matrix (TP 100 FP 386 FN 46 TN 1693) and Step 3 profit curve (627 leads, ₹2.45M vs ₹1.08M) come from Ch 36's plain logistic lead model on the 2,225 *validation* leads, with ROC-AUC 0.823 (Ch 39 lines 70–92, 441–480). The one-page summary attributes all of it to one tuned gradient-boosted lead model. The chapter says "real, verified model submissions", but this one isn't internally real.</t>
  </si>
  <si>
    <t xml:space="preserve">Rebuild the DS submission on the *lead* data only. Option A (numbers already in the book): model = Ch 36's logistic lead model, validation ROC-AUC 0.823, PR-AUC 0.302 vs base rate 0.066 (Ch 39 §39.2); confusion matrix and the cost-based threshold as Ch 39 §39.5. Option B: run a lead-data baseline vs boosting comparison (Ch 37's lead track) and print both AUCs. In either case, state the split used for each number (validation vs test) and never mix datasets. Update the §82.5 mock's "AUC of 0.839" to the lead model's figure.</t>
  </si>
  <si>
    <t xml:space="preserve">82.4</t>
  </si>
  <si>
    <t xml:space="preserve">Summary "a meaningful improvement over a logistic regression baseline (0.797), justifying the added complexity"</t>
  </si>
  <si>
    <t xml:space="preserve">Even on the churn data it cites, Ch 37 concluded the opposite: logistic + engineered features scored 0.850 (best) and Ch 37 recommended "the simpler model built on those signs". The model answer teaches the lesson Ch 37 argued against.</t>
  </si>
  <si>
    <t xml:space="preserve">After 82.3, compare three candidates (plain logistic, engineered logistic, boosting) and choose on test AUC *and* simplicity. If boosting doesn't win, the Strong answer says so: "the engineered logistic model matched it and is easier to explain, so I shipped that".</t>
  </si>
  <si>
    <t xml:space="preserve">82.5</t>
  </si>
  <si>
    <t xml:space="preserve">Step 3 "₹2.45M… against ₹1.08M for a call-everyone baseline, over twice the value for the same team capacity"; summary "2.3x more value protected"</t>
  </si>
  <si>
    <t xml:space="preserve">Wrong claim. "Call everyone" works 2,225 leads and the threshold works 627, so it's *not* the same capacity. The figures are also expected profit (win value × wins − ₹1,500 × leads worked), not "protected/generated value". And Ch 39 §39.5 found the team can only work 126 × 4 = 504 leads in the period, so the 627-lead recommendation exceeds capacity.</t>
  </si>
  <si>
    <t xml:space="preserve">Rewrite: "Working the 627 leads scoring above 0.077 gives an estimated ₹2.45M profit, against ₹1.08M for working all 2,225 leads: about 2.3× the profit from 28% of the effort. The team can only work about 504 leads in the period (Ch 39), so in practice I'd work the top 504 by score: [Ch 39's capacity result]." Replace "value protected" with "expected profit".</t>
  </si>
  <si>
    <t xml:space="preserve">82.6</t>
  </si>
  <si>
    <t xml:space="preserve">Step 2 "confusion matrix at a 0.1 threshold… precision = 0.206 recall = 0.685 F1 = 0.316"</t>
  </si>
  <si>
    <t xml:space="preserve">The matrix is at 0.1, but the submission recommends 0.077. The reader sees metrics for a threshold nobody will use. Ch 39 already prints the recommended threshold's matrix (line ~1160: TP 112, FP 515, FN 34).</t>
  </si>
  <si>
    <t xml:space="preserve">Correctness (consistency)</t>
  </si>
  <si>
    <t xml:space="preserve">Show the 0.077 row: "at 0.077: TP 112, FP 515, FN 34, precision 0.179, recall 0.767". Keep 0.5 (7 flagged, 4 correct) as the "naive default" contrast.</t>
  </si>
  <si>
    <t xml:space="preserve">82.7</t>
  </si>
  <si>
    <t xml:space="preserve">§82.2 model submission (no code); intro "real Python, real output"</t>
  </si>
  <si>
    <t xml:space="preserve">The DS take-home has no code or output at all, only quoted figures "reused" from the book. A real candidate can't submit "this book's own verified numbers", and the intro promises actual Python.</t>
  </si>
  <si>
    <t xml:space="preserve">Add the minimal code a reviewer expects, one cell each with output: (1) load and split (load_leads()); (2) fit the baseline and the challenger, print both AUCs; (3) confusion_matrix at the chosen threshold; (4) the profit_at grid from Ch 39 with the best threshold printed. Point each cell to its teaching section ("as Ch 39 §39.5") instead of re-explaining.</t>
  </si>
  <si>
    <t xml:space="preserve">82.8</t>
  </si>
  <si>
    <t xml:space="preserve">Summary "rank by expected value (probability × estimated deal value)… exactly Chapter 44's own lesson"</t>
  </si>
  <si>
    <t xml:space="preserve">The lead data has no per-lead deal value. Ch 39 uses one median WIN_VALUE (₹30,255) for every lead, so "expected value" ranking is identical to probability ranking. Ch 44's lesson worked because each churn account had its own revenue.</t>
  </si>
  <si>
    <t xml:space="preserve">"…rank by expected value once we have a per-lead deal estimate (e.g. quoted value or company size); today every lead uses the same ₹30,255, so ranking by probability is equivalent, and that's the first data gap I'd close."</t>
  </si>
  <si>
    <t xml:space="preserve">82.9</t>
  </si>
  <si>
    <t xml:space="preserve">§82.5 mock "an unshuffled time-based split letting row order leak information"</t>
  </si>
  <si>
    <t xml:space="preserve">Wrong mechanism, but scored 4 on Correctness as a "correct leakage diagnosis". A time-based split is *meant* to be unshuffled. The ID leak happens with a *random* split on time-ordered data: sequential IDs encode signup time, so the model learns "late IDs behave like X" and tests on IDs from the same period. Or the ID is a per-customer key and the same customers appear in train and test (group leakage).</t>
  </si>
  <si>
    <t xml:space="preserve">Candidate's line: "…either IDs were assigned sequentially, so the ID is really a proxy for signup date, and with a random split the model learns era effects it can't use on future leads; or the same customer's rows sit on both sides of the split. I'd drop the ID, split by time or by customer (Ch 36), and see if AUC falls."</t>
  </si>
  <si>
    <t xml:space="preserve">82.10</t>
  </si>
  <si>
    <t xml:space="preserve">§82.1 Recommendation "outsized revenue impact given each new order is worth roughly double"</t>
  </si>
  <si>
    <t xml:space="preserve">Revenue-only reasoning that contradicts the book's own margins. Ch 4 exercise 7 (same 2025 revenue figures) gives margins of Storage 26.9%, Kitchen 33.2%, Industrial 13.6%, Furniture 24.2%. Ch 12 §12.9 ("revenue is not profit") showed Industrial discounting erodes margin. Gross profit per order: Industrial ₹4,706 vs Storage ₹4,353 and Kitchen ₹4,718, i.e. no advantage. By category, Industrial's gross profit (₹1.08L) is about 1/6 of Storage's (₹6.18L). A strong analyst submission would catch this. The scoring table praises "Business judgment".</t>
  </si>
  <si>
    <t xml:space="preserve">Add a Step 3 query: category gross profit and margin (Ch 12 §12.9's query with p.unit_cost) and gross profit per order. Rewrite the recommendation: "Industrial orders are twice as large, but at a 13.6% margin they earn about the same gross profit per order as Kitchen (~₹4,700). Growing Industrial volume is only worth it if discounting is controlled; I'd first review the 10–12% crate discounts (Ch 12 Question 2) before funding an acquisition push." Add to the Depth row of the scoring table: "checks profit, not just revenue".</t>
  </si>
  <si>
    <t xml:space="preserve">82.11</t>
  </si>
  <si>
    <t xml:space="preserve">Assignment "which product categories are driving growth"; submission (no time dimension)</t>
  </si>
  <si>
    <t xml:space="preserve">The submission never measures growth. riverstone_2025 has all 12 months (Ch 13 §13.1), yet only one static total per category is shown. "Driving growth" is left unanswered, and the scoring calls it Correct.</t>
  </si>
  <si>
    <t xml:space="preserve">Correctness / Business judgment</t>
  </si>
  <si>
    <t xml:space="preserve">Add a query: revenue by category by quarter (DATE_TRUNC('quarter', o.order_date), as in Ch 13 §13.6), and quarter-over-quarter change. Lead the one-page summary with the growth finding. If growth can't be judged from one year, the summary should say "one year only; I compared H1 with H2".</t>
  </si>
  <si>
    <t xml:space="preserve">82.12</t>
  </si>
  <si>
    <t xml:space="preserve">§82.1 "Industrial customers place fewer but substantially larger orders"</t>
  </si>
  <si>
    <t xml:space="preserve">The "average order value" is category spend per order *containing that category*, not basket size. 142 + 85 + 23 + 2 = 252 order–category pairs over 173 non-cancelled orders, so most orders span categories. "Industrial *customers*" also over-reads: it's orders, not customers, and the database has 24 customers.</t>
  </si>
  <si>
    <t xml:space="preserve">Rename the column avg_category_spend_per_order. Change the text to "orders that include Industrial spend about ₹34,600 on Industrial items, more than double…". Add COUNT(DISTINCT o.customer_id) to Step 1 and state how many customers the 23 Industrial orders come from (it answers the caveat's "a few large deals" question directly).</t>
  </si>
  <si>
    <t xml:space="preserve">82.13</t>
  </si>
  <si>
    <t xml:space="preserve">§82.1 Step 1/2 outputs "2,297,973.50", "34,601.30"</t>
  </si>
  <si>
    <t xml:space="preserve">Outputs can't match the code. On PostgreSQL 16, SUM(quantity*unit_price*(1-discount_pct/100)) returns an unrounded NUMERIC with 20 decimals (verified: 15950.00000000000000000000), and psql never prints thousands separators. Step 1 has no ROUND.</t>
  </si>
  <si>
    <t xml:space="preserve">Correctness (code vs output)</t>
  </si>
  <si>
    <t xml:space="preserve">Wrap it: ROUND(SUM(...), 2) AS revenue and show the output exactly as psql prints it (2297973.50), without commas. Or say "(formatted for reading)". Add a one-line check that Step 2 is consistent with Step 1: 2,297,973.50 ÷ 142 = 16,182.91 ✓. That's the reconciliation the Correctness row asks for.</t>
  </si>
  <si>
    <t xml:space="preserve">82.14</t>
  </si>
  <si>
    <t xml:space="preserve">§82.1 "Using the attached order data"; summary "this period"; caveat "one period's data"</t>
  </si>
  <si>
    <t xml:space="preserve">The database isn't named. The figures are exactly the full year 2025 in riverstone_2025 (total ₹4,335,471 = Ch 10's non-cancelled total ✓; Ch 4 ex 7), so "this period" and "one period" are vague.</t>
  </si>
  <si>
    <t xml:space="preserve">"Practice data: riverstone_2025 (Ch 13 §13.1): all of 2025, 24 customers, 175 orders." Summary: "2025 category performance". Caveat: "one year and 24 customers…".</t>
  </si>
  <si>
    <t xml:space="preserve">82.15</t>
  </si>
  <si>
    <t xml:space="preserve">§82.3 Step 1 CREATE TABLE daily_summary (...)</t>
  </si>
  <si>
    <t xml:space="preserve">Not re-runnable. The second run fails with ERROR: relation "daily_summary" already exists (verified). The assignment's core requirement is "safely re-runnable".</t>
  </si>
  <si>
    <t xml:space="preserve">CREATE TABLE IF NOT EXISTS daily_summary (...). In the note, separate the one-time setup (DDL) from the repeatable load (upsert).</t>
  </si>
  <si>
    <t xml:space="preserve">82.16</t>
  </si>
  <si>
    <t xml:space="preserve">§82.3 "re-running… updates existing rows instead of duplicating them"</t>
  </si>
  <si>
    <t xml:space="preserve">Idempotent for duplicates, but not for corrections. If every order on a date is later cancelled, that date is absent from the SELECT and its old row stays (verified: after cancelling the only order on 2026‑03‑25, the row stayed at 360). A date whose orders are all removed keeps stale totals forever.</t>
  </si>
  <si>
    <t xml:space="preserve">Load a window in one transaction: BEGIN; DELETE FROM daily_summary WHERE order_date BETWEEN :start AND :end; INSERT … WHERE o.order_date BETWEEN :start AND :end …; COMMIT;. Or keep the upsert and add: "a date that loses all its orders keeps its old row; for a full reload, delete-and-insert the window in one transaction (Ch 46's idempotent pattern)". Mention it in the "given more time" paragraph at minimum.</t>
  </si>
  <si>
    <t xml:space="preserve">82.17</t>
  </si>
  <si>
    <t xml:space="preserve">§82.3 Step 2 SELECT COUNT(*) … WHERE total_revenue &lt; 0 "would fail the pipeline run loudly"</t>
  </si>
  <si>
    <t xml:space="preserve">(1) Nothing fails: a SELECT returning a count raises no error, so the claim needs a mechanism. (2) Negative revenue is almost impossible here (it would need a discount &gt; 100%). The real risk the book itself taught (Ch 12 §12.9: NULL discount_pct makes the line's revenue NULL, and SUM skips it) goes unchecked. Verified: a NULL discount silently dropped a ₹2,250 line from a day's total.</t>
  </si>
  <si>
    <t xml:space="preserve">Replace with checks that can fail. DO $$ BEGIN IF EXISTS (SELECT 1 FROM daily_summary WHERE total_revenue IS NULL OR total_revenue &lt; 0) THEN RAISE EXCEPTION 'daily_summary check failed'; END IF; END $$; Explain each line, or run it from Python with assert count == 0 (Ch 47's data tests). Add a source-side check: SELECT COUNT(*) FROM order_items WHERE discount_pct IS NULL must be 0, or use COALESCE(oi.discount_pct, 0) where a missing discount really means none (Ch 12).</t>
  </si>
  <si>
    <t xml:space="preserve">82.18</t>
  </si>
  <si>
    <t xml:space="preserve">§82.3 "loads daily order data…"; "safe to retry"</t>
  </si>
  <si>
    <t xml:space="preserve">The query recomputes all history every run, which is fine at 175 orders but not "daily loading". A single INSERT … SELECT is atomic anyway, so a failure "partway through" leaves nothing to clean. Idempotency matters for re-running *after success*. The note blurs the two.</t>
  </si>
  <si>
    <t xml:space="preserve">Add: "Each run recomputes every date, which is fine at Riverstone's size. At scale I'd reload only the last N days (late-arriving changes). One statement is atomic, so a mid-run failure leaves the table unchanged; the upsert is what makes a *second* run safe."</t>
  </si>
  <si>
    <t xml:space="preserve">82.19</t>
  </si>
  <si>
    <t xml:space="preserve">Intro "see exactly what a strong versus weak answer sounds like at each turn"; §82.4–82.6 scores</t>
  </si>
  <si>
    <t xml:space="preserve">All three mocks are strong passes (4,4,4,4,4 / 4,4,4,4,3 / 4,4,4,4,4). No turn shows a weak or borderline answer, so the stated objective isn't met. Twelve 4s in a row also blunt Ch 69's point that a 4 is "Outstanding".</t>
  </si>
  <si>
    <t xml:space="preserve">Difficulty / progression / Correctness vs objective</t>
  </si>
  <si>
    <t xml:space="preserve">For each mock, add a "weaker candidate, same turn" line at two turns, with its score. E.g. DA: writes NOT IN without the NULL filter and ranks by "most overdue" (Correctness 2, Business 2). DE: "I'd rerun it and see" (Depth 1). Make one mock a borderline pass (mostly 3s with one 2) and show the interviewer's "would hire / wouldn't hire" reasoning.</t>
  </si>
  <si>
    <t xml:space="preserve">82.20</t>
  </si>
  <si>
    <t xml:space="preserve">§82.4 "(gives a full STAR-format answer, ~90 seconds…)"; §82.5, 82.6 similar</t>
  </si>
  <si>
    <t xml:space="preserve">The key answers are elided, yet the intro says "a full, realistic transcript, not a summary". The DS mock's opening narrative and the DE mock's whole design answer are placeholders.</t>
  </si>
  <si>
    <t xml:space="preserve">Write the three answers out (about 150–200 words each), or point exactly to where they're written: DA → Ch 81 Q81-001 (after its fix), DS → Ch 76A Q76A-007, DE → §82.3's design note. Change the intro to "condensed transcripts; long answers already written elsewhere are linked".</t>
  </si>
  <si>
    <t xml:space="preserve">82.21</t>
  </si>
  <si>
    <t xml:space="preserve">"Learn it in" lines: §82.1 "Chapter 71"; §82.2 "Chapter 74 (whole submission built from…)"; §82.3 "Chapter 77"</t>
  </si>
  <si>
    <t xml:space="preserve">Every pointer targets a question bank, not the teaching chapter. §82.2 also contradicts itself (Step 1 says Ch 37; "Learn it in" says Ch 74).</t>
  </si>
  <si>
    <t xml:space="preserve">§82.1: "Chapter 12 §12.9–12.10 (revenue formula, joins, revenue vs profit), Chapter 13 (CTEs, quarters), Chapter 14 (grain); drilled in Chapter 71." §82.2: "Chapters 36–37 (split, baseline vs challenger), Chapter 39 §39.1 and §39.5 (confusion matrix, cost threshold, capacity), Chapter 44 (expected value); drilled in Chapter 74." §82.3: "Chapter 12 (ON CONFLICT upsert), Chapters 45–46 (raw/staging layers, idempotent loads), Chapter 47 §47.5 (volume checks); drilled in Chapter 77."</t>
  </si>
  <si>
    <t xml:space="preserve">82.22</t>
  </si>
  <si>
    <t xml:space="preserve">Ch 8 §8.6 "Where this leads": "Chapter 82 shows what fair take-home assignments look like"</t>
  </si>
  <si>
    <t xml:space="preserve">Promise not kept. There's nothing on judging a take-home: reasonable time box, unpaid real work, who owns the output, when to ask questions, or how much to over-deliver.</t>
  </si>
  <si>
    <t xml:space="preserve">Consistency (with Ch 8)</t>
  </si>
  <si>
    <t xml:space="preserve">Add a short §82.0 "Before you start: is this a fair take-home?" Fair: stated time limit ≤ ~4 hours, synthetic or public data, clear deliverable. Warning signs: open-ended "build our feature", real client data, no time limit, several days of unpaid work. What to do: ask for scope clarification in writing; state your time spent; it's OK to deliver the time-boxed version with a "what I'd do next" list (as §82.3 models).</t>
  </si>
  <si>
    <t xml:space="preserve">82.23</t>
  </si>
  <si>
    <t xml:space="preserve">§82.4–82.6 mocks</t>
  </si>
  <si>
    <t xml:space="preserve">No difficulty or level labels. Ch 68 §68.8 covers fresher, switcher and mid-level candidates, but the mocks never say which level they represent, or how a fresher version would differ.</t>
  </si>
  <si>
    <t xml:space="preserve">Tag each mock "(entry-level DA)", "(mid-level DS)", "(mid-level DE)" and add one sentence per mock on what would change for the other level.</t>
  </si>
  <si>
    <t xml:space="preserve">82.24</t>
  </si>
  <si>
    <t xml:space="preserve">Coverage: DA/DS/DE only</t>
  </si>
  <si>
    <t xml:space="preserve">BA, BI and automation readers (Ch 25, 76B, 78) get no take-home or mock, although the book tracks six roles (Ch 7). This is acceptable given scope, but it should be stated without the "blueprint" framing.</t>
  </si>
  <si>
    <t xml:space="preserve">Covered by 82.1's replacement note. Optionally add one BA-style exercise in "The project": "Rewrite §82.1's assignment as requirements questions (Ch 76B Q76-001) before touching data."</t>
  </si>
  <si>
    <t xml:space="preserve">82.25</t>
  </si>
  <si>
    <t xml:space="preserve">Scoring tables: "Collaboration/honesty"; §82.4 "Structure 4: Clarified before answering"</t>
  </si>
  <si>
    <t xml:space="preserve">Ch 69's five dimensions are Correctness, Structure &amp; communication, Depth &amp; edge cases, Business judgment, Collaboration. Here they're renamed, and clarifying is credited to Structure, whereas Ch 69 puts "doesn't clarify" under Collaboration.</t>
  </si>
  <si>
    <t xml:space="preserve">Use Ch 69's exact labels. In §82.4, move "clarified before answering" to the Collaboration row and give Structure a structure reason ("signposted: query, then NULL caveat, then alternative").</t>
  </si>
  <si>
    <t xml:space="preserve">82.26</t>
  </si>
  <si>
    <t xml:space="preserve">§82.4 DA mock "Depth 4: …the NOT EXISTS preference unprompted"</t>
  </si>
  <si>
    <t xml:space="preserve">A candidate who prefers NOT EXISTS but writes NOT IN, then patches it, is scored 4 on Correctness, which Ch 69 defines as "correct, and explains why alternatives fail". Writing NOT EXISTS and explaining why NOT IN fails would be the 4. The query also counts cancelled orders as activity and includes customers who never ordered, both worth one clarifying clause.</t>
  </si>
  <si>
    <t xml:space="preserve">Correctness (scoring) / Depth</t>
  </si>
  <si>
    <t xml:space="preserve">Have the candidate write the NOT EXISTS version and *say* the NOT IN trap. Or keep it and score Correctness 3 with the note "patched rather than chose the safer form". Add a line: "I'm counting any non-cancelled order as activity (AND status &lt;&gt; 'Cancelled'), and this includes customers who've never ordered; should it?"</t>
  </si>
  <si>
    <t xml:space="preserve">82.27</t>
  </si>
  <si>
    <t xml:space="preserve">Chapter opening / Tools</t>
  </si>
  <si>
    <t xml:space="preserve">No "Time needed". Tools says "every SQL and data quality claim… was actually run against live Riverstone data", which 82.13 and 82.17 undercut.</t>
  </si>
  <si>
    <t xml:space="preserve">Add "Time needed: about 10–12 hours if you do all three take-homes timed (2 + 3 + 2 h) and one recorded mock; 2 hours to read only." Keep the "actually run" claim only after 82.13–82.17 are fixed and re-run.</t>
  </si>
  <si>
    <t xml:space="preserve">82.28</t>
  </si>
  <si>
    <t xml:space="preserve">§82.1 "₹22.98L… ₹7.96L" vs §82.2 "₹2.45M… ₹1.08M"</t>
  </si>
  <si>
    <t xml:space="preserve">Mixed units in one chapter (lakh vs million), and the summaries use both.</t>
  </si>
  <si>
    <t xml:space="preserve">Pick one per chapter. Lakh suits a Riverstone sales-leadership memo ("₹22.98 lakh"); if millions are kept, write them out ("₹2.45 million"). Don't use a bare "L".</t>
  </si>
  <si>
    <t xml:space="preserve">V82.1</t>
  </si>
  <si>
    <t xml:space="preserve">p. 7 · 82.3 design note, "What I'd add given more time"</t>
  </si>
  <si>
    <t xml:space="preserve">The text reads "a &lt;!-- db --&gt;-style staging layer…". An HTML comment is rendered as an inline-code pill in place of a word (probably "raw"/"landing"). The sentence is garbled for readers.</t>
  </si>
  <si>
    <t xml:space="preserve">Replace with the intended word (e.g., "a raw/landing-style staging layer"). Search the source for other stray &lt;!-- --&gt; comments.</t>
  </si>
  <si>
    <t xml:space="preserve">V82.2</t>
  </si>
  <si>
    <t xml:space="preserve">Planning text printed: "The blueprint calls for 6 take-homes and 8 mock scripts across six roles … matching this chat's confirmed DA/DS/DE focus rather than spreading thinner across all six roles the blueprint names."</t>
  </si>
  <si>
    <t xml:space="preserve">Rewrite as reader-facing scope ("This chapter covers DA, DS and DE…"). Drop "blueprint" and "this chat".</t>
  </si>
  <si>
    <t xml:space="preserve">V82.3</t>
  </si>
  <si>
    <t xml:space="preserve">p. 4, 7 · SQL code blocks</t>
  </si>
  <si>
    <t xml:space="preserve">Lines wrap to column 0 with no marker. On p. 4: "…discount_pct/100)) AS" / "order_revenue". On p. 7: "…COUNT(DISTINCT" / "o.order_id)". The fragments look like separate statements.</t>
  </si>
  <si>
    <t xml:space="preserve">Break at clause boundaries with an indent.</t>
  </si>
  <si>
    <t xml:space="preserve">V82.4</t>
  </si>
  <si>
    <t xml:space="preserve">V82.5</t>
  </si>
  <si>
    <t xml:space="preserve">Truncated: "…see exactly what a strong versus weak answer sounds like at each turn · read…".</t>
  </si>
  <si>
    <t xml:space="preserve">V82.6</t>
  </si>
  <si>
    <t xml:space="preserve">V82.7</t>
  </si>
  <si>
    <t xml:space="preserve">p. 9, 10, 11 · Scoring tables</t>
  </si>
  <si>
    <t xml:space="preserve">The header "Score (1-4)" wraps as "Score (1-" / "4)". The score column (all "4"/"3") is left-aligned.</t>
  </si>
  <si>
    <t xml:space="preserve">Widen the column or rename it "Score". Centre or right-align the scores.</t>
  </si>
  <si>
    <t xml:space="preserve">V82.8</t>
  </si>
  <si>
    <t xml:space="preserve">p. 3→4 · Step 1 SQL</t>
  </si>
  <si>
    <t xml:space="preserve">The query ends p. 3, and its result table opens p. 4, separated from the query.</t>
  </si>
  <si>
    <t xml:space="preserve">Keep the query/output pair together.</t>
  </si>
  <si>
    <t xml:space="preserve">V82.9</t>
  </si>
  <si>
    <t xml:space="preserve">p. 2, 12–13 · Chapter structure</t>
  </si>
  <si>
    <t xml:space="preserve">Unlike every other Part VIII bank, there is no "In the real world" and no "Final-week revision list" section. The Contents confirms their absence. That fits the format, but readers going through the part will notice.</t>
  </si>
  <si>
    <t xml:space="preserve">Add a short revision list, or note the difference in the intro.</t>
  </si>
  <si>
    <t xml:space="preserve">V82.10</t>
  </si>
  <si>
    <t xml:space="preserve">p. 4, 6 · Glyph fallback</t>
  </si>
  <si>
    <t xml:space="preserve">"₹" in Lora text is set in DejaVu Serif.</t>
  </si>
  <si>
    <t xml:space="preserve">V82.11</t>
  </si>
  <si>
    <t xml:space="preserve">83.1</t>
  </si>
  <si>
    <t xml:space="preserve">"In the real world: how Meera got there" — "She joined in an administrative role… Five years, an hour most mornings"</t>
  </si>
  <si>
    <t xml:space="preserve">Contradicts Part 0: Ch 1 says Meera "has just joined Riverstone Supplies as a sales coordinator", and by Ch 4–7 (Jan 2026 data) she is already the go-to analyst. The Closing puts the Friday-file routine "by 2025" and her rise over "five years". Title also differs (administrative vs sales coordinator).</t>
  </si>
  <si>
    <t xml:space="preserve">Choose one timeline for Meera and apply it everywhere. Recommended: keep Ch 1's "just joined as a sales coordinator"; in Ch 83 rewrite as "Meera joined as a sales coordinator; within her first year she inherited Imran's Friday file…" and replace "Five years" with the span that fits the book's dated data (Ch 1 hire → Ch 8 job posting in 2026). Also align with Ch 8 §8.8 "Meera's route" and Ch 68/81 if they cite her history.</t>
  </si>
  <si>
    <t xml:space="preserve">83.2</t>
  </si>
  <si>
    <t xml:space="preserve">§83.1 hours table (Parts 0–VII)</t>
  </si>
  <si>
    <t xml:space="preserve">Totals will change once the approved moves land: Ch 6 loses its 3–4 h of installs (installs move to Ch 10, 12, 16, 17, 26), Ch 2 is lightened, and Part II reviewers found several Time needed lines too low (Ch 11 ≈35–45 h vs 25–30; Ch 12 ≈27–35 h vs 19–23; Ch 36, 39, 40, 52 similar).</t>
  </si>
  <si>
    <t xml:space="preserve">After all Time needed lines are re-measured, recompute the table and Figures 83.1–83.2, the recap, and Ch 6's new hours table and Ch 9 §9.1 from one shared source so all three always agree.</t>
  </si>
  <si>
    <t xml:space="preserve">83.3</t>
  </si>
  <si>
    <t xml:space="preserve">"Eighty-two chapters ago"; "sixty-seven teaching chapters"; Chapter 83 number</t>
  </si>
  <si>
    <t xml:space="preserve">Proposed Part VIII renumbering (72A→73 … 82→84) makes this chapter 85 and "eighty-two" wrong.</t>
  </si>
  <si>
    <t xml:space="preserve">Update after the Part VIII renumbering decision; prefer wording that doesn't depend on a count ("At the start of this book…").</t>
  </si>
  <si>
    <t xml:space="preserve">83.4</t>
  </si>
  <si>
    <t xml:space="preserve">Chapter at a glance, key terms "(All terms are defined in the Glossary, Appendix A.)"</t>
  </si>
  <si>
    <t xml:space="preserve">Fine; but the chapter introduces new named terms (competence/stack/indispensable/ladder plateau) — ensure they are added to Appendix A.</t>
  </si>
  <si>
    <t xml:space="preserve">Add the four plateau terms, "weekly budget" and "fluency hours" to the glossary.</t>
  </si>
  <si>
    <t xml:space="preserve">83.5</t>
  </si>
  <si>
    <t xml:space="preserve">"Where this leads": "Nowhere in this book. That was the last chapter."</t>
  </si>
  <si>
    <t xml:space="preserve">Ch 67 also calls itself the last chapter (Part VII review 67.x). Two "last chapters" confuse the reader.</t>
  </si>
  <si>
    <t xml:space="preserve">Keep the claim only here; fix Ch 67.</t>
  </si>
  <si>
    <t xml:space="preserve">83.6</t>
  </si>
  <si>
    <t xml:space="preserve">§83.3 "Chapter 64 covers" what must never leave the building</t>
  </si>
  <si>
    <t xml:space="preserve">Ch 64 review found it lacks guidance on pasting company data into AI assistants and on what employees may take home. The pointer promises content Ch 64 doesn't fully have.</t>
  </si>
  <si>
    <t xml:space="preserve">Resolve together with the Ch 64 findings (add the section there) or change the pointer.</t>
  </si>
  <si>
    <t xml:space="preserve">V83.1</t>
  </si>
  <si>
    <t xml:space="preserve">p. 5 · Figure 83.1 (hours per part)</t>
  </si>
  <si>
    <t xml:space="preserve">Row labels, chapter ranges and week columns are 4.8–5.5 pt. The Part II value label "290–357" runs past the bar track and collides with "48–60 weeks" in the next column. The "Ch 1–27 / Ch 1–67" in the summary rows does not line up with the chapter column above.</t>
  </si>
  <si>
    <t xml:space="preserve">Redraw at 7 pt minimum; reserve a fixed label gutter after the bar track; align the summary-row columns.</t>
  </si>
  <si>
    <t xml:space="preserve">V83.2</t>
  </si>
  <si>
    <t xml:space="preserve">p. 6 · Figure 83.2 (sprinter vs steady)</t>
  </si>
  <si>
    <t xml:space="preserve">Axis ticks, band label and side panel are 4.4–5.5 pt. The sprinter line is red and runs along a pale-green "job-ready band", and the caption asks the reader to find "the green band". For red-green colour-blind readers, and in greyscale, line and band are hard to tell apart. "week 12: burnout" is drawn inside the band.</t>
  </si>
  <si>
    <t xml:space="preserve">Enlarge to 7 pt or more; give the band a hatched or outlined fill and label it directly; describe it in the caption by name ("the job-ready band") rather than colour; move the burnout label below the line.</t>
  </si>
  <si>
    <t xml:space="preserve">V83.3</t>
  </si>
  <si>
    <t xml:space="preserve">p. 4 · Page after the hours table</t>
  </si>
  <si>
    <t xml:space="preserve">The table ends at 75% of the page, then 21% is blank because Figure 83.1 moved to p. 5.</t>
  </si>
  <si>
    <t xml:space="preserve">Let the three paragraphs after the figure back-fill, or place the figure before the table.</t>
  </si>
  <si>
    <t xml:space="preserve">V83.4</t>
  </si>
  <si>
    <t xml:space="preserve">p. 16–17 · Closing coda</t>
  </si>
  <si>
    <t xml:space="preserve">After "Where this leads" and its closing rule, five unheaded closing paragraphs ("And so we arrive where every honest guide has to end… Go climb.") spill onto p. 17, which is 72% blank. As the last words of the book, this looks like overflow.</t>
  </si>
  <si>
    <t xml:space="preserve">Give the coda its own heading or ornament (for example a centred rule or a "Closing" head), and start it on a fresh page or keep it with "Where this leads".</t>
  </si>
  <si>
    <t xml:space="preserve">V83.5</t>
  </si>
  <si>
    <t xml:space="preserve">V83.6</t>
  </si>
  <si>
    <t xml:space="preserve">V83.7</t>
  </si>
  <si>
    <t xml:space="preserve">p. 4–5 · Table and Figure 83.1</t>
  </si>
  <si>
    <t xml:space="preserve">The figure repeats the table on p. 4 almost exactly (same rows, hours and weeks).</t>
  </si>
  <si>
    <t xml:space="preserve">Keep one: the figure if it is enlarged, otherwise the table.</t>
  </si>
  <si>
    <t xml:space="preserve">V83.8</t>
  </si>
  <si>
    <t xml:space="preserve">p. 8–9, 12–13 · "Durable / Perishable" and "Ways people fall off" tables</t>
  </si>
  <si>
    <t xml:space="preserve">Each splits with only 2 rows at the foot of the first page. The header repeats correctly.</t>
  </si>
  <si>
    <t xml:space="preserve">Keep these short tables together.</t>
  </si>
  <si>
    <t xml:space="preserve">V83.9</t>
  </si>
  <si>
    <t xml:space="preserve">p. 11→12 · 83.9 lead-in</t>
  </si>
  <si>
    <t xml:space="preserve">"The portable version, for the next thing you have to learn:" ends p. 11 and the list starts p. 12.</t>
  </si>
  <si>
    <t xml:space="preserve">V83.10</t>
  </si>
  <si>
    <t xml:space="preserve">p. 4 · Hours table</t>
  </si>
  <si>
    <t xml:space="preserve">Numeric columns are left-aligned, and the three right-hand columns are cramped while the first column takes about 45% of the width.</t>
  </si>
  <si>
    <t xml:space="preserve">Rebalance the column widths and right-align the numbers.</t>
  </si>
  <si>
    <t xml:space="preserve">V83.11</t>
  </si>
  <si>
    <t xml:space="preserve">p. 6 · Figure 83.2 x-axis</t>
  </si>
  <si>
    <t xml:space="preserve">The ticks run 0, 25, 50, 75, 100, 125, 156. The last tick breaks the interval.</t>
  </si>
  <si>
    <t xml:space="preserve">Use 0–150 in steps of 25 with a "year 3 (156)" annotation, or ticks at 0/52/104/156 (years).</t>
  </si>
</sst>
</file>

<file path=xl/styles.xml><?xml version="1.0" encoding="utf-8"?>
<styleSheet xmlns="http://schemas.openxmlformats.org/spreadsheetml/2006/main">
  <numFmts count="3">
    <numFmt numFmtId="164" formatCode="General"/>
    <numFmt numFmtId="165" formatCode="@"/>
    <numFmt numFmtId="166"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8CBAD"/>
        <bgColor rgb="FFFFE699"/>
      </patternFill>
    </fill>
    <fill>
      <patternFill patternType="solid">
        <fgColor rgb="FFFFF2CC"/>
        <bgColor rgb="FFE2EFDA"/>
      </patternFill>
    </fill>
    <fill>
      <patternFill patternType="solid">
        <fgColor rgb="FFFFE699"/>
        <bgColor rgb="FFFFF2CC"/>
      </patternFill>
    </fill>
    <fill>
      <patternFill patternType="solid">
        <fgColor rgb="FFE2EFDA"/>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35.05" hidden="false" customHeight="false" outlineLevel="0" collapsed="false">
      <c r="A2" s="2" t="s">
        <v>1</v>
      </c>
    </row>
    <row r="3" customFormat="false" ht="23.85" hidden="false" customHeight="false" outlineLevel="0" collapsed="false">
      <c r="A3" s="2" t="s">
        <v>2</v>
      </c>
    </row>
    <row r="4" customFormat="false" ht="15" hidden="false" customHeight="false" outlineLevel="0" collapsed="false">
      <c r="A4" s="2"/>
    </row>
    <row r="5" customFormat="false" ht="15" hidden="false" customHeight="false" outlineLevel="0" collapsed="false">
      <c r="A5" s="3"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row>
    <row r="16" customFormat="false" ht="15" hidden="false" customHeight="false" outlineLevel="0" collapsed="false">
      <c r="A16" s="3" t="s">
        <v>12</v>
      </c>
    </row>
    <row r="17" customFormat="false" ht="15" hidden="false" customHeight="false" outlineLevel="0" collapsed="false">
      <c r="A17" s="2" t="s">
        <v>13</v>
      </c>
    </row>
    <row r="18" customFormat="false" ht="15" hidden="false" customHeight="false" outlineLevel="0" collapsed="false">
      <c r="A18" s="2"/>
    </row>
    <row r="19" customFormat="false" ht="15" hidden="false" customHeight="false" outlineLevel="0" collapsed="false">
      <c r="A19" s="3" t="s">
        <v>14</v>
      </c>
    </row>
    <row r="20" customFormat="false" ht="23.85" hidden="false" customHeight="false" outlineLevel="0" collapsed="false">
      <c r="A20" s="2" t="s">
        <v>15</v>
      </c>
    </row>
    <row r="21" customFormat="false" ht="23.85" hidden="false" customHeight="false" outlineLevel="0" collapsed="false">
      <c r="A21"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52"/>
    <col collapsed="false" customWidth="true" hidden="false" outlineLevel="0" max="4" min="4" style="0" width="10"/>
    <col collapsed="false" customWidth="true" hidden="false" outlineLevel="0" max="5" min="5" style="0" width="8"/>
    <col collapsed="false" customWidth="true" hidden="false" outlineLevel="0" max="6" min="6" style="0" width="9"/>
    <col collapsed="false" customWidth="true" hidden="false" outlineLevel="0" max="8" min="7" style="0" width="8"/>
    <col collapsed="false" customWidth="true" hidden="false" outlineLevel="0" max="10" min="9" style="0" width="9"/>
  </cols>
  <sheetData>
    <row r="1" customFormat="false" ht="15" hidden="false" customHeight="false" outlineLevel="0" collapsed="false">
      <c r="A1" s="4" t="s">
        <v>17</v>
      </c>
      <c r="B1" s="4" t="s">
        <v>18</v>
      </c>
      <c r="C1" s="4" t="s">
        <v>19</v>
      </c>
      <c r="D1" s="4" t="s">
        <v>20</v>
      </c>
      <c r="E1" s="4" t="s">
        <v>21</v>
      </c>
      <c r="F1" s="4" t="s">
        <v>22</v>
      </c>
      <c r="G1" s="4" t="s">
        <v>23</v>
      </c>
      <c r="H1" s="4" t="s">
        <v>24</v>
      </c>
      <c r="I1" s="4" t="s">
        <v>25</v>
      </c>
      <c r="J1" s="4" t="s">
        <v>26</v>
      </c>
    </row>
    <row r="2" customFormat="false" ht="15" hidden="false" customHeight="false" outlineLevel="0" collapsed="false">
      <c r="A2" s="5" t="s">
        <v>27</v>
      </c>
      <c r="B2" s="6" t="s">
        <v>28</v>
      </c>
      <c r="C2" s="5" t="s">
        <v>29</v>
      </c>
      <c r="D2" s="5" t="n">
        <f aca="false">COUNTIFS(Register!$B$2:$B$3759,A2,Register!$C$2:$C$3759,B2)</f>
        <v>2</v>
      </c>
      <c r="E2" s="5" t="n">
        <f aca="false">COUNTIFS(Register!$B$2:$B$3759,A2,Register!$C$2:$C$3759,B2,Register!$H$2:$H$3759,"High")</f>
        <v>1</v>
      </c>
      <c r="F2" s="5" t="n">
        <f aca="false">COUNTIFS(Register!$B$2:$B$3759,A2,Register!$C$2:$C$3759,B2,Register!$H$2:$H$3759,"Medium")</f>
        <v>1</v>
      </c>
      <c r="G2" s="5" t="n">
        <f aca="false">COUNTIFS(Register!$B$2:$B$3759,A2,Register!$C$2:$C$3759,B2,Register!$H$2:$H$3759,"Low")</f>
        <v>0</v>
      </c>
      <c r="H2" s="5" t="n">
        <f aca="false">COUNTIFS(Register!$B$2:$B$3759,A2,Register!$C$2:$C$3759,B2,Register!$G$2:$G$3759,"Visual")</f>
        <v>0</v>
      </c>
      <c r="I2" s="5" t="n">
        <f aca="false">COUNTIFS(Register!$B$2:$B$3759,A2,Register!$C$2:$C$3759,B2,Register!$J$2:$J$3759,"&lt;&gt;")</f>
        <v>0</v>
      </c>
      <c r="J2" s="5" t="n">
        <f aca="false">COUNTIFS(Register!$B$2:$B$3759,A2,Register!$C$2:$C$3759,B2,Register!$J$2:$J$3759,"Approve")</f>
        <v>0</v>
      </c>
    </row>
    <row r="3" customFormat="false" ht="15" hidden="false" customHeight="false" outlineLevel="0" collapsed="false">
      <c r="A3" s="5" t="s">
        <v>30</v>
      </c>
      <c r="B3" s="6" t="s">
        <v>31</v>
      </c>
      <c r="C3" s="5" t="s">
        <v>32</v>
      </c>
      <c r="D3" s="5" t="n">
        <f aca="false">COUNTIFS(Register!$B$2:$B$3759,A3,Register!$C$2:$C$3759,B3)</f>
        <v>20</v>
      </c>
      <c r="E3" s="5" t="n">
        <f aca="false">COUNTIFS(Register!$B$2:$B$3759,A3,Register!$C$2:$C$3759,B3,Register!$H$2:$H$3759,"High")</f>
        <v>3</v>
      </c>
      <c r="F3" s="5" t="n">
        <f aca="false">COUNTIFS(Register!$B$2:$B$3759,A3,Register!$C$2:$C$3759,B3,Register!$H$2:$H$3759,"Medium")</f>
        <v>7</v>
      </c>
      <c r="G3" s="5" t="n">
        <f aca="false">COUNTIFS(Register!$B$2:$B$3759,A3,Register!$C$2:$C$3759,B3,Register!$H$2:$H$3759,"Low")</f>
        <v>10</v>
      </c>
      <c r="H3" s="5" t="n">
        <f aca="false">COUNTIFS(Register!$B$2:$B$3759,A3,Register!$C$2:$C$3759,B3,Register!$G$2:$G$3759,"Visual")</f>
        <v>15</v>
      </c>
      <c r="I3" s="5" t="n">
        <f aca="false">COUNTIFS(Register!$B$2:$B$3759,A3,Register!$C$2:$C$3759,B3,Register!$J$2:$J$3759,"&lt;&gt;")</f>
        <v>0</v>
      </c>
      <c r="J3" s="5" t="n">
        <f aca="false">COUNTIFS(Register!$B$2:$B$3759,A3,Register!$C$2:$C$3759,B3,Register!$J$2:$J$3759,"Approve")</f>
        <v>0</v>
      </c>
    </row>
    <row r="4" customFormat="false" ht="15" hidden="false" customHeight="false" outlineLevel="0" collapsed="false">
      <c r="A4" s="5" t="s">
        <v>30</v>
      </c>
      <c r="B4" s="6" t="s">
        <v>33</v>
      </c>
      <c r="C4" s="5" t="s">
        <v>34</v>
      </c>
      <c r="D4" s="5" t="n">
        <f aca="false">COUNTIFS(Register!$B$2:$B$3759,A4,Register!$C$2:$C$3759,B4)</f>
        <v>17</v>
      </c>
      <c r="E4" s="5" t="n">
        <f aca="false">COUNTIFS(Register!$B$2:$B$3759,A4,Register!$C$2:$C$3759,B4,Register!$H$2:$H$3759,"High")</f>
        <v>0</v>
      </c>
      <c r="F4" s="5" t="n">
        <f aca="false">COUNTIFS(Register!$B$2:$B$3759,A4,Register!$C$2:$C$3759,B4,Register!$H$2:$H$3759,"Medium")</f>
        <v>10</v>
      </c>
      <c r="G4" s="5" t="n">
        <f aca="false">COUNTIFS(Register!$B$2:$B$3759,A4,Register!$C$2:$C$3759,B4,Register!$H$2:$H$3759,"Low")</f>
        <v>7</v>
      </c>
      <c r="H4" s="5" t="n">
        <f aca="false">COUNTIFS(Register!$B$2:$B$3759,A4,Register!$C$2:$C$3759,B4,Register!$G$2:$G$3759,"Visual")</f>
        <v>14</v>
      </c>
      <c r="I4" s="5" t="n">
        <f aca="false">COUNTIFS(Register!$B$2:$B$3759,A4,Register!$C$2:$C$3759,B4,Register!$J$2:$J$3759,"&lt;&gt;")</f>
        <v>0</v>
      </c>
      <c r="J4" s="5" t="n">
        <f aca="false">COUNTIFS(Register!$B$2:$B$3759,A4,Register!$C$2:$C$3759,B4,Register!$J$2:$J$3759,"Approve")</f>
        <v>0</v>
      </c>
    </row>
    <row r="5" customFormat="false" ht="15" hidden="false" customHeight="false" outlineLevel="0" collapsed="false">
      <c r="A5" s="5" t="s">
        <v>30</v>
      </c>
      <c r="B5" s="6" t="s">
        <v>35</v>
      </c>
      <c r="C5" s="5" t="s">
        <v>36</v>
      </c>
      <c r="D5" s="5" t="n">
        <f aca="false">COUNTIFS(Register!$B$2:$B$3759,A5,Register!$C$2:$C$3759,B5)</f>
        <v>15</v>
      </c>
      <c r="E5" s="5" t="n">
        <f aca="false">COUNTIFS(Register!$B$2:$B$3759,A5,Register!$C$2:$C$3759,B5,Register!$H$2:$H$3759,"High")</f>
        <v>2</v>
      </c>
      <c r="F5" s="5" t="n">
        <f aca="false">COUNTIFS(Register!$B$2:$B$3759,A5,Register!$C$2:$C$3759,B5,Register!$H$2:$H$3759,"Medium")</f>
        <v>7</v>
      </c>
      <c r="G5" s="5" t="n">
        <f aca="false">COUNTIFS(Register!$B$2:$B$3759,A5,Register!$C$2:$C$3759,B5,Register!$H$2:$H$3759,"Low")</f>
        <v>6</v>
      </c>
      <c r="H5" s="5" t="n">
        <f aca="false">COUNTIFS(Register!$B$2:$B$3759,A5,Register!$C$2:$C$3759,B5,Register!$G$2:$G$3759,"Visual")</f>
        <v>15</v>
      </c>
      <c r="I5" s="5" t="n">
        <f aca="false">COUNTIFS(Register!$B$2:$B$3759,A5,Register!$C$2:$C$3759,B5,Register!$J$2:$J$3759,"&lt;&gt;")</f>
        <v>0</v>
      </c>
      <c r="J5" s="5" t="n">
        <f aca="false">COUNTIFS(Register!$B$2:$B$3759,A5,Register!$C$2:$C$3759,B5,Register!$J$2:$J$3759,"Approve")</f>
        <v>0</v>
      </c>
    </row>
    <row r="6" customFormat="false" ht="15" hidden="false" customHeight="false" outlineLevel="0" collapsed="false">
      <c r="A6" s="5" t="s">
        <v>30</v>
      </c>
      <c r="B6" s="6" t="s">
        <v>37</v>
      </c>
      <c r="C6" s="5" t="s">
        <v>38</v>
      </c>
      <c r="D6" s="5" t="n">
        <f aca="false">COUNTIFS(Register!$B$2:$B$3759,A6,Register!$C$2:$C$3759,B6)</f>
        <v>18</v>
      </c>
      <c r="E6" s="5" t="n">
        <f aca="false">COUNTIFS(Register!$B$2:$B$3759,A6,Register!$C$2:$C$3759,B6,Register!$H$2:$H$3759,"High")</f>
        <v>1</v>
      </c>
      <c r="F6" s="5" t="n">
        <f aca="false">COUNTIFS(Register!$B$2:$B$3759,A6,Register!$C$2:$C$3759,B6,Register!$H$2:$H$3759,"Medium")</f>
        <v>10</v>
      </c>
      <c r="G6" s="5" t="n">
        <f aca="false">COUNTIFS(Register!$B$2:$B$3759,A6,Register!$C$2:$C$3759,B6,Register!$H$2:$H$3759,"Low")</f>
        <v>7</v>
      </c>
      <c r="H6" s="5" t="n">
        <f aca="false">COUNTIFS(Register!$B$2:$B$3759,A6,Register!$C$2:$C$3759,B6,Register!$G$2:$G$3759,"Visual")</f>
        <v>15</v>
      </c>
      <c r="I6" s="5" t="n">
        <f aca="false">COUNTIFS(Register!$B$2:$B$3759,A6,Register!$C$2:$C$3759,B6,Register!$J$2:$J$3759,"&lt;&gt;")</f>
        <v>0</v>
      </c>
      <c r="J6" s="5" t="n">
        <f aca="false">COUNTIFS(Register!$B$2:$B$3759,A6,Register!$C$2:$C$3759,B6,Register!$J$2:$J$3759,"Approve")</f>
        <v>0</v>
      </c>
    </row>
    <row r="7" customFormat="false" ht="15" hidden="false" customHeight="false" outlineLevel="0" collapsed="false">
      <c r="A7" s="5" t="s">
        <v>30</v>
      </c>
      <c r="B7" s="6" t="s">
        <v>39</v>
      </c>
      <c r="C7" s="5" t="s">
        <v>40</v>
      </c>
      <c r="D7" s="5" t="n">
        <f aca="false">COUNTIFS(Register!$B$2:$B$3759,A7,Register!$C$2:$C$3759,B7)</f>
        <v>14</v>
      </c>
      <c r="E7" s="5" t="n">
        <f aca="false">COUNTIFS(Register!$B$2:$B$3759,A7,Register!$C$2:$C$3759,B7,Register!$H$2:$H$3759,"High")</f>
        <v>1</v>
      </c>
      <c r="F7" s="5" t="n">
        <f aca="false">COUNTIFS(Register!$B$2:$B$3759,A7,Register!$C$2:$C$3759,B7,Register!$H$2:$H$3759,"Medium")</f>
        <v>8</v>
      </c>
      <c r="G7" s="5" t="n">
        <f aca="false">COUNTIFS(Register!$B$2:$B$3759,A7,Register!$C$2:$C$3759,B7,Register!$H$2:$H$3759,"Low")</f>
        <v>5</v>
      </c>
      <c r="H7" s="5" t="n">
        <f aca="false">COUNTIFS(Register!$B$2:$B$3759,A7,Register!$C$2:$C$3759,B7,Register!$G$2:$G$3759,"Visual")</f>
        <v>14</v>
      </c>
      <c r="I7" s="5" t="n">
        <f aca="false">COUNTIFS(Register!$B$2:$B$3759,A7,Register!$C$2:$C$3759,B7,Register!$J$2:$J$3759,"&lt;&gt;")</f>
        <v>0</v>
      </c>
      <c r="J7" s="5" t="n">
        <f aca="false">COUNTIFS(Register!$B$2:$B$3759,A7,Register!$C$2:$C$3759,B7,Register!$J$2:$J$3759,"Approve")</f>
        <v>0</v>
      </c>
    </row>
    <row r="8" customFormat="false" ht="15" hidden="false" customHeight="false" outlineLevel="0" collapsed="false">
      <c r="A8" s="5" t="s">
        <v>30</v>
      </c>
      <c r="B8" s="6" t="s">
        <v>41</v>
      </c>
      <c r="C8" s="5" t="s">
        <v>42</v>
      </c>
      <c r="D8" s="5" t="n">
        <f aca="false">COUNTIFS(Register!$B$2:$B$3759,A8,Register!$C$2:$C$3759,B8)</f>
        <v>20</v>
      </c>
      <c r="E8" s="5" t="n">
        <f aca="false">COUNTIFS(Register!$B$2:$B$3759,A8,Register!$C$2:$C$3759,B8,Register!$H$2:$H$3759,"High")</f>
        <v>3</v>
      </c>
      <c r="F8" s="5" t="n">
        <f aca="false">COUNTIFS(Register!$B$2:$B$3759,A8,Register!$C$2:$C$3759,B8,Register!$H$2:$H$3759,"Medium")</f>
        <v>8</v>
      </c>
      <c r="G8" s="5" t="n">
        <f aca="false">COUNTIFS(Register!$B$2:$B$3759,A8,Register!$C$2:$C$3759,B8,Register!$H$2:$H$3759,"Low")</f>
        <v>7</v>
      </c>
      <c r="H8" s="5" t="n">
        <f aca="false">COUNTIFS(Register!$B$2:$B$3759,A8,Register!$C$2:$C$3759,B8,Register!$G$2:$G$3759,"Visual")</f>
        <v>13</v>
      </c>
      <c r="I8" s="5" t="n">
        <f aca="false">COUNTIFS(Register!$B$2:$B$3759,A8,Register!$C$2:$C$3759,B8,Register!$J$2:$J$3759,"&lt;&gt;")</f>
        <v>0</v>
      </c>
      <c r="J8" s="5" t="n">
        <f aca="false">COUNTIFS(Register!$B$2:$B$3759,A8,Register!$C$2:$C$3759,B8,Register!$J$2:$J$3759,"Approve")</f>
        <v>0</v>
      </c>
    </row>
    <row r="9" customFormat="false" ht="15" hidden="false" customHeight="false" outlineLevel="0" collapsed="false">
      <c r="A9" s="5" t="s">
        <v>43</v>
      </c>
      <c r="B9" s="6" t="s">
        <v>44</v>
      </c>
      <c r="C9" s="5" t="s">
        <v>45</v>
      </c>
      <c r="D9" s="5" t="n">
        <f aca="false">COUNTIFS(Register!$B$2:$B$3759,A9,Register!$C$2:$C$3759,B9)</f>
        <v>18</v>
      </c>
      <c r="E9" s="5" t="n">
        <f aca="false">COUNTIFS(Register!$B$2:$B$3759,A9,Register!$C$2:$C$3759,B9,Register!$H$2:$H$3759,"High")</f>
        <v>2</v>
      </c>
      <c r="F9" s="5" t="n">
        <f aca="false">COUNTIFS(Register!$B$2:$B$3759,A9,Register!$C$2:$C$3759,B9,Register!$H$2:$H$3759,"Medium")</f>
        <v>11</v>
      </c>
      <c r="G9" s="5" t="n">
        <f aca="false">COUNTIFS(Register!$B$2:$B$3759,A9,Register!$C$2:$C$3759,B9,Register!$H$2:$H$3759,"Low")</f>
        <v>5</v>
      </c>
      <c r="H9" s="5" t="n">
        <f aca="false">COUNTIFS(Register!$B$2:$B$3759,A9,Register!$C$2:$C$3759,B9,Register!$G$2:$G$3759,"Visual")</f>
        <v>15</v>
      </c>
      <c r="I9" s="5" t="n">
        <f aca="false">COUNTIFS(Register!$B$2:$B$3759,A9,Register!$C$2:$C$3759,B9,Register!$J$2:$J$3759,"&lt;&gt;")</f>
        <v>0</v>
      </c>
      <c r="J9" s="5" t="n">
        <f aca="false">COUNTIFS(Register!$B$2:$B$3759,A9,Register!$C$2:$C$3759,B9,Register!$J$2:$J$3759,"Approve")</f>
        <v>0</v>
      </c>
    </row>
    <row r="10" customFormat="false" ht="15" hidden="false" customHeight="false" outlineLevel="0" collapsed="false">
      <c r="A10" s="5" t="s">
        <v>43</v>
      </c>
      <c r="B10" s="6" t="s">
        <v>46</v>
      </c>
      <c r="C10" s="5" t="s">
        <v>47</v>
      </c>
      <c r="D10" s="5" t="n">
        <f aca="false">COUNTIFS(Register!$B$2:$B$3759,A10,Register!$C$2:$C$3759,B10)</f>
        <v>19</v>
      </c>
      <c r="E10" s="5" t="n">
        <f aca="false">COUNTIFS(Register!$B$2:$B$3759,A10,Register!$C$2:$C$3759,B10,Register!$H$2:$H$3759,"High")</f>
        <v>3</v>
      </c>
      <c r="F10" s="5" t="n">
        <f aca="false">COUNTIFS(Register!$B$2:$B$3759,A10,Register!$C$2:$C$3759,B10,Register!$H$2:$H$3759,"Medium")</f>
        <v>10</v>
      </c>
      <c r="G10" s="5" t="n">
        <f aca="false">COUNTIFS(Register!$B$2:$B$3759,A10,Register!$C$2:$C$3759,B10,Register!$H$2:$H$3759,"Low")</f>
        <v>6</v>
      </c>
      <c r="H10" s="5" t="n">
        <f aca="false">COUNTIFS(Register!$B$2:$B$3759,A10,Register!$C$2:$C$3759,B10,Register!$G$2:$G$3759,"Visual")</f>
        <v>14</v>
      </c>
      <c r="I10" s="5" t="n">
        <f aca="false">COUNTIFS(Register!$B$2:$B$3759,A10,Register!$C$2:$C$3759,B10,Register!$J$2:$J$3759,"&lt;&gt;")</f>
        <v>0</v>
      </c>
      <c r="J10" s="5" t="n">
        <f aca="false">COUNTIFS(Register!$B$2:$B$3759,A10,Register!$C$2:$C$3759,B10,Register!$J$2:$J$3759,"Approve")</f>
        <v>0</v>
      </c>
    </row>
    <row r="11" customFormat="false" ht="15" hidden="false" customHeight="false" outlineLevel="0" collapsed="false">
      <c r="A11" s="5" t="s">
        <v>43</v>
      </c>
      <c r="B11" s="6" t="s">
        <v>48</v>
      </c>
      <c r="C11" s="5" t="s">
        <v>49</v>
      </c>
      <c r="D11" s="5" t="n">
        <f aca="false">COUNTIFS(Register!$B$2:$B$3759,A11,Register!$C$2:$C$3759,B11)</f>
        <v>14</v>
      </c>
      <c r="E11" s="5" t="n">
        <f aca="false">COUNTIFS(Register!$B$2:$B$3759,A11,Register!$C$2:$C$3759,B11,Register!$H$2:$H$3759,"High")</f>
        <v>0</v>
      </c>
      <c r="F11" s="5" t="n">
        <f aca="false">COUNTIFS(Register!$B$2:$B$3759,A11,Register!$C$2:$C$3759,B11,Register!$H$2:$H$3759,"Medium")</f>
        <v>9</v>
      </c>
      <c r="G11" s="5" t="n">
        <f aca="false">COUNTIFS(Register!$B$2:$B$3759,A11,Register!$C$2:$C$3759,B11,Register!$H$2:$H$3759,"Low")</f>
        <v>5</v>
      </c>
      <c r="H11" s="5" t="n">
        <f aca="false">COUNTIFS(Register!$B$2:$B$3759,A11,Register!$C$2:$C$3759,B11,Register!$G$2:$G$3759,"Visual")</f>
        <v>13</v>
      </c>
      <c r="I11" s="5" t="n">
        <f aca="false">COUNTIFS(Register!$B$2:$B$3759,A11,Register!$C$2:$C$3759,B11,Register!$J$2:$J$3759,"&lt;&gt;")</f>
        <v>0</v>
      </c>
      <c r="J11" s="5" t="n">
        <f aca="false">COUNTIFS(Register!$B$2:$B$3759,A11,Register!$C$2:$C$3759,B11,Register!$J$2:$J$3759,"Approve")</f>
        <v>0</v>
      </c>
    </row>
    <row r="12" customFormat="false" ht="15" hidden="false" customHeight="false" outlineLevel="0" collapsed="false">
      <c r="A12" s="5" t="s">
        <v>50</v>
      </c>
      <c r="B12" s="6" t="s">
        <v>51</v>
      </c>
      <c r="C12" s="5" t="s">
        <v>52</v>
      </c>
      <c r="D12" s="5" t="n">
        <f aca="false">COUNTIFS(Register!$B$2:$B$3759,A12,Register!$C$2:$C$3759,B12)</f>
        <v>52</v>
      </c>
      <c r="E12" s="5" t="n">
        <f aca="false">COUNTIFS(Register!$B$2:$B$3759,A12,Register!$C$2:$C$3759,B12,Register!$H$2:$H$3759,"High")</f>
        <v>4</v>
      </c>
      <c r="F12" s="5" t="n">
        <f aca="false">COUNTIFS(Register!$B$2:$B$3759,A12,Register!$C$2:$C$3759,B12,Register!$H$2:$H$3759,"Medium")</f>
        <v>25</v>
      </c>
      <c r="G12" s="5" t="n">
        <f aca="false">COUNTIFS(Register!$B$2:$B$3759,A12,Register!$C$2:$C$3759,B12,Register!$H$2:$H$3759,"Low")</f>
        <v>23</v>
      </c>
      <c r="H12" s="5" t="n">
        <f aca="false">COUNTIFS(Register!$B$2:$B$3759,A12,Register!$C$2:$C$3759,B12,Register!$G$2:$G$3759,"Visual")</f>
        <v>19</v>
      </c>
      <c r="I12" s="5" t="n">
        <f aca="false">COUNTIFS(Register!$B$2:$B$3759,A12,Register!$C$2:$C$3759,B12,Register!$J$2:$J$3759,"&lt;&gt;")</f>
        <v>0</v>
      </c>
      <c r="J12" s="5" t="n">
        <f aca="false">COUNTIFS(Register!$B$2:$B$3759,A12,Register!$C$2:$C$3759,B12,Register!$J$2:$J$3759,"Approve")</f>
        <v>0</v>
      </c>
    </row>
    <row r="13" customFormat="false" ht="15" hidden="false" customHeight="false" outlineLevel="0" collapsed="false">
      <c r="A13" s="5" t="s">
        <v>50</v>
      </c>
      <c r="B13" s="6" t="s">
        <v>53</v>
      </c>
      <c r="C13" s="5" t="s">
        <v>54</v>
      </c>
      <c r="D13" s="5" t="n">
        <f aca="false">COUNTIFS(Register!$B$2:$B$3759,A13,Register!$C$2:$C$3759,B13)</f>
        <v>60</v>
      </c>
      <c r="E13" s="5" t="n">
        <f aca="false">COUNTIFS(Register!$B$2:$B$3759,A13,Register!$C$2:$C$3759,B13,Register!$H$2:$H$3759,"High")</f>
        <v>12</v>
      </c>
      <c r="F13" s="5" t="n">
        <f aca="false">COUNTIFS(Register!$B$2:$B$3759,A13,Register!$C$2:$C$3759,B13,Register!$H$2:$H$3759,"Medium")</f>
        <v>30</v>
      </c>
      <c r="G13" s="5" t="n">
        <f aca="false">COUNTIFS(Register!$B$2:$B$3759,A13,Register!$C$2:$C$3759,B13,Register!$H$2:$H$3759,"Low")</f>
        <v>18</v>
      </c>
      <c r="H13" s="5" t="n">
        <f aca="false">COUNTIFS(Register!$B$2:$B$3759,A13,Register!$C$2:$C$3759,B13,Register!$G$2:$G$3759,"Visual")</f>
        <v>26</v>
      </c>
      <c r="I13" s="5" t="n">
        <f aca="false">COUNTIFS(Register!$B$2:$B$3759,A13,Register!$C$2:$C$3759,B13,Register!$J$2:$J$3759,"&lt;&gt;")</f>
        <v>0</v>
      </c>
      <c r="J13" s="5" t="n">
        <f aca="false">COUNTIFS(Register!$B$2:$B$3759,A13,Register!$C$2:$C$3759,B13,Register!$J$2:$J$3759,"Approve")</f>
        <v>0</v>
      </c>
    </row>
    <row r="14" customFormat="false" ht="15" hidden="false" customHeight="false" outlineLevel="0" collapsed="false">
      <c r="A14" s="5" t="s">
        <v>50</v>
      </c>
      <c r="B14" s="6" t="s">
        <v>55</v>
      </c>
      <c r="C14" s="5" t="s">
        <v>56</v>
      </c>
      <c r="D14" s="5" t="n">
        <f aca="false">COUNTIFS(Register!$B$2:$B$3759,A14,Register!$C$2:$C$3759,B14)</f>
        <v>80</v>
      </c>
      <c r="E14" s="5" t="n">
        <f aca="false">COUNTIFS(Register!$B$2:$B$3759,A14,Register!$C$2:$C$3759,B14,Register!$H$2:$H$3759,"High")</f>
        <v>4</v>
      </c>
      <c r="F14" s="5" t="n">
        <f aca="false">COUNTIFS(Register!$B$2:$B$3759,A14,Register!$C$2:$C$3759,B14,Register!$H$2:$H$3759,"Medium")</f>
        <v>41</v>
      </c>
      <c r="G14" s="5" t="n">
        <f aca="false">COUNTIFS(Register!$B$2:$B$3759,A14,Register!$C$2:$C$3759,B14,Register!$H$2:$H$3759,"Low")</f>
        <v>35</v>
      </c>
      <c r="H14" s="5" t="n">
        <f aca="false">COUNTIFS(Register!$B$2:$B$3759,A14,Register!$C$2:$C$3759,B14,Register!$G$2:$G$3759,"Visual")</f>
        <v>30</v>
      </c>
      <c r="I14" s="5" t="n">
        <f aca="false">COUNTIFS(Register!$B$2:$B$3759,A14,Register!$C$2:$C$3759,B14,Register!$J$2:$J$3759,"&lt;&gt;")</f>
        <v>0</v>
      </c>
      <c r="J14" s="5" t="n">
        <f aca="false">COUNTIFS(Register!$B$2:$B$3759,A14,Register!$C$2:$C$3759,B14,Register!$J$2:$J$3759,"Approve")</f>
        <v>0</v>
      </c>
    </row>
    <row r="15" customFormat="false" ht="15" hidden="false" customHeight="false" outlineLevel="0" collapsed="false">
      <c r="A15" s="5" t="s">
        <v>50</v>
      </c>
      <c r="B15" s="6" t="s">
        <v>57</v>
      </c>
      <c r="C15" s="5" t="s">
        <v>58</v>
      </c>
      <c r="D15" s="5" t="n">
        <f aca="false">COUNTIFS(Register!$B$2:$B$3759,A15,Register!$C$2:$C$3759,B15)</f>
        <v>48</v>
      </c>
      <c r="E15" s="5" t="n">
        <f aca="false">COUNTIFS(Register!$B$2:$B$3759,A15,Register!$C$2:$C$3759,B15,Register!$H$2:$H$3759,"High")</f>
        <v>0</v>
      </c>
      <c r="F15" s="5" t="n">
        <f aca="false">COUNTIFS(Register!$B$2:$B$3759,A15,Register!$C$2:$C$3759,B15,Register!$H$2:$H$3759,"Medium")</f>
        <v>26</v>
      </c>
      <c r="G15" s="5" t="n">
        <f aca="false">COUNTIFS(Register!$B$2:$B$3759,A15,Register!$C$2:$C$3759,B15,Register!$H$2:$H$3759,"Low")</f>
        <v>22</v>
      </c>
      <c r="H15" s="5" t="n">
        <f aca="false">COUNTIFS(Register!$B$2:$B$3759,A15,Register!$C$2:$C$3759,B15,Register!$G$2:$G$3759,"Visual")</f>
        <v>21</v>
      </c>
      <c r="I15" s="5" t="n">
        <f aca="false">COUNTIFS(Register!$B$2:$B$3759,A15,Register!$C$2:$C$3759,B15,Register!$J$2:$J$3759,"&lt;&gt;")</f>
        <v>0</v>
      </c>
      <c r="J15" s="5" t="n">
        <f aca="false">COUNTIFS(Register!$B$2:$B$3759,A15,Register!$C$2:$C$3759,B15,Register!$J$2:$J$3759,"Approve")</f>
        <v>0</v>
      </c>
    </row>
    <row r="16" customFormat="false" ht="15" hidden="false" customHeight="false" outlineLevel="0" collapsed="false">
      <c r="A16" s="5" t="s">
        <v>50</v>
      </c>
      <c r="B16" s="6" t="s">
        <v>59</v>
      </c>
      <c r="C16" s="5" t="s">
        <v>60</v>
      </c>
      <c r="D16" s="5" t="n">
        <f aca="false">COUNTIFS(Register!$B$2:$B$3759,A16,Register!$C$2:$C$3759,B16)</f>
        <v>55</v>
      </c>
      <c r="E16" s="5" t="n">
        <f aca="false">COUNTIFS(Register!$B$2:$B$3759,A16,Register!$C$2:$C$3759,B16,Register!$H$2:$H$3759,"High")</f>
        <v>5</v>
      </c>
      <c r="F16" s="5" t="n">
        <f aca="false">COUNTIFS(Register!$B$2:$B$3759,A16,Register!$C$2:$C$3759,B16,Register!$H$2:$H$3759,"Medium")</f>
        <v>23</v>
      </c>
      <c r="G16" s="5" t="n">
        <f aca="false">COUNTIFS(Register!$B$2:$B$3759,A16,Register!$C$2:$C$3759,B16,Register!$H$2:$H$3759,"Low")</f>
        <v>27</v>
      </c>
      <c r="H16" s="5" t="n">
        <f aca="false">COUNTIFS(Register!$B$2:$B$3759,A16,Register!$C$2:$C$3759,B16,Register!$G$2:$G$3759,"Visual")</f>
        <v>19</v>
      </c>
      <c r="I16" s="5" t="n">
        <f aca="false">COUNTIFS(Register!$B$2:$B$3759,A16,Register!$C$2:$C$3759,B16,Register!$J$2:$J$3759,"&lt;&gt;")</f>
        <v>0</v>
      </c>
      <c r="J16" s="5" t="n">
        <f aca="false">COUNTIFS(Register!$B$2:$B$3759,A16,Register!$C$2:$C$3759,B16,Register!$J$2:$J$3759,"Approve")</f>
        <v>0</v>
      </c>
    </row>
    <row r="17" customFormat="false" ht="15" hidden="false" customHeight="false" outlineLevel="0" collapsed="false">
      <c r="A17" s="5" t="s">
        <v>50</v>
      </c>
      <c r="B17" s="6" t="s">
        <v>61</v>
      </c>
      <c r="C17" s="5" t="s">
        <v>62</v>
      </c>
      <c r="D17" s="5" t="n">
        <f aca="false">COUNTIFS(Register!$B$2:$B$3759,A17,Register!$C$2:$C$3759,B17)</f>
        <v>42</v>
      </c>
      <c r="E17" s="5" t="n">
        <f aca="false">COUNTIFS(Register!$B$2:$B$3759,A17,Register!$C$2:$C$3759,B17,Register!$H$2:$H$3759,"High")</f>
        <v>3</v>
      </c>
      <c r="F17" s="5" t="n">
        <f aca="false">COUNTIFS(Register!$B$2:$B$3759,A17,Register!$C$2:$C$3759,B17,Register!$H$2:$H$3759,"Medium")</f>
        <v>20</v>
      </c>
      <c r="G17" s="5" t="n">
        <f aca="false">COUNTIFS(Register!$B$2:$B$3759,A17,Register!$C$2:$C$3759,B17,Register!$H$2:$H$3759,"Low")</f>
        <v>19</v>
      </c>
      <c r="H17" s="5" t="n">
        <f aca="false">COUNTIFS(Register!$B$2:$B$3759,A17,Register!$C$2:$C$3759,B17,Register!$G$2:$G$3759,"Visual")</f>
        <v>17</v>
      </c>
      <c r="I17" s="5" t="n">
        <f aca="false">COUNTIFS(Register!$B$2:$B$3759,A17,Register!$C$2:$C$3759,B17,Register!$J$2:$J$3759,"&lt;&gt;")</f>
        <v>0</v>
      </c>
      <c r="J17" s="5" t="n">
        <f aca="false">COUNTIFS(Register!$B$2:$B$3759,A17,Register!$C$2:$C$3759,B17,Register!$J$2:$J$3759,"Approve")</f>
        <v>0</v>
      </c>
    </row>
    <row r="18" customFormat="false" ht="15" hidden="false" customHeight="false" outlineLevel="0" collapsed="false">
      <c r="A18" s="5" t="s">
        <v>50</v>
      </c>
      <c r="B18" s="6" t="s">
        <v>63</v>
      </c>
      <c r="C18" s="5" t="s">
        <v>64</v>
      </c>
      <c r="D18" s="5" t="n">
        <f aca="false">COUNTIFS(Register!$B$2:$B$3759,A18,Register!$C$2:$C$3759,B18)</f>
        <v>55</v>
      </c>
      <c r="E18" s="5" t="n">
        <f aca="false">COUNTIFS(Register!$B$2:$B$3759,A18,Register!$C$2:$C$3759,B18,Register!$H$2:$H$3759,"High")</f>
        <v>7</v>
      </c>
      <c r="F18" s="5" t="n">
        <f aca="false">COUNTIFS(Register!$B$2:$B$3759,A18,Register!$C$2:$C$3759,B18,Register!$H$2:$H$3759,"Medium")</f>
        <v>29</v>
      </c>
      <c r="G18" s="5" t="n">
        <f aca="false">COUNTIFS(Register!$B$2:$B$3759,A18,Register!$C$2:$C$3759,B18,Register!$H$2:$H$3759,"Low")</f>
        <v>19</v>
      </c>
      <c r="H18" s="5" t="n">
        <f aca="false">COUNTIFS(Register!$B$2:$B$3759,A18,Register!$C$2:$C$3759,B18,Register!$G$2:$G$3759,"Visual")</f>
        <v>19</v>
      </c>
      <c r="I18" s="5" t="n">
        <f aca="false">COUNTIFS(Register!$B$2:$B$3759,A18,Register!$C$2:$C$3759,B18,Register!$J$2:$J$3759,"&lt;&gt;")</f>
        <v>0</v>
      </c>
      <c r="J18" s="5" t="n">
        <f aca="false">COUNTIFS(Register!$B$2:$B$3759,A18,Register!$C$2:$C$3759,B18,Register!$J$2:$J$3759,"Approve")</f>
        <v>0</v>
      </c>
    </row>
    <row r="19" customFormat="false" ht="15" hidden="false" customHeight="false" outlineLevel="0" collapsed="false">
      <c r="A19" s="5" t="s">
        <v>50</v>
      </c>
      <c r="B19" s="6" t="s">
        <v>65</v>
      </c>
      <c r="C19" s="5" t="s">
        <v>66</v>
      </c>
      <c r="D19" s="5" t="n">
        <f aca="false">COUNTIFS(Register!$B$2:$B$3759,A19,Register!$C$2:$C$3759,B19)</f>
        <v>60</v>
      </c>
      <c r="E19" s="5" t="n">
        <f aca="false">COUNTIFS(Register!$B$2:$B$3759,A19,Register!$C$2:$C$3759,B19,Register!$H$2:$H$3759,"High")</f>
        <v>9</v>
      </c>
      <c r="F19" s="5" t="n">
        <f aca="false">COUNTIFS(Register!$B$2:$B$3759,A19,Register!$C$2:$C$3759,B19,Register!$H$2:$H$3759,"Medium")</f>
        <v>26</v>
      </c>
      <c r="G19" s="5" t="n">
        <f aca="false">COUNTIFS(Register!$B$2:$B$3759,A19,Register!$C$2:$C$3759,B19,Register!$H$2:$H$3759,"Low")</f>
        <v>25</v>
      </c>
      <c r="H19" s="5" t="n">
        <f aca="false">COUNTIFS(Register!$B$2:$B$3759,A19,Register!$C$2:$C$3759,B19,Register!$G$2:$G$3759,"Visual")</f>
        <v>18</v>
      </c>
      <c r="I19" s="5" t="n">
        <f aca="false">COUNTIFS(Register!$B$2:$B$3759,A19,Register!$C$2:$C$3759,B19,Register!$J$2:$J$3759,"&lt;&gt;")</f>
        <v>0</v>
      </c>
      <c r="J19" s="5" t="n">
        <f aca="false">COUNTIFS(Register!$B$2:$B$3759,A19,Register!$C$2:$C$3759,B19,Register!$J$2:$J$3759,"Approve")</f>
        <v>0</v>
      </c>
    </row>
    <row r="20" customFormat="false" ht="15" hidden="false" customHeight="false" outlineLevel="0" collapsed="false">
      <c r="A20" s="5" t="s">
        <v>50</v>
      </c>
      <c r="B20" s="6" t="s">
        <v>67</v>
      </c>
      <c r="C20" s="5" t="s">
        <v>68</v>
      </c>
      <c r="D20" s="5" t="n">
        <f aca="false">COUNTIFS(Register!$B$2:$B$3759,A20,Register!$C$2:$C$3759,B20)</f>
        <v>67</v>
      </c>
      <c r="E20" s="5" t="n">
        <f aca="false">COUNTIFS(Register!$B$2:$B$3759,A20,Register!$C$2:$C$3759,B20,Register!$H$2:$H$3759,"High")</f>
        <v>13</v>
      </c>
      <c r="F20" s="5" t="n">
        <f aca="false">COUNTIFS(Register!$B$2:$B$3759,A20,Register!$C$2:$C$3759,B20,Register!$H$2:$H$3759,"Medium")</f>
        <v>30</v>
      </c>
      <c r="G20" s="5" t="n">
        <f aca="false">COUNTIFS(Register!$B$2:$B$3759,A20,Register!$C$2:$C$3759,B20,Register!$H$2:$H$3759,"Low")</f>
        <v>24</v>
      </c>
      <c r="H20" s="5" t="n">
        <f aca="false">COUNTIFS(Register!$B$2:$B$3759,A20,Register!$C$2:$C$3759,B20,Register!$G$2:$G$3759,"Visual")</f>
        <v>18</v>
      </c>
      <c r="I20" s="5" t="n">
        <f aca="false">COUNTIFS(Register!$B$2:$B$3759,A20,Register!$C$2:$C$3759,B20,Register!$J$2:$J$3759,"&lt;&gt;")</f>
        <v>0</v>
      </c>
      <c r="J20" s="5" t="n">
        <f aca="false">COUNTIFS(Register!$B$2:$B$3759,A20,Register!$C$2:$C$3759,B20,Register!$J$2:$J$3759,"Approve")</f>
        <v>0</v>
      </c>
    </row>
    <row r="21" customFormat="false" ht="15" hidden="false" customHeight="false" outlineLevel="0" collapsed="false">
      <c r="A21" s="5" t="s">
        <v>50</v>
      </c>
      <c r="B21" s="6" t="s">
        <v>69</v>
      </c>
      <c r="C21" s="5" t="s">
        <v>70</v>
      </c>
      <c r="D21" s="5" t="n">
        <f aca="false">COUNTIFS(Register!$B$2:$B$3759,A21,Register!$C$2:$C$3759,B21)</f>
        <v>54</v>
      </c>
      <c r="E21" s="5" t="n">
        <f aca="false">COUNTIFS(Register!$B$2:$B$3759,A21,Register!$C$2:$C$3759,B21,Register!$H$2:$H$3759,"High")</f>
        <v>10</v>
      </c>
      <c r="F21" s="5" t="n">
        <f aca="false">COUNTIFS(Register!$B$2:$B$3759,A21,Register!$C$2:$C$3759,B21,Register!$H$2:$H$3759,"Medium")</f>
        <v>20</v>
      </c>
      <c r="G21" s="5" t="n">
        <f aca="false">COUNTIFS(Register!$B$2:$B$3759,A21,Register!$C$2:$C$3759,B21,Register!$H$2:$H$3759,"Low")</f>
        <v>24</v>
      </c>
      <c r="H21" s="5" t="n">
        <f aca="false">COUNTIFS(Register!$B$2:$B$3759,A21,Register!$C$2:$C$3759,B21,Register!$G$2:$G$3759,"Visual")</f>
        <v>14</v>
      </c>
      <c r="I21" s="5" t="n">
        <f aca="false">COUNTIFS(Register!$B$2:$B$3759,A21,Register!$C$2:$C$3759,B21,Register!$J$2:$J$3759,"&lt;&gt;")</f>
        <v>0</v>
      </c>
      <c r="J21" s="5" t="n">
        <f aca="false">COUNTIFS(Register!$B$2:$B$3759,A21,Register!$C$2:$C$3759,B21,Register!$J$2:$J$3759,"Approve")</f>
        <v>0</v>
      </c>
    </row>
    <row r="22" customFormat="false" ht="15" hidden="false" customHeight="false" outlineLevel="0" collapsed="false">
      <c r="A22" s="5" t="s">
        <v>50</v>
      </c>
      <c r="B22" s="6" t="s">
        <v>71</v>
      </c>
      <c r="C22" s="5" t="s">
        <v>72</v>
      </c>
      <c r="D22" s="5" t="n">
        <f aca="false">COUNTIFS(Register!$B$2:$B$3759,A22,Register!$C$2:$C$3759,B22)</f>
        <v>43</v>
      </c>
      <c r="E22" s="5" t="n">
        <f aca="false">COUNTIFS(Register!$B$2:$B$3759,A22,Register!$C$2:$C$3759,B22,Register!$H$2:$H$3759,"High")</f>
        <v>6</v>
      </c>
      <c r="F22" s="5" t="n">
        <f aca="false">COUNTIFS(Register!$B$2:$B$3759,A22,Register!$C$2:$C$3759,B22,Register!$H$2:$H$3759,"Medium")</f>
        <v>21</v>
      </c>
      <c r="G22" s="5" t="n">
        <f aca="false">COUNTIFS(Register!$B$2:$B$3759,A22,Register!$C$2:$C$3759,B22,Register!$H$2:$H$3759,"Low")</f>
        <v>16</v>
      </c>
      <c r="H22" s="5" t="n">
        <f aca="false">COUNTIFS(Register!$B$2:$B$3759,A22,Register!$C$2:$C$3759,B22,Register!$G$2:$G$3759,"Visual")</f>
        <v>17</v>
      </c>
      <c r="I22" s="5" t="n">
        <f aca="false">COUNTIFS(Register!$B$2:$B$3759,A22,Register!$C$2:$C$3759,B22,Register!$J$2:$J$3759,"&lt;&gt;")</f>
        <v>0</v>
      </c>
      <c r="J22" s="5" t="n">
        <f aca="false">COUNTIFS(Register!$B$2:$B$3759,A22,Register!$C$2:$C$3759,B22,Register!$J$2:$J$3759,"Approve")</f>
        <v>0</v>
      </c>
    </row>
    <row r="23" customFormat="false" ht="15" hidden="false" customHeight="false" outlineLevel="0" collapsed="false">
      <c r="A23" s="5" t="s">
        <v>50</v>
      </c>
      <c r="B23" s="6" t="s">
        <v>73</v>
      </c>
      <c r="C23" s="5" t="s">
        <v>74</v>
      </c>
      <c r="D23" s="5" t="n">
        <f aca="false">COUNTIFS(Register!$B$2:$B$3759,A23,Register!$C$2:$C$3759,B23)</f>
        <v>54</v>
      </c>
      <c r="E23" s="5" t="n">
        <f aca="false">COUNTIFS(Register!$B$2:$B$3759,A23,Register!$C$2:$C$3759,B23,Register!$H$2:$H$3759,"High")</f>
        <v>7</v>
      </c>
      <c r="F23" s="5" t="n">
        <f aca="false">COUNTIFS(Register!$B$2:$B$3759,A23,Register!$C$2:$C$3759,B23,Register!$H$2:$H$3759,"Medium")</f>
        <v>18</v>
      </c>
      <c r="G23" s="5" t="n">
        <f aca="false">COUNTIFS(Register!$B$2:$B$3759,A23,Register!$C$2:$C$3759,B23,Register!$H$2:$H$3759,"Low")</f>
        <v>29</v>
      </c>
      <c r="H23" s="5" t="n">
        <f aca="false">COUNTIFS(Register!$B$2:$B$3759,A23,Register!$C$2:$C$3759,B23,Register!$G$2:$G$3759,"Visual")</f>
        <v>14</v>
      </c>
      <c r="I23" s="5" t="n">
        <f aca="false">COUNTIFS(Register!$B$2:$B$3759,A23,Register!$C$2:$C$3759,B23,Register!$J$2:$J$3759,"&lt;&gt;")</f>
        <v>0</v>
      </c>
      <c r="J23" s="5" t="n">
        <f aca="false">COUNTIFS(Register!$B$2:$B$3759,A23,Register!$C$2:$C$3759,B23,Register!$J$2:$J$3759,"Approve")</f>
        <v>0</v>
      </c>
    </row>
    <row r="24" customFormat="false" ht="15" hidden="false" customHeight="false" outlineLevel="0" collapsed="false">
      <c r="A24" s="5" t="s">
        <v>50</v>
      </c>
      <c r="B24" s="6" t="s">
        <v>75</v>
      </c>
      <c r="C24" s="5" t="s">
        <v>76</v>
      </c>
      <c r="D24" s="5" t="n">
        <f aca="false">COUNTIFS(Register!$B$2:$B$3759,A24,Register!$C$2:$C$3759,B24)</f>
        <v>49</v>
      </c>
      <c r="E24" s="5" t="n">
        <f aca="false">COUNTIFS(Register!$B$2:$B$3759,A24,Register!$C$2:$C$3759,B24,Register!$H$2:$H$3759,"High")</f>
        <v>7</v>
      </c>
      <c r="F24" s="5" t="n">
        <f aca="false">COUNTIFS(Register!$B$2:$B$3759,A24,Register!$C$2:$C$3759,B24,Register!$H$2:$H$3759,"Medium")</f>
        <v>26</v>
      </c>
      <c r="G24" s="5" t="n">
        <f aca="false">COUNTIFS(Register!$B$2:$B$3759,A24,Register!$C$2:$C$3759,B24,Register!$H$2:$H$3759,"Low")</f>
        <v>16</v>
      </c>
      <c r="H24" s="5" t="n">
        <f aca="false">COUNTIFS(Register!$B$2:$B$3759,A24,Register!$C$2:$C$3759,B24,Register!$G$2:$G$3759,"Visual")</f>
        <v>17</v>
      </c>
      <c r="I24" s="5" t="n">
        <f aca="false">COUNTIFS(Register!$B$2:$B$3759,A24,Register!$C$2:$C$3759,B24,Register!$J$2:$J$3759,"&lt;&gt;")</f>
        <v>0</v>
      </c>
      <c r="J24" s="5" t="n">
        <f aca="false">COUNTIFS(Register!$B$2:$B$3759,A24,Register!$C$2:$C$3759,B24,Register!$J$2:$J$3759,"Approve")</f>
        <v>0</v>
      </c>
    </row>
    <row r="25" customFormat="false" ht="15" hidden="false" customHeight="false" outlineLevel="0" collapsed="false">
      <c r="A25" s="5" t="s">
        <v>50</v>
      </c>
      <c r="B25" s="6" t="s">
        <v>77</v>
      </c>
      <c r="C25" s="5" t="s">
        <v>78</v>
      </c>
      <c r="D25" s="5" t="n">
        <f aca="false">COUNTIFS(Register!$B$2:$B$3759,A25,Register!$C$2:$C$3759,B25)</f>
        <v>55</v>
      </c>
      <c r="E25" s="5" t="n">
        <f aca="false">COUNTIFS(Register!$B$2:$B$3759,A25,Register!$C$2:$C$3759,B25,Register!$H$2:$H$3759,"High")</f>
        <v>5</v>
      </c>
      <c r="F25" s="5" t="n">
        <f aca="false">COUNTIFS(Register!$B$2:$B$3759,A25,Register!$C$2:$C$3759,B25,Register!$H$2:$H$3759,"Medium")</f>
        <v>29</v>
      </c>
      <c r="G25" s="5" t="n">
        <f aca="false">COUNTIFS(Register!$B$2:$B$3759,A25,Register!$C$2:$C$3759,B25,Register!$H$2:$H$3759,"Low")</f>
        <v>21</v>
      </c>
      <c r="H25" s="5" t="n">
        <f aca="false">COUNTIFS(Register!$B$2:$B$3759,A25,Register!$C$2:$C$3759,B25,Register!$G$2:$G$3759,"Visual")</f>
        <v>18</v>
      </c>
      <c r="I25" s="5" t="n">
        <f aca="false">COUNTIFS(Register!$B$2:$B$3759,A25,Register!$C$2:$C$3759,B25,Register!$J$2:$J$3759,"&lt;&gt;")</f>
        <v>0</v>
      </c>
      <c r="J25" s="5" t="n">
        <f aca="false">COUNTIFS(Register!$B$2:$B$3759,A25,Register!$C$2:$C$3759,B25,Register!$J$2:$J$3759,"Approve")</f>
        <v>0</v>
      </c>
    </row>
    <row r="26" customFormat="false" ht="15" hidden="false" customHeight="false" outlineLevel="0" collapsed="false">
      <c r="A26" s="5" t="s">
        <v>50</v>
      </c>
      <c r="B26" s="6" t="s">
        <v>79</v>
      </c>
      <c r="C26" s="5" t="s">
        <v>80</v>
      </c>
      <c r="D26" s="5" t="n">
        <f aca="false">COUNTIFS(Register!$B$2:$B$3759,A26,Register!$C$2:$C$3759,B26)</f>
        <v>36</v>
      </c>
      <c r="E26" s="5" t="n">
        <f aca="false">COUNTIFS(Register!$B$2:$B$3759,A26,Register!$C$2:$C$3759,B26,Register!$H$2:$H$3759,"High")</f>
        <v>4</v>
      </c>
      <c r="F26" s="5" t="n">
        <f aca="false">COUNTIFS(Register!$B$2:$B$3759,A26,Register!$C$2:$C$3759,B26,Register!$H$2:$H$3759,"Medium")</f>
        <v>14</v>
      </c>
      <c r="G26" s="5" t="n">
        <f aca="false">COUNTIFS(Register!$B$2:$B$3759,A26,Register!$C$2:$C$3759,B26,Register!$H$2:$H$3759,"Low")</f>
        <v>18</v>
      </c>
      <c r="H26" s="5" t="n">
        <f aca="false">COUNTIFS(Register!$B$2:$B$3759,A26,Register!$C$2:$C$3759,B26,Register!$G$2:$G$3759,"Visual")</f>
        <v>17</v>
      </c>
      <c r="I26" s="5" t="n">
        <f aca="false">COUNTIFS(Register!$B$2:$B$3759,A26,Register!$C$2:$C$3759,B26,Register!$J$2:$J$3759,"&lt;&gt;")</f>
        <v>0</v>
      </c>
      <c r="J26" s="5" t="n">
        <f aca="false">COUNTIFS(Register!$B$2:$B$3759,A26,Register!$C$2:$C$3759,B26,Register!$J$2:$J$3759,"Approve")</f>
        <v>0</v>
      </c>
    </row>
    <row r="27" customFormat="false" ht="15" hidden="false" customHeight="false" outlineLevel="0" collapsed="false">
      <c r="A27" s="5" t="s">
        <v>50</v>
      </c>
      <c r="B27" s="6" t="s">
        <v>81</v>
      </c>
      <c r="C27" s="5" t="s">
        <v>82</v>
      </c>
      <c r="D27" s="5" t="n">
        <f aca="false">COUNTIFS(Register!$B$2:$B$3759,A27,Register!$C$2:$C$3759,B27)</f>
        <v>37</v>
      </c>
      <c r="E27" s="5" t="n">
        <f aca="false">COUNTIFS(Register!$B$2:$B$3759,A27,Register!$C$2:$C$3759,B27,Register!$H$2:$H$3759,"High")</f>
        <v>6</v>
      </c>
      <c r="F27" s="5" t="n">
        <f aca="false">COUNTIFS(Register!$B$2:$B$3759,A27,Register!$C$2:$C$3759,B27,Register!$H$2:$H$3759,"Medium")</f>
        <v>14</v>
      </c>
      <c r="G27" s="5" t="n">
        <f aca="false">COUNTIFS(Register!$B$2:$B$3759,A27,Register!$C$2:$C$3759,B27,Register!$H$2:$H$3759,"Low")</f>
        <v>17</v>
      </c>
      <c r="H27" s="5" t="n">
        <f aca="false">COUNTIFS(Register!$B$2:$B$3759,A27,Register!$C$2:$C$3759,B27,Register!$G$2:$G$3759,"Visual")</f>
        <v>19</v>
      </c>
      <c r="I27" s="5" t="n">
        <f aca="false">COUNTIFS(Register!$B$2:$B$3759,A27,Register!$C$2:$C$3759,B27,Register!$J$2:$J$3759,"&lt;&gt;")</f>
        <v>0</v>
      </c>
      <c r="J27" s="5" t="n">
        <f aca="false">COUNTIFS(Register!$B$2:$B$3759,A27,Register!$C$2:$C$3759,B27,Register!$J$2:$J$3759,"Approve")</f>
        <v>0</v>
      </c>
    </row>
    <row r="28" customFormat="false" ht="15" hidden="false" customHeight="false" outlineLevel="0" collapsed="false">
      <c r="A28" s="5" t="s">
        <v>50</v>
      </c>
      <c r="B28" s="6" t="s">
        <v>83</v>
      </c>
      <c r="C28" s="5" t="s">
        <v>84</v>
      </c>
      <c r="D28" s="5" t="n">
        <f aca="false">COUNTIFS(Register!$B$2:$B$3759,A28,Register!$C$2:$C$3759,B28)</f>
        <v>57</v>
      </c>
      <c r="E28" s="5" t="n">
        <f aca="false">COUNTIFS(Register!$B$2:$B$3759,A28,Register!$C$2:$C$3759,B28,Register!$H$2:$H$3759,"High")</f>
        <v>14</v>
      </c>
      <c r="F28" s="5" t="n">
        <f aca="false">COUNTIFS(Register!$B$2:$B$3759,A28,Register!$C$2:$C$3759,B28,Register!$H$2:$H$3759,"Medium")</f>
        <v>20</v>
      </c>
      <c r="G28" s="5" t="n">
        <f aca="false">COUNTIFS(Register!$B$2:$B$3759,A28,Register!$C$2:$C$3759,B28,Register!$H$2:$H$3759,"Low")</f>
        <v>23</v>
      </c>
      <c r="H28" s="5" t="n">
        <f aca="false">COUNTIFS(Register!$B$2:$B$3759,A28,Register!$C$2:$C$3759,B28,Register!$G$2:$G$3759,"Visual")</f>
        <v>19</v>
      </c>
      <c r="I28" s="5" t="n">
        <f aca="false">COUNTIFS(Register!$B$2:$B$3759,A28,Register!$C$2:$C$3759,B28,Register!$J$2:$J$3759,"&lt;&gt;")</f>
        <v>0</v>
      </c>
      <c r="J28" s="5" t="n">
        <f aca="false">COUNTIFS(Register!$B$2:$B$3759,A28,Register!$C$2:$C$3759,B28,Register!$J$2:$J$3759,"Approve")</f>
        <v>0</v>
      </c>
    </row>
    <row r="29" customFormat="false" ht="15" hidden="false" customHeight="false" outlineLevel="0" collapsed="false">
      <c r="A29" s="5" t="s">
        <v>50</v>
      </c>
      <c r="B29" s="6" t="s">
        <v>85</v>
      </c>
      <c r="C29" s="5" t="s">
        <v>86</v>
      </c>
      <c r="D29" s="5" t="n">
        <f aca="false">COUNTIFS(Register!$B$2:$B$3759,A29,Register!$C$2:$C$3759,B29)</f>
        <v>41</v>
      </c>
      <c r="E29" s="5" t="n">
        <f aca="false">COUNTIFS(Register!$B$2:$B$3759,A29,Register!$C$2:$C$3759,B29,Register!$H$2:$H$3759,"High")</f>
        <v>6</v>
      </c>
      <c r="F29" s="5" t="n">
        <f aca="false">COUNTIFS(Register!$B$2:$B$3759,A29,Register!$C$2:$C$3759,B29,Register!$H$2:$H$3759,"Medium")</f>
        <v>18</v>
      </c>
      <c r="G29" s="5" t="n">
        <f aca="false">COUNTIFS(Register!$B$2:$B$3759,A29,Register!$C$2:$C$3759,B29,Register!$H$2:$H$3759,"Low")</f>
        <v>17</v>
      </c>
      <c r="H29" s="5" t="n">
        <f aca="false">COUNTIFS(Register!$B$2:$B$3759,A29,Register!$C$2:$C$3759,B29,Register!$G$2:$G$3759,"Visual")</f>
        <v>18</v>
      </c>
      <c r="I29" s="5" t="n">
        <f aca="false">COUNTIFS(Register!$B$2:$B$3759,A29,Register!$C$2:$C$3759,B29,Register!$J$2:$J$3759,"&lt;&gt;")</f>
        <v>0</v>
      </c>
      <c r="J29" s="5" t="n">
        <f aca="false">COUNTIFS(Register!$B$2:$B$3759,A29,Register!$C$2:$C$3759,B29,Register!$J$2:$J$3759,"Approve")</f>
        <v>0</v>
      </c>
    </row>
    <row r="30" customFormat="false" ht="15" hidden="false" customHeight="false" outlineLevel="0" collapsed="false">
      <c r="A30" s="5" t="s">
        <v>87</v>
      </c>
      <c r="B30" s="6" t="s">
        <v>88</v>
      </c>
      <c r="C30" s="5" t="s">
        <v>89</v>
      </c>
      <c r="D30" s="5" t="n">
        <f aca="false">COUNTIFS(Register!$B$2:$B$3759,A30,Register!$C$2:$C$3759,B30)</f>
        <v>61</v>
      </c>
      <c r="E30" s="5" t="n">
        <f aca="false">COUNTIFS(Register!$B$2:$B$3759,A30,Register!$C$2:$C$3759,B30,Register!$H$2:$H$3759,"High")</f>
        <v>7</v>
      </c>
      <c r="F30" s="5" t="n">
        <f aca="false">COUNTIFS(Register!$B$2:$B$3759,A30,Register!$C$2:$C$3759,B30,Register!$H$2:$H$3759,"Medium")</f>
        <v>27</v>
      </c>
      <c r="G30" s="5" t="n">
        <f aca="false">COUNTIFS(Register!$B$2:$B$3759,A30,Register!$C$2:$C$3759,B30,Register!$H$2:$H$3759,"Low")</f>
        <v>27</v>
      </c>
      <c r="H30" s="5" t="n">
        <f aca="false">COUNTIFS(Register!$B$2:$B$3759,A30,Register!$C$2:$C$3759,B30,Register!$G$2:$G$3759,"Visual")</f>
        <v>19</v>
      </c>
      <c r="I30" s="5" t="n">
        <f aca="false">COUNTIFS(Register!$B$2:$B$3759,A30,Register!$C$2:$C$3759,B30,Register!$J$2:$J$3759,"&lt;&gt;")</f>
        <v>0</v>
      </c>
      <c r="J30" s="5" t="n">
        <f aca="false">COUNTIFS(Register!$B$2:$B$3759,A30,Register!$C$2:$C$3759,B30,Register!$J$2:$J$3759,"Approve")</f>
        <v>0</v>
      </c>
    </row>
    <row r="31" customFormat="false" ht="15" hidden="false" customHeight="false" outlineLevel="0" collapsed="false">
      <c r="A31" s="5" t="s">
        <v>87</v>
      </c>
      <c r="B31" s="6" t="s">
        <v>90</v>
      </c>
      <c r="C31" s="5" t="s">
        <v>91</v>
      </c>
      <c r="D31" s="5" t="n">
        <f aca="false">COUNTIFS(Register!$B$2:$B$3759,A31,Register!$C$2:$C$3759,B31)</f>
        <v>54</v>
      </c>
      <c r="E31" s="5" t="n">
        <f aca="false">COUNTIFS(Register!$B$2:$B$3759,A31,Register!$C$2:$C$3759,B31,Register!$H$2:$H$3759,"High")</f>
        <v>5</v>
      </c>
      <c r="F31" s="5" t="n">
        <f aca="false">COUNTIFS(Register!$B$2:$B$3759,A31,Register!$C$2:$C$3759,B31,Register!$H$2:$H$3759,"Medium")</f>
        <v>24</v>
      </c>
      <c r="G31" s="5" t="n">
        <f aca="false">COUNTIFS(Register!$B$2:$B$3759,A31,Register!$C$2:$C$3759,B31,Register!$H$2:$H$3759,"Low")</f>
        <v>25</v>
      </c>
      <c r="H31" s="5" t="n">
        <f aca="false">COUNTIFS(Register!$B$2:$B$3759,A31,Register!$C$2:$C$3759,B31,Register!$G$2:$G$3759,"Visual")</f>
        <v>17</v>
      </c>
      <c r="I31" s="5" t="n">
        <f aca="false">COUNTIFS(Register!$B$2:$B$3759,A31,Register!$C$2:$C$3759,B31,Register!$J$2:$J$3759,"&lt;&gt;")</f>
        <v>0</v>
      </c>
      <c r="J31" s="5" t="n">
        <f aca="false">COUNTIFS(Register!$B$2:$B$3759,A31,Register!$C$2:$C$3759,B31,Register!$J$2:$J$3759,"Approve")</f>
        <v>0</v>
      </c>
    </row>
    <row r="32" customFormat="false" ht="15" hidden="false" customHeight="false" outlineLevel="0" collapsed="false">
      <c r="A32" s="5" t="s">
        <v>87</v>
      </c>
      <c r="B32" s="6" t="s">
        <v>92</v>
      </c>
      <c r="C32" s="5" t="s">
        <v>93</v>
      </c>
      <c r="D32" s="5" t="n">
        <f aca="false">COUNTIFS(Register!$B$2:$B$3759,A32,Register!$C$2:$C$3759,B32)</f>
        <v>59</v>
      </c>
      <c r="E32" s="5" t="n">
        <f aca="false">COUNTIFS(Register!$B$2:$B$3759,A32,Register!$C$2:$C$3759,B32,Register!$H$2:$H$3759,"High")</f>
        <v>6</v>
      </c>
      <c r="F32" s="5" t="n">
        <f aca="false">COUNTIFS(Register!$B$2:$B$3759,A32,Register!$C$2:$C$3759,B32,Register!$H$2:$H$3759,"Medium")</f>
        <v>23</v>
      </c>
      <c r="G32" s="5" t="n">
        <f aca="false">COUNTIFS(Register!$B$2:$B$3759,A32,Register!$C$2:$C$3759,B32,Register!$H$2:$H$3759,"Low")</f>
        <v>30</v>
      </c>
      <c r="H32" s="5" t="n">
        <f aca="false">COUNTIFS(Register!$B$2:$B$3759,A32,Register!$C$2:$C$3759,B32,Register!$G$2:$G$3759,"Visual")</f>
        <v>15</v>
      </c>
      <c r="I32" s="5" t="n">
        <f aca="false">COUNTIFS(Register!$B$2:$B$3759,A32,Register!$C$2:$C$3759,B32,Register!$J$2:$J$3759,"&lt;&gt;")</f>
        <v>0</v>
      </c>
      <c r="J32" s="5" t="n">
        <f aca="false">COUNTIFS(Register!$B$2:$B$3759,A32,Register!$C$2:$C$3759,B32,Register!$J$2:$J$3759,"Approve")</f>
        <v>0</v>
      </c>
    </row>
    <row r="33" customFormat="false" ht="15" hidden="false" customHeight="false" outlineLevel="0" collapsed="false">
      <c r="A33" s="5" t="s">
        <v>87</v>
      </c>
      <c r="B33" s="6" t="s">
        <v>94</v>
      </c>
      <c r="C33" s="5" t="s">
        <v>95</v>
      </c>
      <c r="D33" s="5" t="n">
        <f aca="false">COUNTIFS(Register!$B$2:$B$3759,A33,Register!$C$2:$C$3759,B33)</f>
        <v>50</v>
      </c>
      <c r="E33" s="5" t="n">
        <f aca="false">COUNTIFS(Register!$B$2:$B$3759,A33,Register!$C$2:$C$3759,B33,Register!$H$2:$H$3759,"High")</f>
        <v>8</v>
      </c>
      <c r="F33" s="5" t="n">
        <f aca="false">COUNTIFS(Register!$B$2:$B$3759,A33,Register!$C$2:$C$3759,B33,Register!$H$2:$H$3759,"Medium")</f>
        <v>23</v>
      </c>
      <c r="G33" s="5" t="n">
        <f aca="false">COUNTIFS(Register!$B$2:$B$3759,A33,Register!$C$2:$C$3759,B33,Register!$H$2:$H$3759,"Low")</f>
        <v>19</v>
      </c>
      <c r="H33" s="5" t="n">
        <f aca="false">COUNTIFS(Register!$B$2:$B$3759,A33,Register!$C$2:$C$3759,B33,Register!$G$2:$G$3759,"Visual")</f>
        <v>13</v>
      </c>
      <c r="I33" s="5" t="n">
        <f aca="false">COUNTIFS(Register!$B$2:$B$3759,A33,Register!$C$2:$C$3759,B33,Register!$J$2:$J$3759,"&lt;&gt;")</f>
        <v>0</v>
      </c>
      <c r="J33" s="5" t="n">
        <f aca="false">COUNTIFS(Register!$B$2:$B$3759,A33,Register!$C$2:$C$3759,B33,Register!$J$2:$J$3759,"Approve")</f>
        <v>0</v>
      </c>
    </row>
    <row r="34" customFormat="false" ht="15" hidden="false" customHeight="false" outlineLevel="0" collapsed="false">
      <c r="A34" s="5" t="s">
        <v>87</v>
      </c>
      <c r="B34" s="6" t="s">
        <v>96</v>
      </c>
      <c r="C34" s="5" t="s">
        <v>97</v>
      </c>
      <c r="D34" s="5" t="n">
        <f aca="false">COUNTIFS(Register!$B$2:$B$3759,A34,Register!$C$2:$C$3759,B34)</f>
        <v>51</v>
      </c>
      <c r="E34" s="5" t="n">
        <f aca="false">COUNTIFS(Register!$B$2:$B$3759,A34,Register!$C$2:$C$3759,B34,Register!$H$2:$H$3759,"High")</f>
        <v>9</v>
      </c>
      <c r="F34" s="5" t="n">
        <f aca="false">COUNTIFS(Register!$B$2:$B$3759,A34,Register!$C$2:$C$3759,B34,Register!$H$2:$H$3759,"Medium")</f>
        <v>18</v>
      </c>
      <c r="G34" s="5" t="n">
        <f aca="false">COUNTIFS(Register!$B$2:$B$3759,A34,Register!$C$2:$C$3759,B34,Register!$H$2:$H$3759,"Low")</f>
        <v>24</v>
      </c>
      <c r="H34" s="5" t="n">
        <f aca="false">COUNTIFS(Register!$B$2:$B$3759,A34,Register!$C$2:$C$3759,B34,Register!$G$2:$G$3759,"Visual")</f>
        <v>13</v>
      </c>
      <c r="I34" s="5" t="n">
        <f aca="false">COUNTIFS(Register!$B$2:$B$3759,A34,Register!$C$2:$C$3759,B34,Register!$J$2:$J$3759,"&lt;&gt;")</f>
        <v>0</v>
      </c>
      <c r="J34" s="5" t="n">
        <f aca="false">COUNTIFS(Register!$B$2:$B$3759,A34,Register!$C$2:$C$3759,B34,Register!$J$2:$J$3759,"Approve")</f>
        <v>0</v>
      </c>
    </row>
    <row r="35" customFormat="false" ht="15" hidden="false" customHeight="false" outlineLevel="0" collapsed="false">
      <c r="A35" s="5" t="s">
        <v>87</v>
      </c>
      <c r="B35" s="6" t="s">
        <v>98</v>
      </c>
      <c r="C35" s="5" t="s">
        <v>99</v>
      </c>
      <c r="D35" s="5" t="n">
        <f aca="false">COUNTIFS(Register!$B$2:$B$3759,A35,Register!$C$2:$C$3759,B35)</f>
        <v>58</v>
      </c>
      <c r="E35" s="5" t="n">
        <f aca="false">COUNTIFS(Register!$B$2:$B$3759,A35,Register!$C$2:$C$3759,B35,Register!$H$2:$H$3759,"High")</f>
        <v>6</v>
      </c>
      <c r="F35" s="5" t="n">
        <f aca="false">COUNTIFS(Register!$B$2:$B$3759,A35,Register!$C$2:$C$3759,B35,Register!$H$2:$H$3759,"Medium")</f>
        <v>25</v>
      </c>
      <c r="G35" s="5" t="n">
        <f aca="false">COUNTIFS(Register!$B$2:$B$3759,A35,Register!$C$2:$C$3759,B35,Register!$H$2:$H$3759,"Low")</f>
        <v>27</v>
      </c>
      <c r="H35" s="5" t="n">
        <f aca="false">COUNTIFS(Register!$B$2:$B$3759,A35,Register!$C$2:$C$3759,B35,Register!$G$2:$G$3759,"Visual")</f>
        <v>15</v>
      </c>
      <c r="I35" s="5" t="n">
        <f aca="false">COUNTIFS(Register!$B$2:$B$3759,A35,Register!$C$2:$C$3759,B35,Register!$J$2:$J$3759,"&lt;&gt;")</f>
        <v>0</v>
      </c>
      <c r="J35" s="5" t="n">
        <f aca="false">COUNTIFS(Register!$B$2:$B$3759,A35,Register!$C$2:$C$3759,B35,Register!$J$2:$J$3759,"Approve")</f>
        <v>0</v>
      </c>
    </row>
    <row r="36" customFormat="false" ht="15" hidden="false" customHeight="false" outlineLevel="0" collapsed="false">
      <c r="A36" s="5" t="s">
        <v>87</v>
      </c>
      <c r="B36" s="6" t="s">
        <v>100</v>
      </c>
      <c r="C36" s="5" t="s">
        <v>101</v>
      </c>
      <c r="D36" s="5" t="n">
        <f aca="false">COUNTIFS(Register!$B$2:$B$3759,A36,Register!$C$2:$C$3759,B36)</f>
        <v>47</v>
      </c>
      <c r="E36" s="5" t="n">
        <f aca="false">COUNTIFS(Register!$B$2:$B$3759,A36,Register!$C$2:$C$3759,B36,Register!$H$2:$H$3759,"High")</f>
        <v>5</v>
      </c>
      <c r="F36" s="5" t="n">
        <f aca="false">COUNTIFS(Register!$B$2:$B$3759,A36,Register!$C$2:$C$3759,B36,Register!$H$2:$H$3759,"Medium")</f>
        <v>22</v>
      </c>
      <c r="G36" s="5" t="n">
        <f aca="false">COUNTIFS(Register!$B$2:$B$3759,A36,Register!$C$2:$C$3759,B36,Register!$H$2:$H$3759,"Low")</f>
        <v>20</v>
      </c>
      <c r="H36" s="5" t="n">
        <f aca="false">COUNTIFS(Register!$B$2:$B$3759,A36,Register!$C$2:$C$3759,B36,Register!$G$2:$G$3759,"Visual")</f>
        <v>14</v>
      </c>
      <c r="I36" s="5" t="n">
        <f aca="false">COUNTIFS(Register!$B$2:$B$3759,A36,Register!$C$2:$C$3759,B36,Register!$J$2:$J$3759,"&lt;&gt;")</f>
        <v>0</v>
      </c>
      <c r="J36" s="5" t="n">
        <f aca="false">COUNTIFS(Register!$B$2:$B$3759,A36,Register!$C$2:$C$3759,B36,Register!$J$2:$J$3759,"Approve")</f>
        <v>0</v>
      </c>
    </row>
    <row r="37" customFormat="false" ht="15" hidden="false" customHeight="false" outlineLevel="0" collapsed="false">
      <c r="A37" s="5" t="s">
        <v>102</v>
      </c>
      <c r="B37" s="6" t="s">
        <v>103</v>
      </c>
      <c r="C37" s="5" t="s">
        <v>104</v>
      </c>
      <c r="D37" s="5" t="n">
        <f aca="false">COUNTIFS(Register!$B$2:$B$3759,A37,Register!$C$2:$C$3759,B37)</f>
        <v>55</v>
      </c>
      <c r="E37" s="5" t="n">
        <f aca="false">COUNTIFS(Register!$B$2:$B$3759,A37,Register!$C$2:$C$3759,B37,Register!$H$2:$H$3759,"High")</f>
        <v>5</v>
      </c>
      <c r="F37" s="5" t="n">
        <f aca="false">COUNTIFS(Register!$B$2:$B$3759,A37,Register!$C$2:$C$3759,B37,Register!$H$2:$H$3759,"Medium")</f>
        <v>28</v>
      </c>
      <c r="G37" s="5" t="n">
        <f aca="false">COUNTIFS(Register!$B$2:$B$3759,A37,Register!$C$2:$C$3759,B37,Register!$H$2:$H$3759,"Low")</f>
        <v>22</v>
      </c>
      <c r="H37" s="5" t="n">
        <f aca="false">COUNTIFS(Register!$B$2:$B$3759,A37,Register!$C$2:$C$3759,B37,Register!$G$2:$G$3759,"Visual")</f>
        <v>18</v>
      </c>
      <c r="I37" s="5" t="n">
        <f aca="false">COUNTIFS(Register!$B$2:$B$3759,A37,Register!$C$2:$C$3759,B37,Register!$J$2:$J$3759,"&lt;&gt;")</f>
        <v>0</v>
      </c>
      <c r="J37" s="5" t="n">
        <f aca="false">COUNTIFS(Register!$B$2:$B$3759,A37,Register!$C$2:$C$3759,B37,Register!$J$2:$J$3759,"Approve")</f>
        <v>0</v>
      </c>
    </row>
    <row r="38" customFormat="false" ht="15" hidden="false" customHeight="false" outlineLevel="0" collapsed="false">
      <c r="A38" s="5" t="s">
        <v>102</v>
      </c>
      <c r="B38" s="6" t="s">
        <v>105</v>
      </c>
      <c r="C38" s="5" t="s">
        <v>106</v>
      </c>
      <c r="D38" s="5" t="n">
        <f aca="false">COUNTIFS(Register!$B$2:$B$3759,A38,Register!$C$2:$C$3759,B38)</f>
        <v>50</v>
      </c>
      <c r="E38" s="5" t="n">
        <f aca="false">COUNTIFS(Register!$B$2:$B$3759,A38,Register!$C$2:$C$3759,B38,Register!$H$2:$H$3759,"High")</f>
        <v>3</v>
      </c>
      <c r="F38" s="5" t="n">
        <f aca="false">COUNTIFS(Register!$B$2:$B$3759,A38,Register!$C$2:$C$3759,B38,Register!$H$2:$H$3759,"Medium")</f>
        <v>25</v>
      </c>
      <c r="G38" s="5" t="n">
        <f aca="false">COUNTIFS(Register!$B$2:$B$3759,A38,Register!$C$2:$C$3759,B38,Register!$H$2:$H$3759,"Low")</f>
        <v>22</v>
      </c>
      <c r="H38" s="5" t="n">
        <f aca="false">COUNTIFS(Register!$B$2:$B$3759,A38,Register!$C$2:$C$3759,B38,Register!$G$2:$G$3759,"Visual")</f>
        <v>19</v>
      </c>
      <c r="I38" s="5" t="n">
        <f aca="false">COUNTIFS(Register!$B$2:$B$3759,A38,Register!$C$2:$C$3759,B38,Register!$J$2:$J$3759,"&lt;&gt;")</f>
        <v>0</v>
      </c>
      <c r="J38" s="5" t="n">
        <f aca="false">COUNTIFS(Register!$B$2:$B$3759,A38,Register!$C$2:$C$3759,B38,Register!$J$2:$J$3759,"Approve")</f>
        <v>0</v>
      </c>
    </row>
    <row r="39" customFormat="false" ht="15" hidden="false" customHeight="false" outlineLevel="0" collapsed="false">
      <c r="A39" s="5" t="s">
        <v>102</v>
      </c>
      <c r="B39" s="6" t="s">
        <v>107</v>
      </c>
      <c r="C39" s="5" t="s">
        <v>108</v>
      </c>
      <c r="D39" s="5" t="n">
        <f aca="false">COUNTIFS(Register!$B$2:$B$3759,A39,Register!$C$2:$C$3759,B39)</f>
        <v>73</v>
      </c>
      <c r="E39" s="5" t="n">
        <f aca="false">COUNTIFS(Register!$B$2:$B$3759,A39,Register!$C$2:$C$3759,B39,Register!$H$2:$H$3759,"High")</f>
        <v>9</v>
      </c>
      <c r="F39" s="5" t="n">
        <f aca="false">COUNTIFS(Register!$B$2:$B$3759,A39,Register!$C$2:$C$3759,B39,Register!$H$2:$H$3759,"Medium")</f>
        <v>37</v>
      </c>
      <c r="G39" s="5" t="n">
        <f aca="false">COUNTIFS(Register!$B$2:$B$3759,A39,Register!$C$2:$C$3759,B39,Register!$H$2:$H$3759,"Low")</f>
        <v>27</v>
      </c>
      <c r="H39" s="5" t="n">
        <f aca="false">COUNTIFS(Register!$B$2:$B$3759,A39,Register!$C$2:$C$3759,B39,Register!$G$2:$G$3759,"Visual")</f>
        <v>16</v>
      </c>
      <c r="I39" s="5" t="n">
        <f aca="false">COUNTIFS(Register!$B$2:$B$3759,A39,Register!$C$2:$C$3759,B39,Register!$J$2:$J$3759,"&lt;&gt;")</f>
        <v>0</v>
      </c>
      <c r="J39" s="5" t="n">
        <f aca="false">COUNTIFS(Register!$B$2:$B$3759,A39,Register!$C$2:$C$3759,B39,Register!$J$2:$J$3759,"Approve")</f>
        <v>0</v>
      </c>
    </row>
    <row r="40" customFormat="false" ht="15" hidden="false" customHeight="false" outlineLevel="0" collapsed="false">
      <c r="A40" s="5" t="s">
        <v>102</v>
      </c>
      <c r="B40" s="6" t="s">
        <v>109</v>
      </c>
      <c r="C40" s="5" t="s">
        <v>110</v>
      </c>
      <c r="D40" s="5" t="n">
        <f aca="false">COUNTIFS(Register!$B$2:$B$3759,A40,Register!$C$2:$C$3759,B40)</f>
        <v>58</v>
      </c>
      <c r="E40" s="5" t="n">
        <f aca="false">COUNTIFS(Register!$B$2:$B$3759,A40,Register!$C$2:$C$3759,B40,Register!$H$2:$H$3759,"High")</f>
        <v>5</v>
      </c>
      <c r="F40" s="5" t="n">
        <f aca="false">COUNTIFS(Register!$B$2:$B$3759,A40,Register!$C$2:$C$3759,B40,Register!$H$2:$H$3759,"Medium")</f>
        <v>29</v>
      </c>
      <c r="G40" s="5" t="n">
        <f aca="false">COUNTIFS(Register!$B$2:$B$3759,A40,Register!$C$2:$C$3759,B40,Register!$H$2:$H$3759,"Low")</f>
        <v>24</v>
      </c>
      <c r="H40" s="5" t="n">
        <f aca="false">COUNTIFS(Register!$B$2:$B$3759,A40,Register!$C$2:$C$3759,B40,Register!$G$2:$G$3759,"Visual")</f>
        <v>17</v>
      </c>
      <c r="I40" s="5" t="n">
        <f aca="false">COUNTIFS(Register!$B$2:$B$3759,A40,Register!$C$2:$C$3759,B40,Register!$J$2:$J$3759,"&lt;&gt;")</f>
        <v>0</v>
      </c>
      <c r="J40" s="5" t="n">
        <f aca="false">COUNTIFS(Register!$B$2:$B$3759,A40,Register!$C$2:$C$3759,B40,Register!$J$2:$J$3759,"Approve")</f>
        <v>0</v>
      </c>
    </row>
    <row r="41" customFormat="false" ht="15" hidden="false" customHeight="false" outlineLevel="0" collapsed="false">
      <c r="A41" s="5" t="s">
        <v>102</v>
      </c>
      <c r="B41" s="6" t="s">
        <v>111</v>
      </c>
      <c r="C41" s="5" t="s">
        <v>112</v>
      </c>
      <c r="D41" s="5" t="n">
        <f aca="false">COUNTIFS(Register!$B$2:$B$3759,A41,Register!$C$2:$C$3759,B41)</f>
        <v>61</v>
      </c>
      <c r="E41" s="5" t="n">
        <f aca="false">COUNTIFS(Register!$B$2:$B$3759,A41,Register!$C$2:$C$3759,B41,Register!$H$2:$H$3759,"High")</f>
        <v>9</v>
      </c>
      <c r="F41" s="5" t="n">
        <f aca="false">COUNTIFS(Register!$B$2:$B$3759,A41,Register!$C$2:$C$3759,B41,Register!$H$2:$H$3759,"Medium")</f>
        <v>33</v>
      </c>
      <c r="G41" s="5" t="n">
        <f aca="false">COUNTIFS(Register!$B$2:$B$3759,A41,Register!$C$2:$C$3759,B41,Register!$H$2:$H$3759,"Low")</f>
        <v>19</v>
      </c>
      <c r="H41" s="5" t="n">
        <f aca="false">COUNTIFS(Register!$B$2:$B$3759,A41,Register!$C$2:$C$3759,B41,Register!$G$2:$G$3759,"Visual")</f>
        <v>17</v>
      </c>
      <c r="I41" s="5" t="n">
        <f aca="false">COUNTIFS(Register!$B$2:$B$3759,A41,Register!$C$2:$C$3759,B41,Register!$J$2:$J$3759,"&lt;&gt;")</f>
        <v>0</v>
      </c>
      <c r="J41" s="5" t="n">
        <f aca="false">COUNTIFS(Register!$B$2:$B$3759,A41,Register!$C$2:$C$3759,B41,Register!$J$2:$J$3759,"Approve")</f>
        <v>0</v>
      </c>
    </row>
    <row r="42" customFormat="false" ht="15" hidden="false" customHeight="false" outlineLevel="0" collapsed="false">
      <c r="A42" s="5" t="s">
        <v>102</v>
      </c>
      <c r="B42" s="6" t="s">
        <v>113</v>
      </c>
      <c r="C42" s="5" t="s">
        <v>114</v>
      </c>
      <c r="D42" s="5" t="n">
        <f aca="false">COUNTIFS(Register!$B$2:$B$3759,A42,Register!$C$2:$C$3759,B42)</f>
        <v>61</v>
      </c>
      <c r="E42" s="5" t="n">
        <f aca="false">COUNTIFS(Register!$B$2:$B$3759,A42,Register!$C$2:$C$3759,B42,Register!$H$2:$H$3759,"High")</f>
        <v>8</v>
      </c>
      <c r="F42" s="5" t="n">
        <f aca="false">COUNTIFS(Register!$B$2:$B$3759,A42,Register!$C$2:$C$3759,B42,Register!$H$2:$H$3759,"Medium")</f>
        <v>32</v>
      </c>
      <c r="G42" s="5" t="n">
        <f aca="false">COUNTIFS(Register!$B$2:$B$3759,A42,Register!$C$2:$C$3759,B42,Register!$H$2:$H$3759,"Low")</f>
        <v>21</v>
      </c>
      <c r="H42" s="5" t="n">
        <f aca="false">COUNTIFS(Register!$B$2:$B$3759,A42,Register!$C$2:$C$3759,B42,Register!$G$2:$G$3759,"Visual")</f>
        <v>18</v>
      </c>
      <c r="I42" s="5" t="n">
        <f aca="false">COUNTIFS(Register!$B$2:$B$3759,A42,Register!$C$2:$C$3759,B42,Register!$J$2:$J$3759,"&lt;&gt;")</f>
        <v>0</v>
      </c>
      <c r="J42" s="5" t="n">
        <f aca="false">COUNTIFS(Register!$B$2:$B$3759,A42,Register!$C$2:$C$3759,B42,Register!$J$2:$J$3759,"Approve")</f>
        <v>0</v>
      </c>
    </row>
    <row r="43" customFormat="false" ht="15" hidden="false" customHeight="false" outlineLevel="0" collapsed="false">
      <c r="A43" s="5" t="s">
        <v>102</v>
      </c>
      <c r="B43" s="6" t="s">
        <v>115</v>
      </c>
      <c r="C43" s="5" t="s">
        <v>116</v>
      </c>
      <c r="D43" s="5" t="n">
        <f aca="false">COUNTIFS(Register!$B$2:$B$3759,A43,Register!$C$2:$C$3759,B43)</f>
        <v>65</v>
      </c>
      <c r="E43" s="5" t="n">
        <f aca="false">COUNTIFS(Register!$B$2:$B$3759,A43,Register!$C$2:$C$3759,B43,Register!$H$2:$H$3759,"High")</f>
        <v>11</v>
      </c>
      <c r="F43" s="5" t="n">
        <f aca="false">COUNTIFS(Register!$B$2:$B$3759,A43,Register!$C$2:$C$3759,B43,Register!$H$2:$H$3759,"Medium")</f>
        <v>33</v>
      </c>
      <c r="G43" s="5" t="n">
        <f aca="false">COUNTIFS(Register!$B$2:$B$3759,A43,Register!$C$2:$C$3759,B43,Register!$H$2:$H$3759,"Low")</f>
        <v>21</v>
      </c>
      <c r="H43" s="5" t="n">
        <f aca="false">COUNTIFS(Register!$B$2:$B$3759,A43,Register!$C$2:$C$3759,B43,Register!$G$2:$G$3759,"Visual")</f>
        <v>12</v>
      </c>
      <c r="I43" s="5" t="n">
        <f aca="false">COUNTIFS(Register!$B$2:$B$3759,A43,Register!$C$2:$C$3759,B43,Register!$J$2:$J$3759,"&lt;&gt;")</f>
        <v>0</v>
      </c>
      <c r="J43" s="5" t="n">
        <f aca="false">COUNTIFS(Register!$B$2:$B$3759,A43,Register!$C$2:$C$3759,B43,Register!$J$2:$J$3759,"Approve")</f>
        <v>0</v>
      </c>
    </row>
    <row r="44" customFormat="false" ht="15" hidden="false" customHeight="false" outlineLevel="0" collapsed="false">
      <c r="A44" s="5" t="s">
        <v>102</v>
      </c>
      <c r="B44" s="6" t="s">
        <v>117</v>
      </c>
      <c r="C44" s="5" t="s">
        <v>118</v>
      </c>
      <c r="D44" s="5" t="n">
        <f aca="false">COUNTIFS(Register!$B$2:$B$3759,A44,Register!$C$2:$C$3759,B44)</f>
        <v>48</v>
      </c>
      <c r="E44" s="5" t="n">
        <f aca="false">COUNTIFS(Register!$B$2:$B$3759,A44,Register!$C$2:$C$3759,B44,Register!$H$2:$H$3759,"High")</f>
        <v>5</v>
      </c>
      <c r="F44" s="5" t="n">
        <f aca="false">COUNTIFS(Register!$B$2:$B$3759,A44,Register!$C$2:$C$3759,B44,Register!$H$2:$H$3759,"Medium")</f>
        <v>24</v>
      </c>
      <c r="G44" s="5" t="n">
        <f aca="false">COUNTIFS(Register!$B$2:$B$3759,A44,Register!$C$2:$C$3759,B44,Register!$H$2:$H$3759,"Low")</f>
        <v>19</v>
      </c>
      <c r="H44" s="5" t="n">
        <f aca="false">COUNTIFS(Register!$B$2:$B$3759,A44,Register!$C$2:$C$3759,B44,Register!$G$2:$G$3759,"Visual")</f>
        <v>10</v>
      </c>
      <c r="I44" s="5" t="n">
        <f aca="false">COUNTIFS(Register!$B$2:$B$3759,A44,Register!$C$2:$C$3759,B44,Register!$J$2:$J$3759,"&lt;&gt;")</f>
        <v>0</v>
      </c>
      <c r="J44" s="5" t="n">
        <f aca="false">COUNTIFS(Register!$B$2:$B$3759,A44,Register!$C$2:$C$3759,B44,Register!$J$2:$J$3759,"Approve")</f>
        <v>0</v>
      </c>
    </row>
    <row r="45" customFormat="false" ht="15" hidden="false" customHeight="false" outlineLevel="0" collapsed="false">
      <c r="A45" s="5" t="s">
        <v>102</v>
      </c>
      <c r="B45" s="6" t="s">
        <v>119</v>
      </c>
      <c r="C45" s="5" t="s">
        <v>120</v>
      </c>
      <c r="D45" s="5" t="n">
        <f aca="false">COUNTIFS(Register!$B$2:$B$3759,A45,Register!$C$2:$C$3759,B45)</f>
        <v>43</v>
      </c>
      <c r="E45" s="5" t="n">
        <f aca="false">COUNTIFS(Register!$B$2:$B$3759,A45,Register!$C$2:$C$3759,B45,Register!$H$2:$H$3759,"High")</f>
        <v>8</v>
      </c>
      <c r="F45" s="5" t="n">
        <f aca="false">COUNTIFS(Register!$B$2:$B$3759,A45,Register!$C$2:$C$3759,B45,Register!$H$2:$H$3759,"Medium")</f>
        <v>20</v>
      </c>
      <c r="G45" s="5" t="n">
        <f aca="false">COUNTIFS(Register!$B$2:$B$3759,A45,Register!$C$2:$C$3759,B45,Register!$H$2:$H$3759,"Low")</f>
        <v>15</v>
      </c>
      <c r="H45" s="5" t="n">
        <f aca="false">COUNTIFS(Register!$B$2:$B$3759,A45,Register!$C$2:$C$3759,B45,Register!$G$2:$G$3759,"Visual")</f>
        <v>10</v>
      </c>
      <c r="I45" s="5" t="n">
        <f aca="false">COUNTIFS(Register!$B$2:$B$3759,A45,Register!$C$2:$C$3759,B45,Register!$J$2:$J$3759,"&lt;&gt;")</f>
        <v>0</v>
      </c>
      <c r="J45" s="5" t="n">
        <f aca="false">COUNTIFS(Register!$B$2:$B$3759,A45,Register!$C$2:$C$3759,B45,Register!$J$2:$J$3759,"Approve")</f>
        <v>0</v>
      </c>
    </row>
    <row r="46" customFormat="false" ht="15" hidden="false" customHeight="false" outlineLevel="0" collapsed="false">
      <c r="A46" s="5" t="s">
        <v>102</v>
      </c>
      <c r="B46" s="6" t="s">
        <v>121</v>
      </c>
      <c r="C46" s="5" t="s">
        <v>122</v>
      </c>
      <c r="D46" s="5" t="n">
        <f aca="false">COUNTIFS(Register!$B$2:$B$3759,A46,Register!$C$2:$C$3759,B46)</f>
        <v>36</v>
      </c>
      <c r="E46" s="5" t="n">
        <f aca="false">COUNTIFS(Register!$B$2:$B$3759,A46,Register!$C$2:$C$3759,B46,Register!$H$2:$H$3759,"High")</f>
        <v>4</v>
      </c>
      <c r="F46" s="5" t="n">
        <f aca="false">COUNTIFS(Register!$B$2:$B$3759,A46,Register!$C$2:$C$3759,B46,Register!$H$2:$H$3759,"Medium")</f>
        <v>19</v>
      </c>
      <c r="G46" s="5" t="n">
        <f aca="false">COUNTIFS(Register!$B$2:$B$3759,A46,Register!$C$2:$C$3759,B46,Register!$H$2:$H$3759,"Low")</f>
        <v>13</v>
      </c>
      <c r="H46" s="5" t="n">
        <f aca="false">COUNTIFS(Register!$B$2:$B$3759,A46,Register!$C$2:$C$3759,B46,Register!$G$2:$G$3759,"Visual")</f>
        <v>10</v>
      </c>
      <c r="I46" s="5" t="n">
        <f aca="false">COUNTIFS(Register!$B$2:$B$3759,A46,Register!$C$2:$C$3759,B46,Register!$J$2:$J$3759,"&lt;&gt;")</f>
        <v>0</v>
      </c>
      <c r="J46" s="5" t="n">
        <f aca="false">COUNTIFS(Register!$B$2:$B$3759,A46,Register!$C$2:$C$3759,B46,Register!$J$2:$J$3759,"Approve")</f>
        <v>0</v>
      </c>
    </row>
    <row r="47" customFormat="false" ht="15" hidden="false" customHeight="false" outlineLevel="0" collapsed="false">
      <c r="A47" s="5" t="s">
        <v>123</v>
      </c>
      <c r="B47" s="6" t="s">
        <v>124</v>
      </c>
      <c r="C47" s="5" t="s">
        <v>125</v>
      </c>
      <c r="D47" s="5" t="n">
        <f aca="false">COUNTIFS(Register!$B$2:$B$3759,A47,Register!$C$2:$C$3759,B47)</f>
        <v>52</v>
      </c>
      <c r="E47" s="5" t="n">
        <f aca="false">COUNTIFS(Register!$B$2:$B$3759,A47,Register!$C$2:$C$3759,B47,Register!$H$2:$H$3759,"High")</f>
        <v>2</v>
      </c>
      <c r="F47" s="5" t="n">
        <f aca="false">COUNTIFS(Register!$B$2:$B$3759,A47,Register!$C$2:$C$3759,B47,Register!$H$2:$H$3759,"Medium")</f>
        <v>32</v>
      </c>
      <c r="G47" s="5" t="n">
        <f aca="false">COUNTIFS(Register!$B$2:$B$3759,A47,Register!$C$2:$C$3759,B47,Register!$H$2:$H$3759,"Low")</f>
        <v>18</v>
      </c>
      <c r="H47" s="5" t="n">
        <f aca="false">COUNTIFS(Register!$B$2:$B$3759,A47,Register!$C$2:$C$3759,B47,Register!$G$2:$G$3759,"Visual")</f>
        <v>13</v>
      </c>
      <c r="I47" s="5" t="n">
        <f aca="false">COUNTIFS(Register!$B$2:$B$3759,A47,Register!$C$2:$C$3759,B47,Register!$J$2:$J$3759,"&lt;&gt;")</f>
        <v>0</v>
      </c>
      <c r="J47" s="5" t="n">
        <f aca="false">COUNTIFS(Register!$B$2:$B$3759,A47,Register!$C$2:$C$3759,B47,Register!$J$2:$J$3759,"Approve")</f>
        <v>0</v>
      </c>
    </row>
    <row r="48" customFormat="false" ht="15" hidden="false" customHeight="false" outlineLevel="0" collapsed="false">
      <c r="A48" s="5" t="s">
        <v>123</v>
      </c>
      <c r="B48" s="6" t="s">
        <v>126</v>
      </c>
      <c r="C48" s="5" t="s">
        <v>127</v>
      </c>
      <c r="D48" s="5" t="n">
        <f aca="false">COUNTIFS(Register!$B$2:$B$3759,A48,Register!$C$2:$C$3759,B48)</f>
        <v>47</v>
      </c>
      <c r="E48" s="5" t="n">
        <f aca="false">COUNTIFS(Register!$B$2:$B$3759,A48,Register!$C$2:$C$3759,B48,Register!$H$2:$H$3759,"High")</f>
        <v>4</v>
      </c>
      <c r="F48" s="5" t="n">
        <f aca="false">COUNTIFS(Register!$B$2:$B$3759,A48,Register!$C$2:$C$3759,B48,Register!$H$2:$H$3759,"Medium")</f>
        <v>28</v>
      </c>
      <c r="G48" s="5" t="n">
        <f aca="false">COUNTIFS(Register!$B$2:$B$3759,A48,Register!$C$2:$C$3759,B48,Register!$H$2:$H$3759,"Low")</f>
        <v>15</v>
      </c>
      <c r="H48" s="5" t="n">
        <f aca="false">COUNTIFS(Register!$B$2:$B$3759,A48,Register!$C$2:$C$3759,B48,Register!$G$2:$G$3759,"Visual")</f>
        <v>15</v>
      </c>
      <c r="I48" s="5" t="n">
        <f aca="false">COUNTIFS(Register!$B$2:$B$3759,A48,Register!$C$2:$C$3759,B48,Register!$J$2:$J$3759,"&lt;&gt;")</f>
        <v>0</v>
      </c>
      <c r="J48" s="5" t="n">
        <f aca="false">COUNTIFS(Register!$B$2:$B$3759,A48,Register!$C$2:$C$3759,B48,Register!$J$2:$J$3759,"Approve")</f>
        <v>0</v>
      </c>
    </row>
    <row r="49" customFormat="false" ht="15" hidden="false" customHeight="false" outlineLevel="0" collapsed="false">
      <c r="A49" s="5" t="s">
        <v>123</v>
      </c>
      <c r="B49" s="6" t="s">
        <v>128</v>
      </c>
      <c r="C49" s="5" t="s">
        <v>129</v>
      </c>
      <c r="D49" s="5" t="n">
        <f aca="false">COUNTIFS(Register!$B$2:$B$3759,A49,Register!$C$2:$C$3759,B49)</f>
        <v>45</v>
      </c>
      <c r="E49" s="5" t="n">
        <f aca="false">COUNTIFS(Register!$B$2:$B$3759,A49,Register!$C$2:$C$3759,B49,Register!$H$2:$H$3759,"High")</f>
        <v>2</v>
      </c>
      <c r="F49" s="5" t="n">
        <f aca="false">COUNTIFS(Register!$B$2:$B$3759,A49,Register!$C$2:$C$3759,B49,Register!$H$2:$H$3759,"Medium")</f>
        <v>28</v>
      </c>
      <c r="G49" s="5" t="n">
        <f aca="false">COUNTIFS(Register!$B$2:$B$3759,A49,Register!$C$2:$C$3759,B49,Register!$H$2:$H$3759,"Low")</f>
        <v>15</v>
      </c>
      <c r="H49" s="5" t="n">
        <f aca="false">COUNTIFS(Register!$B$2:$B$3759,A49,Register!$C$2:$C$3759,B49,Register!$G$2:$G$3759,"Visual")</f>
        <v>13</v>
      </c>
      <c r="I49" s="5" t="n">
        <f aca="false">COUNTIFS(Register!$B$2:$B$3759,A49,Register!$C$2:$C$3759,B49,Register!$J$2:$J$3759,"&lt;&gt;")</f>
        <v>0</v>
      </c>
      <c r="J49" s="5" t="n">
        <f aca="false">COUNTIFS(Register!$B$2:$B$3759,A49,Register!$C$2:$C$3759,B49,Register!$J$2:$J$3759,"Approve")</f>
        <v>0</v>
      </c>
    </row>
    <row r="50" customFormat="false" ht="15" hidden="false" customHeight="false" outlineLevel="0" collapsed="false">
      <c r="A50" s="5" t="s">
        <v>123</v>
      </c>
      <c r="B50" s="6" t="s">
        <v>130</v>
      </c>
      <c r="C50" s="5" t="s">
        <v>131</v>
      </c>
      <c r="D50" s="5" t="n">
        <f aca="false">COUNTIFS(Register!$B$2:$B$3759,A50,Register!$C$2:$C$3759,B50)</f>
        <v>43</v>
      </c>
      <c r="E50" s="5" t="n">
        <f aca="false">COUNTIFS(Register!$B$2:$B$3759,A50,Register!$C$2:$C$3759,B50,Register!$H$2:$H$3759,"High")</f>
        <v>6</v>
      </c>
      <c r="F50" s="5" t="n">
        <f aca="false">COUNTIFS(Register!$B$2:$B$3759,A50,Register!$C$2:$C$3759,B50,Register!$H$2:$H$3759,"Medium")</f>
        <v>18</v>
      </c>
      <c r="G50" s="5" t="n">
        <f aca="false">COUNTIFS(Register!$B$2:$B$3759,A50,Register!$C$2:$C$3759,B50,Register!$H$2:$H$3759,"Low")</f>
        <v>19</v>
      </c>
      <c r="H50" s="5" t="n">
        <f aca="false">COUNTIFS(Register!$B$2:$B$3759,A50,Register!$C$2:$C$3759,B50,Register!$G$2:$G$3759,"Visual")</f>
        <v>12</v>
      </c>
      <c r="I50" s="5" t="n">
        <f aca="false">COUNTIFS(Register!$B$2:$B$3759,A50,Register!$C$2:$C$3759,B50,Register!$J$2:$J$3759,"&lt;&gt;")</f>
        <v>0</v>
      </c>
      <c r="J50" s="5" t="n">
        <f aca="false">COUNTIFS(Register!$B$2:$B$3759,A50,Register!$C$2:$C$3759,B50,Register!$J$2:$J$3759,"Approve")</f>
        <v>0</v>
      </c>
    </row>
    <row r="51" customFormat="false" ht="15" hidden="false" customHeight="false" outlineLevel="0" collapsed="false">
      <c r="A51" s="5" t="s">
        <v>123</v>
      </c>
      <c r="B51" s="6" t="s">
        <v>132</v>
      </c>
      <c r="C51" s="5" t="s">
        <v>133</v>
      </c>
      <c r="D51" s="5" t="n">
        <f aca="false">COUNTIFS(Register!$B$2:$B$3759,A51,Register!$C$2:$C$3759,B51)</f>
        <v>56</v>
      </c>
      <c r="E51" s="5" t="n">
        <f aca="false">COUNTIFS(Register!$B$2:$B$3759,A51,Register!$C$2:$C$3759,B51,Register!$H$2:$H$3759,"High")</f>
        <v>8</v>
      </c>
      <c r="F51" s="5" t="n">
        <f aca="false">COUNTIFS(Register!$B$2:$B$3759,A51,Register!$C$2:$C$3759,B51,Register!$H$2:$H$3759,"Medium")</f>
        <v>26</v>
      </c>
      <c r="G51" s="5" t="n">
        <f aca="false">COUNTIFS(Register!$B$2:$B$3759,A51,Register!$C$2:$C$3759,B51,Register!$H$2:$H$3759,"Low")</f>
        <v>22</v>
      </c>
      <c r="H51" s="5" t="n">
        <f aca="false">COUNTIFS(Register!$B$2:$B$3759,A51,Register!$C$2:$C$3759,B51,Register!$G$2:$G$3759,"Visual")</f>
        <v>18</v>
      </c>
      <c r="I51" s="5" t="n">
        <f aca="false">COUNTIFS(Register!$B$2:$B$3759,A51,Register!$C$2:$C$3759,B51,Register!$J$2:$J$3759,"&lt;&gt;")</f>
        <v>0</v>
      </c>
      <c r="J51" s="5" t="n">
        <f aca="false">COUNTIFS(Register!$B$2:$B$3759,A51,Register!$C$2:$C$3759,B51,Register!$J$2:$J$3759,"Approve")</f>
        <v>0</v>
      </c>
    </row>
    <row r="52" customFormat="false" ht="15" hidden="false" customHeight="false" outlineLevel="0" collapsed="false">
      <c r="A52" s="5" t="s">
        <v>123</v>
      </c>
      <c r="B52" s="6" t="s">
        <v>134</v>
      </c>
      <c r="C52" s="5" t="s">
        <v>135</v>
      </c>
      <c r="D52" s="5" t="n">
        <f aca="false">COUNTIFS(Register!$B$2:$B$3759,A52,Register!$C$2:$C$3759,B52)</f>
        <v>45</v>
      </c>
      <c r="E52" s="5" t="n">
        <f aca="false">COUNTIFS(Register!$B$2:$B$3759,A52,Register!$C$2:$C$3759,B52,Register!$H$2:$H$3759,"High")</f>
        <v>10</v>
      </c>
      <c r="F52" s="5" t="n">
        <f aca="false">COUNTIFS(Register!$B$2:$B$3759,A52,Register!$C$2:$C$3759,B52,Register!$H$2:$H$3759,"Medium")</f>
        <v>13</v>
      </c>
      <c r="G52" s="5" t="n">
        <f aca="false">COUNTIFS(Register!$B$2:$B$3759,A52,Register!$C$2:$C$3759,B52,Register!$H$2:$H$3759,"Low")</f>
        <v>22</v>
      </c>
      <c r="H52" s="5" t="n">
        <f aca="false">COUNTIFS(Register!$B$2:$B$3759,A52,Register!$C$2:$C$3759,B52,Register!$G$2:$G$3759,"Visual")</f>
        <v>13</v>
      </c>
      <c r="I52" s="5" t="n">
        <f aca="false">COUNTIFS(Register!$B$2:$B$3759,A52,Register!$C$2:$C$3759,B52,Register!$J$2:$J$3759,"&lt;&gt;")</f>
        <v>0</v>
      </c>
      <c r="J52" s="5" t="n">
        <f aca="false">COUNTIFS(Register!$B$2:$B$3759,A52,Register!$C$2:$C$3759,B52,Register!$J$2:$J$3759,"Approve")</f>
        <v>0</v>
      </c>
    </row>
    <row r="53" customFormat="false" ht="15" hidden="false" customHeight="false" outlineLevel="0" collapsed="false">
      <c r="A53" s="5" t="s">
        <v>123</v>
      </c>
      <c r="B53" s="6" t="s">
        <v>136</v>
      </c>
      <c r="C53" s="5" t="s">
        <v>137</v>
      </c>
      <c r="D53" s="5" t="n">
        <f aca="false">COUNTIFS(Register!$B$2:$B$3759,A53,Register!$C$2:$C$3759,B53)</f>
        <v>41</v>
      </c>
      <c r="E53" s="5" t="n">
        <f aca="false">COUNTIFS(Register!$B$2:$B$3759,A53,Register!$C$2:$C$3759,B53,Register!$H$2:$H$3759,"High")</f>
        <v>9</v>
      </c>
      <c r="F53" s="5" t="n">
        <f aca="false">COUNTIFS(Register!$B$2:$B$3759,A53,Register!$C$2:$C$3759,B53,Register!$H$2:$H$3759,"Medium")</f>
        <v>16</v>
      </c>
      <c r="G53" s="5" t="n">
        <f aca="false">COUNTIFS(Register!$B$2:$B$3759,A53,Register!$C$2:$C$3759,B53,Register!$H$2:$H$3759,"Low")</f>
        <v>16</v>
      </c>
      <c r="H53" s="5" t="n">
        <f aca="false">COUNTIFS(Register!$B$2:$B$3759,A53,Register!$C$2:$C$3759,B53,Register!$G$2:$G$3759,"Visual")</f>
        <v>12</v>
      </c>
      <c r="I53" s="5" t="n">
        <f aca="false">COUNTIFS(Register!$B$2:$B$3759,A53,Register!$C$2:$C$3759,B53,Register!$J$2:$J$3759,"&lt;&gt;")</f>
        <v>0</v>
      </c>
      <c r="J53" s="5" t="n">
        <f aca="false">COUNTIFS(Register!$B$2:$B$3759,A53,Register!$C$2:$C$3759,B53,Register!$J$2:$J$3759,"Approve")</f>
        <v>0</v>
      </c>
    </row>
    <row r="54" customFormat="false" ht="15" hidden="false" customHeight="false" outlineLevel="0" collapsed="false">
      <c r="A54" s="5" t="s">
        <v>123</v>
      </c>
      <c r="B54" s="6" t="s">
        <v>138</v>
      </c>
      <c r="C54" s="5" t="s">
        <v>139</v>
      </c>
      <c r="D54" s="5" t="n">
        <f aca="false">COUNTIFS(Register!$B$2:$B$3759,A54,Register!$C$2:$C$3759,B54)</f>
        <v>58</v>
      </c>
      <c r="E54" s="5" t="n">
        <f aca="false">COUNTIFS(Register!$B$2:$B$3759,A54,Register!$C$2:$C$3759,B54,Register!$H$2:$H$3759,"High")</f>
        <v>11</v>
      </c>
      <c r="F54" s="5" t="n">
        <f aca="false">COUNTIFS(Register!$B$2:$B$3759,A54,Register!$C$2:$C$3759,B54,Register!$H$2:$H$3759,"Medium")</f>
        <v>28</v>
      </c>
      <c r="G54" s="5" t="n">
        <f aca="false">COUNTIFS(Register!$B$2:$B$3759,A54,Register!$C$2:$C$3759,B54,Register!$H$2:$H$3759,"Low")</f>
        <v>19</v>
      </c>
      <c r="H54" s="5" t="n">
        <f aca="false">COUNTIFS(Register!$B$2:$B$3759,A54,Register!$C$2:$C$3759,B54,Register!$G$2:$G$3759,"Visual")</f>
        <v>14</v>
      </c>
      <c r="I54" s="5" t="n">
        <f aca="false">COUNTIFS(Register!$B$2:$B$3759,A54,Register!$C$2:$C$3759,B54,Register!$J$2:$J$3759,"&lt;&gt;")</f>
        <v>0</v>
      </c>
      <c r="J54" s="5" t="n">
        <f aca="false">COUNTIFS(Register!$B$2:$B$3759,A54,Register!$C$2:$C$3759,B54,Register!$J$2:$J$3759,"Approve")</f>
        <v>0</v>
      </c>
    </row>
    <row r="55" customFormat="false" ht="15" hidden="false" customHeight="false" outlineLevel="0" collapsed="false">
      <c r="A55" s="5" t="s">
        <v>140</v>
      </c>
      <c r="B55" s="6" t="s">
        <v>141</v>
      </c>
      <c r="C55" s="5" t="s">
        <v>142</v>
      </c>
      <c r="D55" s="5" t="n">
        <f aca="false">COUNTIFS(Register!$B$2:$B$3759,A55,Register!$C$2:$C$3759,B55)</f>
        <v>58</v>
      </c>
      <c r="E55" s="5" t="n">
        <f aca="false">COUNTIFS(Register!$B$2:$B$3759,A55,Register!$C$2:$C$3759,B55,Register!$H$2:$H$3759,"High")</f>
        <v>5</v>
      </c>
      <c r="F55" s="5" t="n">
        <f aca="false">COUNTIFS(Register!$B$2:$B$3759,A55,Register!$C$2:$C$3759,B55,Register!$H$2:$H$3759,"Medium")</f>
        <v>25</v>
      </c>
      <c r="G55" s="5" t="n">
        <f aca="false">COUNTIFS(Register!$B$2:$B$3759,A55,Register!$C$2:$C$3759,B55,Register!$H$2:$H$3759,"Low")</f>
        <v>28</v>
      </c>
      <c r="H55" s="5" t="n">
        <f aca="false">COUNTIFS(Register!$B$2:$B$3759,A55,Register!$C$2:$C$3759,B55,Register!$G$2:$G$3759,"Visual")</f>
        <v>16</v>
      </c>
      <c r="I55" s="5" t="n">
        <f aca="false">COUNTIFS(Register!$B$2:$B$3759,A55,Register!$C$2:$C$3759,B55,Register!$J$2:$J$3759,"&lt;&gt;")</f>
        <v>0</v>
      </c>
      <c r="J55" s="5" t="n">
        <f aca="false">COUNTIFS(Register!$B$2:$B$3759,A55,Register!$C$2:$C$3759,B55,Register!$J$2:$J$3759,"Approve")</f>
        <v>0</v>
      </c>
    </row>
    <row r="56" customFormat="false" ht="15" hidden="false" customHeight="false" outlineLevel="0" collapsed="false">
      <c r="A56" s="5" t="s">
        <v>140</v>
      </c>
      <c r="B56" s="6" t="s">
        <v>143</v>
      </c>
      <c r="C56" s="5" t="s">
        <v>144</v>
      </c>
      <c r="D56" s="5" t="n">
        <f aca="false">COUNTIFS(Register!$B$2:$B$3759,A56,Register!$C$2:$C$3759,B56)</f>
        <v>60</v>
      </c>
      <c r="E56" s="5" t="n">
        <f aca="false">COUNTIFS(Register!$B$2:$B$3759,A56,Register!$C$2:$C$3759,B56,Register!$H$2:$H$3759,"High")</f>
        <v>9</v>
      </c>
      <c r="F56" s="5" t="n">
        <f aca="false">COUNTIFS(Register!$B$2:$B$3759,A56,Register!$C$2:$C$3759,B56,Register!$H$2:$H$3759,"Medium")</f>
        <v>28</v>
      </c>
      <c r="G56" s="5" t="n">
        <f aca="false">COUNTIFS(Register!$B$2:$B$3759,A56,Register!$C$2:$C$3759,B56,Register!$H$2:$H$3759,"Low")</f>
        <v>23</v>
      </c>
      <c r="H56" s="5" t="n">
        <f aca="false">COUNTIFS(Register!$B$2:$B$3759,A56,Register!$C$2:$C$3759,B56,Register!$G$2:$G$3759,"Visual")</f>
        <v>20</v>
      </c>
      <c r="I56" s="5" t="n">
        <f aca="false">COUNTIFS(Register!$B$2:$B$3759,A56,Register!$C$2:$C$3759,B56,Register!$J$2:$J$3759,"&lt;&gt;")</f>
        <v>0</v>
      </c>
      <c r="J56" s="5" t="n">
        <f aca="false">COUNTIFS(Register!$B$2:$B$3759,A56,Register!$C$2:$C$3759,B56,Register!$J$2:$J$3759,"Approve")</f>
        <v>0</v>
      </c>
    </row>
    <row r="57" customFormat="false" ht="15" hidden="false" customHeight="false" outlineLevel="0" collapsed="false">
      <c r="A57" s="5" t="s">
        <v>140</v>
      </c>
      <c r="B57" s="6" t="s">
        <v>145</v>
      </c>
      <c r="C57" s="5" t="s">
        <v>146</v>
      </c>
      <c r="D57" s="5" t="n">
        <f aca="false">COUNTIFS(Register!$B$2:$B$3759,A57,Register!$C$2:$C$3759,B57)</f>
        <v>56</v>
      </c>
      <c r="E57" s="5" t="n">
        <f aca="false">COUNTIFS(Register!$B$2:$B$3759,A57,Register!$C$2:$C$3759,B57,Register!$H$2:$H$3759,"High")</f>
        <v>9</v>
      </c>
      <c r="F57" s="5" t="n">
        <f aca="false">COUNTIFS(Register!$B$2:$B$3759,A57,Register!$C$2:$C$3759,B57,Register!$H$2:$H$3759,"Medium")</f>
        <v>25</v>
      </c>
      <c r="G57" s="5" t="n">
        <f aca="false">COUNTIFS(Register!$B$2:$B$3759,A57,Register!$C$2:$C$3759,B57,Register!$H$2:$H$3759,"Low")</f>
        <v>22</v>
      </c>
      <c r="H57" s="5" t="n">
        <f aca="false">COUNTIFS(Register!$B$2:$B$3759,A57,Register!$C$2:$C$3759,B57,Register!$G$2:$G$3759,"Visual")</f>
        <v>18</v>
      </c>
      <c r="I57" s="5" t="n">
        <f aca="false">COUNTIFS(Register!$B$2:$B$3759,A57,Register!$C$2:$C$3759,B57,Register!$J$2:$J$3759,"&lt;&gt;")</f>
        <v>0</v>
      </c>
      <c r="J57" s="5" t="n">
        <f aca="false">COUNTIFS(Register!$B$2:$B$3759,A57,Register!$C$2:$C$3759,B57,Register!$J$2:$J$3759,"Approve")</f>
        <v>0</v>
      </c>
    </row>
    <row r="58" customFormat="false" ht="15" hidden="false" customHeight="false" outlineLevel="0" collapsed="false">
      <c r="A58" s="5" t="s">
        <v>140</v>
      </c>
      <c r="B58" s="6" t="s">
        <v>147</v>
      </c>
      <c r="C58" s="5" t="s">
        <v>148</v>
      </c>
      <c r="D58" s="5" t="n">
        <f aca="false">COUNTIFS(Register!$B$2:$B$3759,A58,Register!$C$2:$C$3759,B58)</f>
        <v>48</v>
      </c>
      <c r="E58" s="5" t="n">
        <f aca="false">COUNTIFS(Register!$B$2:$B$3759,A58,Register!$C$2:$C$3759,B58,Register!$H$2:$H$3759,"High")</f>
        <v>8</v>
      </c>
      <c r="F58" s="5" t="n">
        <f aca="false">COUNTIFS(Register!$B$2:$B$3759,A58,Register!$C$2:$C$3759,B58,Register!$H$2:$H$3759,"Medium")</f>
        <v>23</v>
      </c>
      <c r="G58" s="5" t="n">
        <f aca="false">COUNTIFS(Register!$B$2:$B$3759,A58,Register!$C$2:$C$3759,B58,Register!$H$2:$H$3759,"Low")</f>
        <v>17</v>
      </c>
      <c r="H58" s="5" t="n">
        <f aca="false">COUNTIFS(Register!$B$2:$B$3759,A58,Register!$C$2:$C$3759,B58,Register!$G$2:$G$3759,"Visual")</f>
        <v>15</v>
      </c>
      <c r="I58" s="5" t="n">
        <f aca="false">COUNTIFS(Register!$B$2:$B$3759,A58,Register!$C$2:$C$3759,B58,Register!$J$2:$J$3759,"&lt;&gt;")</f>
        <v>0</v>
      </c>
      <c r="J58" s="5" t="n">
        <f aca="false">COUNTIFS(Register!$B$2:$B$3759,A58,Register!$C$2:$C$3759,B58,Register!$J$2:$J$3759,"Approve")</f>
        <v>0</v>
      </c>
    </row>
    <row r="59" customFormat="false" ht="15" hidden="false" customHeight="false" outlineLevel="0" collapsed="false">
      <c r="A59" s="5" t="s">
        <v>140</v>
      </c>
      <c r="B59" s="6" t="s">
        <v>149</v>
      </c>
      <c r="C59" s="5" t="s">
        <v>150</v>
      </c>
      <c r="D59" s="5" t="n">
        <f aca="false">COUNTIFS(Register!$B$2:$B$3759,A59,Register!$C$2:$C$3759,B59)</f>
        <v>48</v>
      </c>
      <c r="E59" s="5" t="n">
        <f aca="false">COUNTIFS(Register!$B$2:$B$3759,A59,Register!$C$2:$C$3759,B59,Register!$H$2:$H$3759,"High")</f>
        <v>7</v>
      </c>
      <c r="F59" s="5" t="n">
        <f aca="false">COUNTIFS(Register!$B$2:$B$3759,A59,Register!$C$2:$C$3759,B59,Register!$H$2:$H$3759,"Medium")</f>
        <v>18</v>
      </c>
      <c r="G59" s="5" t="n">
        <f aca="false">COUNTIFS(Register!$B$2:$B$3759,A59,Register!$C$2:$C$3759,B59,Register!$H$2:$H$3759,"Low")</f>
        <v>23</v>
      </c>
      <c r="H59" s="5" t="n">
        <f aca="false">COUNTIFS(Register!$B$2:$B$3759,A59,Register!$C$2:$C$3759,B59,Register!$G$2:$G$3759,"Visual")</f>
        <v>13</v>
      </c>
      <c r="I59" s="5" t="n">
        <f aca="false">COUNTIFS(Register!$B$2:$B$3759,A59,Register!$C$2:$C$3759,B59,Register!$J$2:$J$3759,"&lt;&gt;")</f>
        <v>0</v>
      </c>
      <c r="J59" s="5" t="n">
        <f aca="false">COUNTIFS(Register!$B$2:$B$3759,A59,Register!$C$2:$C$3759,B59,Register!$J$2:$J$3759,"Approve")</f>
        <v>0</v>
      </c>
    </row>
    <row r="60" customFormat="false" ht="15" hidden="false" customHeight="false" outlineLevel="0" collapsed="false">
      <c r="A60" s="5" t="s">
        <v>140</v>
      </c>
      <c r="B60" s="6" t="s">
        <v>151</v>
      </c>
      <c r="C60" s="5" t="s">
        <v>152</v>
      </c>
      <c r="D60" s="5" t="n">
        <f aca="false">COUNTIFS(Register!$B$2:$B$3759,A60,Register!$C$2:$C$3759,B60)</f>
        <v>46</v>
      </c>
      <c r="E60" s="5" t="n">
        <f aca="false">COUNTIFS(Register!$B$2:$B$3759,A60,Register!$C$2:$C$3759,B60,Register!$H$2:$H$3759,"High")</f>
        <v>9</v>
      </c>
      <c r="F60" s="5" t="n">
        <f aca="false">COUNTIFS(Register!$B$2:$B$3759,A60,Register!$C$2:$C$3759,B60,Register!$H$2:$H$3759,"Medium")</f>
        <v>19</v>
      </c>
      <c r="G60" s="5" t="n">
        <f aca="false">COUNTIFS(Register!$B$2:$B$3759,A60,Register!$C$2:$C$3759,B60,Register!$H$2:$H$3759,"Low")</f>
        <v>18</v>
      </c>
      <c r="H60" s="5" t="n">
        <f aca="false">COUNTIFS(Register!$B$2:$B$3759,A60,Register!$C$2:$C$3759,B60,Register!$G$2:$G$3759,"Visual")</f>
        <v>12</v>
      </c>
      <c r="I60" s="5" t="n">
        <f aca="false">COUNTIFS(Register!$B$2:$B$3759,A60,Register!$C$2:$C$3759,B60,Register!$J$2:$J$3759,"&lt;&gt;")</f>
        <v>0</v>
      </c>
      <c r="J60" s="5" t="n">
        <f aca="false">COUNTIFS(Register!$B$2:$B$3759,A60,Register!$C$2:$C$3759,B60,Register!$J$2:$J$3759,"Approve")</f>
        <v>0</v>
      </c>
    </row>
    <row r="61" customFormat="false" ht="15" hidden="false" customHeight="false" outlineLevel="0" collapsed="false">
      <c r="A61" s="5" t="s">
        <v>140</v>
      </c>
      <c r="B61" s="6" t="s">
        <v>153</v>
      </c>
      <c r="C61" s="5" t="s">
        <v>154</v>
      </c>
      <c r="D61" s="5" t="n">
        <f aca="false">COUNTIFS(Register!$B$2:$B$3759,A61,Register!$C$2:$C$3759,B61)</f>
        <v>26</v>
      </c>
      <c r="E61" s="5" t="n">
        <f aca="false">COUNTIFS(Register!$B$2:$B$3759,A61,Register!$C$2:$C$3759,B61,Register!$H$2:$H$3759,"High")</f>
        <v>1</v>
      </c>
      <c r="F61" s="5" t="n">
        <f aca="false">COUNTIFS(Register!$B$2:$B$3759,A61,Register!$C$2:$C$3759,B61,Register!$H$2:$H$3759,"Medium")</f>
        <v>12</v>
      </c>
      <c r="G61" s="5" t="n">
        <f aca="false">COUNTIFS(Register!$B$2:$B$3759,A61,Register!$C$2:$C$3759,B61,Register!$H$2:$H$3759,"Low")</f>
        <v>13</v>
      </c>
      <c r="H61" s="5" t="n">
        <f aca="false">COUNTIFS(Register!$B$2:$B$3759,A61,Register!$C$2:$C$3759,B61,Register!$G$2:$G$3759,"Visual")</f>
        <v>9</v>
      </c>
      <c r="I61" s="5" t="n">
        <f aca="false">COUNTIFS(Register!$B$2:$B$3759,A61,Register!$C$2:$C$3759,B61,Register!$J$2:$J$3759,"&lt;&gt;")</f>
        <v>0</v>
      </c>
      <c r="J61" s="5" t="n">
        <f aca="false">COUNTIFS(Register!$B$2:$B$3759,A61,Register!$C$2:$C$3759,B61,Register!$J$2:$J$3759,"Approve")</f>
        <v>0</v>
      </c>
    </row>
    <row r="62" customFormat="false" ht="15" hidden="false" customHeight="false" outlineLevel="0" collapsed="false">
      <c r="A62" s="5" t="s">
        <v>155</v>
      </c>
      <c r="B62" s="6" t="s">
        <v>156</v>
      </c>
      <c r="C62" s="5" t="s">
        <v>157</v>
      </c>
      <c r="D62" s="5" t="n">
        <f aca="false">COUNTIFS(Register!$B$2:$B$3759,A62,Register!$C$2:$C$3759,B62)</f>
        <v>40</v>
      </c>
      <c r="E62" s="5" t="n">
        <f aca="false">COUNTIFS(Register!$B$2:$B$3759,A62,Register!$C$2:$C$3759,B62,Register!$H$2:$H$3759,"High")</f>
        <v>3</v>
      </c>
      <c r="F62" s="5" t="n">
        <f aca="false">COUNTIFS(Register!$B$2:$B$3759,A62,Register!$C$2:$C$3759,B62,Register!$H$2:$H$3759,"Medium")</f>
        <v>21</v>
      </c>
      <c r="G62" s="5" t="n">
        <f aca="false">COUNTIFS(Register!$B$2:$B$3759,A62,Register!$C$2:$C$3759,B62,Register!$H$2:$H$3759,"Low")</f>
        <v>16</v>
      </c>
      <c r="H62" s="5" t="n">
        <f aca="false">COUNTIFS(Register!$B$2:$B$3759,A62,Register!$C$2:$C$3759,B62,Register!$G$2:$G$3759,"Visual")</f>
        <v>13</v>
      </c>
      <c r="I62" s="5" t="n">
        <f aca="false">COUNTIFS(Register!$B$2:$B$3759,A62,Register!$C$2:$C$3759,B62,Register!$J$2:$J$3759,"&lt;&gt;")</f>
        <v>0</v>
      </c>
      <c r="J62" s="5" t="n">
        <f aca="false">COUNTIFS(Register!$B$2:$B$3759,A62,Register!$C$2:$C$3759,B62,Register!$J$2:$J$3759,"Approve")</f>
        <v>0</v>
      </c>
    </row>
    <row r="63" customFormat="false" ht="15" hidden="false" customHeight="false" outlineLevel="0" collapsed="false">
      <c r="A63" s="5" t="s">
        <v>155</v>
      </c>
      <c r="B63" s="6" t="s">
        <v>158</v>
      </c>
      <c r="C63" s="5" t="s">
        <v>159</v>
      </c>
      <c r="D63" s="5" t="n">
        <f aca="false">COUNTIFS(Register!$B$2:$B$3759,A63,Register!$C$2:$C$3759,B63)</f>
        <v>41</v>
      </c>
      <c r="E63" s="5" t="n">
        <f aca="false">COUNTIFS(Register!$B$2:$B$3759,A63,Register!$C$2:$C$3759,B63,Register!$H$2:$H$3759,"High")</f>
        <v>4</v>
      </c>
      <c r="F63" s="5" t="n">
        <f aca="false">COUNTIFS(Register!$B$2:$B$3759,A63,Register!$C$2:$C$3759,B63,Register!$H$2:$H$3759,"Medium")</f>
        <v>18</v>
      </c>
      <c r="G63" s="5" t="n">
        <f aca="false">COUNTIFS(Register!$B$2:$B$3759,A63,Register!$C$2:$C$3759,B63,Register!$H$2:$H$3759,"Low")</f>
        <v>19</v>
      </c>
      <c r="H63" s="5" t="n">
        <f aca="false">COUNTIFS(Register!$B$2:$B$3759,A63,Register!$C$2:$C$3759,B63,Register!$G$2:$G$3759,"Visual")</f>
        <v>15</v>
      </c>
      <c r="I63" s="5" t="n">
        <f aca="false">COUNTIFS(Register!$B$2:$B$3759,A63,Register!$C$2:$C$3759,B63,Register!$J$2:$J$3759,"&lt;&gt;")</f>
        <v>0</v>
      </c>
      <c r="J63" s="5" t="n">
        <f aca="false">COUNTIFS(Register!$B$2:$B$3759,A63,Register!$C$2:$C$3759,B63,Register!$J$2:$J$3759,"Approve")</f>
        <v>0</v>
      </c>
    </row>
    <row r="64" customFormat="false" ht="15" hidden="false" customHeight="false" outlineLevel="0" collapsed="false">
      <c r="A64" s="5" t="s">
        <v>155</v>
      </c>
      <c r="B64" s="6" t="s">
        <v>160</v>
      </c>
      <c r="C64" s="5" t="s">
        <v>161</v>
      </c>
      <c r="D64" s="5" t="n">
        <f aca="false">COUNTIFS(Register!$B$2:$B$3759,A64,Register!$C$2:$C$3759,B64)</f>
        <v>31</v>
      </c>
      <c r="E64" s="5" t="n">
        <f aca="false">COUNTIFS(Register!$B$2:$B$3759,A64,Register!$C$2:$C$3759,B64,Register!$H$2:$H$3759,"High")</f>
        <v>3</v>
      </c>
      <c r="F64" s="5" t="n">
        <f aca="false">COUNTIFS(Register!$B$2:$B$3759,A64,Register!$C$2:$C$3759,B64,Register!$H$2:$H$3759,"Medium")</f>
        <v>14</v>
      </c>
      <c r="G64" s="5" t="n">
        <f aca="false">COUNTIFS(Register!$B$2:$B$3759,A64,Register!$C$2:$C$3759,B64,Register!$H$2:$H$3759,"Low")</f>
        <v>14</v>
      </c>
      <c r="H64" s="5" t="n">
        <f aca="false">COUNTIFS(Register!$B$2:$B$3759,A64,Register!$C$2:$C$3759,B64,Register!$G$2:$G$3759,"Visual")</f>
        <v>12</v>
      </c>
      <c r="I64" s="5" t="n">
        <f aca="false">COUNTIFS(Register!$B$2:$B$3759,A64,Register!$C$2:$C$3759,B64,Register!$J$2:$J$3759,"&lt;&gt;")</f>
        <v>0</v>
      </c>
      <c r="J64" s="5" t="n">
        <f aca="false">COUNTIFS(Register!$B$2:$B$3759,A64,Register!$C$2:$C$3759,B64,Register!$J$2:$J$3759,"Approve")</f>
        <v>0</v>
      </c>
    </row>
    <row r="65" customFormat="false" ht="15" hidden="false" customHeight="false" outlineLevel="0" collapsed="false">
      <c r="A65" s="5" t="s">
        <v>155</v>
      </c>
      <c r="B65" s="6" t="s">
        <v>162</v>
      </c>
      <c r="C65" s="5" t="s">
        <v>163</v>
      </c>
      <c r="D65" s="5" t="n">
        <f aca="false">COUNTIFS(Register!$B$2:$B$3759,A65,Register!$C$2:$C$3759,B65)</f>
        <v>38</v>
      </c>
      <c r="E65" s="5" t="n">
        <f aca="false">COUNTIFS(Register!$B$2:$B$3759,A65,Register!$C$2:$C$3759,B65,Register!$H$2:$H$3759,"High")</f>
        <v>8</v>
      </c>
      <c r="F65" s="5" t="n">
        <f aca="false">COUNTIFS(Register!$B$2:$B$3759,A65,Register!$C$2:$C$3759,B65,Register!$H$2:$H$3759,"Medium")</f>
        <v>15</v>
      </c>
      <c r="G65" s="5" t="n">
        <f aca="false">COUNTIFS(Register!$B$2:$B$3759,A65,Register!$C$2:$C$3759,B65,Register!$H$2:$H$3759,"Low")</f>
        <v>15</v>
      </c>
      <c r="H65" s="5" t="n">
        <f aca="false">COUNTIFS(Register!$B$2:$B$3759,A65,Register!$C$2:$C$3759,B65,Register!$G$2:$G$3759,"Visual")</f>
        <v>15</v>
      </c>
      <c r="I65" s="5" t="n">
        <f aca="false">COUNTIFS(Register!$B$2:$B$3759,A65,Register!$C$2:$C$3759,B65,Register!$J$2:$J$3759,"&lt;&gt;")</f>
        <v>0</v>
      </c>
      <c r="J65" s="5" t="n">
        <f aca="false">COUNTIFS(Register!$B$2:$B$3759,A65,Register!$C$2:$C$3759,B65,Register!$J$2:$J$3759,"Approve")</f>
        <v>0</v>
      </c>
    </row>
    <row r="66" customFormat="false" ht="15" hidden="false" customHeight="false" outlineLevel="0" collapsed="false">
      <c r="A66" s="5" t="s">
        <v>155</v>
      </c>
      <c r="B66" s="6" t="s">
        <v>164</v>
      </c>
      <c r="C66" s="5" t="s">
        <v>165</v>
      </c>
      <c r="D66" s="5" t="n">
        <f aca="false">COUNTIFS(Register!$B$2:$B$3759,A66,Register!$C$2:$C$3759,B66)</f>
        <v>55</v>
      </c>
      <c r="E66" s="5" t="n">
        <f aca="false">COUNTIFS(Register!$B$2:$B$3759,A66,Register!$C$2:$C$3759,B66,Register!$H$2:$H$3759,"High")</f>
        <v>11</v>
      </c>
      <c r="F66" s="5" t="n">
        <f aca="false">COUNTIFS(Register!$B$2:$B$3759,A66,Register!$C$2:$C$3759,B66,Register!$H$2:$H$3759,"Medium")</f>
        <v>23</v>
      </c>
      <c r="G66" s="5" t="n">
        <f aca="false">COUNTIFS(Register!$B$2:$B$3759,A66,Register!$C$2:$C$3759,B66,Register!$H$2:$H$3759,"Low")</f>
        <v>21</v>
      </c>
      <c r="H66" s="5" t="n">
        <f aca="false">COUNTIFS(Register!$B$2:$B$3759,A66,Register!$C$2:$C$3759,B66,Register!$G$2:$G$3759,"Visual")</f>
        <v>12</v>
      </c>
      <c r="I66" s="5" t="n">
        <f aca="false">COUNTIFS(Register!$B$2:$B$3759,A66,Register!$C$2:$C$3759,B66,Register!$J$2:$J$3759,"&lt;&gt;")</f>
        <v>0</v>
      </c>
      <c r="J66" s="5" t="n">
        <f aca="false">COUNTIFS(Register!$B$2:$B$3759,A66,Register!$C$2:$C$3759,B66,Register!$J$2:$J$3759,"Approve")</f>
        <v>0</v>
      </c>
    </row>
    <row r="67" customFormat="false" ht="15" hidden="false" customHeight="false" outlineLevel="0" collapsed="false">
      <c r="A67" s="5" t="s">
        <v>155</v>
      </c>
      <c r="B67" s="6" t="s">
        <v>166</v>
      </c>
      <c r="C67" s="5" t="s">
        <v>167</v>
      </c>
      <c r="D67" s="5" t="n">
        <f aca="false">COUNTIFS(Register!$B$2:$B$3759,A67,Register!$C$2:$C$3759,B67)</f>
        <v>42</v>
      </c>
      <c r="E67" s="5" t="n">
        <f aca="false">COUNTIFS(Register!$B$2:$B$3759,A67,Register!$C$2:$C$3759,B67,Register!$H$2:$H$3759,"High")</f>
        <v>9</v>
      </c>
      <c r="F67" s="5" t="n">
        <f aca="false">COUNTIFS(Register!$B$2:$B$3759,A67,Register!$C$2:$C$3759,B67,Register!$H$2:$H$3759,"Medium")</f>
        <v>16</v>
      </c>
      <c r="G67" s="5" t="n">
        <f aca="false">COUNTIFS(Register!$B$2:$B$3759,A67,Register!$C$2:$C$3759,B67,Register!$H$2:$H$3759,"Low")</f>
        <v>17</v>
      </c>
      <c r="H67" s="5" t="n">
        <f aca="false">COUNTIFS(Register!$B$2:$B$3759,A67,Register!$C$2:$C$3759,B67,Register!$G$2:$G$3759,"Visual")</f>
        <v>12</v>
      </c>
      <c r="I67" s="5" t="n">
        <f aca="false">COUNTIFS(Register!$B$2:$B$3759,A67,Register!$C$2:$C$3759,B67,Register!$J$2:$J$3759,"&lt;&gt;")</f>
        <v>0</v>
      </c>
      <c r="J67" s="5" t="n">
        <f aca="false">COUNTIFS(Register!$B$2:$B$3759,A67,Register!$C$2:$C$3759,B67,Register!$J$2:$J$3759,"Approve")</f>
        <v>0</v>
      </c>
    </row>
    <row r="68" customFormat="false" ht="15" hidden="false" customHeight="false" outlineLevel="0" collapsed="false">
      <c r="A68" s="5" t="s">
        <v>155</v>
      </c>
      <c r="B68" s="6" t="s">
        <v>168</v>
      </c>
      <c r="C68" s="5" t="s">
        <v>169</v>
      </c>
      <c r="D68" s="5" t="n">
        <f aca="false">COUNTIFS(Register!$B$2:$B$3759,A68,Register!$C$2:$C$3759,B68)</f>
        <v>38</v>
      </c>
      <c r="E68" s="5" t="n">
        <f aca="false">COUNTIFS(Register!$B$2:$B$3759,A68,Register!$C$2:$C$3759,B68,Register!$H$2:$H$3759,"High")</f>
        <v>6</v>
      </c>
      <c r="F68" s="5" t="n">
        <f aca="false">COUNTIFS(Register!$B$2:$B$3759,A68,Register!$C$2:$C$3759,B68,Register!$H$2:$H$3759,"Medium")</f>
        <v>17</v>
      </c>
      <c r="G68" s="5" t="n">
        <f aca="false">COUNTIFS(Register!$B$2:$B$3759,A68,Register!$C$2:$C$3759,B68,Register!$H$2:$H$3759,"Low")</f>
        <v>15</v>
      </c>
      <c r="H68" s="5" t="n">
        <f aca="false">COUNTIFS(Register!$B$2:$B$3759,A68,Register!$C$2:$C$3759,B68,Register!$G$2:$G$3759,"Visual")</f>
        <v>12</v>
      </c>
      <c r="I68" s="5" t="n">
        <f aca="false">COUNTIFS(Register!$B$2:$B$3759,A68,Register!$C$2:$C$3759,B68,Register!$J$2:$J$3759,"&lt;&gt;")</f>
        <v>0</v>
      </c>
      <c r="J68" s="5" t="n">
        <f aca="false">COUNTIFS(Register!$B$2:$B$3759,A68,Register!$C$2:$C$3759,B68,Register!$J$2:$J$3759,"Approve")</f>
        <v>0</v>
      </c>
    </row>
    <row r="69" customFormat="false" ht="15" hidden="false" customHeight="false" outlineLevel="0" collapsed="false">
      <c r="A69" s="5" t="s">
        <v>155</v>
      </c>
      <c r="B69" s="6" t="s">
        <v>170</v>
      </c>
      <c r="C69" s="5" t="s">
        <v>171</v>
      </c>
      <c r="D69" s="5" t="n">
        <f aca="false">COUNTIFS(Register!$B$2:$B$3759,A69,Register!$C$2:$C$3759,B69)</f>
        <v>28</v>
      </c>
      <c r="E69" s="5" t="n">
        <f aca="false">COUNTIFS(Register!$B$2:$B$3759,A69,Register!$C$2:$C$3759,B69,Register!$H$2:$H$3759,"High")</f>
        <v>2</v>
      </c>
      <c r="F69" s="5" t="n">
        <f aca="false">COUNTIFS(Register!$B$2:$B$3759,A69,Register!$C$2:$C$3759,B69,Register!$H$2:$H$3759,"Medium")</f>
        <v>14</v>
      </c>
      <c r="G69" s="5" t="n">
        <f aca="false">COUNTIFS(Register!$B$2:$B$3759,A69,Register!$C$2:$C$3759,B69,Register!$H$2:$H$3759,"Low")</f>
        <v>12</v>
      </c>
      <c r="H69" s="5" t="n">
        <f aca="false">COUNTIFS(Register!$B$2:$B$3759,A69,Register!$C$2:$C$3759,B69,Register!$G$2:$G$3759,"Visual")</f>
        <v>8</v>
      </c>
      <c r="I69" s="5" t="n">
        <f aca="false">COUNTIFS(Register!$B$2:$B$3759,A69,Register!$C$2:$C$3759,B69,Register!$J$2:$J$3759,"&lt;&gt;")</f>
        <v>0</v>
      </c>
      <c r="J69" s="5" t="n">
        <f aca="false">COUNTIFS(Register!$B$2:$B$3759,A69,Register!$C$2:$C$3759,B69,Register!$J$2:$J$3759,"Approve")</f>
        <v>0</v>
      </c>
    </row>
    <row r="70" customFormat="false" ht="15" hidden="false" customHeight="false" outlineLevel="0" collapsed="false">
      <c r="A70" s="5" t="s">
        <v>172</v>
      </c>
      <c r="B70" s="6" t="s">
        <v>173</v>
      </c>
      <c r="C70" s="5" t="s">
        <v>174</v>
      </c>
      <c r="D70" s="5" t="n">
        <f aca="false">COUNTIFS(Register!$B$2:$B$3759,A70,Register!$C$2:$C$3759,B70)</f>
        <v>42</v>
      </c>
      <c r="E70" s="5" t="n">
        <f aca="false">COUNTIFS(Register!$B$2:$B$3759,A70,Register!$C$2:$C$3759,B70,Register!$H$2:$H$3759,"High")</f>
        <v>5</v>
      </c>
      <c r="F70" s="5" t="n">
        <f aca="false">COUNTIFS(Register!$B$2:$B$3759,A70,Register!$C$2:$C$3759,B70,Register!$H$2:$H$3759,"Medium")</f>
        <v>18</v>
      </c>
      <c r="G70" s="5" t="n">
        <f aca="false">COUNTIFS(Register!$B$2:$B$3759,A70,Register!$C$2:$C$3759,B70,Register!$H$2:$H$3759,"Low")</f>
        <v>19</v>
      </c>
      <c r="H70" s="5" t="n">
        <f aca="false">COUNTIFS(Register!$B$2:$B$3759,A70,Register!$C$2:$C$3759,B70,Register!$G$2:$G$3759,"Visual")</f>
        <v>7</v>
      </c>
      <c r="I70" s="5" t="n">
        <f aca="false">COUNTIFS(Register!$B$2:$B$3759,A70,Register!$C$2:$C$3759,B70,Register!$J$2:$J$3759,"&lt;&gt;")</f>
        <v>0</v>
      </c>
      <c r="J70" s="5" t="n">
        <f aca="false">COUNTIFS(Register!$B$2:$B$3759,A70,Register!$C$2:$C$3759,B70,Register!$J$2:$J$3759,"Approve")</f>
        <v>0</v>
      </c>
    </row>
    <row r="71" customFormat="false" ht="15" hidden="false" customHeight="false" outlineLevel="0" collapsed="false">
      <c r="A71" s="5" t="s">
        <v>172</v>
      </c>
      <c r="B71" s="6" t="s">
        <v>175</v>
      </c>
      <c r="C71" s="5" t="s">
        <v>176</v>
      </c>
      <c r="D71" s="5" t="n">
        <f aca="false">COUNTIFS(Register!$B$2:$B$3759,A71,Register!$C$2:$C$3759,B71)</f>
        <v>23</v>
      </c>
      <c r="E71" s="5" t="n">
        <f aca="false">COUNTIFS(Register!$B$2:$B$3759,A71,Register!$C$2:$C$3759,B71,Register!$H$2:$H$3759,"High")</f>
        <v>1</v>
      </c>
      <c r="F71" s="5" t="n">
        <f aca="false">COUNTIFS(Register!$B$2:$B$3759,A71,Register!$C$2:$C$3759,B71,Register!$H$2:$H$3759,"Medium")</f>
        <v>10</v>
      </c>
      <c r="G71" s="5" t="n">
        <f aca="false">COUNTIFS(Register!$B$2:$B$3759,A71,Register!$C$2:$C$3759,B71,Register!$H$2:$H$3759,"Low")</f>
        <v>12</v>
      </c>
      <c r="H71" s="5" t="n">
        <f aca="false">COUNTIFS(Register!$B$2:$B$3759,A71,Register!$C$2:$C$3759,B71,Register!$G$2:$G$3759,"Visual")</f>
        <v>4</v>
      </c>
      <c r="I71" s="5" t="n">
        <f aca="false">COUNTIFS(Register!$B$2:$B$3759,A71,Register!$C$2:$C$3759,B71,Register!$J$2:$J$3759,"&lt;&gt;")</f>
        <v>0</v>
      </c>
      <c r="J71" s="5" t="n">
        <f aca="false">COUNTIFS(Register!$B$2:$B$3759,A71,Register!$C$2:$C$3759,B71,Register!$J$2:$J$3759,"Approve")</f>
        <v>0</v>
      </c>
    </row>
    <row r="72" customFormat="false" ht="15" hidden="false" customHeight="false" outlineLevel="0" collapsed="false">
      <c r="A72" s="5" t="s">
        <v>172</v>
      </c>
      <c r="B72" s="6" t="s">
        <v>177</v>
      </c>
      <c r="C72" s="5" t="s">
        <v>178</v>
      </c>
      <c r="D72" s="5" t="n">
        <f aca="false">COUNTIFS(Register!$B$2:$B$3759,A72,Register!$C$2:$C$3759,B72)</f>
        <v>52</v>
      </c>
      <c r="E72" s="5" t="n">
        <f aca="false">COUNTIFS(Register!$B$2:$B$3759,A72,Register!$C$2:$C$3759,B72,Register!$H$2:$H$3759,"High")</f>
        <v>7</v>
      </c>
      <c r="F72" s="5" t="n">
        <f aca="false">COUNTIFS(Register!$B$2:$B$3759,A72,Register!$C$2:$C$3759,B72,Register!$H$2:$H$3759,"Medium")</f>
        <v>24</v>
      </c>
      <c r="G72" s="5" t="n">
        <f aca="false">COUNTIFS(Register!$B$2:$B$3759,A72,Register!$C$2:$C$3759,B72,Register!$H$2:$H$3759,"Low")</f>
        <v>21</v>
      </c>
      <c r="H72" s="5" t="n">
        <f aca="false">COUNTIFS(Register!$B$2:$B$3759,A72,Register!$C$2:$C$3759,B72,Register!$G$2:$G$3759,"Visual")</f>
        <v>8</v>
      </c>
      <c r="I72" s="5" t="n">
        <f aca="false">COUNTIFS(Register!$B$2:$B$3759,A72,Register!$C$2:$C$3759,B72,Register!$J$2:$J$3759,"&lt;&gt;")</f>
        <v>0</v>
      </c>
      <c r="J72" s="5" t="n">
        <f aca="false">COUNTIFS(Register!$B$2:$B$3759,A72,Register!$C$2:$C$3759,B72,Register!$J$2:$J$3759,"Approve")</f>
        <v>0</v>
      </c>
    </row>
    <row r="73" customFormat="false" ht="15" hidden="false" customHeight="false" outlineLevel="0" collapsed="false">
      <c r="A73" s="5" t="s">
        <v>172</v>
      </c>
      <c r="B73" s="6" t="s">
        <v>179</v>
      </c>
      <c r="C73" s="5" t="s">
        <v>180</v>
      </c>
      <c r="D73" s="5" t="n">
        <f aca="false">COUNTIFS(Register!$B$2:$B$3759,A73,Register!$C$2:$C$3759,B73)</f>
        <v>66</v>
      </c>
      <c r="E73" s="5" t="n">
        <f aca="false">COUNTIFS(Register!$B$2:$B$3759,A73,Register!$C$2:$C$3759,B73,Register!$H$2:$H$3759,"High")</f>
        <v>13</v>
      </c>
      <c r="F73" s="5" t="n">
        <f aca="false">COUNTIFS(Register!$B$2:$B$3759,A73,Register!$C$2:$C$3759,B73,Register!$H$2:$H$3759,"Medium")</f>
        <v>29</v>
      </c>
      <c r="G73" s="5" t="n">
        <f aca="false">COUNTIFS(Register!$B$2:$B$3759,A73,Register!$C$2:$C$3759,B73,Register!$H$2:$H$3759,"Low")</f>
        <v>24</v>
      </c>
      <c r="H73" s="5" t="n">
        <f aca="false">COUNTIFS(Register!$B$2:$B$3759,A73,Register!$C$2:$C$3759,B73,Register!$G$2:$G$3759,"Visual")</f>
        <v>13</v>
      </c>
      <c r="I73" s="5" t="n">
        <f aca="false">COUNTIFS(Register!$B$2:$B$3759,A73,Register!$C$2:$C$3759,B73,Register!$J$2:$J$3759,"&lt;&gt;")</f>
        <v>0</v>
      </c>
      <c r="J73" s="5" t="n">
        <f aca="false">COUNTIFS(Register!$B$2:$B$3759,A73,Register!$C$2:$C$3759,B73,Register!$J$2:$J$3759,"Approve")</f>
        <v>0</v>
      </c>
    </row>
    <row r="74" customFormat="false" ht="15" hidden="false" customHeight="false" outlineLevel="0" collapsed="false">
      <c r="A74" s="5" t="s">
        <v>172</v>
      </c>
      <c r="B74" s="6" t="s">
        <v>181</v>
      </c>
      <c r="C74" s="5" t="s">
        <v>182</v>
      </c>
      <c r="D74" s="5" t="n">
        <f aca="false">COUNTIFS(Register!$B$2:$B$3759,A74,Register!$C$2:$C$3759,B74)</f>
        <v>40</v>
      </c>
      <c r="E74" s="5" t="n">
        <f aca="false">COUNTIFS(Register!$B$2:$B$3759,A74,Register!$C$2:$C$3759,B74,Register!$H$2:$H$3759,"High")</f>
        <v>8</v>
      </c>
      <c r="F74" s="5" t="n">
        <f aca="false">COUNTIFS(Register!$B$2:$B$3759,A74,Register!$C$2:$C$3759,B74,Register!$H$2:$H$3759,"Medium")</f>
        <v>15</v>
      </c>
      <c r="G74" s="5" t="n">
        <f aca="false">COUNTIFS(Register!$B$2:$B$3759,A74,Register!$C$2:$C$3759,B74,Register!$H$2:$H$3759,"Low")</f>
        <v>17</v>
      </c>
      <c r="H74" s="5" t="n">
        <f aca="false">COUNTIFS(Register!$B$2:$B$3759,A74,Register!$C$2:$C$3759,B74,Register!$G$2:$G$3759,"Visual")</f>
        <v>11</v>
      </c>
      <c r="I74" s="5" t="n">
        <f aca="false">COUNTIFS(Register!$B$2:$B$3759,A74,Register!$C$2:$C$3759,B74,Register!$J$2:$J$3759,"&lt;&gt;")</f>
        <v>0</v>
      </c>
      <c r="J74" s="5" t="n">
        <f aca="false">COUNTIFS(Register!$B$2:$B$3759,A74,Register!$C$2:$C$3759,B74,Register!$J$2:$J$3759,"Approve")</f>
        <v>0</v>
      </c>
    </row>
    <row r="75" customFormat="false" ht="15" hidden="false" customHeight="false" outlineLevel="0" collapsed="false">
      <c r="A75" s="5" t="s">
        <v>172</v>
      </c>
      <c r="B75" s="6" t="s">
        <v>183</v>
      </c>
      <c r="C75" s="5" t="s">
        <v>184</v>
      </c>
      <c r="D75" s="5" t="n">
        <f aca="false">COUNTIFS(Register!$B$2:$B$3759,A75,Register!$C$2:$C$3759,B75)</f>
        <v>46</v>
      </c>
      <c r="E75" s="5" t="n">
        <f aca="false">COUNTIFS(Register!$B$2:$B$3759,A75,Register!$C$2:$C$3759,B75,Register!$H$2:$H$3759,"High")</f>
        <v>9</v>
      </c>
      <c r="F75" s="5" t="n">
        <f aca="false">COUNTIFS(Register!$B$2:$B$3759,A75,Register!$C$2:$C$3759,B75,Register!$H$2:$H$3759,"Medium")</f>
        <v>12</v>
      </c>
      <c r="G75" s="5" t="n">
        <f aca="false">COUNTIFS(Register!$B$2:$B$3759,A75,Register!$C$2:$C$3759,B75,Register!$H$2:$H$3759,"Low")</f>
        <v>25</v>
      </c>
      <c r="H75" s="5" t="n">
        <f aca="false">COUNTIFS(Register!$B$2:$B$3759,A75,Register!$C$2:$C$3759,B75,Register!$G$2:$G$3759,"Visual")</f>
        <v>13</v>
      </c>
      <c r="I75" s="5" t="n">
        <f aca="false">COUNTIFS(Register!$B$2:$B$3759,A75,Register!$C$2:$C$3759,B75,Register!$J$2:$J$3759,"&lt;&gt;")</f>
        <v>0</v>
      </c>
      <c r="J75" s="5" t="n">
        <f aca="false">COUNTIFS(Register!$B$2:$B$3759,A75,Register!$C$2:$C$3759,B75,Register!$J$2:$J$3759,"Approve")</f>
        <v>0</v>
      </c>
    </row>
    <row r="76" customFormat="false" ht="15" hidden="false" customHeight="false" outlineLevel="0" collapsed="false">
      <c r="A76" s="5" t="s">
        <v>172</v>
      </c>
      <c r="B76" s="6" t="s">
        <v>185</v>
      </c>
      <c r="C76" s="5" t="s">
        <v>186</v>
      </c>
      <c r="D76" s="5" t="n">
        <f aca="false">COUNTIFS(Register!$B$2:$B$3759,A76,Register!$C$2:$C$3759,B76)</f>
        <v>42</v>
      </c>
      <c r="E76" s="5" t="n">
        <f aca="false">COUNTIFS(Register!$B$2:$B$3759,A76,Register!$C$2:$C$3759,B76,Register!$H$2:$H$3759,"High")</f>
        <v>8</v>
      </c>
      <c r="F76" s="5" t="n">
        <f aca="false">COUNTIFS(Register!$B$2:$B$3759,A76,Register!$C$2:$C$3759,B76,Register!$H$2:$H$3759,"Medium")</f>
        <v>14</v>
      </c>
      <c r="G76" s="5" t="n">
        <f aca="false">COUNTIFS(Register!$B$2:$B$3759,A76,Register!$C$2:$C$3759,B76,Register!$H$2:$H$3759,"Low")</f>
        <v>20</v>
      </c>
      <c r="H76" s="5" t="n">
        <f aca="false">COUNTIFS(Register!$B$2:$B$3759,A76,Register!$C$2:$C$3759,B76,Register!$G$2:$G$3759,"Visual")</f>
        <v>13</v>
      </c>
      <c r="I76" s="5" t="n">
        <f aca="false">COUNTIFS(Register!$B$2:$B$3759,A76,Register!$C$2:$C$3759,B76,Register!$J$2:$J$3759,"&lt;&gt;")</f>
        <v>0</v>
      </c>
      <c r="J76" s="5" t="n">
        <f aca="false">COUNTIFS(Register!$B$2:$B$3759,A76,Register!$C$2:$C$3759,B76,Register!$J$2:$J$3759,"Approve")</f>
        <v>0</v>
      </c>
    </row>
    <row r="77" customFormat="false" ht="15" hidden="false" customHeight="false" outlineLevel="0" collapsed="false">
      <c r="A77" s="5" t="s">
        <v>172</v>
      </c>
      <c r="B77" s="6" t="s">
        <v>187</v>
      </c>
      <c r="C77" s="5" t="s">
        <v>188</v>
      </c>
      <c r="D77" s="5" t="n">
        <f aca="false">COUNTIFS(Register!$B$2:$B$3759,A77,Register!$C$2:$C$3759,B77)</f>
        <v>36</v>
      </c>
      <c r="E77" s="5" t="n">
        <f aca="false">COUNTIFS(Register!$B$2:$B$3759,A77,Register!$C$2:$C$3759,B77,Register!$H$2:$H$3759,"High")</f>
        <v>4</v>
      </c>
      <c r="F77" s="5" t="n">
        <f aca="false">COUNTIFS(Register!$B$2:$B$3759,A77,Register!$C$2:$C$3759,B77,Register!$H$2:$H$3759,"Medium")</f>
        <v>14</v>
      </c>
      <c r="G77" s="5" t="n">
        <f aca="false">COUNTIFS(Register!$B$2:$B$3759,A77,Register!$C$2:$C$3759,B77,Register!$H$2:$H$3759,"Low")</f>
        <v>18</v>
      </c>
      <c r="H77" s="5" t="n">
        <f aca="false">COUNTIFS(Register!$B$2:$B$3759,A77,Register!$C$2:$C$3759,B77,Register!$G$2:$G$3759,"Visual")</f>
        <v>11</v>
      </c>
      <c r="I77" s="5" t="n">
        <f aca="false">COUNTIFS(Register!$B$2:$B$3759,A77,Register!$C$2:$C$3759,B77,Register!$J$2:$J$3759,"&lt;&gt;")</f>
        <v>0</v>
      </c>
      <c r="J77" s="5" t="n">
        <f aca="false">COUNTIFS(Register!$B$2:$B$3759,A77,Register!$C$2:$C$3759,B77,Register!$J$2:$J$3759,"Approve")</f>
        <v>0</v>
      </c>
    </row>
    <row r="78" customFormat="false" ht="15" hidden="false" customHeight="false" outlineLevel="0" collapsed="false">
      <c r="A78" s="5" t="s">
        <v>172</v>
      </c>
      <c r="B78" s="6" t="s">
        <v>189</v>
      </c>
      <c r="C78" s="5" t="s">
        <v>190</v>
      </c>
      <c r="D78" s="5" t="n">
        <f aca="false">COUNTIFS(Register!$B$2:$B$3759,A78,Register!$C$2:$C$3759,B78)</f>
        <v>34</v>
      </c>
      <c r="E78" s="5" t="n">
        <f aca="false">COUNTIFS(Register!$B$2:$B$3759,A78,Register!$C$2:$C$3759,B78,Register!$H$2:$H$3759,"High")</f>
        <v>3</v>
      </c>
      <c r="F78" s="5" t="n">
        <f aca="false">COUNTIFS(Register!$B$2:$B$3759,A78,Register!$C$2:$C$3759,B78,Register!$H$2:$H$3759,"Medium")</f>
        <v>12</v>
      </c>
      <c r="G78" s="5" t="n">
        <f aca="false">COUNTIFS(Register!$B$2:$B$3759,A78,Register!$C$2:$C$3759,B78,Register!$H$2:$H$3759,"Low")</f>
        <v>19</v>
      </c>
      <c r="H78" s="5" t="n">
        <f aca="false">COUNTIFS(Register!$B$2:$B$3759,A78,Register!$C$2:$C$3759,B78,Register!$G$2:$G$3759,"Visual")</f>
        <v>10</v>
      </c>
      <c r="I78" s="5" t="n">
        <f aca="false">COUNTIFS(Register!$B$2:$B$3759,A78,Register!$C$2:$C$3759,B78,Register!$J$2:$J$3759,"&lt;&gt;")</f>
        <v>0</v>
      </c>
      <c r="J78" s="5" t="n">
        <f aca="false">COUNTIFS(Register!$B$2:$B$3759,A78,Register!$C$2:$C$3759,B78,Register!$J$2:$J$3759,"Approve")</f>
        <v>0</v>
      </c>
    </row>
    <row r="79" customFormat="false" ht="15" hidden="false" customHeight="false" outlineLevel="0" collapsed="false">
      <c r="A79" s="5" t="s">
        <v>172</v>
      </c>
      <c r="B79" s="6" t="s">
        <v>191</v>
      </c>
      <c r="C79" s="5" t="s">
        <v>192</v>
      </c>
      <c r="D79" s="5" t="n">
        <f aca="false">COUNTIFS(Register!$B$2:$B$3759,A79,Register!$C$2:$C$3759,B79)</f>
        <v>35</v>
      </c>
      <c r="E79" s="5" t="n">
        <f aca="false">COUNTIFS(Register!$B$2:$B$3759,A79,Register!$C$2:$C$3759,B79,Register!$H$2:$H$3759,"High")</f>
        <v>6</v>
      </c>
      <c r="F79" s="5" t="n">
        <f aca="false">COUNTIFS(Register!$B$2:$B$3759,A79,Register!$C$2:$C$3759,B79,Register!$H$2:$H$3759,"Medium")</f>
        <v>14</v>
      </c>
      <c r="G79" s="5" t="n">
        <f aca="false">COUNTIFS(Register!$B$2:$B$3759,A79,Register!$C$2:$C$3759,B79,Register!$H$2:$H$3759,"Low")</f>
        <v>15</v>
      </c>
      <c r="H79" s="5" t="n">
        <f aca="false">COUNTIFS(Register!$B$2:$B$3759,A79,Register!$C$2:$C$3759,B79,Register!$G$2:$G$3759,"Visual")</f>
        <v>11</v>
      </c>
      <c r="I79" s="5" t="n">
        <f aca="false">COUNTIFS(Register!$B$2:$B$3759,A79,Register!$C$2:$C$3759,B79,Register!$J$2:$J$3759,"&lt;&gt;")</f>
        <v>0</v>
      </c>
      <c r="J79" s="5" t="n">
        <f aca="false">COUNTIFS(Register!$B$2:$B$3759,A79,Register!$C$2:$C$3759,B79,Register!$J$2:$J$3759,"Approve")</f>
        <v>0</v>
      </c>
    </row>
    <row r="80" customFormat="false" ht="15" hidden="false" customHeight="false" outlineLevel="0" collapsed="false">
      <c r="A80" s="5" t="s">
        <v>172</v>
      </c>
      <c r="B80" s="6" t="s">
        <v>193</v>
      </c>
      <c r="C80" s="5" t="s">
        <v>194</v>
      </c>
      <c r="D80" s="5" t="n">
        <f aca="false">COUNTIFS(Register!$B$2:$B$3759,A80,Register!$C$2:$C$3759,B80)</f>
        <v>37</v>
      </c>
      <c r="E80" s="5" t="n">
        <f aca="false">COUNTIFS(Register!$B$2:$B$3759,A80,Register!$C$2:$C$3759,B80,Register!$H$2:$H$3759,"High")</f>
        <v>6</v>
      </c>
      <c r="F80" s="5" t="n">
        <f aca="false">COUNTIFS(Register!$B$2:$B$3759,A80,Register!$C$2:$C$3759,B80,Register!$H$2:$H$3759,"Medium")</f>
        <v>16</v>
      </c>
      <c r="G80" s="5" t="n">
        <f aca="false">COUNTIFS(Register!$B$2:$B$3759,A80,Register!$C$2:$C$3759,B80,Register!$H$2:$H$3759,"Low")</f>
        <v>15</v>
      </c>
      <c r="H80" s="5" t="n">
        <f aca="false">COUNTIFS(Register!$B$2:$B$3759,A80,Register!$C$2:$C$3759,B80,Register!$G$2:$G$3759,"Visual")</f>
        <v>11</v>
      </c>
      <c r="I80" s="5" t="n">
        <f aca="false">COUNTIFS(Register!$B$2:$B$3759,A80,Register!$C$2:$C$3759,B80,Register!$J$2:$J$3759,"&lt;&gt;")</f>
        <v>0</v>
      </c>
      <c r="J80" s="5" t="n">
        <f aca="false">COUNTIFS(Register!$B$2:$B$3759,A80,Register!$C$2:$C$3759,B80,Register!$J$2:$J$3759,"Approve")</f>
        <v>0</v>
      </c>
    </row>
    <row r="81" customFormat="false" ht="15" hidden="false" customHeight="false" outlineLevel="0" collapsed="false">
      <c r="A81" s="5" t="s">
        <v>172</v>
      </c>
      <c r="B81" s="6" t="s">
        <v>195</v>
      </c>
      <c r="C81" s="5" t="s">
        <v>196</v>
      </c>
      <c r="D81" s="5" t="n">
        <f aca="false">COUNTIFS(Register!$B$2:$B$3759,A81,Register!$C$2:$C$3759,B81)</f>
        <v>42</v>
      </c>
      <c r="E81" s="5" t="n">
        <f aca="false">COUNTIFS(Register!$B$2:$B$3759,A81,Register!$C$2:$C$3759,B81,Register!$H$2:$H$3759,"High")</f>
        <v>5</v>
      </c>
      <c r="F81" s="5" t="n">
        <f aca="false">COUNTIFS(Register!$B$2:$B$3759,A81,Register!$C$2:$C$3759,B81,Register!$H$2:$H$3759,"Medium")</f>
        <v>19</v>
      </c>
      <c r="G81" s="5" t="n">
        <f aca="false">COUNTIFS(Register!$B$2:$B$3759,A81,Register!$C$2:$C$3759,B81,Register!$H$2:$H$3759,"Low")</f>
        <v>18</v>
      </c>
      <c r="H81" s="5" t="n">
        <f aca="false">COUNTIFS(Register!$B$2:$B$3759,A81,Register!$C$2:$C$3759,B81,Register!$G$2:$G$3759,"Visual")</f>
        <v>13</v>
      </c>
      <c r="I81" s="5" t="n">
        <f aca="false">COUNTIFS(Register!$B$2:$B$3759,A81,Register!$C$2:$C$3759,B81,Register!$J$2:$J$3759,"&lt;&gt;")</f>
        <v>0</v>
      </c>
      <c r="J81" s="5" t="n">
        <f aca="false">COUNTIFS(Register!$B$2:$B$3759,A81,Register!$C$2:$C$3759,B81,Register!$J$2:$J$3759,"Approve")</f>
        <v>0</v>
      </c>
    </row>
    <row r="82" customFormat="false" ht="15" hidden="false" customHeight="false" outlineLevel="0" collapsed="false">
      <c r="A82" s="5" t="s">
        <v>172</v>
      </c>
      <c r="B82" s="6" t="s">
        <v>197</v>
      </c>
      <c r="C82" s="5" t="s">
        <v>198</v>
      </c>
      <c r="D82" s="5" t="n">
        <f aca="false">COUNTIFS(Register!$B$2:$B$3759,A82,Register!$C$2:$C$3759,B82)</f>
        <v>38</v>
      </c>
      <c r="E82" s="5" t="n">
        <f aca="false">COUNTIFS(Register!$B$2:$B$3759,A82,Register!$C$2:$C$3759,B82,Register!$H$2:$H$3759,"High")</f>
        <v>7</v>
      </c>
      <c r="F82" s="5" t="n">
        <f aca="false">COUNTIFS(Register!$B$2:$B$3759,A82,Register!$C$2:$C$3759,B82,Register!$H$2:$H$3759,"Medium")</f>
        <v>16</v>
      </c>
      <c r="G82" s="5" t="n">
        <f aca="false">COUNTIFS(Register!$B$2:$B$3759,A82,Register!$C$2:$C$3759,B82,Register!$H$2:$H$3759,"Low")</f>
        <v>15</v>
      </c>
      <c r="H82" s="5" t="n">
        <f aca="false">COUNTIFS(Register!$B$2:$B$3759,A82,Register!$C$2:$C$3759,B82,Register!$G$2:$G$3759,"Visual")</f>
        <v>11</v>
      </c>
      <c r="I82" s="5" t="n">
        <f aca="false">COUNTIFS(Register!$B$2:$B$3759,A82,Register!$C$2:$C$3759,B82,Register!$J$2:$J$3759,"&lt;&gt;")</f>
        <v>0</v>
      </c>
      <c r="J82" s="5" t="n">
        <f aca="false">COUNTIFS(Register!$B$2:$B$3759,A82,Register!$C$2:$C$3759,B82,Register!$J$2:$J$3759,"Approve")</f>
        <v>0</v>
      </c>
    </row>
    <row r="83" customFormat="false" ht="15" hidden="false" customHeight="false" outlineLevel="0" collapsed="false">
      <c r="A83" s="5" t="s">
        <v>172</v>
      </c>
      <c r="B83" s="6" t="s">
        <v>199</v>
      </c>
      <c r="C83" s="5" t="s">
        <v>200</v>
      </c>
      <c r="D83" s="5" t="n">
        <f aca="false">COUNTIFS(Register!$B$2:$B$3759,A83,Register!$C$2:$C$3759,B83)</f>
        <v>35</v>
      </c>
      <c r="E83" s="5" t="n">
        <f aca="false">COUNTIFS(Register!$B$2:$B$3759,A83,Register!$C$2:$C$3759,B83,Register!$H$2:$H$3759,"High")</f>
        <v>5</v>
      </c>
      <c r="F83" s="5" t="n">
        <f aca="false">COUNTIFS(Register!$B$2:$B$3759,A83,Register!$C$2:$C$3759,B83,Register!$H$2:$H$3759,"Medium")</f>
        <v>14</v>
      </c>
      <c r="G83" s="5" t="n">
        <f aca="false">COUNTIFS(Register!$B$2:$B$3759,A83,Register!$C$2:$C$3759,B83,Register!$H$2:$H$3759,"Low")</f>
        <v>16</v>
      </c>
      <c r="H83" s="5" t="n">
        <f aca="false">COUNTIFS(Register!$B$2:$B$3759,A83,Register!$C$2:$C$3759,B83,Register!$G$2:$G$3759,"Visual")</f>
        <v>11</v>
      </c>
      <c r="I83" s="5" t="n">
        <f aca="false">COUNTIFS(Register!$B$2:$B$3759,A83,Register!$C$2:$C$3759,B83,Register!$J$2:$J$3759,"&lt;&gt;")</f>
        <v>0</v>
      </c>
      <c r="J83" s="5" t="n">
        <f aca="false">COUNTIFS(Register!$B$2:$B$3759,A83,Register!$C$2:$C$3759,B83,Register!$J$2:$J$3759,"Approve")</f>
        <v>0</v>
      </c>
    </row>
    <row r="84" customFormat="false" ht="15" hidden="false" customHeight="false" outlineLevel="0" collapsed="false">
      <c r="A84" s="5" t="s">
        <v>172</v>
      </c>
      <c r="B84" s="6" t="s">
        <v>201</v>
      </c>
      <c r="C84" s="5" t="s">
        <v>202</v>
      </c>
      <c r="D84" s="5" t="n">
        <f aca="false">COUNTIFS(Register!$B$2:$B$3759,A84,Register!$C$2:$C$3759,B84)</f>
        <v>31</v>
      </c>
      <c r="E84" s="5" t="n">
        <f aca="false">COUNTIFS(Register!$B$2:$B$3759,A84,Register!$C$2:$C$3759,B84,Register!$H$2:$H$3759,"High")</f>
        <v>3</v>
      </c>
      <c r="F84" s="5" t="n">
        <f aca="false">COUNTIFS(Register!$B$2:$B$3759,A84,Register!$C$2:$C$3759,B84,Register!$H$2:$H$3759,"Medium")</f>
        <v>12</v>
      </c>
      <c r="G84" s="5" t="n">
        <f aca="false">COUNTIFS(Register!$B$2:$B$3759,A84,Register!$C$2:$C$3759,B84,Register!$H$2:$H$3759,"Low")</f>
        <v>16</v>
      </c>
      <c r="H84" s="5" t="n">
        <f aca="false">COUNTIFS(Register!$B$2:$B$3759,A84,Register!$C$2:$C$3759,B84,Register!$G$2:$G$3759,"Visual")</f>
        <v>10</v>
      </c>
      <c r="I84" s="5" t="n">
        <f aca="false">COUNTIFS(Register!$B$2:$B$3759,A84,Register!$C$2:$C$3759,B84,Register!$J$2:$J$3759,"&lt;&gt;")</f>
        <v>0</v>
      </c>
      <c r="J84" s="5" t="n">
        <f aca="false">COUNTIFS(Register!$B$2:$B$3759,A84,Register!$C$2:$C$3759,B84,Register!$J$2:$J$3759,"Approve")</f>
        <v>0</v>
      </c>
    </row>
    <row r="85" customFormat="false" ht="15" hidden="false" customHeight="false" outlineLevel="0" collapsed="false">
      <c r="A85" s="5" t="s">
        <v>172</v>
      </c>
      <c r="B85" s="6" t="s">
        <v>203</v>
      </c>
      <c r="C85" s="5" t="s">
        <v>204</v>
      </c>
      <c r="D85" s="5" t="n">
        <f aca="false">COUNTIFS(Register!$B$2:$B$3759,A85,Register!$C$2:$C$3759,B85)</f>
        <v>29</v>
      </c>
      <c r="E85" s="5" t="n">
        <f aca="false">COUNTIFS(Register!$B$2:$B$3759,A85,Register!$C$2:$C$3759,B85,Register!$H$2:$H$3759,"High")</f>
        <v>4</v>
      </c>
      <c r="F85" s="5" t="n">
        <f aca="false">COUNTIFS(Register!$B$2:$B$3759,A85,Register!$C$2:$C$3759,B85,Register!$H$2:$H$3759,"Medium")</f>
        <v>10</v>
      </c>
      <c r="G85" s="5" t="n">
        <f aca="false">COUNTIFS(Register!$B$2:$B$3759,A85,Register!$C$2:$C$3759,B85,Register!$H$2:$H$3759,"Low")</f>
        <v>15</v>
      </c>
      <c r="H85" s="5" t="n">
        <f aca="false">COUNTIFS(Register!$B$2:$B$3759,A85,Register!$C$2:$C$3759,B85,Register!$G$2:$G$3759,"Visual")</f>
        <v>12</v>
      </c>
      <c r="I85" s="5" t="n">
        <f aca="false">COUNTIFS(Register!$B$2:$B$3759,A85,Register!$C$2:$C$3759,B85,Register!$J$2:$J$3759,"&lt;&gt;")</f>
        <v>0</v>
      </c>
      <c r="J85" s="5" t="n">
        <f aca="false">COUNTIFS(Register!$B$2:$B$3759,A85,Register!$C$2:$C$3759,B85,Register!$J$2:$J$3759,"Approve")</f>
        <v>0</v>
      </c>
    </row>
    <row r="86" customFormat="false" ht="15" hidden="false" customHeight="false" outlineLevel="0" collapsed="false">
      <c r="A86" s="5" t="s">
        <v>172</v>
      </c>
      <c r="B86" s="6" t="s">
        <v>205</v>
      </c>
      <c r="C86" s="5" t="s">
        <v>206</v>
      </c>
      <c r="D86" s="5" t="n">
        <f aca="false">COUNTIFS(Register!$B$2:$B$3759,A86,Register!$C$2:$C$3759,B86)</f>
        <v>39</v>
      </c>
      <c r="E86" s="5" t="n">
        <f aca="false">COUNTIFS(Register!$B$2:$B$3759,A86,Register!$C$2:$C$3759,B86,Register!$H$2:$H$3759,"High")</f>
        <v>7</v>
      </c>
      <c r="F86" s="5" t="n">
        <f aca="false">COUNTIFS(Register!$B$2:$B$3759,A86,Register!$C$2:$C$3759,B86,Register!$H$2:$H$3759,"Medium")</f>
        <v>18</v>
      </c>
      <c r="G86" s="5" t="n">
        <f aca="false">COUNTIFS(Register!$B$2:$B$3759,A86,Register!$C$2:$C$3759,B86,Register!$H$2:$H$3759,"Low")</f>
        <v>14</v>
      </c>
      <c r="H86" s="5" t="n">
        <f aca="false">COUNTIFS(Register!$B$2:$B$3759,A86,Register!$C$2:$C$3759,B86,Register!$G$2:$G$3759,"Visual")</f>
        <v>11</v>
      </c>
      <c r="I86" s="5" t="n">
        <f aca="false">COUNTIFS(Register!$B$2:$B$3759,A86,Register!$C$2:$C$3759,B86,Register!$J$2:$J$3759,"&lt;&gt;")</f>
        <v>0</v>
      </c>
      <c r="J86" s="5" t="n">
        <f aca="false">COUNTIFS(Register!$B$2:$B$3759,A86,Register!$C$2:$C$3759,B86,Register!$J$2:$J$3759,"Approve")</f>
        <v>0</v>
      </c>
    </row>
    <row r="87" customFormat="false" ht="15" hidden="false" customHeight="false" outlineLevel="0" collapsed="false">
      <c r="A87" s="5" t="s">
        <v>207</v>
      </c>
      <c r="B87" s="6" t="s">
        <v>208</v>
      </c>
      <c r="C87" s="5" t="s">
        <v>209</v>
      </c>
      <c r="D87" s="5" t="n">
        <f aca="false">COUNTIFS(Register!$B$2:$B$3759,A87,Register!$C$2:$C$3759,B87)</f>
        <v>17</v>
      </c>
      <c r="E87" s="5" t="n">
        <f aca="false">COUNTIFS(Register!$B$2:$B$3759,A87,Register!$C$2:$C$3759,B87,Register!$H$2:$H$3759,"High")</f>
        <v>3</v>
      </c>
      <c r="F87" s="5" t="n">
        <f aca="false">COUNTIFS(Register!$B$2:$B$3759,A87,Register!$C$2:$C$3759,B87,Register!$H$2:$H$3759,"Medium")</f>
        <v>5</v>
      </c>
      <c r="G87" s="5" t="n">
        <f aca="false">COUNTIFS(Register!$B$2:$B$3759,A87,Register!$C$2:$C$3759,B87,Register!$H$2:$H$3759,"Low")</f>
        <v>9</v>
      </c>
      <c r="H87" s="5" t="n">
        <f aca="false">COUNTIFS(Register!$B$2:$B$3759,A87,Register!$C$2:$C$3759,B87,Register!$G$2:$G$3759,"Visual")</f>
        <v>11</v>
      </c>
      <c r="I87" s="5" t="n">
        <f aca="false">COUNTIFS(Register!$B$2:$B$3759,A87,Register!$C$2:$C$3759,B87,Register!$J$2:$J$3759,"&lt;&gt;")</f>
        <v>0</v>
      </c>
      <c r="J87" s="5" t="n">
        <f aca="false">COUNTIFS(Register!$B$2:$B$3759,A87,Register!$C$2:$C$3759,B87,Register!$J$2:$J$3759,"Approve")</f>
        <v>0</v>
      </c>
    </row>
    <row r="88" customFormat="false" ht="15" hidden="false" customHeight="false" outlineLevel="0" collapsed="false">
      <c r="C88" s="7" t="s">
        <v>210</v>
      </c>
      <c r="D88" s="8" t="n">
        <f aca="false">SUM(D2:D87)</f>
        <v>3758</v>
      </c>
      <c r="E88" s="8" t="n">
        <f aca="false">SUM(E2:E87)</f>
        <v>501</v>
      </c>
      <c r="F88" s="8" t="n">
        <f aca="false">SUM(F2:F87)</f>
        <v>1702</v>
      </c>
      <c r="G88" s="8" t="n">
        <f aca="false">SUM(G2:G87)</f>
        <v>1553</v>
      </c>
      <c r="H88" s="8" t="n">
        <f aca="false">SUM(H2:H87)</f>
        <v>1224</v>
      </c>
      <c r="I88" s="8" t="n">
        <f aca="false">SUM(I2:I87)</f>
        <v>0</v>
      </c>
      <c r="J88" s="8" t="n">
        <f aca="false">SUM(J2:J87)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80"/>
    <col collapsed="false" customWidth="true" hidden="false" outlineLevel="0" max="4" min="4" style="0" width="55"/>
  </cols>
  <sheetData>
    <row r="1" customFormat="false" ht="15" hidden="false" customHeight="false" outlineLevel="0" collapsed="false">
      <c r="A1" s="4" t="s">
        <v>211</v>
      </c>
      <c r="B1" s="4" t="s">
        <v>212</v>
      </c>
      <c r="C1" s="4" t="s">
        <v>213</v>
      </c>
      <c r="D1" s="4" t="s">
        <v>214</v>
      </c>
    </row>
    <row r="2" customFormat="false" ht="35.05" hidden="false" customHeight="false" outlineLevel="0" collapsed="false">
      <c r="A2" s="9" t="n">
        <v>1</v>
      </c>
      <c r="B2" s="9" t="s">
        <v>215</v>
      </c>
      <c r="C2" s="9" t="s">
        <v>216</v>
      </c>
      <c r="D2" s="9" t="s">
        <v>217</v>
      </c>
    </row>
    <row r="3" customFormat="false" ht="57.45" hidden="false" customHeight="false" outlineLevel="0" collapsed="false">
      <c r="A3" s="9" t="n">
        <v>2</v>
      </c>
      <c r="B3" s="9" t="s">
        <v>218</v>
      </c>
      <c r="C3" s="9" t="s">
        <v>219</v>
      </c>
      <c r="D3" s="9" t="s">
        <v>220</v>
      </c>
    </row>
    <row r="4" customFormat="false" ht="35.05" hidden="false" customHeight="false" outlineLevel="0" collapsed="false">
      <c r="A4" s="9" t="n">
        <v>3</v>
      </c>
      <c r="B4" s="9" t="s">
        <v>221</v>
      </c>
      <c r="C4" s="9" t="s">
        <v>222</v>
      </c>
      <c r="D4" s="9" t="s">
        <v>223</v>
      </c>
    </row>
    <row r="5" customFormat="false" ht="35.05" hidden="false" customHeight="false" outlineLevel="0" collapsed="false">
      <c r="A5" s="9" t="n">
        <v>4</v>
      </c>
      <c r="B5" s="9" t="s">
        <v>224</v>
      </c>
      <c r="C5" s="9" t="s">
        <v>225</v>
      </c>
      <c r="D5" s="9" t="s">
        <v>226</v>
      </c>
    </row>
    <row r="6" customFormat="false" ht="35.05" hidden="false" customHeight="false" outlineLevel="0" collapsed="false">
      <c r="A6" s="9" t="n">
        <v>5</v>
      </c>
      <c r="B6" s="9" t="s">
        <v>227</v>
      </c>
      <c r="C6" s="9" t="s">
        <v>228</v>
      </c>
      <c r="D6" s="9" t="s">
        <v>229</v>
      </c>
    </row>
    <row r="7" customFormat="false" ht="35.05" hidden="false" customHeight="false" outlineLevel="0" collapsed="false">
      <c r="A7" s="9" t="n">
        <v>6</v>
      </c>
      <c r="B7" s="9" t="s">
        <v>230</v>
      </c>
      <c r="C7" s="9" t="s">
        <v>231</v>
      </c>
      <c r="D7" s="9" t="s">
        <v>232</v>
      </c>
    </row>
    <row r="8" customFormat="false" ht="35.05" hidden="false" customHeight="false" outlineLevel="0" collapsed="false">
      <c r="A8" s="9" t="n">
        <v>7</v>
      </c>
      <c r="B8" s="9" t="s">
        <v>233</v>
      </c>
      <c r="C8" s="9" t="s">
        <v>234</v>
      </c>
      <c r="D8" s="9" t="s">
        <v>235</v>
      </c>
    </row>
    <row r="9" customFormat="false" ht="46.25" hidden="false" customHeight="false" outlineLevel="0" collapsed="false">
      <c r="A9" s="9" t="n">
        <v>8</v>
      </c>
      <c r="B9" s="9" t="s">
        <v>236</v>
      </c>
      <c r="C9" s="9" t="s">
        <v>237</v>
      </c>
      <c r="D9" s="9" t="s">
        <v>238</v>
      </c>
    </row>
    <row r="10" customFormat="false" ht="46.25" hidden="false" customHeight="false" outlineLevel="0" collapsed="false">
      <c r="A10" s="9" t="n">
        <v>9</v>
      </c>
      <c r="B10" s="9" t="s">
        <v>239</v>
      </c>
      <c r="C10" s="9" t="s">
        <v>240</v>
      </c>
      <c r="D10" s="9" t="s">
        <v>241</v>
      </c>
    </row>
    <row r="11" customFormat="false" ht="46.25" hidden="false" customHeight="false" outlineLevel="0" collapsed="false">
      <c r="A11" s="9" t="n">
        <v>10</v>
      </c>
      <c r="B11" s="9" t="s">
        <v>242</v>
      </c>
      <c r="C11" s="9" t="s">
        <v>243</v>
      </c>
      <c r="D11" s="9" t="s">
        <v>244</v>
      </c>
    </row>
    <row r="12" customFormat="false" ht="35.05" hidden="false" customHeight="false" outlineLevel="0" collapsed="false">
      <c r="A12" s="9" t="n">
        <v>11</v>
      </c>
      <c r="B12" s="9" t="s">
        <v>245</v>
      </c>
      <c r="C12" s="9" t="s">
        <v>246</v>
      </c>
      <c r="D12" s="9" t="s">
        <v>247</v>
      </c>
    </row>
    <row r="13" customFormat="false" ht="23.85" hidden="false" customHeight="false" outlineLevel="0" collapsed="false">
      <c r="A13" s="9" t="n">
        <v>12</v>
      </c>
      <c r="B13" s="9" t="s">
        <v>248</v>
      </c>
      <c r="C13" s="9" t="s">
        <v>249</v>
      </c>
      <c r="D13" s="9" t="s">
        <v>250</v>
      </c>
    </row>
    <row r="14" customFormat="false" ht="35.05" hidden="false" customHeight="false" outlineLevel="0" collapsed="false">
      <c r="A14" s="9" t="n">
        <v>13</v>
      </c>
      <c r="B14" s="9" t="s">
        <v>251</v>
      </c>
      <c r="C14" s="9" t="s">
        <v>252</v>
      </c>
      <c r="D14" s="9" t="s">
        <v>253</v>
      </c>
    </row>
    <row r="15" customFormat="false" ht="35.05" hidden="false" customHeight="false" outlineLevel="0" collapsed="false">
      <c r="A15" s="9" t="n">
        <v>14</v>
      </c>
      <c r="B15" s="9" t="s">
        <v>254</v>
      </c>
      <c r="C15" s="9" t="s">
        <v>255</v>
      </c>
      <c r="D15" s="9" t="s">
        <v>256</v>
      </c>
    </row>
    <row r="16" customFormat="false" ht="23.85" hidden="false" customHeight="false" outlineLevel="0" collapsed="false">
      <c r="A16" s="9" t="n">
        <v>15</v>
      </c>
      <c r="B16" s="9" t="s">
        <v>257</v>
      </c>
      <c r="C16" s="9" t="s">
        <v>258</v>
      </c>
      <c r="D16" s="9" t="s">
        <v>259</v>
      </c>
    </row>
    <row r="17" customFormat="false" ht="35.05" hidden="false" customHeight="false" outlineLevel="0" collapsed="false">
      <c r="A17" s="9" t="n">
        <v>16</v>
      </c>
      <c r="B17" s="9" t="s">
        <v>260</v>
      </c>
      <c r="C17" s="9" t="s">
        <v>261</v>
      </c>
      <c r="D17" s="9" t="s">
        <v>262</v>
      </c>
    </row>
    <row r="18" customFormat="false" ht="46.25" hidden="false" customHeight="false" outlineLevel="0" collapsed="false">
      <c r="A18" s="9" t="n">
        <v>17</v>
      </c>
      <c r="B18" s="9" t="s">
        <v>263</v>
      </c>
      <c r="C18" s="9" t="s">
        <v>264</v>
      </c>
      <c r="D18" s="9" t="s">
        <v>265</v>
      </c>
    </row>
    <row r="19" customFormat="false" ht="15" hidden="false" customHeight="false" outlineLevel="0" collapsed="false">
      <c r="A19" s="9" t="n">
        <v>18</v>
      </c>
      <c r="B19" s="9" t="s">
        <v>266</v>
      </c>
      <c r="C19" s="9" t="s">
        <v>267</v>
      </c>
      <c r="D19" s="9" t="s">
        <v>268</v>
      </c>
    </row>
    <row r="20" customFormat="false" ht="23.85" hidden="false" customHeight="false" outlineLevel="0" collapsed="false">
      <c r="A20" s="9" t="n">
        <v>19</v>
      </c>
      <c r="B20" s="9" t="s">
        <v>269</v>
      </c>
      <c r="C20" s="9" t="s">
        <v>270</v>
      </c>
      <c r="D20" s="9" t="s">
        <v>271</v>
      </c>
    </row>
    <row r="21" customFormat="false" ht="35.05" hidden="false" customHeight="false" outlineLevel="0" collapsed="false">
      <c r="A21" s="9" t="n">
        <v>20</v>
      </c>
      <c r="B21" s="9" t="s">
        <v>272</v>
      </c>
      <c r="C21" s="9" t="s">
        <v>273</v>
      </c>
      <c r="D21" s="9" t="s">
        <v>274</v>
      </c>
    </row>
    <row r="22" customFormat="false" ht="35.05" hidden="false" customHeight="false" outlineLevel="0" collapsed="false">
      <c r="A22" s="9" t="n">
        <v>21</v>
      </c>
      <c r="B22" s="9" t="s">
        <v>275</v>
      </c>
      <c r="C22" s="9" t="s">
        <v>276</v>
      </c>
      <c r="D22" s="9" t="s">
        <v>277</v>
      </c>
    </row>
    <row r="23" customFormat="false" ht="15" hidden="false" customHeight="false" outlineLevel="0" collapsed="false">
      <c r="A23" s="9" t="n">
        <v>22</v>
      </c>
      <c r="B23" s="9" t="s">
        <v>278</v>
      </c>
      <c r="C23" s="9" t="s">
        <v>279</v>
      </c>
      <c r="D23" s="9" t="s">
        <v>280</v>
      </c>
    </row>
    <row r="24" customFormat="false" ht="46.25" hidden="false" customHeight="false" outlineLevel="0" collapsed="false">
      <c r="A24" s="9" t="n">
        <v>23</v>
      </c>
      <c r="B24" s="9" t="s">
        <v>281</v>
      </c>
      <c r="C24" s="9" t="s">
        <v>282</v>
      </c>
      <c r="D24" s="9" t="s">
        <v>283</v>
      </c>
    </row>
    <row r="25" customFormat="false" ht="35.05" hidden="false" customHeight="false" outlineLevel="0" collapsed="false">
      <c r="A25" s="9" t="n">
        <v>24</v>
      </c>
      <c r="B25" s="9" t="s">
        <v>284</v>
      </c>
      <c r="C25" s="9" t="s">
        <v>285</v>
      </c>
      <c r="D25" s="9" t="s">
        <v>286</v>
      </c>
    </row>
    <row r="26" customFormat="false" ht="23.85" hidden="false" customHeight="false" outlineLevel="0" collapsed="false">
      <c r="A26" s="9" t="n">
        <v>25</v>
      </c>
      <c r="B26" s="9" t="s">
        <v>287</v>
      </c>
      <c r="C26" s="9" t="s">
        <v>288</v>
      </c>
      <c r="D26" s="9" t="s">
        <v>289</v>
      </c>
    </row>
    <row r="27" customFormat="false" ht="35.05" hidden="false" customHeight="false" outlineLevel="0" collapsed="false">
      <c r="A27" s="9" t="n">
        <v>26</v>
      </c>
      <c r="B27" s="9" t="s">
        <v>290</v>
      </c>
      <c r="C27" s="9" t="s">
        <v>291</v>
      </c>
      <c r="D27" s="9"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9"/>
    <col collapsed="false" customWidth="true" hidden="false" outlineLevel="0" max="4" min="4" style="0" width="10"/>
    <col collapsed="false" customWidth="true" hidden="false" outlineLevel="0" max="5" min="5" style="0" width="30"/>
    <col collapsed="false" customWidth="true" hidden="false" outlineLevel="0" max="6" min="6" style="0" width="55"/>
    <col collapsed="false" customWidth="true" hidden="false" outlineLevel="0" max="7" min="7" style="0" width="14"/>
    <col collapsed="false" customWidth="true" hidden="false" outlineLevel="0" max="8" min="8" style="0" width="9"/>
    <col collapsed="false" customWidth="true" hidden="false" outlineLevel="0" max="9" min="9" style="0" width="70"/>
    <col collapsed="false" customWidth="true" hidden="false" outlineLevel="0" max="10" min="10" style="0" width="12"/>
    <col collapsed="false" customWidth="true" hidden="false" outlineLevel="0" max="11" min="11" style="0" width="30"/>
  </cols>
  <sheetData>
    <row r="1" customFormat="false" ht="23.85" hidden="false" customHeight="false" outlineLevel="0" collapsed="false">
      <c r="A1" s="10" t="s">
        <v>211</v>
      </c>
      <c r="B1" s="10" t="s">
        <v>17</v>
      </c>
      <c r="C1" s="10" t="s">
        <v>18</v>
      </c>
      <c r="D1" s="10" t="s">
        <v>293</v>
      </c>
      <c r="E1" s="10" t="s">
        <v>294</v>
      </c>
      <c r="F1" s="10" t="s">
        <v>295</v>
      </c>
      <c r="G1" s="10" t="s">
        <v>296</v>
      </c>
      <c r="H1" s="10" t="s">
        <v>8</v>
      </c>
      <c r="I1" s="10" t="s">
        <v>297</v>
      </c>
      <c r="J1" s="10" t="s">
        <v>298</v>
      </c>
      <c r="K1" s="10" t="s">
        <v>299</v>
      </c>
    </row>
    <row r="2" customFormat="false" ht="23.85" hidden="false" customHeight="false" outlineLevel="0" collapsed="false">
      <c r="A2" s="9" t="n">
        <v>1</v>
      </c>
      <c r="B2" s="9" t="s">
        <v>27</v>
      </c>
      <c r="C2" s="11" t="s">
        <v>28</v>
      </c>
      <c r="D2" s="9" t="s">
        <v>300</v>
      </c>
      <c r="E2" s="9" t="s">
        <v>301</v>
      </c>
      <c r="F2" s="9" t="s">
        <v>302</v>
      </c>
      <c r="G2" s="9" t="s">
        <v>303</v>
      </c>
      <c r="H2" s="12" t="s">
        <v>21</v>
      </c>
      <c r="I2" s="9" t="s">
        <v>304</v>
      </c>
      <c r="J2" s="13"/>
      <c r="K2" s="13"/>
    </row>
    <row r="3" customFormat="false" ht="15" hidden="false" customHeight="false" outlineLevel="0" collapsed="false">
      <c r="A3" s="9" t="n">
        <v>2</v>
      </c>
      <c r="B3" s="9" t="s">
        <v>27</v>
      </c>
      <c r="C3" s="11" t="s">
        <v>28</v>
      </c>
      <c r="D3" s="9" t="s">
        <v>305</v>
      </c>
      <c r="E3" s="9" t="s">
        <v>306</v>
      </c>
      <c r="F3" s="9" t="s">
        <v>307</v>
      </c>
      <c r="G3" s="9" t="s">
        <v>308</v>
      </c>
      <c r="H3" s="14" t="s">
        <v>22</v>
      </c>
      <c r="I3" s="9" t="s">
        <v>304</v>
      </c>
      <c r="J3" s="13"/>
      <c r="K3" s="13"/>
    </row>
    <row r="4" customFormat="false" ht="35.05" hidden="false" customHeight="false" outlineLevel="0" collapsed="false">
      <c r="A4" s="9" t="n">
        <v>3</v>
      </c>
      <c r="B4" s="9" t="s">
        <v>30</v>
      </c>
      <c r="C4" s="11" t="s">
        <v>31</v>
      </c>
      <c r="D4" s="9" t="s">
        <v>309</v>
      </c>
      <c r="E4" s="9" t="s">
        <v>310</v>
      </c>
      <c r="F4" s="9" t="s">
        <v>311</v>
      </c>
      <c r="G4" s="9" t="s">
        <v>312</v>
      </c>
      <c r="H4" s="14" t="s">
        <v>22</v>
      </c>
      <c r="I4" s="9" t="s">
        <v>313</v>
      </c>
      <c r="J4" s="13"/>
      <c r="K4" s="13"/>
    </row>
    <row r="5" customFormat="false" ht="23.85" hidden="false" customHeight="false" outlineLevel="0" collapsed="false">
      <c r="A5" s="9" t="n">
        <v>4</v>
      </c>
      <c r="B5" s="9" t="s">
        <v>30</v>
      </c>
      <c r="C5" s="11" t="s">
        <v>31</v>
      </c>
      <c r="D5" s="9" t="s">
        <v>314</v>
      </c>
      <c r="E5" s="9" t="s">
        <v>315</v>
      </c>
      <c r="F5" s="9" t="s">
        <v>316</v>
      </c>
      <c r="G5" s="9" t="s">
        <v>317</v>
      </c>
      <c r="H5" s="15" t="s">
        <v>23</v>
      </c>
      <c r="I5" s="9" t="s">
        <v>313</v>
      </c>
      <c r="J5" s="13"/>
      <c r="K5" s="13"/>
    </row>
    <row r="6" customFormat="false" ht="23.85" hidden="false" customHeight="false" outlineLevel="0" collapsed="false">
      <c r="A6" s="9" t="n">
        <v>5</v>
      </c>
      <c r="B6" s="9" t="s">
        <v>30</v>
      </c>
      <c r="C6" s="11" t="s">
        <v>31</v>
      </c>
      <c r="D6" s="9" t="s">
        <v>318</v>
      </c>
      <c r="E6" s="9" t="s">
        <v>319</v>
      </c>
      <c r="F6" s="9" t="s">
        <v>320</v>
      </c>
      <c r="G6" s="9" t="s">
        <v>317</v>
      </c>
      <c r="H6" s="15" t="s">
        <v>23</v>
      </c>
      <c r="I6" s="9" t="s">
        <v>313</v>
      </c>
      <c r="J6" s="13"/>
      <c r="K6" s="13"/>
    </row>
    <row r="7" customFormat="false" ht="15" hidden="false" customHeight="false" outlineLevel="0" collapsed="false">
      <c r="A7" s="9" t="n">
        <v>6</v>
      </c>
      <c r="B7" s="9" t="s">
        <v>30</v>
      </c>
      <c r="C7" s="11" t="s">
        <v>31</v>
      </c>
      <c r="D7" s="9" t="s">
        <v>321</v>
      </c>
      <c r="E7" s="9" t="s">
        <v>322</v>
      </c>
      <c r="F7" s="9" t="s">
        <v>323</v>
      </c>
      <c r="G7" s="9" t="s">
        <v>324</v>
      </c>
      <c r="H7" s="15" t="s">
        <v>23</v>
      </c>
      <c r="I7" s="9" t="s">
        <v>313</v>
      </c>
      <c r="J7" s="13"/>
      <c r="K7" s="13"/>
    </row>
    <row r="8" customFormat="false" ht="23.85" hidden="false" customHeight="false" outlineLevel="0" collapsed="false">
      <c r="A8" s="9" t="n">
        <v>7</v>
      </c>
      <c r="B8" s="9" t="s">
        <v>30</v>
      </c>
      <c r="C8" s="11" t="s">
        <v>31</v>
      </c>
      <c r="D8" s="9" t="s">
        <v>325</v>
      </c>
      <c r="E8" s="9" t="s">
        <v>326</v>
      </c>
      <c r="F8" s="9" t="s">
        <v>327</v>
      </c>
      <c r="G8" s="9" t="s">
        <v>328</v>
      </c>
      <c r="H8" s="15" t="s">
        <v>23</v>
      </c>
      <c r="I8" s="9" t="s">
        <v>313</v>
      </c>
      <c r="J8" s="13"/>
      <c r="K8" s="13"/>
    </row>
    <row r="9" customFormat="false" ht="46.25" hidden="false" customHeight="false" outlineLevel="0" collapsed="false">
      <c r="A9" s="9" t="n">
        <v>8</v>
      </c>
      <c r="B9" s="9" t="s">
        <v>30</v>
      </c>
      <c r="C9" s="11" t="s">
        <v>31</v>
      </c>
      <c r="D9" s="9" t="s">
        <v>329</v>
      </c>
      <c r="E9" s="9" t="s">
        <v>330</v>
      </c>
      <c r="F9" s="9" t="s">
        <v>331</v>
      </c>
      <c r="G9" s="9" t="s">
        <v>24</v>
      </c>
      <c r="H9" s="12" t="s">
        <v>21</v>
      </c>
      <c r="I9" s="9" t="s">
        <v>332</v>
      </c>
      <c r="J9" s="13"/>
      <c r="K9" s="13"/>
    </row>
    <row r="10" customFormat="false" ht="23.85" hidden="false" customHeight="false" outlineLevel="0" collapsed="false">
      <c r="A10" s="9" t="n">
        <v>9</v>
      </c>
      <c r="B10" s="9" t="s">
        <v>30</v>
      </c>
      <c r="C10" s="11" t="s">
        <v>31</v>
      </c>
      <c r="D10" s="9" t="s">
        <v>333</v>
      </c>
      <c r="E10" s="9" t="s">
        <v>334</v>
      </c>
      <c r="F10" s="9" t="s">
        <v>335</v>
      </c>
      <c r="G10" s="9" t="s">
        <v>24</v>
      </c>
      <c r="H10" s="12" t="s">
        <v>21</v>
      </c>
      <c r="I10" s="9" t="s">
        <v>336</v>
      </c>
      <c r="J10" s="13"/>
      <c r="K10" s="13"/>
    </row>
    <row r="11" customFormat="false" ht="35.05" hidden="false" customHeight="false" outlineLevel="0" collapsed="false">
      <c r="A11" s="9" t="n">
        <v>10</v>
      </c>
      <c r="B11" s="9" t="s">
        <v>30</v>
      </c>
      <c r="C11" s="11" t="s">
        <v>31</v>
      </c>
      <c r="D11" s="9" t="s">
        <v>337</v>
      </c>
      <c r="E11" s="9" t="s">
        <v>338</v>
      </c>
      <c r="F11" s="9" t="s">
        <v>339</v>
      </c>
      <c r="G11" s="9" t="s">
        <v>24</v>
      </c>
      <c r="H11" s="12" t="s">
        <v>21</v>
      </c>
      <c r="I11" s="9" t="s">
        <v>340</v>
      </c>
      <c r="J11" s="13"/>
      <c r="K11" s="13"/>
    </row>
    <row r="12" customFormat="false" ht="23.85" hidden="false" customHeight="false" outlineLevel="0" collapsed="false">
      <c r="A12" s="9" t="n">
        <v>11</v>
      </c>
      <c r="B12" s="9" t="s">
        <v>30</v>
      </c>
      <c r="C12" s="11" t="s">
        <v>31</v>
      </c>
      <c r="D12" s="9" t="s">
        <v>341</v>
      </c>
      <c r="E12" s="9" t="s">
        <v>342</v>
      </c>
      <c r="F12" s="9" t="s">
        <v>343</v>
      </c>
      <c r="G12" s="9" t="s">
        <v>24</v>
      </c>
      <c r="H12" s="14" t="s">
        <v>22</v>
      </c>
      <c r="I12" s="9" t="s">
        <v>344</v>
      </c>
      <c r="J12" s="13"/>
      <c r="K12" s="13"/>
    </row>
    <row r="13" customFormat="false" ht="23.85" hidden="false" customHeight="false" outlineLevel="0" collapsed="false">
      <c r="A13" s="9" t="n">
        <v>12</v>
      </c>
      <c r="B13" s="9" t="s">
        <v>30</v>
      </c>
      <c r="C13" s="11" t="s">
        <v>31</v>
      </c>
      <c r="D13" s="9" t="s">
        <v>345</v>
      </c>
      <c r="E13" s="9" t="s">
        <v>346</v>
      </c>
      <c r="F13" s="9" t="s">
        <v>347</v>
      </c>
      <c r="G13" s="9" t="s">
        <v>24</v>
      </c>
      <c r="H13" s="14" t="s">
        <v>22</v>
      </c>
      <c r="I13" s="9" t="s">
        <v>348</v>
      </c>
      <c r="J13" s="13"/>
      <c r="K13" s="13"/>
    </row>
    <row r="14" customFormat="false" ht="15" hidden="false" customHeight="false" outlineLevel="0" collapsed="false">
      <c r="A14" s="9" t="n">
        <v>13</v>
      </c>
      <c r="B14" s="9" t="s">
        <v>30</v>
      </c>
      <c r="C14" s="11" t="s">
        <v>31</v>
      </c>
      <c r="D14" s="9" t="s">
        <v>349</v>
      </c>
      <c r="E14" s="9" t="s">
        <v>350</v>
      </c>
      <c r="F14" s="9" t="s">
        <v>351</v>
      </c>
      <c r="G14" s="9" t="s">
        <v>24</v>
      </c>
      <c r="H14" s="14" t="s">
        <v>22</v>
      </c>
      <c r="I14" s="9" t="s">
        <v>352</v>
      </c>
      <c r="J14" s="13"/>
      <c r="K14" s="13"/>
    </row>
    <row r="15" customFormat="false" ht="23.85" hidden="false" customHeight="false" outlineLevel="0" collapsed="false">
      <c r="A15" s="9" t="n">
        <v>14</v>
      </c>
      <c r="B15" s="9" t="s">
        <v>30</v>
      </c>
      <c r="C15" s="11" t="s">
        <v>31</v>
      </c>
      <c r="D15" s="9" t="s">
        <v>353</v>
      </c>
      <c r="E15" s="9" t="s">
        <v>354</v>
      </c>
      <c r="F15" s="9" t="s">
        <v>355</v>
      </c>
      <c r="G15" s="9" t="s">
        <v>24</v>
      </c>
      <c r="H15" s="14" t="s">
        <v>22</v>
      </c>
      <c r="I15" s="9" t="s">
        <v>356</v>
      </c>
      <c r="J15" s="13"/>
      <c r="K15" s="13"/>
    </row>
    <row r="16" customFormat="false" ht="35.05" hidden="false" customHeight="false" outlineLevel="0" collapsed="false">
      <c r="A16" s="9" t="n">
        <v>15</v>
      </c>
      <c r="B16" s="9" t="s">
        <v>30</v>
      </c>
      <c r="C16" s="11" t="s">
        <v>31</v>
      </c>
      <c r="D16" s="9" t="s">
        <v>357</v>
      </c>
      <c r="E16" s="9" t="s">
        <v>358</v>
      </c>
      <c r="F16" s="9" t="s">
        <v>359</v>
      </c>
      <c r="G16" s="9" t="s">
        <v>24</v>
      </c>
      <c r="H16" s="14" t="s">
        <v>22</v>
      </c>
      <c r="I16" s="9" t="s">
        <v>360</v>
      </c>
      <c r="J16" s="13"/>
      <c r="K16" s="13"/>
    </row>
    <row r="17" customFormat="false" ht="15" hidden="false" customHeight="false" outlineLevel="0" collapsed="false">
      <c r="A17" s="9" t="n">
        <v>16</v>
      </c>
      <c r="B17" s="9" t="s">
        <v>30</v>
      </c>
      <c r="C17" s="11" t="s">
        <v>31</v>
      </c>
      <c r="D17" s="9" t="s">
        <v>361</v>
      </c>
      <c r="E17" s="9" t="s">
        <v>362</v>
      </c>
      <c r="F17" s="9" t="s">
        <v>363</v>
      </c>
      <c r="G17" s="9" t="s">
        <v>24</v>
      </c>
      <c r="H17" s="14" t="s">
        <v>22</v>
      </c>
      <c r="I17" s="9" t="s">
        <v>364</v>
      </c>
      <c r="J17" s="13"/>
      <c r="K17" s="13"/>
    </row>
    <row r="18" customFormat="false" ht="23.85" hidden="false" customHeight="false" outlineLevel="0" collapsed="false">
      <c r="A18" s="9" t="n">
        <v>17</v>
      </c>
      <c r="B18" s="9" t="s">
        <v>30</v>
      </c>
      <c r="C18" s="11" t="s">
        <v>31</v>
      </c>
      <c r="D18" s="9" t="s">
        <v>365</v>
      </c>
      <c r="E18" s="9" t="s">
        <v>366</v>
      </c>
      <c r="F18" s="9" t="s">
        <v>367</v>
      </c>
      <c r="G18" s="9" t="s">
        <v>24</v>
      </c>
      <c r="H18" s="15" t="s">
        <v>23</v>
      </c>
      <c r="I18" s="9" t="s">
        <v>368</v>
      </c>
      <c r="J18" s="13"/>
      <c r="K18" s="13"/>
    </row>
    <row r="19" customFormat="false" ht="23.85" hidden="false" customHeight="false" outlineLevel="0" collapsed="false">
      <c r="A19" s="9" t="n">
        <v>18</v>
      </c>
      <c r="B19" s="9" t="s">
        <v>30</v>
      </c>
      <c r="C19" s="11" t="s">
        <v>31</v>
      </c>
      <c r="D19" s="9" t="s">
        <v>369</v>
      </c>
      <c r="E19" s="9" t="s">
        <v>370</v>
      </c>
      <c r="F19" s="9" t="s">
        <v>371</v>
      </c>
      <c r="G19" s="9" t="s">
        <v>24</v>
      </c>
      <c r="H19" s="15" t="s">
        <v>23</v>
      </c>
      <c r="I19" s="9" t="s">
        <v>372</v>
      </c>
      <c r="J19" s="13"/>
      <c r="K19" s="13"/>
    </row>
    <row r="20" customFormat="false" ht="23.85" hidden="false" customHeight="false" outlineLevel="0" collapsed="false">
      <c r="A20" s="9" t="n">
        <v>19</v>
      </c>
      <c r="B20" s="9" t="s">
        <v>30</v>
      </c>
      <c r="C20" s="11" t="s">
        <v>31</v>
      </c>
      <c r="D20" s="9" t="s">
        <v>373</v>
      </c>
      <c r="E20" s="9" t="s">
        <v>374</v>
      </c>
      <c r="F20" s="9" t="s">
        <v>375</v>
      </c>
      <c r="G20" s="9" t="s">
        <v>24</v>
      </c>
      <c r="H20" s="15" t="s">
        <v>23</v>
      </c>
      <c r="I20" s="9" t="s">
        <v>376</v>
      </c>
      <c r="J20" s="13"/>
      <c r="K20" s="13"/>
    </row>
    <row r="21" customFormat="false" ht="23.85" hidden="false" customHeight="false" outlineLevel="0" collapsed="false">
      <c r="A21" s="9" t="n">
        <v>20</v>
      </c>
      <c r="B21" s="9" t="s">
        <v>30</v>
      </c>
      <c r="C21" s="11" t="s">
        <v>31</v>
      </c>
      <c r="D21" s="9" t="s">
        <v>377</v>
      </c>
      <c r="E21" s="9" t="s">
        <v>378</v>
      </c>
      <c r="F21" s="9" t="s">
        <v>379</v>
      </c>
      <c r="G21" s="9" t="s">
        <v>24</v>
      </c>
      <c r="H21" s="15" t="s">
        <v>23</v>
      </c>
      <c r="I21" s="9" t="s">
        <v>380</v>
      </c>
      <c r="J21" s="13"/>
      <c r="K21" s="13"/>
    </row>
    <row r="22" customFormat="false" ht="15" hidden="false" customHeight="false" outlineLevel="0" collapsed="false">
      <c r="A22" s="9" t="n">
        <v>21</v>
      </c>
      <c r="B22" s="9" t="s">
        <v>30</v>
      </c>
      <c r="C22" s="11" t="s">
        <v>31</v>
      </c>
      <c r="D22" s="9" t="s">
        <v>381</v>
      </c>
      <c r="E22" s="9" t="s">
        <v>382</v>
      </c>
      <c r="F22" s="9" t="s">
        <v>383</v>
      </c>
      <c r="G22" s="9" t="s">
        <v>24</v>
      </c>
      <c r="H22" s="15" t="s">
        <v>23</v>
      </c>
      <c r="I22" s="9" t="s">
        <v>384</v>
      </c>
      <c r="J22" s="13"/>
      <c r="K22" s="13"/>
    </row>
    <row r="23" customFormat="false" ht="15" hidden="false" customHeight="false" outlineLevel="0" collapsed="false">
      <c r="A23" s="9" t="n">
        <v>22</v>
      </c>
      <c r="B23" s="9" t="s">
        <v>30</v>
      </c>
      <c r="C23" s="11" t="s">
        <v>31</v>
      </c>
      <c r="D23" s="9" t="s">
        <v>385</v>
      </c>
      <c r="E23" s="9" t="s">
        <v>386</v>
      </c>
      <c r="F23" s="9" t="s">
        <v>387</v>
      </c>
      <c r="G23" s="9" t="s">
        <v>24</v>
      </c>
      <c r="H23" s="15" t="s">
        <v>23</v>
      </c>
      <c r="I23" s="9" t="s">
        <v>388</v>
      </c>
      <c r="J23" s="13"/>
      <c r="K23" s="13"/>
    </row>
    <row r="24" customFormat="false" ht="35.05" hidden="false" customHeight="false" outlineLevel="0" collapsed="false">
      <c r="A24" s="9" t="n">
        <v>23</v>
      </c>
      <c r="B24" s="9" t="s">
        <v>30</v>
      </c>
      <c r="C24" s="11" t="s">
        <v>33</v>
      </c>
      <c r="D24" s="9" t="s">
        <v>389</v>
      </c>
      <c r="E24" s="9" t="s">
        <v>390</v>
      </c>
      <c r="F24" s="9" t="s">
        <v>391</v>
      </c>
      <c r="G24" s="9" t="s">
        <v>392</v>
      </c>
      <c r="H24" s="14" t="s">
        <v>22</v>
      </c>
      <c r="I24" s="9" t="s">
        <v>393</v>
      </c>
      <c r="J24" s="13"/>
      <c r="K24" s="13"/>
    </row>
    <row r="25" customFormat="false" ht="35.05" hidden="false" customHeight="false" outlineLevel="0" collapsed="false">
      <c r="A25" s="9" t="n">
        <v>24</v>
      </c>
      <c r="B25" s="9" t="s">
        <v>30</v>
      </c>
      <c r="C25" s="11" t="s">
        <v>33</v>
      </c>
      <c r="D25" s="9" t="s">
        <v>394</v>
      </c>
      <c r="E25" s="9" t="s">
        <v>395</v>
      </c>
      <c r="F25" s="9" t="s">
        <v>396</v>
      </c>
      <c r="G25" s="9" t="s">
        <v>324</v>
      </c>
      <c r="H25" s="14" t="s">
        <v>22</v>
      </c>
      <c r="I25" s="9" t="s">
        <v>304</v>
      </c>
      <c r="J25" s="13"/>
      <c r="K25" s="13"/>
    </row>
    <row r="26" customFormat="false" ht="23.85" hidden="false" customHeight="false" outlineLevel="0" collapsed="false">
      <c r="A26" s="9" t="n">
        <v>25</v>
      </c>
      <c r="B26" s="9" t="s">
        <v>30</v>
      </c>
      <c r="C26" s="11" t="s">
        <v>33</v>
      </c>
      <c r="D26" s="9" t="s">
        <v>397</v>
      </c>
      <c r="E26" s="9" t="s">
        <v>398</v>
      </c>
      <c r="F26" s="9" t="s">
        <v>399</v>
      </c>
      <c r="G26" s="9" t="s">
        <v>328</v>
      </c>
      <c r="H26" s="15" t="s">
        <v>23</v>
      </c>
      <c r="I26" s="9" t="s">
        <v>313</v>
      </c>
      <c r="J26" s="13"/>
      <c r="K26" s="13"/>
    </row>
    <row r="27" customFormat="false" ht="23.85" hidden="false" customHeight="false" outlineLevel="0" collapsed="false">
      <c r="A27" s="9" t="n">
        <v>26</v>
      </c>
      <c r="B27" s="9" t="s">
        <v>30</v>
      </c>
      <c r="C27" s="11" t="s">
        <v>33</v>
      </c>
      <c r="D27" s="9" t="s">
        <v>400</v>
      </c>
      <c r="E27" s="9" t="s">
        <v>401</v>
      </c>
      <c r="F27" s="9" t="s">
        <v>402</v>
      </c>
      <c r="G27" s="9" t="s">
        <v>24</v>
      </c>
      <c r="H27" s="14" t="s">
        <v>22</v>
      </c>
      <c r="I27" s="9" t="s">
        <v>403</v>
      </c>
      <c r="J27" s="13"/>
      <c r="K27" s="13"/>
    </row>
    <row r="28" customFormat="false" ht="23.85" hidden="false" customHeight="false" outlineLevel="0" collapsed="false">
      <c r="A28" s="9" t="n">
        <v>27</v>
      </c>
      <c r="B28" s="9" t="s">
        <v>30</v>
      </c>
      <c r="C28" s="11" t="s">
        <v>33</v>
      </c>
      <c r="D28" s="9" t="s">
        <v>404</v>
      </c>
      <c r="E28" s="9" t="s">
        <v>405</v>
      </c>
      <c r="F28" s="9" t="s">
        <v>406</v>
      </c>
      <c r="G28" s="9" t="s">
        <v>24</v>
      </c>
      <c r="H28" s="14" t="s">
        <v>22</v>
      </c>
      <c r="I28" s="9" t="s">
        <v>407</v>
      </c>
      <c r="J28" s="13"/>
      <c r="K28" s="13"/>
    </row>
    <row r="29" customFormat="false" ht="23.85" hidden="false" customHeight="false" outlineLevel="0" collapsed="false">
      <c r="A29" s="9" t="n">
        <v>28</v>
      </c>
      <c r="B29" s="9" t="s">
        <v>30</v>
      </c>
      <c r="C29" s="11" t="s">
        <v>33</v>
      </c>
      <c r="D29" s="9" t="s">
        <v>408</v>
      </c>
      <c r="E29" s="9" t="s">
        <v>409</v>
      </c>
      <c r="F29" s="9" t="s">
        <v>410</v>
      </c>
      <c r="G29" s="9" t="s">
        <v>24</v>
      </c>
      <c r="H29" s="14" t="s">
        <v>22</v>
      </c>
      <c r="I29" s="9" t="s">
        <v>411</v>
      </c>
      <c r="J29" s="13"/>
      <c r="K29" s="13"/>
    </row>
    <row r="30" customFormat="false" ht="23.85" hidden="false" customHeight="false" outlineLevel="0" collapsed="false">
      <c r="A30" s="9" t="n">
        <v>29</v>
      </c>
      <c r="B30" s="9" t="s">
        <v>30</v>
      </c>
      <c r="C30" s="11" t="s">
        <v>33</v>
      </c>
      <c r="D30" s="9" t="s">
        <v>412</v>
      </c>
      <c r="E30" s="9" t="s">
        <v>413</v>
      </c>
      <c r="F30" s="9" t="s">
        <v>414</v>
      </c>
      <c r="G30" s="9" t="s">
        <v>24</v>
      </c>
      <c r="H30" s="14" t="s">
        <v>22</v>
      </c>
      <c r="I30" s="9" t="s">
        <v>415</v>
      </c>
      <c r="J30" s="13"/>
      <c r="K30" s="13"/>
    </row>
    <row r="31" customFormat="false" ht="23.85" hidden="false" customHeight="false" outlineLevel="0" collapsed="false">
      <c r="A31" s="9" t="n">
        <v>30</v>
      </c>
      <c r="B31" s="9" t="s">
        <v>30</v>
      </c>
      <c r="C31" s="11" t="s">
        <v>33</v>
      </c>
      <c r="D31" s="9" t="s">
        <v>416</v>
      </c>
      <c r="E31" s="9" t="s">
        <v>417</v>
      </c>
      <c r="F31" s="9" t="s">
        <v>418</v>
      </c>
      <c r="G31" s="9" t="s">
        <v>24</v>
      </c>
      <c r="H31" s="14" t="s">
        <v>22</v>
      </c>
      <c r="I31" s="9" t="s">
        <v>419</v>
      </c>
      <c r="J31" s="13"/>
      <c r="K31" s="13"/>
    </row>
    <row r="32" customFormat="false" ht="23.85" hidden="false" customHeight="false" outlineLevel="0" collapsed="false">
      <c r="A32" s="9" t="n">
        <v>31</v>
      </c>
      <c r="B32" s="9" t="s">
        <v>30</v>
      </c>
      <c r="C32" s="11" t="s">
        <v>33</v>
      </c>
      <c r="D32" s="9" t="s">
        <v>420</v>
      </c>
      <c r="E32" s="9" t="s">
        <v>421</v>
      </c>
      <c r="F32" s="9" t="s">
        <v>422</v>
      </c>
      <c r="G32" s="9" t="s">
        <v>24</v>
      </c>
      <c r="H32" s="14" t="s">
        <v>22</v>
      </c>
      <c r="I32" s="9" t="s">
        <v>356</v>
      </c>
      <c r="J32" s="13"/>
      <c r="K32" s="13"/>
    </row>
    <row r="33" customFormat="false" ht="23.85" hidden="false" customHeight="false" outlineLevel="0" collapsed="false">
      <c r="A33" s="9" t="n">
        <v>32</v>
      </c>
      <c r="B33" s="9" t="s">
        <v>30</v>
      </c>
      <c r="C33" s="11" t="s">
        <v>33</v>
      </c>
      <c r="D33" s="9" t="s">
        <v>423</v>
      </c>
      <c r="E33" s="9" t="s">
        <v>358</v>
      </c>
      <c r="F33" s="9" t="s">
        <v>424</v>
      </c>
      <c r="G33" s="9" t="s">
        <v>24</v>
      </c>
      <c r="H33" s="14" t="s">
        <v>22</v>
      </c>
      <c r="I33" s="9" t="s">
        <v>425</v>
      </c>
      <c r="J33" s="13"/>
      <c r="K33" s="13"/>
    </row>
    <row r="34" customFormat="false" ht="15" hidden="false" customHeight="false" outlineLevel="0" collapsed="false">
      <c r="A34" s="9" t="n">
        <v>33</v>
      </c>
      <c r="B34" s="9" t="s">
        <v>30</v>
      </c>
      <c r="C34" s="11" t="s">
        <v>33</v>
      </c>
      <c r="D34" s="9" t="s">
        <v>426</v>
      </c>
      <c r="E34" s="9" t="s">
        <v>362</v>
      </c>
      <c r="F34" s="9" t="s">
        <v>363</v>
      </c>
      <c r="G34" s="9" t="s">
        <v>24</v>
      </c>
      <c r="H34" s="14" t="s">
        <v>22</v>
      </c>
      <c r="I34" s="9" t="s">
        <v>364</v>
      </c>
      <c r="J34" s="13"/>
      <c r="K34" s="13"/>
    </row>
    <row r="35" customFormat="false" ht="23.85" hidden="false" customHeight="false" outlineLevel="0" collapsed="false">
      <c r="A35" s="9" t="n">
        <v>34</v>
      </c>
      <c r="B35" s="9" t="s">
        <v>30</v>
      </c>
      <c r="C35" s="11" t="s">
        <v>33</v>
      </c>
      <c r="D35" s="9" t="s">
        <v>427</v>
      </c>
      <c r="E35" s="9" t="s">
        <v>428</v>
      </c>
      <c r="F35" s="9" t="s">
        <v>429</v>
      </c>
      <c r="G35" s="9" t="s">
        <v>24</v>
      </c>
      <c r="H35" s="15" t="s">
        <v>23</v>
      </c>
      <c r="I35" s="9" t="s">
        <v>430</v>
      </c>
      <c r="J35" s="13"/>
      <c r="K35" s="13"/>
    </row>
    <row r="36" customFormat="false" ht="23.85" hidden="false" customHeight="false" outlineLevel="0" collapsed="false">
      <c r="A36" s="9" t="n">
        <v>35</v>
      </c>
      <c r="B36" s="9" t="s">
        <v>30</v>
      </c>
      <c r="C36" s="11" t="s">
        <v>33</v>
      </c>
      <c r="D36" s="9" t="s">
        <v>431</v>
      </c>
      <c r="E36" s="9" t="s">
        <v>432</v>
      </c>
      <c r="F36" s="9" t="s">
        <v>433</v>
      </c>
      <c r="G36" s="9" t="s">
        <v>24</v>
      </c>
      <c r="H36" s="15" t="s">
        <v>23</v>
      </c>
      <c r="I36" s="9" t="s">
        <v>434</v>
      </c>
      <c r="J36" s="13"/>
      <c r="K36" s="13"/>
    </row>
    <row r="37" customFormat="false" ht="23.85" hidden="false" customHeight="false" outlineLevel="0" collapsed="false">
      <c r="A37" s="9" t="n">
        <v>36</v>
      </c>
      <c r="B37" s="9" t="s">
        <v>30</v>
      </c>
      <c r="C37" s="11" t="s">
        <v>33</v>
      </c>
      <c r="D37" s="9" t="s">
        <v>435</v>
      </c>
      <c r="E37" s="9" t="s">
        <v>436</v>
      </c>
      <c r="F37" s="9" t="s">
        <v>437</v>
      </c>
      <c r="G37" s="9" t="s">
        <v>24</v>
      </c>
      <c r="H37" s="15" t="s">
        <v>23</v>
      </c>
      <c r="I37" s="9" t="s">
        <v>438</v>
      </c>
      <c r="J37" s="13"/>
      <c r="K37" s="13"/>
    </row>
    <row r="38" customFormat="false" ht="23.85" hidden="false" customHeight="false" outlineLevel="0" collapsed="false">
      <c r="A38" s="9" t="n">
        <v>37</v>
      </c>
      <c r="B38" s="9" t="s">
        <v>30</v>
      </c>
      <c r="C38" s="11" t="s">
        <v>33</v>
      </c>
      <c r="D38" s="9" t="s">
        <v>439</v>
      </c>
      <c r="E38" s="9" t="s">
        <v>440</v>
      </c>
      <c r="F38" s="9" t="s">
        <v>441</v>
      </c>
      <c r="G38" s="9" t="s">
        <v>24</v>
      </c>
      <c r="H38" s="15" t="s">
        <v>23</v>
      </c>
      <c r="I38" s="9" t="s">
        <v>442</v>
      </c>
      <c r="J38" s="13"/>
      <c r="K38" s="13"/>
    </row>
    <row r="39" customFormat="false" ht="15" hidden="false" customHeight="false" outlineLevel="0" collapsed="false">
      <c r="A39" s="9" t="n">
        <v>38</v>
      </c>
      <c r="B39" s="9" t="s">
        <v>30</v>
      </c>
      <c r="C39" s="11" t="s">
        <v>33</v>
      </c>
      <c r="D39" s="9" t="s">
        <v>443</v>
      </c>
      <c r="E39" s="9" t="s">
        <v>444</v>
      </c>
      <c r="F39" s="9" t="s">
        <v>445</v>
      </c>
      <c r="G39" s="9" t="s">
        <v>24</v>
      </c>
      <c r="H39" s="15" t="s">
        <v>23</v>
      </c>
      <c r="I39" s="9" t="s">
        <v>384</v>
      </c>
      <c r="J39" s="13"/>
      <c r="K39" s="13"/>
    </row>
    <row r="40" customFormat="false" ht="15" hidden="false" customHeight="false" outlineLevel="0" collapsed="false">
      <c r="A40" s="9" t="n">
        <v>39</v>
      </c>
      <c r="B40" s="9" t="s">
        <v>30</v>
      </c>
      <c r="C40" s="11" t="s">
        <v>33</v>
      </c>
      <c r="D40" s="9" t="s">
        <v>446</v>
      </c>
      <c r="E40" s="9" t="s">
        <v>447</v>
      </c>
      <c r="F40" s="9" t="s">
        <v>448</v>
      </c>
      <c r="G40" s="9" t="s">
        <v>24</v>
      </c>
      <c r="H40" s="15" t="s">
        <v>23</v>
      </c>
      <c r="I40" s="9" t="s">
        <v>449</v>
      </c>
      <c r="J40" s="13"/>
      <c r="K40" s="13"/>
    </row>
    <row r="41" customFormat="false" ht="35.05" hidden="false" customHeight="false" outlineLevel="0" collapsed="false">
      <c r="A41" s="9" t="n">
        <v>40</v>
      </c>
      <c r="B41" s="9" t="s">
        <v>30</v>
      </c>
      <c r="C41" s="11" t="s">
        <v>35</v>
      </c>
      <c r="D41" s="9" t="s">
        <v>450</v>
      </c>
      <c r="E41" s="9" t="s">
        <v>451</v>
      </c>
      <c r="F41" s="9" t="s">
        <v>452</v>
      </c>
      <c r="G41" s="9" t="s">
        <v>24</v>
      </c>
      <c r="H41" s="12" t="s">
        <v>21</v>
      </c>
      <c r="I41" s="9" t="s">
        <v>453</v>
      </c>
      <c r="J41" s="13"/>
      <c r="K41" s="13"/>
    </row>
    <row r="42" customFormat="false" ht="23.85" hidden="false" customHeight="false" outlineLevel="0" collapsed="false">
      <c r="A42" s="9" t="n">
        <v>41</v>
      </c>
      <c r="B42" s="9" t="s">
        <v>30</v>
      </c>
      <c r="C42" s="11" t="s">
        <v>35</v>
      </c>
      <c r="D42" s="9" t="s">
        <v>454</v>
      </c>
      <c r="E42" s="9" t="s">
        <v>455</v>
      </c>
      <c r="F42" s="9" t="s">
        <v>456</v>
      </c>
      <c r="G42" s="9" t="s">
        <v>24</v>
      </c>
      <c r="H42" s="12" t="s">
        <v>21</v>
      </c>
      <c r="I42" s="9" t="s">
        <v>457</v>
      </c>
      <c r="J42" s="13"/>
      <c r="K42" s="13"/>
    </row>
    <row r="43" customFormat="false" ht="15" hidden="false" customHeight="false" outlineLevel="0" collapsed="false">
      <c r="A43" s="9" t="n">
        <v>42</v>
      </c>
      <c r="B43" s="9" t="s">
        <v>30</v>
      </c>
      <c r="C43" s="11" t="s">
        <v>35</v>
      </c>
      <c r="D43" s="9" t="s">
        <v>458</v>
      </c>
      <c r="E43" s="9" t="s">
        <v>459</v>
      </c>
      <c r="F43" s="9" t="s">
        <v>460</v>
      </c>
      <c r="G43" s="9" t="s">
        <v>24</v>
      </c>
      <c r="H43" s="14" t="s">
        <v>22</v>
      </c>
      <c r="I43" s="9" t="s">
        <v>461</v>
      </c>
      <c r="J43" s="13"/>
      <c r="K43" s="13"/>
    </row>
    <row r="44" customFormat="false" ht="23.85" hidden="false" customHeight="false" outlineLevel="0" collapsed="false">
      <c r="A44" s="9" t="n">
        <v>43</v>
      </c>
      <c r="B44" s="9" t="s">
        <v>30</v>
      </c>
      <c r="C44" s="11" t="s">
        <v>35</v>
      </c>
      <c r="D44" s="9" t="s">
        <v>462</v>
      </c>
      <c r="E44" s="9" t="s">
        <v>463</v>
      </c>
      <c r="F44" s="9" t="s">
        <v>464</v>
      </c>
      <c r="G44" s="9" t="s">
        <v>24</v>
      </c>
      <c r="H44" s="14" t="s">
        <v>22</v>
      </c>
      <c r="I44" s="9" t="s">
        <v>465</v>
      </c>
      <c r="J44" s="13"/>
      <c r="K44" s="13"/>
    </row>
    <row r="45" customFormat="false" ht="23.85" hidden="false" customHeight="false" outlineLevel="0" collapsed="false">
      <c r="A45" s="9" t="n">
        <v>44</v>
      </c>
      <c r="B45" s="9" t="s">
        <v>30</v>
      </c>
      <c r="C45" s="11" t="s">
        <v>35</v>
      </c>
      <c r="D45" s="9" t="s">
        <v>466</v>
      </c>
      <c r="E45" s="9" t="s">
        <v>467</v>
      </c>
      <c r="F45" s="9" t="s">
        <v>468</v>
      </c>
      <c r="G45" s="9" t="s">
        <v>24</v>
      </c>
      <c r="H45" s="14" t="s">
        <v>22</v>
      </c>
      <c r="I45" s="9" t="s">
        <v>469</v>
      </c>
      <c r="J45" s="13"/>
      <c r="K45" s="13"/>
    </row>
    <row r="46" customFormat="false" ht="23.85" hidden="false" customHeight="false" outlineLevel="0" collapsed="false">
      <c r="A46" s="9" t="n">
        <v>45</v>
      </c>
      <c r="B46" s="9" t="s">
        <v>30</v>
      </c>
      <c r="C46" s="11" t="s">
        <v>35</v>
      </c>
      <c r="D46" s="9" t="s">
        <v>470</v>
      </c>
      <c r="E46" s="9" t="s">
        <v>471</v>
      </c>
      <c r="F46" s="9" t="s">
        <v>472</v>
      </c>
      <c r="G46" s="9" t="s">
        <v>24</v>
      </c>
      <c r="H46" s="14" t="s">
        <v>22</v>
      </c>
      <c r="I46" s="9" t="s">
        <v>473</v>
      </c>
      <c r="J46" s="13"/>
      <c r="K46" s="13"/>
    </row>
    <row r="47" customFormat="false" ht="23.85" hidden="false" customHeight="false" outlineLevel="0" collapsed="false">
      <c r="A47" s="9" t="n">
        <v>46</v>
      </c>
      <c r="B47" s="9" t="s">
        <v>30</v>
      </c>
      <c r="C47" s="11" t="s">
        <v>35</v>
      </c>
      <c r="D47" s="9" t="s">
        <v>474</v>
      </c>
      <c r="E47" s="9" t="s">
        <v>475</v>
      </c>
      <c r="F47" s="9" t="s">
        <v>476</v>
      </c>
      <c r="G47" s="9" t="s">
        <v>24</v>
      </c>
      <c r="H47" s="14" t="s">
        <v>22</v>
      </c>
      <c r="I47" s="9" t="s">
        <v>434</v>
      </c>
      <c r="J47" s="13"/>
      <c r="K47" s="13"/>
    </row>
    <row r="48" customFormat="false" ht="23.85" hidden="false" customHeight="false" outlineLevel="0" collapsed="false">
      <c r="A48" s="9" t="n">
        <v>47</v>
      </c>
      <c r="B48" s="9" t="s">
        <v>30</v>
      </c>
      <c r="C48" s="11" t="s">
        <v>35</v>
      </c>
      <c r="D48" s="9" t="s">
        <v>477</v>
      </c>
      <c r="E48" s="9" t="s">
        <v>358</v>
      </c>
      <c r="F48" s="9" t="s">
        <v>478</v>
      </c>
      <c r="G48" s="9" t="s">
        <v>24</v>
      </c>
      <c r="H48" s="14" t="s">
        <v>22</v>
      </c>
      <c r="I48" s="9" t="s">
        <v>479</v>
      </c>
      <c r="J48" s="13"/>
      <c r="K48" s="13"/>
    </row>
    <row r="49" customFormat="false" ht="15" hidden="false" customHeight="false" outlineLevel="0" collapsed="false">
      <c r="A49" s="9" t="n">
        <v>48</v>
      </c>
      <c r="B49" s="9" t="s">
        <v>30</v>
      </c>
      <c r="C49" s="11" t="s">
        <v>35</v>
      </c>
      <c r="D49" s="9" t="s">
        <v>480</v>
      </c>
      <c r="E49" s="9" t="s">
        <v>362</v>
      </c>
      <c r="F49" s="9" t="s">
        <v>363</v>
      </c>
      <c r="G49" s="9" t="s">
        <v>24</v>
      </c>
      <c r="H49" s="14" t="s">
        <v>22</v>
      </c>
      <c r="I49" s="9" t="s">
        <v>364</v>
      </c>
      <c r="J49" s="13"/>
      <c r="K49" s="13"/>
    </row>
    <row r="50" customFormat="false" ht="23.85" hidden="false" customHeight="false" outlineLevel="0" collapsed="false">
      <c r="A50" s="9" t="n">
        <v>49</v>
      </c>
      <c r="B50" s="9" t="s">
        <v>30</v>
      </c>
      <c r="C50" s="11" t="s">
        <v>35</v>
      </c>
      <c r="D50" s="9" t="s">
        <v>481</v>
      </c>
      <c r="E50" s="9" t="s">
        <v>482</v>
      </c>
      <c r="F50" s="9" t="s">
        <v>483</v>
      </c>
      <c r="G50" s="9" t="s">
        <v>24</v>
      </c>
      <c r="H50" s="15" t="s">
        <v>23</v>
      </c>
      <c r="I50" s="9" t="s">
        <v>484</v>
      </c>
      <c r="J50" s="13"/>
      <c r="K50" s="13"/>
    </row>
    <row r="51" customFormat="false" ht="23.85" hidden="false" customHeight="false" outlineLevel="0" collapsed="false">
      <c r="A51" s="9" t="n">
        <v>50</v>
      </c>
      <c r="B51" s="9" t="s">
        <v>30</v>
      </c>
      <c r="C51" s="11" t="s">
        <v>35</v>
      </c>
      <c r="D51" s="9" t="s">
        <v>485</v>
      </c>
      <c r="E51" s="9" t="s">
        <v>486</v>
      </c>
      <c r="F51" s="9" t="s">
        <v>487</v>
      </c>
      <c r="G51" s="9" t="s">
        <v>24</v>
      </c>
      <c r="H51" s="15" t="s">
        <v>23</v>
      </c>
      <c r="I51" s="9" t="s">
        <v>488</v>
      </c>
      <c r="J51" s="13"/>
      <c r="K51" s="13"/>
    </row>
    <row r="52" customFormat="false" ht="23.85" hidden="false" customHeight="false" outlineLevel="0" collapsed="false">
      <c r="A52" s="9" t="n">
        <v>51</v>
      </c>
      <c r="B52" s="9" t="s">
        <v>30</v>
      </c>
      <c r="C52" s="11" t="s">
        <v>35</v>
      </c>
      <c r="D52" s="9" t="s">
        <v>489</v>
      </c>
      <c r="E52" s="9" t="s">
        <v>490</v>
      </c>
      <c r="F52" s="9" t="s">
        <v>491</v>
      </c>
      <c r="G52" s="9" t="s">
        <v>24</v>
      </c>
      <c r="H52" s="15" t="s">
        <v>23</v>
      </c>
      <c r="I52" s="9" t="s">
        <v>380</v>
      </c>
      <c r="J52" s="13"/>
      <c r="K52" s="13"/>
    </row>
    <row r="53" customFormat="false" ht="35.05" hidden="false" customHeight="false" outlineLevel="0" collapsed="false">
      <c r="A53" s="9" t="n">
        <v>52</v>
      </c>
      <c r="B53" s="9" t="s">
        <v>30</v>
      </c>
      <c r="C53" s="11" t="s">
        <v>35</v>
      </c>
      <c r="D53" s="9" t="s">
        <v>492</v>
      </c>
      <c r="E53" s="9" t="s">
        <v>493</v>
      </c>
      <c r="F53" s="9" t="s">
        <v>494</v>
      </c>
      <c r="G53" s="9" t="s">
        <v>24</v>
      </c>
      <c r="H53" s="15" t="s">
        <v>23</v>
      </c>
      <c r="I53" s="9" t="s">
        <v>495</v>
      </c>
      <c r="J53" s="13"/>
      <c r="K53" s="13"/>
    </row>
    <row r="54" customFormat="false" ht="23.85" hidden="false" customHeight="false" outlineLevel="0" collapsed="false">
      <c r="A54" s="9" t="n">
        <v>53</v>
      </c>
      <c r="B54" s="9" t="s">
        <v>30</v>
      </c>
      <c r="C54" s="11" t="s">
        <v>35</v>
      </c>
      <c r="D54" s="9" t="s">
        <v>496</v>
      </c>
      <c r="E54" s="9" t="s">
        <v>497</v>
      </c>
      <c r="F54" s="9" t="s">
        <v>498</v>
      </c>
      <c r="G54" s="9" t="s">
        <v>24</v>
      </c>
      <c r="H54" s="15" t="s">
        <v>23</v>
      </c>
      <c r="I54" s="9" t="s">
        <v>449</v>
      </c>
      <c r="J54" s="13"/>
      <c r="K54" s="13"/>
    </row>
    <row r="55" customFormat="false" ht="15" hidden="false" customHeight="false" outlineLevel="0" collapsed="false">
      <c r="A55" s="9" t="n">
        <v>54</v>
      </c>
      <c r="B55" s="9" t="s">
        <v>30</v>
      </c>
      <c r="C55" s="11" t="s">
        <v>35</v>
      </c>
      <c r="D55" s="9" t="s">
        <v>499</v>
      </c>
      <c r="E55" s="9" t="s">
        <v>500</v>
      </c>
      <c r="F55" s="9" t="s">
        <v>501</v>
      </c>
      <c r="G55" s="9" t="s">
        <v>24</v>
      </c>
      <c r="H55" s="15" t="s">
        <v>23</v>
      </c>
      <c r="I55" s="9" t="s">
        <v>384</v>
      </c>
      <c r="J55" s="13"/>
      <c r="K55" s="13"/>
    </row>
    <row r="56" customFormat="false" ht="23.85" hidden="false" customHeight="false" outlineLevel="0" collapsed="false">
      <c r="A56" s="9" t="n">
        <v>55</v>
      </c>
      <c r="B56" s="9" t="s">
        <v>30</v>
      </c>
      <c r="C56" s="11" t="s">
        <v>37</v>
      </c>
      <c r="D56" s="9" t="s">
        <v>502</v>
      </c>
      <c r="E56" s="9" t="s">
        <v>503</v>
      </c>
      <c r="F56" s="9" t="s">
        <v>504</v>
      </c>
      <c r="G56" s="9" t="s">
        <v>303</v>
      </c>
      <c r="H56" s="14" t="s">
        <v>22</v>
      </c>
      <c r="I56" s="9" t="s">
        <v>304</v>
      </c>
      <c r="J56" s="13"/>
      <c r="K56" s="13"/>
    </row>
    <row r="57" customFormat="false" ht="23.85" hidden="false" customHeight="false" outlineLevel="0" collapsed="false">
      <c r="A57" s="9" t="n">
        <v>56</v>
      </c>
      <c r="B57" s="9" t="s">
        <v>30</v>
      </c>
      <c r="C57" s="11" t="s">
        <v>37</v>
      </c>
      <c r="D57" s="9" t="s">
        <v>505</v>
      </c>
      <c r="E57" s="9" t="s">
        <v>506</v>
      </c>
      <c r="F57" s="9" t="s">
        <v>507</v>
      </c>
      <c r="G57" s="9" t="s">
        <v>312</v>
      </c>
      <c r="H57" s="15" t="s">
        <v>23</v>
      </c>
      <c r="I57" s="9" t="s">
        <v>313</v>
      </c>
      <c r="J57" s="13"/>
      <c r="K57" s="13"/>
    </row>
    <row r="58" customFormat="false" ht="15" hidden="false" customHeight="false" outlineLevel="0" collapsed="false">
      <c r="A58" s="9" t="n">
        <v>57</v>
      </c>
      <c r="B58" s="9" t="s">
        <v>30</v>
      </c>
      <c r="C58" s="11" t="s">
        <v>37</v>
      </c>
      <c r="D58" s="9" t="s">
        <v>508</v>
      </c>
      <c r="E58" s="9" t="s">
        <v>506</v>
      </c>
      <c r="F58" s="9" t="s">
        <v>509</v>
      </c>
      <c r="G58" s="9" t="s">
        <v>317</v>
      </c>
      <c r="H58" s="15" t="s">
        <v>23</v>
      </c>
      <c r="I58" s="9" t="s">
        <v>313</v>
      </c>
      <c r="J58" s="13"/>
      <c r="K58" s="13"/>
    </row>
    <row r="59" customFormat="false" ht="35.05" hidden="false" customHeight="false" outlineLevel="0" collapsed="false">
      <c r="A59" s="9" t="n">
        <v>58</v>
      </c>
      <c r="B59" s="9" t="s">
        <v>30</v>
      </c>
      <c r="C59" s="11" t="s">
        <v>37</v>
      </c>
      <c r="D59" s="9" t="s">
        <v>510</v>
      </c>
      <c r="E59" s="9" t="s">
        <v>511</v>
      </c>
      <c r="F59" s="9" t="s">
        <v>512</v>
      </c>
      <c r="G59" s="9" t="s">
        <v>24</v>
      </c>
      <c r="H59" s="12" t="s">
        <v>21</v>
      </c>
      <c r="I59" s="9" t="s">
        <v>513</v>
      </c>
      <c r="J59" s="13"/>
      <c r="K59" s="13"/>
    </row>
    <row r="60" customFormat="false" ht="35.05" hidden="false" customHeight="false" outlineLevel="0" collapsed="false">
      <c r="A60" s="9" t="n">
        <v>59</v>
      </c>
      <c r="B60" s="9" t="s">
        <v>30</v>
      </c>
      <c r="C60" s="11" t="s">
        <v>37</v>
      </c>
      <c r="D60" s="9" t="s">
        <v>514</v>
      </c>
      <c r="E60" s="9" t="s">
        <v>515</v>
      </c>
      <c r="F60" s="9" t="s">
        <v>516</v>
      </c>
      <c r="G60" s="9" t="s">
        <v>24</v>
      </c>
      <c r="H60" s="14" t="s">
        <v>22</v>
      </c>
      <c r="I60" s="9" t="s">
        <v>517</v>
      </c>
      <c r="J60" s="13"/>
      <c r="K60" s="13"/>
    </row>
    <row r="61" customFormat="false" ht="23.85" hidden="false" customHeight="false" outlineLevel="0" collapsed="false">
      <c r="A61" s="9" t="n">
        <v>60</v>
      </c>
      <c r="B61" s="9" t="s">
        <v>30</v>
      </c>
      <c r="C61" s="11" t="s">
        <v>37</v>
      </c>
      <c r="D61" s="9" t="s">
        <v>518</v>
      </c>
      <c r="E61" s="9" t="s">
        <v>519</v>
      </c>
      <c r="F61" s="9" t="s">
        <v>520</v>
      </c>
      <c r="G61" s="9" t="s">
        <v>24</v>
      </c>
      <c r="H61" s="14" t="s">
        <v>22</v>
      </c>
      <c r="I61" s="9" t="s">
        <v>521</v>
      </c>
      <c r="J61" s="13"/>
      <c r="K61" s="13"/>
    </row>
    <row r="62" customFormat="false" ht="23.85" hidden="false" customHeight="false" outlineLevel="0" collapsed="false">
      <c r="A62" s="9" t="n">
        <v>61</v>
      </c>
      <c r="B62" s="9" t="s">
        <v>30</v>
      </c>
      <c r="C62" s="11" t="s">
        <v>37</v>
      </c>
      <c r="D62" s="9" t="s">
        <v>522</v>
      </c>
      <c r="E62" s="9" t="s">
        <v>523</v>
      </c>
      <c r="F62" s="9" t="s">
        <v>524</v>
      </c>
      <c r="G62" s="9" t="s">
        <v>24</v>
      </c>
      <c r="H62" s="14" t="s">
        <v>22</v>
      </c>
      <c r="I62" s="9" t="s">
        <v>521</v>
      </c>
      <c r="J62" s="13"/>
      <c r="K62" s="13"/>
    </row>
    <row r="63" customFormat="false" ht="23.85" hidden="false" customHeight="false" outlineLevel="0" collapsed="false">
      <c r="A63" s="9" t="n">
        <v>62</v>
      </c>
      <c r="B63" s="9" t="s">
        <v>30</v>
      </c>
      <c r="C63" s="11" t="s">
        <v>37</v>
      </c>
      <c r="D63" s="9" t="s">
        <v>525</v>
      </c>
      <c r="E63" s="9" t="s">
        <v>526</v>
      </c>
      <c r="F63" s="9" t="s">
        <v>527</v>
      </c>
      <c r="G63" s="9" t="s">
        <v>24</v>
      </c>
      <c r="H63" s="14" t="s">
        <v>22</v>
      </c>
      <c r="I63" s="9" t="s">
        <v>528</v>
      </c>
      <c r="J63" s="13"/>
      <c r="K63" s="13"/>
    </row>
    <row r="64" customFormat="false" ht="35.05" hidden="false" customHeight="false" outlineLevel="0" collapsed="false">
      <c r="A64" s="9" t="n">
        <v>63</v>
      </c>
      <c r="B64" s="9" t="s">
        <v>30</v>
      </c>
      <c r="C64" s="11" t="s">
        <v>37</v>
      </c>
      <c r="D64" s="9" t="s">
        <v>529</v>
      </c>
      <c r="E64" s="9" t="s">
        <v>530</v>
      </c>
      <c r="F64" s="9" t="s">
        <v>531</v>
      </c>
      <c r="G64" s="9" t="s">
        <v>24</v>
      </c>
      <c r="H64" s="14" t="s">
        <v>22</v>
      </c>
      <c r="I64" s="9" t="s">
        <v>532</v>
      </c>
      <c r="J64" s="13"/>
      <c r="K64" s="13"/>
    </row>
    <row r="65" customFormat="false" ht="23.85" hidden="false" customHeight="false" outlineLevel="0" collapsed="false">
      <c r="A65" s="9" t="n">
        <v>64</v>
      </c>
      <c r="B65" s="9" t="s">
        <v>30</v>
      </c>
      <c r="C65" s="11" t="s">
        <v>37</v>
      </c>
      <c r="D65" s="9" t="s">
        <v>533</v>
      </c>
      <c r="E65" s="9" t="s">
        <v>534</v>
      </c>
      <c r="F65" s="9" t="s">
        <v>535</v>
      </c>
      <c r="G65" s="9" t="s">
        <v>24</v>
      </c>
      <c r="H65" s="14" t="s">
        <v>22</v>
      </c>
      <c r="I65" s="9" t="s">
        <v>434</v>
      </c>
      <c r="J65" s="13"/>
      <c r="K65" s="13"/>
    </row>
    <row r="66" customFormat="false" ht="35.05" hidden="false" customHeight="false" outlineLevel="0" collapsed="false">
      <c r="A66" s="9" t="n">
        <v>65</v>
      </c>
      <c r="B66" s="9" t="s">
        <v>30</v>
      </c>
      <c r="C66" s="11" t="s">
        <v>37</v>
      </c>
      <c r="D66" s="9" t="s">
        <v>536</v>
      </c>
      <c r="E66" s="9" t="s">
        <v>537</v>
      </c>
      <c r="F66" s="9" t="s">
        <v>538</v>
      </c>
      <c r="G66" s="9" t="s">
        <v>24</v>
      </c>
      <c r="H66" s="14" t="s">
        <v>22</v>
      </c>
      <c r="I66" s="9" t="s">
        <v>539</v>
      </c>
      <c r="J66" s="13"/>
      <c r="K66" s="13"/>
    </row>
    <row r="67" customFormat="false" ht="23.85" hidden="false" customHeight="false" outlineLevel="0" collapsed="false">
      <c r="A67" s="9" t="n">
        <v>66</v>
      </c>
      <c r="B67" s="9" t="s">
        <v>30</v>
      </c>
      <c r="C67" s="11" t="s">
        <v>37</v>
      </c>
      <c r="D67" s="9" t="s">
        <v>540</v>
      </c>
      <c r="E67" s="9" t="s">
        <v>358</v>
      </c>
      <c r="F67" s="9" t="s">
        <v>478</v>
      </c>
      <c r="G67" s="9" t="s">
        <v>24</v>
      </c>
      <c r="H67" s="14" t="s">
        <v>22</v>
      </c>
      <c r="I67" s="9" t="s">
        <v>479</v>
      </c>
      <c r="J67" s="13"/>
      <c r="K67" s="13"/>
    </row>
    <row r="68" customFormat="false" ht="15" hidden="false" customHeight="false" outlineLevel="0" collapsed="false">
      <c r="A68" s="9" t="n">
        <v>67</v>
      </c>
      <c r="B68" s="9" t="s">
        <v>30</v>
      </c>
      <c r="C68" s="11" t="s">
        <v>37</v>
      </c>
      <c r="D68" s="9" t="s">
        <v>541</v>
      </c>
      <c r="E68" s="9" t="s">
        <v>362</v>
      </c>
      <c r="F68" s="9" t="s">
        <v>363</v>
      </c>
      <c r="G68" s="9" t="s">
        <v>24</v>
      </c>
      <c r="H68" s="14" t="s">
        <v>22</v>
      </c>
      <c r="I68" s="9" t="s">
        <v>364</v>
      </c>
      <c r="J68" s="13"/>
      <c r="K68" s="13"/>
    </row>
    <row r="69" customFormat="false" ht="35.05" hidden="false" customHeight="false" outlineLevel="0" collapsed="false">
      <c r="A69" s="9" t="n">
        <v>68</v>
      </c>
      <c r="B69" s="9" t="s">
        <v>30</v>
      </c>
      <c r="C69" s="11" t="s">
        <v>37</v>
      </c>
      <c r="D69" s="9" t="s">
        <v>542</v>
      </c>
      <c r="E69" s="9" t="s">
        <v>543</v>
      </c>
      <c r="F69" s="9" t="s">
        <v>544</v>
      </c>
      <c r="G69" s="9" t="s">
        <v>24</v>
      </c>
      <c r="H69" s="15" t="s">
        <v>23</v>
      </c>
      <c r="I69" s="9" t="s">
        <v>545</v>
      </c>
      <c r="J69" s="13"/>
      <c r="K69" s="13"/>
    </row>
    <row r="70" customFormat="false" ht="23.85" hidden="false" customHeight="false" outlineLevel="0" collapsed="false">
      <c r="A70" s="9" t="n">
        <v>69</v>
      </c>
      <c r="B70" s="9" t="s">
        <v>30</v>
      </c>
      <c r="C70" s="11" t="s">
        <v>37</v>
      </c>
      <c r="D70" s="9" t="s">
        <v>546</v>
      </c>
      <c r="E70" s="9" t="s">
        <v>547</v>
      </c>
      <c r="F70" s="9" t="s">
        <v>548</v>
      </c>
      <c r="G70" s="9" t="s">
        <v>24</v>
      </c>
      <c r="H70" s="15" t="s">
        <v>23</v>
      </c>
      <c r="I70" s="9" t="s">
        <v>380</v>
      </c>
      <c r="J70" s="13"/>
      <c r="K70" s="13"/>
    </row>
    <row r="71" customFormat="false" ht="23.85" hidden="false" customHeight="false" outlineLevel="0" collapsed="false">
      <c r="A71" s="9" t="n">
        <v>70</v>
      </c>
      <c r="B71" s="9" t="s">
        <v>30</v>
      </c>
      <c r="C71" s="11" t="s">
        <v>37</v>
      </c>
      <c r="D71" s="9" t="s">
        <v>549</v>
      </c>
      <c r="E71" s="9" t="s">
        <v>550</v>
      </c>
      <c r="F71" s="9" t="s">
        <v>551</v>
      </c>
      <c r="G71" s="9" t="s">
        <v>24</v>
      </c>
      <c r="H71" s="15" t="s">
        <v>23</v>
      </c>
      <c r="I71" s="9" t="s">
        <v>552</v>
      </c>
      <c r="J71" s="13"/>
      <c r="K71" s="13"/>
    </row>
    <row r="72" customFormat="false" ht="15" hidden="false" customHeight="false" outlineLevel="0" collapsed="false">
      <c r="A72" s="9" t="n">
        <v>71</v>
      </c>
      <c r="B72" s="9" t="s">
        <v>30</v>
      </c>
      <c r="C72" s="11" t="s">
        <v>37</v>
      </c>
      <c r="D72" s="9" t="s">
        <v>553</v>
      </c>
      <c r="E72" s="9" t="s">
        <v>554</v>
      </c>
      <c r="F72" s="9" t="s">
        <v>501</v>
      </c>
      <c r="G72" s="9" t="s">
        <v>24</v>
      </c>
      <c r="H72" s="15" t="s">
        <v>23</v>
      </c>
      <c r="I72" s="9" t="s">
        <v>384</v>
      </c>
      <c r="J72" s="13"/>
      <c r="K72" s="13"/>
    </row>
    <row r="73" customFormat="false" ht="23.85" hidden="false" customHeight="false" outlineLevel="0" collapsed="false">
      <c r="A73" s="9" t="n">
        <v>72</v>
      </c>
      <c r="B73" s="9" t="s">
        <v>30</v>
      </c>
      <c r="C73" s="11" t="s">
        <v>37</v>
      </c>
      <c r="D73" s="9" t="s">
        <v>555</v>
      </c>
      <c r="E73" s="9" t="s">
        <v>556</v>
      </c>
      <c r="F73" s="9" t="s">
        <v>557</v>
      </c>
      <c r="G73" s="9" t="s">
        <v>24</v>
      </c>
      <c r="H73" s="15" t="s">
        <v>23</v>
      </c>
      <c r="I73" s="9" t="s">
        <v>449</v>
      </c>
      <c r="J73" s="13"/>
      <c r="K73" s="13"/>
    </row>
    <row r="74" customFormat="false" ht="35.05" hidden="false" customHeight="false" outlineLevel="0" collapsed="false">
      <c r="A74" s="9" t="n">
        <v>73</v>
      </c>
      <c r="B74" s="9" t="s">
        <v>30</v>
      </c>
      <c r="C74" s="11" t="s">
        <v>39</v>
      </c>
      <c r="D74" s="9" t="s">
        <v>558</v>
      </c>
      <c r="E74" s="9" t="s">
        <v>559</v>
      </c>
      <c r="F74" s="9" t="s">
        <v>560</v>
      </c>
      <c r="G74" s="9" t="s">
        <v>24</v>
      </c>
      <c r="H74" s="12" t="s">
        <v>21</v>
      </c>
      <c r="I74" s="9" t="s">
        <v>561</v>
      </c>
      <c r="J74" s="13"/>
      <c r="K74" s="13"/>
    </row>
    <row r="75" customFormat="false" ht="23.85" hidden="false" customHeight="false" outlineLevel="0" collapsed="false">
      <c r="A75" s="9" t="n">
        <v>74</v>
      </c>
      <c r="B75" s="9" t="s">
        <v>30</v>
      </c>
      <c r="C75" s="11" t="s">
        <v>39</v>
      </c>
      <c r="D75" s="9" t="s">
        <v>562</v>
      </c>
      <c r="E75" s="9" t="s">
        <v>563</v>
      </c>
      <c r="F75" s="9" t="s">
        <v>564</v>
      </c>
      <c r="G75" s="9" t="s">
        <v>24</v>
      </c>
      <c r="H75" s="14" t="s">
        <v>22</v>
      </c>
      <c r="I75" s="9" t="s">
        <v>565</v>
      </c>
      <c r="J75" s="13"/>
      <c r="K75" s="13"/>
    </row>
    <row r="76" customFormat="false" ht="15" hidden="false" customHeight="false" outlineLevel="0" collapsed="false">
      <c r="A76" s="9" t="n">
        <v>75</v>
      </c>
      <c r="B76" s="9" t="s">
        <v>30</v>
      </c>
      <c r="C76" s="11" t="s">
        <v>39</v>
      </c>
      <c r="D76" s="9" t="s">
        <v>566</v>
      </c>
      <c r="E76" s="9" t="s">
        <v>567</v>
      </c>
      <c r="F76" s="9" t="s">
        <v>568</v>
      </c>
      <c r="G76" s="9" t="s">
        <v>24</v>
      </c>
      <c r="H76" s="14" t="s">
        <v>22</v>
      </c>
      <c r="I76" s="9" t="s">
        <v>569</v>
      </c>
      <c r="J76" s="13"/>
      <c r="K76" s="13"/>
    </row>
    <row r="77" customFormat="false" ht="15" hidden="false" customHeight="false" outlineLevel="0" collapsed="false">
      <c r="A77" s="9" t="n">
        <v>76</v>
      </c>
      <c r="B77" s="9" t="s">
        <v>30</v>
      </c>
      <c r="C77" s="11" t="s">
        <v>39</v>
      </c>
      <c r="D77" s="9" t="s">
        <v>570</v>
      </c>
      <c r="E77" s="9" t="s">
        <v>571</v>
      </c>
      <c r="F77" s="9" t="s">
        <v>572</v>
      </c>
      <c r="G77" s="9" t="s">
        <v>24</v>
      </c>
      <c r="H77" s="14" t="s">
        <v>22</v>
      </c>
      <c r="I77" s="9" t="s">
        <v>521</v>
      </c>
      <c r="J77" s="13"/>
      <c r="K77" s="13"/>
    </row>
    <row r="78" customFormat="false" ht="23.85" hidden="false" customHeight="false" outlineLevel="0" collapsed="false">
      <c r="A78" s="9" t="n">
        <v>77</v>
      </c>
      <c r="B78" s="9" t="s">
        <v>30</v>
      </c>
      <c r="C78" s="11" t="s">
        <v>39</v>
      </c>
      <c r="D78" s="9" t="s">
        <v>573</v>
      </c>
      <c r="E78" s="9" t="s">
        <v>574</v>
      </c>
      <c r="F78" s="9" t="s">
        <v>575</v>
      </c>
      <c r="G78" s="9" t="s">
        <v>24</v>
      </c>
      <c r="H78" s="14" t="s">
        <v>22</v>
      </c>
      <c r="I78" s="9" t="s">
        <v>576</v>
      </c>
      <c r="J78" s="13"/>
      <c r="K78" s="13"/>
    </row>
    <row r="79" customFormat="false" ht="35.05" hidden="false" customHeight="false" outlineLevel="0" collapsed="false">
      <c r="A79" s="9" t="n">
        <v>78</v>
      </c>
      <c r="B79" s="9" t="s">
        <v>30</v>
      </c>
      <c r="C79" s="11" t="s">
        <v>39</v>
      </c>
      <c r="D79" s="9" t="s">
        <v>577</v>
      </c>
      <c r="E79" s="9" t="s">
        <v>578</v>
      </c>
      <c r="F79" s="9" t="s">
        <v>579</v>
      </c>
      <c r="G79" s="9" t="s">
        <v>24</v>
      </c>
      <c r="H79" s="14" t="s">
        <v>22</v>
      </c>
      <c r="I79" s="9" t="s">
        <v>434</v>
      </c>
      <c r="J79" s="13"/>
      <c r="K79" s="13"/>
    </row>
    <row r="80" customFormat="false" ht="23.85" hidden="false" customHeight="false" outlineLevel="0" collapsed="false">
      <c r="A80" s="9" t="n">
        <v>79</v>
      </c>
      <c r="B80" s="9" t="s">
        <v>30</v>
      </c>
      <c r="C80" s="11" t="s">
        <v>39</v>
      </c>
      <c r="D80" s="9" t="s">
        <v>580</v>
      </c>
      <c r="E80" s="9" t="s">
        <v>581</v>
      </c>
      <c r="F80" s="9" t="s">
        <v>582</v>
      </c>
      <c r="G80" s="9" t="s">
        <v>24</v>
      </c>
      <c r="H80" s="14" t="s">
        <v>22</v>
      </c>
      <c r="I80" s="9" t="s">
        <v>583</v>
      </c>
      <c r="J80" s="13"/>
      <c r="K80" s="13"/>
    </row>
    <row r="81" customFormat="false" ht="23.85" hidden="false" customHeight="false" outlineLevel="0" collapsed="false">
      <c r="A81" s="9" t="n">
        <v>80</v>
      </c>
      <c r="B81" s="9" t="s">
        <v>30</v>
      </c>
      <c r="C81" s="11" t="s">
        <v>39</v>
      </c>
      <c r="D81" s="9" t="s">
        <v>584</v>
      </c>
      <c r="E81" s="9" t="s">
        <v>358</v>
      </c>
      <c r="F81" s="9" t="s">
        <v>585</v>
      </c>
      <c r="G81" s="9" t="s">
        <v>24</v>
      </c>
      <c r="H81" s="14" t="s">
        <v>22</v>
      </c>
      <c r="I81" s="9" t="s">
        <v>586</v>
      </c>
      <c r="J81" s="13"/>
      <c r="K81" s="13"/>
    </row>
    <row r="82" customFormat="false" ht="15" hidden="false" customHeight="false" outlineLevel="0" collapsed="false">
      <c r="A82" s="9" t="n">
        <v>81</v>
      </c>
      <c r="B82" s="9" t="s">
        <v>30</v>
      </c>
      <c r="C82" s="11" t="s">
        <v>39</v>
      </c>
      <c r="D82" s="9" t="s">
        <v>587</v>
      </c>
      <c r="E82" s="9" t="s">
        <v>362</v>
      </c>
      <c r="F82" s="9" t="s">
        <v>363</v>
      </c>
      <c r="G82" s="9" t="s">
        <v>24</v>
      </c>
      <c r="H82" s="14" t="s">
        <v>22</v>
      </c>
      <c r="I82" s="9" t="s">
        <v>364</v>
      </c>
      <c r="J82" s="13"/>
      <c r="K82" s="13"/>
    </row>
    <row r="83" customFormat="false" ht="15" hidden="false" customHeight="false" outlineLevel="0" collapsed="false">
      <c r="A83" s="9" t="n">
        <v>82</v>
      </c>
      <c r="B83" s="9" t="s">
        <v>30</v>
      </c>
      <c r="C83" s="11" t="s">
        <v>39</v>
      </c>
      <c r="D83" s="9" t="s">
        <v>588</v>
      </c>
      <c r="E83" s="9" t="s">
        <v>589</v>
      </c>
      <c r="F83" s="9" t="s">
        <v>590</v>
      </c>
      <c r="G83" s="9" t="s">
        <v>24</v>
      </c>
      <c r="H83" s="15" t="s">
        <v>23</v>
      </c>
      <c r="I83" s="9" t="s">
        <v>591</v>
      </c>
      <c r="J83" s="13"/>
      <c r="K83" s="13"/>
    </row>
    <row r="84" customFormat="false" ht="35.05" hidden="false" customHeight="false" outlineLevel="0" collapsed="false">
      <c r="A84" s="9" t="n">
        <v>83</v>
      </c>
      <c r="B84" s="9" t="s">
        <v>30</v>
      </c>
      <c r="C84" s="11" t="s">
        <v>39</v>
      </c>
      <c r="D84" s="9" t="s">
        <v>592</v>
      </c>
      <c r="E84" s="9" t="s">
        <v>593</v>
      </c>
      <c r="F84" s="9" t="s">
        <v>594</v>
      </c>
      <c r="G84" s="9" t="s">
        <v>24</v>
      </c>
      <c r="H84" s="15" t="s">
        <v>23</v>
      </c>
      <c r="I84" s="9" t="s">
        <v>595</v>
      </c>
      <c r="J84" s="13"/>
      <c r="K84" s="13"/>
    </row>
    <row r="85" customFormat="false" ht="23.85" hidden="false" customHeight="false" outlineLevel="0" collapsed="false">
      <c r="A85" s="9" t="n">
        <v>84</v>
      </c>
      <c r="B85" s="9" t="s">
        <v>30</v>
      </c>
      <c r="C85" s="11" t="s">
        <v>39</v>
      </c>
      <c r="D85" s="9" t="s">
        <v>596</v>
      </c>
      <c r="E85" s="9" t="s">
        <v>597</v>
      </c>
      <c r="F85" s="9" t="s">
        <v>598</v>
      </c>
      <c r="G85" s="9" t="s">
        <v>24</v>
      </c>
      <c r="H85" s="15" t="s">
        <v>23</v>
      </c>
      <c r="I85" s="9" t="s">
        <v>380</v>
      </c>
      <c r="J85" s="13"/>
      <c r="K85" s="13"/>
    </row>
    <row r="86" customFormat="false" ht="15" hidden="false" customHeight="false" outlineLevel="0" collapsed="false">
      <c r="A86" s="9" t="n">
        <v>85</v>
      </c>
      <c r="B86" s="9" t="s">
        <v>30</v>
      </c>
      <c r="C86" s="11" t="s">
        <v>39</v>
      </c>
      <c r="D86" s="9" t="s">
        <v>599</v>
      </c>
      <c r="E86" s="9" t="s">
        <v>600</v>
      </c>
      <c r="F86" s="9" t="s">
        <v>501</v>
      </c>
      <c r="G86" s="9" t="s">
        <v>24</v>
      </c>
      <c r="H86" s="15" t="s">
        <v>23</v>
      </c>
      <c r="I86" s="9" t="s">
        <v>384</v>
      </c>
      <c r="J86" s="13"/>
      <c r="K86" s="13"/>
    </row>
    <row r="87" customFormat="false" ht="15" hidden="false" customHeight="false" outlineLevel="0" collapsed="false">
      <c r="A87" s="9" t="n">
        <v>86</v>
      </c>
      <c r="B87" s="9" t="s">
        <v>30</v>
      </c>
      <c r="C87" s="11" t="s">
        <v>39</v>
      </c>
      <c r="D87" s="9" t="s">
        <v>601</v>
      </c>
      <c r="E87" s="9" t="s">
        <v>602</v>
      </c>
      <c r="F87" s="9" t="s">
        <v>603</v>
      </c>
      <c r="G87" s="9" t="s">
        <v>24</v>
      </c>
      <c r="H87" s="15" t="s">
        <v>23</v>
      </c>
      <c r="I87" s="9" t="s">
        <v>449</v>
      </c>
      <c r="J87" s="13"/>
      <c r="K87" s="13"/>
    </row>
    <row r="88" customFormat="false" ht="35.05" hidden="false" customHeight="false" outlineLevel="0" collapsed="false">
      <c r="A88" s="9" t="n">
        <v>87</v>
      </c>
      <c r="B88" s="9" t="s">
        <v>30</v>
      </c>
      <c r="C88" s="11" t="s">
        <v>41</v>
      </c>
      <c r="D88" s="9" t="s">
        <v>604</v>
      </c>
      <c r="E88" s="9" t="s">
        <v>605</v>
      </c>
      <c r="F88" s="9" t="s">
        <v>606</v>
      </c>
      <c r="G88" s="9" t="s">
        <v>303</v>
      </c>
      <c r="H88" s="12" t="s">
        <v>21</v>
      </c>
      <c r="I88" s="9" t="s">
        <v>607</v>
      </c>
      <c r="J88" s="13"/>
      <c r="K88" s="13"/>
    </row>
    <row r="89" customFormat="false" ht="57.45" hidden="false" customHeight="false" outlineLevel="0" collapsed="false">
      <c r="A89" s="9" t="n">
        <v>88</v>
      </c>
      <c r="B89" s="9" t="s">
        <v>30</v>
      </c>
      <c r="C89" s="11" t="s">
        <v>41</v>
      </c>
      <c r="D89" s="9" t="s">
        <v>608</v>
      </c>
      <c r="E89" s="9" t="s">
        <v>609</v>
      </c>
      <c r="F89" s="9" t="s">
        <v>610</v>
      </c>
      <c r="G89" s="9" t="s">
        <v>303</v>
      </c>
      <c r="H89" s="12" t="s">
        <v>21</v>
      </c>
      <c r="I89" s="9" t="s">
        <v>304</v>
      </c>
      <c r="J89" s="13"/>
      <c r="K89" s="13"/>
    </row>
    <row r="90" customFormat="false" ht="35.05" hidden="false" customHeight="false" outlineLevel="0" collapsed="false">
      <c r="A90" s="9" t="n">
        <v>89</v>
      </c>
      <c r="B90" s="9" t="s">
        <v>30</v>
      </c>
      <c r="C90" s="11" t="s">
        <v>41</v>
      </c>
      <c r="D90" s="9" t="s">
        <v>611</v>
      </c>
      <c r="E90" s="9" t="s">
        <v>612</v>
      </c>
      <c r="F90" s="9" t="s">
        <v>613</v>
      </c>
      <c r="G90" s="9" t="s">
        <v>312</v>
      </c>
      <c r="H90" s="12" t="s">
        <v>21</v>
      </c>
      <c r="I90" s="9" t="s">
        <v>614</v>
      </c>
      <c r="J90" s="13"/>
      <c r="K90" s="13"/>
    </row>
    <row r="91" customFormat="false" ht="23.85" hidden="false" customHeight="false" outlineLevel="0" collapsed="false">
      <c r="A91" s="9" t="n">
        <v>90</v>
      </c>
      <c r="B91" s="9" t="s">
        <v>30</v>
      </c>
      <c r="C91" s="11" t="s">
        <v>41</v>
      </c>
      <c r="D91" s="9" t="s">
        <v>615</v>
      </c>
      <c r="E91" s="9" t="s">
        <v>616</v>
      </c>
      <c r="F91" s="9" t="s">
        <v>617</v>
      </c>
      <c r="G91" s="9" t="s">
        <v>618</v>
      </c>
      <c r="H91" s="9" t="s">
        <v>619</v>
      </c>
      <c r="I91" s="9" t="s">
        <v>620</v>
      </c>
      <c r="J91" s="13"/>
      <c r="K91" s="13"/>
    </row>
    <row r="92" customFormat="false" ht="23.85" hidden="false" customHeight="false" outlineLevel="0" collapsed="false">
      <c r="A92" s="9" t="n">
        <v>91</v>
      </c>
      <c r="B92" s="9" t="s">
        <v>30</v>
      </c>
      <c r="C92" s="11" t="s">
        <v>41</v>
      </c>
      <c r="D92" s="9" t="s">
        <v>621</v>
      </c>
      <c r="E92" s="9" t="s">
        <v>616</v>
      </c>
      <c r="F92" s="9" t="s">
        <v>622</v>
      </c>
      <c r="G92" s="9" t="s">
        <v>618</v>
      </c>
      <c r="H92" s="9" t="s">
        <v>623</v>
      </c>
      <c r="I92" s="9" t="s">
        <v>620</v>
      </c>
      <c r="J92" s="13"/>
      <c r="K92" s="13"/>
    </row>
    <row r="93" customFormat="false" ht="23.85" hidden="false" customHeight="false" outlineLevel="0" collapsed="false">
      <c r="A93" s="9" t="n">
        <v>92</v>
      </c>
      <c r="B93" s="9" t="s">
        <v>30</v>
      </c>
      <c r="C93" s="11" t="s">
        <v>41</v>
      </c>
      <c r="D93" s="9" t="s">
        <v>624</v>
      </c>
      <c r="E93" s="9" t="s">
        <v>625</v>
      </c>
      <c r="F93" s="9" t="s">
        <v>626</v>
      </c>
      <c r="G93" s="9" t="s">
        <v>308</v>
      </c>
      <c r="H93" s="14" t="s">
        <v>22</v>
      </c>
      <c r="I93" s="9" t="s">
        <v>304</v>
      </c>
      <c r="J93" s="13"/>
      <c r="K93" s="13"/>
    </row>
    <row r="94" customFormat="false" ht="23.85" hidden="false" customHeight="false" outlineLevel="0" collapsed="false">
      <c r="A94" s="9" t="n">
        <v>93</v>
      </c>
      <c r="B94" s="9" t="s">
        <v>30</v>
      </c>
      <c r="C94" s="11" t="s">
        <v>41</v>
      </c>
      <c r="D94" s="9" t="s">
        <v>627</v>
      </c>
      <c r="E94" s="9" t="s">
        <v>628</v>
      </c>
      <c r="F94" s="9" t="s">
        <v>629</v>
      </c>
      <c r="G94" s="9" t="s">
        <v>308</v>
      </c>
      <c r="H94" s="15" t="s">
        <v>23</v>
      </c>
      <c r="I94" s="9" t="s">
        <v>304</v>
      </c>
      <c r="J94" s="13"/>
      <c r="K94" s="13"/>
    </row>
    <row r="95" customFormat="false" ht="23.85" hidden="false" customHeight="false" outlineLevel="0" collapsed="false">
      <c r="A95" s="9" t="n">
        <v>94</v>
      </c>
      <c r="B95" s="9" t="s">
        <v>30</v>
      </c>
      <c r="C95" s="11" t="s">
        <v>41</v>
      </c>
      <c r="D95" s="9" t="s">
        <v>630</v>
      </c>
      <c r="E95" s="9" t="s">
        <v>631</v>
      </c>
      <c r="F95" s="9" t="s">
        <v>632</v>
      </c>
      <c r="G95" s="9" t="s">
        <v>24</v>
      </c>
      <c r="H95" s="14" t="s">
        <v>22</v>
      </c>
      <c r="I95" s="9" t="s">
        <v>633</v>
      </c>
      <c r="J95" s="13"/>
      <c r="K95" s="13"/>
    </row>
    <row r="96" customFormat="false" ht="23.85" hidden="false" customHeight="false" outlineLevel="0" collapsed="false">
      <c r="A96" s="9" t="n">
        <v>95</v>
      </c>
      <c r="B96" s="9" t="s">
        <v>30</v>
      </c>
      <c r="C96" s="11" t="s">
        <v>41</v>
      </c>
      <c r="D96" s="9" t="s">
        <v>634</v>
      </c>
      <c r="E96" s="9" t="s">
        <v>635</v>
      </c>
      <c r="F96" s="9" t="s">
        <v>636</v>
      </c>
      <c r="G96" s="9" t="s">
        <v>24</v>
      </c>
      <c r="H96" s="14" t="s">
        <v>22</v>
      </c>
      <c r="I96" s="9" t="s">
        <v>521</v>
      </c>
      <c r="J96" s="13"/>
      <c r="K96" s="13"/>
    </row>
    <row r="97" customFormat="false" ht="23.85" hidden="false" customHeight="false" outlineLevel="0" collapsed="false">
      <c r="A97" s="9" t="n">
        <v>96</v>
      </c>
      <c r="B97" s="9" t="s">
        <v>30</v>
      </c>
      <c r="C97" s="11" t="s">
        <v>41</v>
      </c>
      <c r="D97" s="9" t="s">
        <v>637</v>
      </c>
      <c r="E97" s="9" t="s">
        <v>638</v>
      </c>
      <c r="F97" s="9" t="s">
        <v>639</v>
      </c>
      <c r="G97" s="9" t="s">
        <v>24</v>
      </c>
      <c r="H97" s="14" t="s">
        <v>22</v>
      </c>
      <c r="I97" s="9" t="s">
        <v>640</v>
      </c>
      <c r="J97" s="13"/>
      <c r="K97" s="13"/>
    </row>
    <row r="98" customFormat="false" ht="23.85" hidden="false" customHeight="false" outlineLevel="0" collapsed="false">
      <c r="A98" s="9" t="n">
        <v>97</v>
      </c>
      <c r="B98" s="9" t="s">
        <v>30</v>
      </c>
      <c r="C98" s="11" t="s">
        <v>41</v>
      </c>
      <c r="D98" s="9" t="s">
        <v>641</v>
      </c>
      <c r="E98" s="9" t="s">
        <v>642</v>
      </c>
      <c r="F98" s="9" t="s">
        <v>643</v>
      </c>
      <c r="G98" s="9" t="s">
        <v>24</v>
      </c>
      <c r="H98" s="14" t="s">
        <v>22</v>
      </c>
      <c r="I98" s="9" t="s">
        <v>434</v>
      </c>
      <c r="J98" s="13"/>
      <c r="K98" s="13"/>
    </row>
    <row r="99" customFormat="false" ht="23.85" hidden="false" customHeight="false" outlineLevel="0" collapsed="false">
      <c r="A99" s="9" t="n">
        <v>98</v>
      </c>
      <c r="B99" s="9" t="s">
        <v>30</v>
      </c>
      <c r="C99" s="11" t="s">
        <v>41</v>
      </c>
      <c r="D99" s="9" t="s">
        <v>644</v>
      </c>
      <c r="E99" s="9" t="s">
        <v>358</v>
      </c>
      <c r="F99" s="9" t="s">
        <v>645</v>
      </c>
      <c r="G99" s="9" t="s">
        <v>24</v>
      </c>
      <c r="H99" s="14" t="s">
        <v>22</v>
      </c>
      <c r="I99" s="9" t="s">
        <v>586</v>
      </c>
      <c r="J99" s="13"/>
      <c r="K99" s="13"/>
    </row>
    <row r="100" customFormat="false" ht="15" hidden="false" customHeight="false" outlineLevel="0" collapsed="false">
      <c r="A100" s="9" t="n">
        <v>99</v>
      </c>
      <c r="B100" s="9" t="s">
        <v>30</v>
      </c>
      <c r="C100" s="11" t="s">
        <v>41</v>
      </c>
      <c r="D100" s="9" t="s">
        <v>646</v>
      </c>
      <c r="E100" s="9" t="s">
        <v>362</v>
      </c>
      <c r="F100" s="9" t="s">
        <v>363</v>
      </c>
      <c r="G100" s="9" t="s">
        <v>24</v>
      </c>
      <c r="H100" s="14" t="s">
        <v>22</v>
      </c>
      <c r="I100" s="9" t="s">
        <v>364</v>
      </c>
      <c r="J100" s="13"/>
      <c r="K100" s="13"/>
    </row>
    <row r="101" customFormat="false" ht="35.05" hidden="false" customHeight="false" outlineLevel="0" collapsed="false">
      <c r="A101" s="9" t="n">
        <v>100</v>
      </c>
      <c r="B101" s="9" t="s">
        <v>30</v>
      </c>
      <c r="C101" s="11" t="s">
        <v>41</v>
      </c>
      <c r="D101" s="9" t="s">
        <v>647</v>
      </c>
      <c r="E101" s="9" t="s">
        <v>648</v>
      </c>
      <c r="F101" s="9" t="s">
        <v>649</v>
      </c>
      <c r="G101" s="9" t="s">
        <v>24</v>
      </c>
      <c r="H101" s="14" t="s">
        <v>22</v>
      </c>
      <c r="I101" s="9" t="s">
        <v>650</v>
      </c>
      <c r="J101" s="13"/>
      <c r="K101" s="13"/>
    </row>
    <row r="102" customFormat="false" ht="35.05" hidden="false" customHeight="false" outlineLevel="0" collapsed="false">
      <c r="A102" s="9" t="n">
        <v>101</v>
      </c>
      <c r="B102" s="9" t="s">
        <v>30</v>
      </c>
      <c r="C102" s="11" t="s">
        <v>41</v>
      </c>
      <c r="D102" s="9" t="s">
        <v>651</v>
      </c>
      <c r="E102" s="9" t="s">
        <v>652</v>
      </c>
      <c r="F102" s="9" t="s">
        <v>653</v>
      </c>
      <c r="G102" s="9" t="s">
        <v>24</v>
      </c>
      <c r="H102" s="15" t="s">
        <v>23</v>
      </c>
      <c r="I102" s="9" t="s">
        <v>654</v>
      </c>
      <c r="J102" s="13"/>
      <c r="K102" s="13"/>
    </row>
    <row r="103" customFormat="false" ht="23.85" hidden="false" customHeight="false" outlineLevel="0" collapsed="false">
      <c r="A103" s="9" t="n">
        <v>102</v>
      </c>
      <c r="B103" s="9" t="s">
        <v>30</v>
      </c>
      <c r="C103" s="11" t="s">
        <v>41</v>
      </c>
      <c r="D103" s="9" t="s">
        <v>655</v>
      </c>
      <c r="E103" s="9" t="s">
        <v>656</v>
      </c>
      <c r="F103" s="9" t="s">
        <v>657</v>
      </c>
      <c r="G103" s="9" t="s">
        <v>24</v>
      </c>
      <c r="H103" s="15" t="s">
        <v>23</v>
      </c>
      <c r="I103" s="9" t="s">
        <v>658</v>
      </c>
      <c r="J103" s="13"/>
      <c r="K103" s="13"/>
    </row>
    <row r="104" customFormat="false" ht="23.85" hidden="false" customHeight="false" outlineLevel="0" collapsed="false">
      <c r="A104" s="9" t="n">
        <v>103</v>
      </c>
      <c r="B104" s="9" t="s">
        <v>30</v>
      </c>
      <c r="C104" s="11" t="s">
        <v>41</v>
      </c>
      <c r="D104" s="9" t="s">
        <v>659</v>
      </c>
      <c r="E104" s="9" t="s">
        <v>660</v>
      </c>
      <c r="F104" s="9" t="s">
        <v>661</v>
      </c>
      <c r="G104" s="9" t="s">
        <v>24</v>
      </c>
      <c r="H104" s="15" t="s">
        <v>23</v>
      </c>
      <c r="I104" s="9" t="s">
        <v>376</v>
      </c>
      <c r="J104" s="13"/>
      <c r="K104" s="13"/>
    </row>
    <row r="105" customFormat="false" ht="23.85" hidden="false" customHeight="false" outlineLevel="0" collapsed="false">
      <c r="A105" s="9" t="n">
        <v>104</v>
      </c>
      <c r="B105" s="9" t="s">
        <v>30</v>
      </c>
      <c r="C105" s="11" t="s">
        <v>41</v>
      </c>
      <c r="D105" s="9" t="s">
        <v>662</v>
      </c>
      <c r="E105" s="9" t="s">
        <v>663</v>
      </c>
      <c r="F105" s="9" t="s">
        <v>664</v>
      </c>
      <c r="G105" s="9" t="s">
        <v>24</v>
      </c>
      <c r="H105" s="15" t="s">
        <v>23</v>
      </c>
      <c r="I105" s="9" t="s">
        <v>665</v>
      </c>
      <c r="J105" s="13"/>
      <c r="K105" s="13"/>
    </row>
    <row r="106" customFormat="false" ht="15" hidden="false" customHeight="false" outlineLevel="0" collapsed="false">
      <c r="A106" s="9" t="n">
        <v>105</v>
      </c>
      <c r="B106" s="9" t="s">
        <v>30</v>
      </c>
      <c r="C106" s="11" t="s">
        <v>41</v>
      </c>
      <c r="D106" s="9" t="s">
        <v>666</v>
      </c>
      <c r="E106" s="9" t="s">
        <v>667</v>
      </c>
      <c r="F106" s="9" t="s">
        <v>501</v>
      </c>
      <c r="G106" s="9" t="s">
        <v>24</v>
      </c>
      <c r="H106" s="15" t="s">
        <v>23</v>
      </c>
      <c r="I106" s="9" t="s">
        <v>384</v>
      </c>
      <c r="J106" s="13"/>
      <c r="K106" s="13"/>
    </row>
    <row r="107" customFormat="false" ht="15" hidden="false" customHeight="false" outlineLevel="0" collapsed="false">
      <c r="A107" s="9" t="n">
        <v>106</v>
      </c>
      <c r="B107" s="9" t="s">
        <v>30</v>
      </c>
      <c r="C107" s="11" t="s">
        <v>41</v>
      </c>
      <c r="D107" s="9" t="s">
        <v>668</v>
      </c>
      <c r="E107" s="9" t="s">
        <v>669</v>
      </c>
      <c r="F107" s="9" t="s">
        <v>603</v>
      </c>
      <c r="G107" s="9" t="s">
        <v>24</v>
      </c>
      <c r="H107" s="15" t="s">
        <v>23</v>
      </c>
      <c r="I107" s="9" t="s">
        <v>449</v>
      </c>
      <c r="J107" s="13"/>
      <c r="K107" s="13"/>
    </row>
    <row r="108" customFormat="false" ht="35.05" hidden="false" customHeight="false" outlineLevel="0" collapsed="false">
      <c r="A108" s="9" t="n">
        <v>107</v>
      </c>
      <c r="B108" s="9" t="s">
        <v>43</v>
      </c>
      <c r="C108" s="11" t="s">
        <v>44</v>
      </c>
      <c r="D108" s="9" t="s">
        <v>670</v>
      </c>
      <c r="E108" s="9" t="s">
        <v>671</v>
      </c>
      <c r="F108" s="9" t="s">
        <v>672</v>
      </c>
      <c r="G108" s="9" t="s">
        <v>673</v>
      </c>
      <c r="H108" s="12" t="s">
        <v>21</v>
      </c>
      <c r="I108" s="9" t="s">
        <v>304</v>
      </c>
      <c r="J108" s="13"/>
      <c r="K108" s="13"/>
    </row>
    <row r="109" customFormat="false" ht="35.05" hidden="false" customHeight="false" outlineLevel="0" collapsed="false">
      <c r="A109" s="9" t="n">
        <v>108</v>
      </c>
      <c r="B109" s="9" t="s">
        <v>43</v>
      </c>
      <c r="C109" s="11" t="s">
        <v>44</v>
      </c>
      <c r="D109" s="9" t="s">
        <v>674</v>
      </c>
      <c r="E109" s="9" t="s">
        <v>675</v>
      </c>
      <c r="F109" s="9" t="s">
        <v>676</v>
      </c>
      <c r="G109" s="9" t="s">
        <v>308</v>
      </c>
      <c r="H109" s="14" t="s">
        <v>22</v>
      </c>
      <c r="I109" s="9" t="s">
        <v>313</v>
      </c>
      <c r="J109" s="13"/>
      <c r="K109" s="13"/>
    </row>
    <row r="110" customFormat="false" ht="15" hidden="false" customHeight="false" outlineLevel="0" collapsed="false">
      <c r="A110" s="9" t="n">
        <v>109</v>
      </c>
      <c r="B110" s="9" t="s">
        <v>43</v>
      </c>
      <c r="C110" s="11" t="s">
        <v>44</v>
      </c>
      <c r="D110" s="9" t="s">
        <v>677</v>
      </c>
      <c r="E110" s="9" t="s">
        <v>678</v>
      </c>
      <c r="F110" s="9" t="s">
        <v>679</v>
      </c>
      <c r="G110" s="9" t="s">
        <v>328</v>
      </c>
      <c r="H110" s="15" t="s">
        <v>23</v>
      </c>
      <c r="I110" s="9" t="s">
        <v>313</v>
      </c>
      <c r="J110" s="13"/>
      <c r="K110" s="13"/>
    </row>
    <row r="111" customFormat="false" ht="23.85" hidden="false" customHeight="false" outlineLevel="0" collapsed="false">
      <c r="A111" s="9" t="n">
        <v>110</v>
      </c>
      <c r="B111" s="9" t="s">
        <v>43</v>
      </c>
      <c r="C111" s="11" t="s">
        <v>44</v>
      </c>
      <c r="D111" s="9" t="s">
        <v>680</v>
      </c>
      <c r="E111" s="9" t="s">
        <v>681</v>
      </c>
      <c r="F111" s="9" t="s">
        <v>682</v>
      </c>
      <c r="G111" s="9" t="s">
        <v>24</v>
      </c>
      <c r="H111" s="12" t="s">
        <v>21</v>
      </c>
      <c r="I111" s="9" t="s">
        <v>683</v>
      </c>
      <c r="J111" s="13"/>
      <c r="K111" s="13"/>
    </row>
    <row r="112" customFormat="false" ht="15" hidden="false" customHeight="false" outlineLevel="0" collapsed="false">
      <c r="A112" s="9" t="n">
        <v>111</v>
      </c>
      <c r="B112" s="9" t="s">
        <v>43</v>
      </c>
      <c r="C112" s="11" t="s">
        <v>44</v>
      </c>
      <c r="D112" s="9" t="s">
        <v>684</v>
      </c>
      <c r="E112" s="9" t="s">
        <v>685</v>
      </c>
      <c r="F112" s="9" t="s">
        <v>686</v>
      </c>
      <c r="G112" s="9" t="s">
        <v>24</v>
      </c>
      <c r="H112" s="14" t="s">
        <v>22</v>
      </c>
      <c r="I112" s="9" t="s">
        <v>521</v>
      </c>
      <c r="J112" s="13"/>
      <c r="K112" s="13"/>
    </row>
    <row r="113" customFormat="false" ht="23.85" hidden="false" customHeight="false" outlineLevel="0" collapsed="false">
      <c r="A113" s="9" t="n">
        <v>112</v>
      </c>
      <c r="B113" s="9" t="s">
        <v>43</v>
      </c>
      <c r="C113" s="11" t="s">
        <v>44</v>
      </c>
      <c r="D113" s="9" t="s">
        <v>687</v>
      </c>
      <c r="E113" s="9" t="s">
        <v>688</v>
      </c>
      <c r="F113" s="9" t="s">
        <v>689</v>
      </c>
      <c r="G113" s="9" t="s">
        <v>24</v>
      </c>
      <c r="H113" s="14" t="s">
        <v>22</v>
      </c>
      <c r="I113" s="9" t="s">
        <v>521</v>
      </c>
      <c r="J113" s="13"/>
      <c r="K113" s="13"/>
    </row>
    <row r="114" customFormat="false" ht="15" hidden="false" customHeight="false" outlineLevel="0" collapsed="false">
      <c r="A114" s="9" t="n">
        <v>113</v>
      </c>
      <c r="B114" s="9" t="s">
        <v>43</v>
      </c>
      <c r="C114" s="11" t="s">
        <v>44</v>
      </c>
      <c r="D114" s="9" t="s">
        <v>690</v>
      </c>
      <c r="E114" s="9" t="s">
        <v>691</v>
      </c>
      <c r="F114" s="9" t="s">
        <v>692</v>
      </c>
      <c r="G114" s="9" t="s">
        <v>24</v>
      </c>
      <c r="H114" s="14" t="s">
        <v>22</v>
      </c>
      <c r="I114" s="9" t="s">
        <v>521</v>
      </c>
      <c r="J114" s="13"/>
      <c r="K114" s="13"/>
    </row>
    <row r="115" customFormat="false" ht="23.85" hidden="false" customHeight="false" outlineLevel="0" collapsed="false">
      <c r="A115" s="9" t="n">
        <v>114</v>
      </c>
      <c r="B115" s="9" t="s">
        <v>43</v>
      </c>
      <c r="C115" s="11" t="s">
        <v>44</v>
      </c>
      <c r="D115" s="9" t="s">
        <v>693</v>
      </c>
      <c r="E115" s="9" t="s">
        <v>694</v>
      </c>
      <c r="F115" s="9" t="s">
        <v>695</v>
      </c>
      <c r="G115" s="9" t="s">
        <v>24</v>
      </c>
      <c r="H115" s="14" t="s">
        <v>22</v>
      </c>
      <c r="I115" s="9" t="s">
        <v>521</v>
      </c>
      <c r="J115" s="13"/>
      <c r="K115" s="13"/>
    </row>
    <row r="116" customFormat="false" ht="15" hidden="false" customHeight="false" outlineLevel="0" collapsed="false">
      <c r="A116" s="9" t="n">
        <v>115</v>
      </c>
      <c r="B116" s="9" t="s">
        <v>43</v>
      </c>
      <c r="C116" s="11" t="s">
        <v>44</v>
      </c>
      <c r="D116" s="9" t="s">
        <v>696</v>
      </c>
      <c r="E116" s="9" t="s">
        <v>697</v>
      </c>
      <c r="F116" s="9" t="s">
        <v>698</v>
      </c>
      <c r="G116" s="9" t="s">
        <v>24</v>
      </c>
      <c r="H116" s="14" t="s">
        <v>22</v>
      </c>
      <c r="I116" s="9" t="s">
        <v>699</v>
      </c>
      <c r="J116" s="13"/>
      <c r="K116" s="13"/>
    </row>
    <row r="117" customFormat="false" ht="15" hidden="false" customHeight="false" outlineLevel="0" collapsed="false">
      <c r="A117" s="9" t="n">
        <v>116</v>
      </c>
      <c r="B117" s="9" t="s">
        <v>43</v>
      </c>
      <c r="C117" s="11" t="s">
        <v>44</v>
      </c>
      <c r="D117" s="9" t="s">
        <v>700</v>
      </c>
      <c r="E117" s="9" t="s">
        <v>701</v>
      </c>
      <c r="F117" s="9" t="s">
        <v>702</v>
      </c>
      <c r="G117" s="9" t="s">
        <v>24</v>
      </c>
      <c r="H117" s="14" t="s">
        <v>22</v>
      </c>
      <c r="I117" s="9" t="s">
        <v>703</v>
      </c>
      <c r="J117" s="13"/>
      <c r="K117" s="13"/>
    </row>
    <row r="118" customFormat="false" ht="15" hidden="false" customHeight="false" outlineLevel="0" collapsed="false">
      <c r="A118" s="9" t="n">
        <v>117</v>
      </c>
      <c r="B118" s="9" t="s">
        <v>43</v>
      </c>
      <c r="C118" s="11" t="s">
        <v>44</v>
      </c>
      <c r="D118" s="9" t="s">
        <v>704</v>
      </c>
      <c r="E118" s="9" t="s">
        <v>705</v>
      </c>
      <c r="F118" s="9" t="s">
        <v>706</v>
      </c>
      <c r="G118" s="9" t="s">
        <v>24</v>
      </c>
      <c r="H118" s="14" t="s">
        <v>22</v>
      </c>
      <c r="I118" s="9" t="s">
        <v>703</v>
      </c>
      <c r="J118" s="13"/>
      <c r="K118" s="13"/>
    </row>
    <row r="119" customFormat="false" ht="23.85" hidden="false" customHeight="false" outlineLevel="0" collapsed="false">
      <c r="A119" s="9" t="n">
        <v>118</v>
      </c>
      <c r="B119" s="9" t="s">
        <v>43</v>
      </c>
      <c r="C119" s="11" t="s">
        <v>44</v>
      </c>
      <c r="D119" s="9" t="s">
        <v>707</v>
      </c>
      <c r="E119" s="9" t="s">
        <v>708</v>
      </c>
      <c r="F119" s="9" t="s">
        <v>709</v>
      </c>
      <c r="G119" s="9" t="s">
        <v>24</v>
      </c>
      <c r="H119" s="14" t="s">
        <v>22</v>
      </c>
      <c r="I119" s="9" t="s">
        <v>434</v>
      </c>
      <c r="J119" s="13"/>
      <c r="K119" s="13"/>
    </row>
    <row r="120" customFormat="false" ht="23.85" hidden="false" customHeight="false" outlineLevel="0" collapsed="false">
      <c r="A120" s="9" t="n">
        <v>119</v>
      </c>
      <c r="B120" s="9" t="s">
        <v>43</v>
      </c>
      <c r="C120" s="11" t="s">
        <v>44</v>
      </c>
      <c r="D120" s="9" t="s">
        <v>710</v>
      </c>
      <c r="E120" s="9" t="s">
        <v>358</v>
      </c>
      <c r="F120" s="9" t="s">
        <v>711</v>
      </c>
      <c r="G120" s="9" t="s">
        <v>24</v>
      </c>
      <c r="H120" s="14" t="s">
        <v>22</v>
      </c>
      <c r="I120" s="9" t="s">
        <v>712</v>
      </c>
      <c r="J120" s="13"/>
      <c r="K120" s="13"/>
    </row>
    <row r="121" customFormat="false" ht="15" hidden="false" customHeight="false" outlineLevel="0" collapsed="false">
      <c r="A121" s="9" t="n">
        <v>120</v>
      </c>
      <c r="B121" s="9" t="s">
        <v>43</v>
      </c>
      <c r="C121" s="11" t="s">
        <v>44</v>
      </c>
      <c r="D121" s="9" t="s">
        <v>713</v>
      </c>
      <c r="E121" s="9" t="s">
        <v>362</v>
      </c>
      <c r="F121" s="9" t="s">
        <v>363</v>
      </c>
      <c r="G121" s="9" t="s">
        <v>24</v>
      </c>
      <c r="H121" s="14" t="s">
        <v>22</v>
      </c>
      <c r="I121" s="9" t="s">
        <v>364</v>
      </c>
      <c r="J121" s="13"/>
      <c r="K121" s="13"/>
    </row>
    <row r="122" customFormat="false" ht="23.85" hidden="false" customHeight="false" outlineLevel="0" collapsed="false">
      <c r="A122" s="9" t="n">
        <v>121</v>
      </c>
      <c r="B122" s="9" t="s">
        <v>43</v>
      </c>
      <c r="C122" s="11" t="s">
        <v>44</v>
      </c>
      <c r="D122" s="9" t="s">
        <v>714</v>
      </c>
      <c r="E122" s="9" t="s">
        <v>715</v>
      </c>
      <c r="F122" s="9" t="s">
        <v>716</v>
      </c>
      <c r="G122" s="9" t="s">
        <v>24</v>
      </c>
      <c r="H122" s="15" t="s">
        <v>23</v>
      </c>
      <c r="I122" s="9" t="s">
        <v>665</v>
      </c>
      <c r="J122" s="13"/>
      <c r="K122" s="13"/>
    </row>
    <row r="123" customFormat="false" ht="23.85" hidden="false" customHeight="false" outlineLevel="0" collapsed="false">
      <c r="A123" s="9" t="n">
        <v>122</v>
      </c>
      <c r="B123" s="9" t="s">
        <v>43</v>
      </c>
      <c r="C123" s="11" t="s">
        <v>44</v>
      </c>
      <c r="D123" s="9" t="s">
        <v>717</v>
      </c>
      <c r="E123" s="9" t="s">
        <v>718</v>
      </c>
      <c r="F123" s="9" t="s">
        <v>719</v>
      </c>
      <c r="G123" s="9" t="s">
        <v>24</v>
      </c>
      <c r="H123" s="15" t="s">
        <v>23</v>
      </c>
      <c r="I123" s="9" t="s">
        <v>720</v>
      </c>
      <c r="J123" s="13"/>
      <c r="K123" s="13"/>
    </row>
    <row r="124" customFormat="false" ht="15" hidden="false" customHeight="false" outlineLevel="0" collapsed="false">
      <c r="A124" s="9" t="n">
        <v>123</v>
      </c>
      <c r="B124" s="9" t="s">
        <v>43</v>
      </c>
      <c r="C124" s="11" t="s">
        <v>44</v>
      </c>
      <c r="D124" s="9" t="s">
        <v>721</v>
      </c>
      <c r="E124" s="9" t="s">
        <v>722</v>
      </c>
      <c r="F124" s="9" t="s">
        <v>501</v>
      </c>
      <c r="G124" s="9" t="s">
        <v>24</v>
      </c>
      <c r="H124" s="15" t="s">
        <v>23</v>
      </c>
      <c r="I124" s="9" t="s">
        <v>384</v>
      </c>
      <c r="J124" s="13"/>
      <c r="K124" s="13"/>
    </row>
    <row r="125" customFormat="false" ht="15" hidden="false" customHeight="false" outlineLevel="0" collapsed="false">
      <c r="A125" s="9" t="n">
        <v>124</v>
      </c>
      <c r="B125" s="9" t="s">
        <v>43</v>
      </c>
      <c r="C125" s="11" t="s">
        <v>44</v>
      </c>
      <c r="D125" s="9" t="s">
        <v>723</v>
      </c>
      <c r="E125" s="9" t="s">
        <v>724</v>
      </c>
      <c r="F125" s="9" t="s">
        <v>603</v>
      </c>
      <c r="G125" s="9" t="s">
        <v>24</v>
      </c>
      <c r="H125" s="15" t="s">
        <v>23</v>
      </c>
      <c r="I125" s="9" t="s">
        <v>449</v>
      </c>
      <c r="J125" s="13"/>
      <c r="K125" s="13"/>
    </row>
    <row r="126" customFormat="false" ht="46.25" hidden="false" customHeight="false" outlineLevel="0" collapsed="false">
      <c r="A126" s="9" t="n">
        <v>125</v>
      </c>
      <c r="B126" s="9" t="s">
        <v>43</v>
      </c>
      <c r="C126" s="11" t="s">
        <v>46</v>
      </c>
      <c r="D126" s="9" t="s">
        <v>725</v>
      </c>
      <c r="E126" s="9" t="s">
        <v>726</v>
      </c>
      <c r="F126" s="9" t="s">
        <v>727</v>
      </c>
      <c r="G126" s="9" t="s">
        <v>328</v>
      </c>
      <c r="H126" s="12" t="s">
        <v>21</v>
      </c>
      <c r="I126" s="9" t="s">
        <v>313</v>
      </c>
      <c r="J126" s="13"/>
      <c r="K126" s="13"/>
    </row>
    <row r="127" customFormat="false" ht="35.05" hidden="false" customHeight="false" outlineLevel="0" collapsed="false">
      <c r="A127" s="9" t="n">
        <v>126</v>
      </c>
      <c r="B127" s="9" t="s">
        <v>43</v>
      </c>
      <c r="C127" s="11" t="s">
        <v>46</v>
      </c>
      <c r="D127" s="9" t="s">
        <v>728</v>
      </c>
      <c r="E127" s="9" t="s">
        <v>729</v>
      </c>
      <c r="F127" s="9" t="s">
        <v>730</v>
      </c>
      <c r="G127" s="9" t="s">
        <v>328</v>
      </c>
      <c r="H127" s="12" t="s">
        <v>21</v>
      </c>
      <c r="I127" s="9" t="s">
        <v>313</v>
      </c>
      <c r="J127" s="13"/>
      <c r="K127" s="13"/>
    </row>
    <row r="128" customFormat="false" ht="23.85" hidden="false" customHeight="false" outlineLevel="0" collapsed="false">
      <c r="A128" s="9" t="n">
        <v>127</v>
      </c>
      <c r="B128" s="9" t="s">
        <v>43</v>
      </c>
      <c r="C128" s="11" t="s">
        <v>46</v>
      </c>
      <c r="D128" s="9" t="s">
        <v>731</v>
      </c>
      <c r="E128" s="9" t="s">
        <v>732</v>
      </c>
      <c r="F128" s="9" t="s">
        <v>733</v>
      </c>
      <c r="G128" s="9" t="s">
        <v>312</v>
      </c>
      <c r="H128" s="14" t="s">
        <v>22</v>
      </c>
      <c r="I128" s="9" t="s">
        <v>734</v>
      </c>
      <c r="J128" s="13"/>
      <c r="K128" s="13"/>
    </row>
    <row r="129" customFormat="false" ht="23.85" hidden="false" customHeight="false" outlineLevel="0" collapsed="false">
      <c r="A129" s="9" t="n">
        <v>128</v>
      </c>
      <c r="B129" s="9" t="s">
        <v>43</v>
      </c>
      <c r="C129" s="11" t="s">
        <v>46</v>
      </c>
      <c r="D129" s="9" t="s">
        <v>735</v>
      </c>
      <c r="E129" s="9" t="s">
        <v>732</v>
      </c>
      <c r="F129" s="9" t="s">
        <v>736</v>
      </c>
      <c r="G129" s="9" t="s">
        <v>324</v>
      </c>
      <c r="H129" s="14" t="s">
        <v>22</v>
      </c>
      <c r="I129" s="9" t="s">
        <v>737</v>
      </c>
      <c r="J129" s="13"/>
      <c r="K129" s="13"/>
    </row>
    <row r="130" customFormat="false" ht="23.85" hidden="false" customHeight="false" outlineLevel="0" collapsed="false">
      <c r="A130" s="9" t="n">
        <v>129</v>
      </c>
      <c r="B130" s="9" t="s">
        <v>43</v>
      </c>
      <c r="C130" s="11" t="s">
        <v>46</v>
      </c>
      <c r="D130" s="9" t="s">
        <v>738</v>
      </c>
      <c r="E130" s="9" t="s">
        <v>739</v>
      </c>
      <c r="F130" s="9" t="s">
        <v>740</v>
      </c>
      <c r="G130" s="9" t="s">
        <v>317</v>
      </c>
      <c r="H130" s="15" t="s">
        <v>23</v>
      </c>
      <c r="I130" s="9" t="s">
        <v>313</v>
      </c>
      <c r="J130" s="13"/>
      <c r="K130" s="13"/>
    </row>
    <row r="131" customFormat="false" ht="23.85" hidden="false" customHeight="false" outlineLevel="0" collapsed="false">
      <c r="A131" s="9" t="n">
        <v>130</v>
      </c>
      <c r="B131" s="9" t="s">
        <v>43</v>
      </c>
      <c r="C131" s="11" t="s">
        <v>46</v>
      </c>
      <c r="D131" s="9" t="s">
        <v>741</v>
      </c>
      <c r="E131" s="9" t="s">
        <v>742</v>
      </c>
      <c r="F131" s="9" t="s">
        <v>743</v>
      </c>
      <c r="G131" s="9" t="s">
        <v>24</v>
      </c>
      <c r="H131" s="12" t="s">
        <v>21</v>
      </c>
      <c r="I131" s="9" t="s">
        <v>744</v>
      </c>
      <c r="J131" s="13"/>
      <c r="K131" s="13"/>
    </row>
    <row r="132" customFormat="false" ht="46.25" hidden="false" customHeight="false" outlineLevel="0" collapsed="false">
      <c r="A132" s="9" t="n">
        <v>131</v>
      </c>
      <c r="B132" s="9" t="s">
        <v>43</v>
      </c>
      <c r="C132" s="11" t="s">
        <v>46</v>
      </c>
      <c r="D132" s="9" t="s">
        <v>745</v>
      </c>
      <c r="E132" s="9" t="s">
        <v>746</v>
      </c>
      <c r="F132" s="9" t="s">
        <v>747</v>
      </c>
      <c r="G132" s="9" t="s">
        <v>24</v>
      </c>
      <c r="H132" s="14" t="s">
        <v>22</v>
      </c>
      <c r="I132" s="9" t="s">
        <v>748</v>
      </c>
      <c r="J132" s="13"/>
      <c r="K132" s="13"/>
    </row>
    <row r="133" customFormat="false" ht="15" hidden="false" customHeight="false" outlineLevel="0" collapsed="false">
      <c r="A133" s="9" t="n">
        <v>132</v>
      </c>
      <c r="B133" s="9" t="s">
        <v>43</v>
      </c>
      <c r="C133" s="11" t="s">
        <v>46</v>
      </c>
      <c r="D133" s="9" t="s">
        <v>749</v>
      </c>
      <c r="E133" s="9" t="s">
        <v>750</v>
      </c>
      <c r="F133" s="9" t="s">
        <v>751</v>
      </c>
      <c r="G133" s="9" t="s">
        <v>24</v>
      </c>
      <c r="H133" s="14" t="s">
        <v>22</v>
      </c>
      <c r="I133" s="9" t="s">
        <v>752</v>
      </c>
      <c r="J133" s="13"/>
      <c r="K133" s="13"/>
    </row>
    <row r="134" customFormat="false" ht="35.05" hidden="false" customHeight="false" outlineLevel="0" collapsed="false">
      <c r="A134" s="9" t="n">
        <v>133</v>
      </c>
      <c r="B134" s="9" t="s">
        <v>43</v>
      </c>
      <c r="C134" s="11" t="s">
        <v>46</v>
      </c>
      <c r="D134" s="9" t="s">
        <v>753</v>
      </c>
      <c r="E134" s="9" t="s">
        <v>754</v>
      </c>
      <c r="F134" s="9" t="s">
        <v>755</v>
      </c>
      <c r="G134" s="9" t="s">
        <v>24</v>
      </c>
      <c r="H134" s="14" t="s">
        <v>22</v>
      </c>
      <c r="I134" s="9" t="s">
        <v>521</v>
      </c>
      <c r="J134" s="13"/>
      <c r="K134" s="13"/>
    </row>
    <row r="135" customFormat="false" ht="35.05" hidden="false" customHeight="false" outlineLevel="0" collapsed="false">
      <c r="A135" s="9" t="n">
        <v>134</v>
      </c>
      <c r="B135" s="9" t="s">
        <v>43</v>
      </c>
      <c r="C135" s="11" t="s">
        <v>46</v>
      </c>
      <c r="D135" s="9" t="s">
        <v>756</v>
      </c>
      <c r="E135" s="9" t="s">
        <v>757</v>
      </c>
      <c r="F135" s="9" t="s">
        <v>758</v>
      </c>
      <c r="G135" s="9" t="s">
        <v>24</v>
      </c>
      <c r="H135" s="14" t="s">
        <v>22</v>
      </c>
      <c r="I135" s="9" t="s">
        <v>759</v>
      </c>
      <c r="J135" s="13"/>
      <c r="K135" s="13"/>
    </row>
    <row r="136" customFormat="false" ht="23.85" hidden="false" customHeight="false" outlineLevel="0" collapsed="false">
      <c r="A136" s="9" t="n">
        <v>135</v>
      </c>
      <c r="B136" s="9" t="s">
        <v>43</v>
      </c>
      <c r="C136" s="11" t="s">
        <v>46</v>
      </c>
      <c r="D136" s="9" t="s">
        <v>760</v>
      </c>
      <c r="E136" s="9" t="s">
        <v>761</v>
      </c>
      <c r="F136" s="9" t="s">
        <v>762</v>
      </c>
      <c r="G136" s="9" t="s">
        <v>24</v>
      </c>
      <c r="H136" s="14" t="s">
        <v>22</v>
      </c>
      <c r="I136" s="9" t="s">
        <v>763</v>
      </c>
      <c r="J136" s="13"/>
      <c r="K136" s="13"/>
    </row>
    <row r="137" customFormat="false" ht="15" hidden="false" customHeight="false" outlineLevel="0" collapsed="false">
      <c r="A137" s="9" t="n">
        <v>136</v>
      </c>
      <c r="B137" s="9" t="s">
        <v>43</v>
      </c>
      <c r="C137" s="11" t="s">
        <v>46</v>
      </c>
      <c r="D137" s="9" t="s">
        <v>764</v>
      </c>
      <c r="E137" s="9" t="s">
        <v>765</v>
      </c>
      <c r="F137" s="9" t="s">
        <v>766</v>
      </c>
      <c r="G137" s="9" t="s">
        <v>24</v>
      </c>
      <c r="H137" s="14" t="s">
        <v>22</v>
      </c>
      <c r="I137" s="9" t="s">
        <v>434</v>
      </c>
      <c r="J137" s="13"/>
      <c r="K137" s="13"/>
    </row>
    <row r="138" customFormat="false" ht="23.85" hidden="false" customHeight="false" outlineLevel="0" collapsed="false">
      <c r="A138" s="9" t="n">
        <v>137</v>
      </c>
      <c r="B138" s="9" t="s">
        <v>43</v>
      </c>
      <c r="C138" s="11" t="s">
        <v>46</v>
      </c>
      <c r="D138" s="9" t="s">
        <v>767</v>
      </c>
      <c r="E138" s="9" t="s">
        <v>358</v>
      </c>
      <c r="F138" s="9" t="s">
        <v>768</v>
      </c>
      <c r="G138" s="9" t="s">
        <v>24</v>
      </c>
      <c r="H138" s="14" t="s">
        <v>22</v>
      </c>
      <c r="I138" s="9" t="s">
        <v>769</v>
      </c>
      <c r="J138" s="13"/>
      <c r="K138" s="13"/>
    </row>
    <row r="139" customFormat="false" ht="15" hidden="false" customHeight="false" outlineLevel="0" collapsed="false">
      <c r="A139" s="9" t="n">
        <v>138</v>
      </c>
      <c r="B139" s="9" t="s">
        <v>43</v>
      </c>
      <c r="C139" s="11" t="s">
        <v>46</v>
      </c>
      <c r="D139" s="9" t="s">
        <v>770</v>
      </c>
      <c r="E139" s="9" t="s">
        <v>362</v>
      </c>
      <c r="F139" s="9" t="s">
        <v>363</v>
      </c>
      <c r="G139" s="9" t="s">
        <v>24</v>
      </c>
      <c r="H139" s="14" t="s">
        <v>22</v>
      </c>
      <c r="I139" s="9" t="s">
        <v>364</v>
      </c>
      <c r="J139" s="13"/>
      <c r="K139" s="13"/>
    </row>
    <row r="140" customFormat="false" ht="23.85" hidden="false" customHeight="false" outlineLevel="0" collapsed="false">
      <c r="A140" s="9" t="n">
        <v>139</v>
      </c>
      <c r="B140" s="9" t="s">
        <v>43</v>
      </c>
      <c r="C140" s="11" t="s">
        <v>46</v>
      </c>
      <c r="D140" s="9" t="s">
        <v>771</v>
      </c>
      <c r="E140" s="9" t="s">
        <v>772</v>
      </c>
      <c r="F140" s="9" t="s">
        <v>773</v>
      </c>
      <c r="G140" s="9" t="s">
        <v>24</v>
      </c>
      <c r="H140" s="15" t="s">
        <v>23</v>
      </c>
      <c r="I140" s="9" t="s">
        <v>774</v>
      </c>
      <c r="J140" s="13"/>
      <c r="K140" s="13"/>
    </row>
    <row r="141" customFormat="false" ht="23.85" hidden="false" customHeight="false" outlineLevel="0" collapsed="false">
      <c r="A141" s="9" t="n">
        <v>140</v>
      </c>
      <c r="B141" s="9" t="s">
        <v>43</v>
      </c>
      <c r="C141" s="11" t="s">
        <v>46</v>
      </c>
      <c r="D141" s="9" t="s">
        <v>775</v>
      </c>
      <c r="E141" s="9" t="s">
        <v>776</v>
      </c>
      <c r="F141" s="9" t="s">
        <v>777</v>
      </c>
      <c r="G141" s="9" t="s">
        <v>24</v>
      </c>
      <c r="H141" s="15" t="s">
        <v>23</v>
      </c>
      <c r="I141" s="9" t="s">
        <v>380</v>
      </c>
      <c r="J141" s="13"/>
      <c r="K141" s="13"/>
    </row>
    <row r="142" customFormat="false" ht="23.85" hidden="false" customHeight="false" outlineLevel="0" collapsed="false">
      <c r="A142" s="9" t="n">
        <v>141</v>
      </c>
      <c r="B142" s="9" t="s">
        <v>43</v>
      </c>
      <c r="C142" s="11" t="s">
        <v>46</v>
      </c>
      <c r="D142" s="9" t="s">
        <v>778</v>
      </c>
      <c r="E142" s="9" t="s">
        <v>779</v>
      </c>
      <c r="F142" s="9" t="s">
        <v>780</v>
      </c>
      <c r="G142" s="9" t="s">
        <v>24</v>
      </c>
      <c r="H142" s="15" t="s">
        <v>23</v>
      </c>
      <c r="I142" s="9" t="s">
        <v>781</v>
      </c>
      <c r="J142" s="13"/>
      <c r="K142" s="13"/>
    </row>
    <row r="143" customFormat="false" ht="15" hidden="false" customHeight="false" outlineLevel="0" collapsed="false">
      <c r="A143" s="9" t="n">
        <v>142</v>
      </c>
      <c r="B143" s="9" t="s">
        <v>43</v>
      </c>
      <c r="C143" s="11" t="s">
        <v>46</v>
      </c>
      <c r="D143" s="9" t="s">
        <v>782</v>
      </c>
      <c r="E143" s="9" t="s">
        <v>783</v>
      </c>
      <c r="F143" s="9" t="s">
        <v>501</v>
      </c>
      <c r="G143" s="9" t="s">
        <v>24</v>
      </c>
      <c r="H143" s="15" t="s">
        <v>23</v>
      </c>
      <c r="I143" s="9" t="s">
        <v>384</v>
      </c>
      <c r="J143" s="13"/>
      <c r="K143" s="13"/>
    </row>
    <row r="144" customFormat="false" ht="15" hidden="false" customHeight="false" outlineLevel="0" collapsed="false">
      <c r="A144" s="9" t="n">
        <v>143</v>
      </c>
      <c r="B144" s="9" t="s">
        <v>43</v>
      </c>
      <c r="C144" s="11" t="s">
        <v>46</v>
      </c>
      <c r="D144" s="9" t="s">
        <v>784</v>
      </c>
      <c r="E144" s="9" t="s">
        <v>785</v>
      </c>
      <c r="F144" s="9" t="s">
        <v>603</v>
      </c>
      <c r="G144" s="9" t="s">
        <v>24</v>
      </c>
      <c r="H144" s="15" t="s">
        <v>23</v>
      </c>
      <c r="I144" s="9" t="s">
        <v>449</v>
      </c>
      <c r="J144" s="13"/>
      <c r="K144" s="13"/>
    </row>
    <row r="145" customFormat="false" ht="23.85" hidden="false" customHeight="false" outlineLevel="0" collapsed="false">
      <c r="A145" s="9" t="n">
        <v>144</v>
      </c>
      <c r="B145" s="9" t="s">
        <v>43</v>
      </c>
      <c r="C145" s="11" t="s">
        <v>48</v>
      </c>
      <c r="D145" s="9" t="s">
        <v>786</v>
      </c>
      <c r="E145" s="9" t="s">
        <v>787</v>
      </c>
      <c r="F145" s="9" t="s">
        <v>788</v>
      </c>
      <c r="G145" s="9" t="s">
        <v>312</v>
      </c>
      <c r="H145" s="15" t="s">
        <v>23</v>
      </c>
      <c r="I145" s="9" t="s">
        <v>313</v>
      </c>
      <c r="J145" s="13"/>
      <c r="K145" s="13"/>
    </row>
    <row r="146" customFormat="false" ht="35.05" hidden="false" customHeight="false" outlineLevel="0" collapsed="false">
      <c r="A146" s="9" t="n">
        <v>145</v>
      </c>
      <c r="B146" s="9" t="s">
        <v>43</v>
      </c>
      <c r="C146" s="11" t="s">
        <v>48</v>
      </c>
      <c r="D146" s="9" t="s">
        <v>789</v>
      </c>
      <c r="E146" s="9" t="s">
        <v>790</v>
      </c>
      <c r="F146" s="9" t="s">
        <v>791</v>
      </c>
      <c r="G146" s="9" t="s">
        <v>24</v>
      </c>
      <c r="H146" s="14" t="s">
        <v>22</v>
      </c>
      <c r="I146" s="9" t="s">
        <v>792</v>
      </c>
      <c r="J146" s="13"/>
      <c r="K146" s="13"/>
    </row>
    <row r="147" customFormat="false" ht="23.85" hidden="false" customHeight="false" outlineLevel="0" collapsed="false">
      <c r="A147" s="9" t="n">
        <v>146</v>
      </c>
      <c r="B147" s="9" t="s">
        <v>43</v>
      </c>
      <c r="C147" s="11" t="s">
        <v>48</v>
      </c>
      <c r="D147" s="9" t="s">
        <v>793</v>
      </c>
      <c r="E147" s="9" t="s">
        <v>794</v>
      </c>
      <c r="F147" s="9" t="s">
        <v>795</v>
      </c>
      <c r="G147" s="9" t="s">
        <v>24</v>
      </c>
      <c r="H147" s="14" t="s">
        <v>22</v>
      </c>
      <c r="I147" s="9" t="s">
        <v>521</v>
      </c>
      <c r="J147" s="13"/>
      <c r="K147" s="13"/>
    </row>
    <row r="148" customFormat="false" ht="23.85" hidden="false" customHeight="false" outlineLevel="0" collapsed="false">
      <c r="A148" s="9" t="n">
        <v>147</v>
      </c>
      <c r="B148" s="9" t="s">
        <v>43</v>
      </c>
      <c r="C148" s="11" t="s">
        <v>48</v>
      </c>
      <c r="D148" s="9" t="s">
        <v>796</v>
      </c>
      <c r="E148" s="9" t="s">
        <v>797</v>
      </c>
      <c r="F148" s="9" t="s">
        <v>798</v>
      </c>
      <c r="G148" s="9" t="s">
        <v>24</v>
      </c>
      <c r="H148" s="14" t="s">
        <v>22</v>
      </c>
      <c r="I148" s="9" t="s">
        <v>521</v>
      </c>
      <c r="J148" s="13"/>
      <c r="K148" s="13"/>
    </row>
    <row r="149" customFormat="false" ht="23.85" hidden="false" customHeight="false" outlineLevel="0" collapsed="false">
      <c r="A149" s="9" t="n">
        <v>148</v>
      </c>
      <c r="B149" s="9" t="s">
        <v>43</v>
      </c>
      <c r="C149" s="11" t="s">
        <v>48</v>
      </c>
      <c r="D149" s="9" t="s">
        <v>799</v>
      </c>
      <c r="E149" s="9" t="s">
        <v>800</v>
      </c>
      <c r="F149" s="9" t="s">
        <v>801</v>
      </c>
      <c r="G149" s="9" t="s">
        <v>24</v>
      </c>
      <c r="H149" s="14" t="s">
        <v>22</v>
      </c>
      <c r="I149" s="9" t="s">
        <v>802</v>
      </c>
      <c r="J149" s="13"/>
      <c r="K149" s="13"/>
    </row>
    <row r="150" customFormat="false" ht="23.85" hidden="false" customHeight="false" outlineLevel="0" collapsed="false">
      <c r="A150" s="9" t="n">
        <v>149</v>
      </c>
      <c r="B150" s="9" t="s">
        <v>43</v>
      </c>
      <c r="C150" s="11" t="s">
        <v>48</v>
      </c>
      <c r="D150" s="9" t="s">
        <v>803</v>
      </c>
      <c r="E150" s="9" t="s">
        <v>804</v>
      </c>
      <c r="F150" s="9" t="s">
        <v>805</v>
      </c>
      <c r="G150" s="9" t="s">
        <v>24</v>
      </c>
      <c r="H150" s="14" t="s">
        <v>22</v>
      </c>
      <c r="I150" s="9" t="s">
        <v>806</v>
      </c>
      <c r="J150" s="13"/>
      <c r="K150" s="13"/>
    </row>
    <row r="151" customFormat="false" ht="23.85" hidden="false" customHeight="false" outlineLevel="0" collapsed="false">
      <c r="A151" s="9" t="n">
        <v>150</v>
      </c>
      <c r="B151" s="9" t="s">
        <v>43</v>
      </c>
      <c r="C151" s="11" t="s">
        <v>48</v>
      </c>
      <c r="D151" s="9" t="s">
        <v>807</v>
      </c>
      <c r="E151" s="9" t="s">
        <v>808</v>
      </c>
      <c r="F151" s="9" t="s">
        <v>809</v>
      </c>
      <c r="G151" s="9" t="s">
        <v>24</v>
      </c>
      <c r="H151" s="14" t="s">
        <v>22</v>
      </c>
      <c r="I151" s="9" t="s">
        <v>810</v>
      </c>
      <c r="J151" s="13"/>
      <c r="K151" s="13"/>
    </row>
    <row r="152" customFormat="false" ht="15" hidden="false" customHeight="false" outlineLevel="0" collapsed="false">
      <c r="A152" s="9" t="n">
        <v>151</v>
      </c>
      <c r="B152" s="9" t="s">
        <v>43</v>
      </c>
      <c r="C152" s="11" t="s">
        <v>48</v>
      </c>
      <c r="D152" s="9" t="s">
        <v>811</v>
      </c>
      <c r="E152" s="9" t="s">
        <v>812</v>
      </c>
      <c r="F152" s="9" t="s">
        <v>813</v>
      </c>
      <c r="G152" s="9" t="s">
        <v>24</v>
      </c>
      <c r="H152" s="14" t="s">
        <v>22</v>
      </c>
      <c r="I152" s="9" t="s">
        <v>434</v>
      </c>
      <c r="J152" s="13"/>
      <c r="K152" s="13"/>
    </row>
    <row r="153" customFormat="false" ht="15" hidden="false" customHeight="false" outlineLevel="0" collapsed="false">
      <c r="A153" s="9" t="n">
        <v>152</v>
      </c>
      <c r="B153" s="9" t="s">
        <v>43</v>
      </c>
      <c r="C153" s="11" t="s">
        <v>48</v>
      </c>
      <c r="D153" s="9" t="s">
        <v>814</v>
      </c>
      <c r="E153" s="9" t="s">
        <v>358</v>
      </c>
      <c r="F153" s="9" t="s">
        <v>815</v>
      </c>
      <c r="G153" s="9" t="s">
        <v>24</v>
      </c>
      <c r="H153" s="14" t="s">
        <v>22</v>
      </c>
      <c r="I153" s="9" t="s">
        <v>769</v>
      </c>
      <c r="J153" s="13"/>
      <c r="K153" s="13"/>
    </row>
    <row r="154" customFormat="false" ht="15" hidden="false" customHeight="false" outlineLevel="0" collapsed="false">
      <c r="A154" s="9" t="n">
        <v>153</v>
      </c>
      <c r="B154" s="9" t="s">
        <v>43</v>
      </c>
      <c r="C154" s="11" t="s">
        <v>48</v>
      </c>
      <c r="D154" s="9" t="s">
        <v>816</v>
      </c>
      <c r="E154" s="9" t="s">
        <v>362</v>
      </c>
      <c r="F154" s="9" t="s">
        <v>363</v>
      </c>
      <c r="G154" s="9" t="s">
        <v>24</v>
      </c>
      <c r="H154" s="14" t="s">
        <v>22</v>
      </c>
      <c r="I154" s="9" t="s">
        <v>364</v>
      </c>
      <c r="J154" s="13"/>
      <c r="K154" s="13"/>
    </row>
    <row r="155" customFormat="false" ht="15" hidden="false" customHeight="false" outlineLevel="0" collapsed="false">
      <c r="A155" s="9" t="n">
        <v>154</v>
      </c>
      <c r="B155" s="9" t="s">
        <v>43</v>
      </c>
      <c r="C155" s="11" t="s">
        <v>48</v>
      </c>
      <c r="D155" s="9" t="s">
        <v>817</v>
      </c>
      <c r="E155" s="9" t="s">
        <v>818</v>
      </c>
      <c r="F155" s="9" t="s">
        <v>819</v>
      </c>
      <c r="G155" s="9" t="s">
        <v>24</v>
      </c>
      <c r="H155" s="15" t="s">
        <v>23</v>
      </c>
      <c r="I155" s="9" t="s">
        <v>820</v>
      </c>
      <c r="J155" s="13"/>
      <c r="K155" s="13"/>
    </row>
    <row r="156" customFormat="false" ht="23.85" hidden="false" customHeight="false" outlineLevel="0" collapsed="false">
      <c r="A156" s="9" t="n">
        <v>155</v>
      </c>
      <c r="B156" s="9" t="s">
        <v>43</v>
      </c>
      <c r="C156" s="11" t="s">
        <v>48</v>
      </c>
      <c r="D156" s="9" t="s">
        <v>821</v>
      </c>
      <c r="E156" s="9" t="s">
        <v>822</v>
      </c>
      <c r="F156" s="9" t="s">
        <v>823</v>
      </c>
      <c r="G156" s="9" t="s">
        <v>24</v>
      </c>
      <c r="H156" s="15" t="s">
        <v>23</v>
      </c>
      <c r="I156" s="9" t="s">
        <v>824</v>
      </c>
      <c r="J156" s="13"/>
      <c r="K156" s="13"/>
    </row>
    <row r="157" customFormat="false" ht="23.85" hidden="false" customHeight="false" outlineLevel="0" collapsed="false">
      <c r="A157" s="9" t="n">
        <v>156</v>
      </c>
      <c r="B157" s="9" t="s">
        <v>43</v>
      </c>
      <c r="C157" s="11" t="s">
        <v>48</v>
      </c>
      <c r="D157" s="9" t="s">
        <v>825</v>
      </c>
      <c r="E157" s="9" t="s">
        <v>826</v>
      </c>
      <c r="F157" s="9" t="s">
        <v>827</v>
      </c>
      <c r="G157" s="9" t="s">
        <v>24</v>
      </c>
      <c r="H157" s="15" t="s">
        <v>23</v>
      </c>
      <c r="I157" s="9" t="s">
        <v>828</v>
      </c>
      <c r="J157" s="13"/>
      <c r="K157" s="13"/>
    </row>
    <row r="158" customFormat="false" ht="15" hidden="false" customHeight="false" outlineLevel="0" collapsed="false">
      <c r="A158" s="9" t="n">
        <v>157</v>
      </c>
      <c r="B158" s="9" t="s">
        <v>43</v>
      </c>
      <c r="C158" s="11" t="s">
        <v>48</v>
      </c>
      <c r="D158" s="9" t="s">
        <v>829</v>
      </c>
      <c r="E158" s="9" t="s">
        <v>830</v>
      </c>
      <c r="F158" s="9" t="s">
        <v>501</v>
      </c>
      <c r="G158" s="9" t="s">
        <v>24</v>
      </c>
      <c r="H158" s="15" t="s">
        <v>23</v>
      </c>
      <c r="I158" s="9" t="s">
        <v>384</v>
      </c>
      <c r="J158" s="13"/>
      <c r="K158" s="13"/>
    </row>
    <row r="159" customFormat="false" ht="169.4" hidden="false" customHeight="false" outlineLevel="0" collapsed="false">
      <c r="A159" s="9" t="n">
        <v>158</v>
      </c>
      <c r="B159" s="9" t="s">
        <v>50</v>
      </c>
      <c r="C159" s="11" t="s">
        <v>51</v>
      </c>
      <c r="D159" s="9" t="s">
        <v>831</v>
      </c>
      <c r="E159" s="9" t="s">
        <v>832</v>
      </c>
      <c r="F159" s="9" t="s">
        <v>833</v>
      </c>
      <c r="G159" s="9" t="s">
        <v>834</v>
      </c>
      <c r="H159" s="12" t="s">
        <v>21</v>
      </c>
      <c r="I159" s="9" t="s">
        <v>835</v>
      </c>
      <c r="J159" s="13"/>
      <c r="K159" s="13"/>
    </row>
    <row r="160" customFormat="false" ht="180.55" hidden="false" customHeight="false" outlineLevel="0" collapsed="false">
      <c r="A160" s="9" t="n">
        <v>159</v>
      </c>
      <c r="B160" s="9" t="s">
        <v>50</v>
      </c>
      <c r="C160" s="11" t="s">
        <v>51</v>
      </c>
      <c r="D160" s="9" t="s">
        <v>836</v>
      </c>
      <c r="E160" s="9" t="s">
        <v>837</v>
      </c>
      <c r="F160" s="9" t="s">
        <v>838</v>
      </c>
      <c r="G160" s="9" t="s">
        <v>303</v>
      </c>
      <c r="H160" s="12" t="s">
        <v>21</v>
      </c>
      <c r="I160" s="9" t="s">
        <v>839</v>
      </c>
      <c r="J160" s="13"/>
      <c r="K160" s="13"/>
    </row>
    <row r="161" customFormat="false" ht="79.85" hidden="false" customHeight="false" outlineLevel="0" collapsed="false">
      <c r="A161" s="9" t="n">
        <v>160</v>
      </c>
      <c r="B161" s="9" t="s">
        <v>50</v>
      </c>
      <c r="C161" s="11" t="s">
        <v>51</v>
      </c>
      <c r="D161" s="9" t="s">
        <v>840</v>
      </c>
      <c r="E161" s="9" t="s">
        <v>841</v>
      </c>
      <c r="F161" s="9" t="s">
        <v>842</v>
      </c>
      <c r="G161" s="9" t="s">
        <v>312</v>
      </c>
      <c r="H161" s="12" t="s">
        <v>21</v>
      </c>
      <c r="I161" s="9" t="s">
        <v>843</v>
      </c>
      <c r="J161" s="13"/>
      <c r="K161" s="13"/>
    </row>
    <row r="162" customFormat="false" ht="79.85" hidden="false" customHeight="false" outlineLevel="0" collapsed="false">
      <c r="A162" s="9" t="n">
        <v>161</v>
      </c>
      <c r="B162" s="9" t="s">
        <v>50</v>
      </c>
      <c r="C162" s="11" t="s">
        <v>51</v>
      </c>
      <c r="D162" s="9" t="s">
        <v>844</v>
      </c>
      <c r="E162" s="9" t="s">
        <v>845</v>
      </c>
      <c r="F162" s="9" t="s">
        <v>846</v>
      </c>
      <c r="G162" s="9" t="s">
        <v>847</v>
      </c>
      <c r="H162" s="12" t="s">
        <v>21</v>
      </c>
      <c r="I162" s="9" t="s">
        <v>848</v>
      </c>
      <c r="J162" s="13"/>
      <c r="K162" s="13"/>
    </row>
    <row r="163" customFormat="false" ht="79.85" hidden="false" customHeight="false" outlineLevel="0" collapsed="false">
      <c r="A163" s="9" t="n">
        <v>162</v>
      </c>
      <c r="B163" s="9" t="s">
        <v>50</v>
      </c>
      <c r="C163" s="11" t="s">
        <v>51</v>
      </c>
      <c r="D163" s="9" t="s">
        <v>849</v>
      </c>
      <c r="E163" s="9" t="s">
        <v>850</v>
      </c>
      <c r="F163" s="9" t="s">
        <v>851</v>
      </c>
      <c r="G163" s="9" t="s">
        <v>852</v>
      </c>
      <c r="H163" s="14" t="s">
        <v>22</v>
      </c>
      <c r="I163" s="9" t="s">
        <v>853</v>
      </c>
      <c r="J163" s="13"/>
      <c r="K163" s="13"/>
    </row>
    <row r="164" customFormat="false" ht="79.85" hidden="false" customHeight="false" outlineLevel="0" collapsed="false">
      <c r="A164" s="9" t="n">
        <v>163</v>
      </c>
      <c r="B164" s="9" t="s">
        <v>50</v>
      </c>
      <c r="C164" s="11" t="s">
        <v>51</v>
      </c>
      <c r="D164" s="9" t="s">
        <v>854</v>
      </c>
      <c r="E164" s="9" t="s">
        <v>855</v>
      </c>
      <c r="F164" s="9" t="s">
        <v>856</v>
      </c>
      <c r="G164" s="9" t="s">
        <v>303</v>
      </c>
      <c r="H164" s="14" t="s">
        <v>22</v>
      </c>
      <c r="I164" s="9" t="s">
        <v>857</v>
      </c>
      <c r="J164" s="13"/>
      <c r="K164" s="13"/>
    </row>
    <row r="165" customFormat="false" ht="46.25" hidden="false" customHeight="false" outlineLevel="0" collapsed="false">
      <c r="A165" s="9" t="n">
        <v>164</v>
      </c>
      <c r="B165" s="9" t="s">
        <v>50</v>
      </c>
      <c r="C165" s="11" t="s">
        <v>51</v>
      </c>
      <c r="D165" s="9" t="s">
        <v>858</v>
      </c>
      <c r="E165" s="9" t="s">
        <v>859</v>
      </c>
      <c r="F165" s="9" t="s">
        <v>860</v>
      </c>
      <c r="G165" s="9" t="s">
        <v>861</v>
      </c>
      <c r="H165" s="14" t="s">
        <v>22</v>
      </c>
      <c r="I165" s="9" t="s">
        <v>862</v>
      </c>
      <c r="J165" s="13"/>
      <c r="K165" s="13"/>
    </row>
    <row r="166" customFormat="false" ht="68.65" hidden="false" customHeight="false" outlineLevel="0" collapsed="false">
      <c r="A166" s="9" t="n">
        <v>165</v>
      </c>
      <c r="B166" s="9" t="s">
        <v>50</v>
      </c>
      <c r="C166" s="11" t="s">
        <v>51</v>
      </c>
      <c r="D166" s="9" t="s">
        <v>863</v>
      </c>
      <c r="E166" s="9" t="s">
        <v>864</v>
      </c>
      <c r="F166" s="9" t="s">
        <v>865</v>
      </c>
      <c r="G166" s="9" t="s">
        <v>303</v>
      </c>
      <c r="H166" s="14" t="s">
        <v>22</v>
      </c>
      <c r="I166" s="9" t="s">
        <v>866</v>
      </c>
      <c r="J166" s="13"/>
      <c r="K166" s="13"/>
    </row>
    <row r="167" customFormat="false" ht="35.05" hidden="false" customHeight="false" outlineLevel="0" collapsed="false">
      <c r="A167" s="9" t="n">
        <v>166</v>
      </c>
      <c r="B167" s="9" t="s">
        <v>50</v>
      </c>
      <c r="C167" s="11" t="s">
        <v>51</v>
      </c>
      <c r="D167" s="9" t="s">
        <v>867</v>
      </c>
      <c r="E167" s="9" t="s">
        <v>868</v>
      </c>
      <c r="F167" s="9" t="s">
        <v>869</v>
      </c>
      <c r="G167" s="9" t="s">
        <v>392</v>
      </c>
      <c r="H167" s="14" t="s">
        <v>22</v>
      </c>
      <c r="I167" s="9" t="s">
        <v>870</v>
      </c>
      <c r="J167" s="13"/>
      <c r="K167" s="13"/>
    </row>
    <row r="168" customFormat="false" ht="35.05" hidden="false" customHeight="false" outlineLevel="0" collapsed="false">
      <c r="A168" s="9" t="n">
        <v>167</v>
      </c>
      <c r="B168" s="9" t="s">
        <v>50</v>
      </c>
      <c r="C168" s="11" t="s">
        <v>51</v>
      </c>
      <c r="D168" s="9" t="s">
        <v>871</v>
      </c>
      <c r="E168" s="9" t="s">
        <v>872</v>
      </c>
      <c r="F168" s="9" t="s">
        <v>873</v>
      </c>
      <c r="G168" s="9" t="s">
        <v>303</v>
      </c>
      <c r="H168" s="15" t="s">
        <v>23</v>
      </c>
      <c r="I168" s="9" t="s">
        <v>874</v>
      </c>
      <c r="J168" s="13"/>
      <c r="K168" s="13"/>
    </row>
    <row r="169" customFormat="false" ht="46.25" hidden="false" customHeight="false" outlineLevel="0" collapsed="false">
      <c r="A169" s="9" t="n">
        <v>168</v>
      </c>
      <c r="B169" s="9" t="s">
        <v>50</v>
      </c>
      <c r="C169" s="11" t="s">
        <v>51</v>
      </c>
      <c r="D169" s="9" t="s">
        <v>875</v>
      </c>
      <c r="E169" s="9" t="s">
        <v>876</v>
      </c>
      <c r="F169" s="9" t="s">
        <v>877</v>
      </c>
      <c r="G169" s="9" t="s">
        <v>303</v>
      </c>
      <c r="H169" s="14" t="s">
        <v>22</v>
      </c>
      <c r="I169" s="9" t="s">
        <v>878</v>
      </c>
      <c r="J169" s="13"/>
      <c r="K169" s="13"/>
    </row>
    <row r="170" customFormat="false" ht="68.65" hidden="false" customHeight="false" outlineLevel="0" collapsed="false">
      <c r="A170" s="9" t="n">
        <v>169</v>
      </c>
      <c r="B170" s="9" t="s">
        <v>50</v>
      </c>
      <c r="C170" s="11" t="s">
        <v>51</v>
      </c>
      <c r="D170" s="9" t="s">
        <v>879</v>
      </c>
      <c r="E170" s="9" t="s">
        <v>880</v>
      </c>
      <c r="F170" s="9" t="s">
        <v>881</v>
      </c>
      <c r="G170" s="9" t="s">
        <v>847</v>
      </c>
      <c r="H170" s="14" t="s">
        <v>22</v>
      </c>
      <c r="I170" s="9" t="s">
        <v>882</v>
      </c>
      <c r="J170" s="13"/>
      <c r="K170" s="13"/>
    </row>
    <row r="171" customFormat="false" ht="57.45" hidden="false" customHeight="false" outlineLevel="0" collapsed="false">
      <c r="A171" s="9" t="n">
        <v>170</v>
      </c>
      <c r="B171" s="9" t="s">
        <v>50</v>
      </c>
      <c r="C171" s="11" t="s">
        <v>51</v>
      </c>
      <c r="D171" s="9" t="s">
        <v>883</v>
      </c>
      <c r="E171" s="9" t="s">
        <v>884</v>
      </c>
      <c r="F171" s="9" t="s">
        <v>885</v>
      </c>
      <c r="G171" s="9" t="s">
        <v>392</v>
      </c>
      <c r="H171" s="14" t="s">
        <v>22</v>
      </c>
      <c r="I171" s="9" t="s">
        <v>886</v>
      </c>
      <c r="J171" s="13"/>
      <c r="K171" s="13"/>
    </row>
    <row r="172" customFormat="false" ht="46.25" hidden="false" customHeight="false" outlineLevel="0" collapsed="false">
      <c r="A172" s="9" t="n">
        <v>171</v>
      </c>
      <c r="B172" s="9" t="s">
        <v>50</v>
      </c>
      <c r="C172" s="11" t="s">
        <v>51</v>
      </c>
      <c r="D172" s="9" t="s">
        <v>887</v>
      </c>
      <c r="E172" s="9" t="s">
        <v>888</v>
      </c>
      <c r="F172" s="9" t="s">
        <v>889</v>
      </c>
      <c r="G172" s="9" t="s">
        <v>847</v>
      </c>
      <c r="H172" s="14" t="s">
        <v>22</v>
      </c>
      <c r="I172" s="9" t="s">
        <v>890</v>
      </c>
      <c r="J172" s="13"/>
      <c r="K172" s="13"/>
    </row>
    <row r="173" customFormat="false" ht="46.25" hidden="false" customHeight="false" outlineLevel="0" collapsed="false">
      <c r="A173" s="9" t="n">
        <v>172</v>
      </c>
      <c r="B173" s="9" t="s">
        <v>50</v>
      </c>
      <c r="C173" s="11" t="s">
        <v>51</v>
      </c>
      <c r="D173" s="9" t="s">
        <v>891</v>
      </c>
      <c r="E173" s="9" t="s">
        <v>892</v>
      </c>
      <c r="F173" s="9" t="s">
        <v>893</v>
      </c>
      <c r="G173" s="9" t="s">
        <v>392</v>
      </c>
      <c r="H173" s="14" t="s">
        <v>22</v>
      </c>
      <c r="I173" s="9" t="s">
        <v>894</v>
      </c>
      <c r="J173" s="13"/>
      <c r="K173" s="13"/>
    </row>
    <row r="174" customFormat="false" ht="46.25" hidden="false" customHeight="false" outlineLevel="0" collapsed="false">
      <c r="A174" s="9" t="n">
        <v>173</v>
      </c>
      <c r="B174" s="9" t="s">
        <v>50</v>
      </c>
      <c r="C174" s="11" t="s">
        <v>51</v>
      </c>
      <c r="D174" s="9" t="s">
        <v>895</v>
      </c>
      <c r="E174" s="9" t="s">
        <v>896</v>
      </c>
      <c r="F174" s="9" t="s">
        <v>897</v>
      </c>
      <c r="G174" s="9" t="s">
        <v>847</v>
      </c>
      <c r="H174" s="14" t="s">
        <v>22</v>
      </c>
      <c r="I174" s="9" t="s">
        <v>898</v>
      </c>
      <c r="J174" s="13"/>
      <c r="K174" s="13"/>
    </row>
    <row r="175" customFormat="false" ht="46.25" hidden="false" customHeight="false" outlineLevel="0" collapsed="false">
      <c r="A175" s="9" t="n">
        <v>174</v>
      </c>
      <c r="B175" s="9" t="s">
        <v>50</v>
      </c>
      <c r="C175" s="11" t="s">
        <v>51</v>
      </c>
      <c r="D175" s="9" t="s">
        <v>899</v>
      </c>
      <c r="E175" s="9" t="s">
        <v>900</v>
      </c>
      <c r="F175" s="9" t="s">
        <v>901</v>
      </c>
      <c r="G175" s="9" t="s">
        <v>902</v>
      </c>
      <c r="H175" s="14" t="s">
        <v>22</v>
      </c>
      <c r="I175" s="9" t="s">
        <v>903</v>
      </c>
      <c r="J175" s="13"/>
      <c r="K175" s="13"/>
    </row>
    <row r="176" customFormat="false" ht="35.05" hidden="false" customHeight="false" outlineLevel="0" collapsed="false">
      <c r="A176" s="9" t="n">
        <v>175</v>
      </c>
      <c r="B176" s="9" t="s">
        <v>50</v>
      </c>
      <c r="C176" s="11" t="s">
        <v>51</v>
      </c>
      <c r="D176" s="9" t="s">
        <v>904</v>
      </c>
      <c r="E176" s="9" t="s">
        <v>905</v>
      </c>
      <c r="F176" s="9" t="s">
        <v>906</v>
      </c>
      <c r="G176" s="9" t="s">
        <v>392</v>
      </c>
      <c r="H176" s="14" t="s">
        <v>22</v>
      </c>
      <c r="I176" s="9" t="s">
        <v>907</v>
      </c>
      <c r="J176" s="13"/>
      <c r="K176" s="13"/>
    </row>
    <row r="177" customFormat="false" ht="35.05" hidden="false" customHeight="false" outlineLevel="0" collapsed="false">
      <c r="A177" s="9" t="n">
        <v>176</v>
      </c>
      <c r="B177" s="9" t="s">
        <v>50</v>
      </c>
      <c r="C177" s="11" t="s">
        <v>51</v>
      </c>
      <c r="D177" s="9" t="s">
        <v>908</v>
      </c>
      <c r="E177" s="9" t="s">
        <v>909</v>
      </c>
      <c r="F177" s="9" t="s">
        <v>910</v>
      </c>
      <c r="G177" s="9" t="s">
        <v>308</v>
      </c>
      <c r="H177" s="15" t="s">
        <v>23</v>
      </c>
      <c r="I177" s="9" t="s">
        <v>911</v>
      </c>
      <c r="J177" s="13"/>
      <c r="K177" s="13"/>
    </row>
    <row r="178" customFormat="false" ht="124.6" hidden="false" customHeight="false" outlineLevel="0" collapsed="false">
      <c r="A178" s="9" t="n">
        <v>177</v>
      </c>
      <c r="B178" s="9" t="s">
        <v>50</v>
      </c>
      <c r="C178" s="11" t="s">
        <v>51</v>
      </c>
      <c r="D178" s="9" t="s">
        <v>912</v>
      </c>
      <c r="E178" s="9" t="s">
        <v>913</v>
      </c>
      <c r="F178" s="9" t="s">
        <v>914</v>
      </c>
      <c r="G178" s="9" t="s">
        <v>303</v>
      </c>
      <c r="H178" s="14" t="s">
        <v>22</v>
      </c>
      <c r="I178" s="9" t="s">
        <v>915</v>
      </c>
      <c r="J178" s="13"/>
      <c r="K178" s="13"/>
    </row>
    <row r="179" customFormat="false" ht="46.25" hidden="false" customHeight="false" outlineLevel="0" collapsed="false">
      <c r="A179" s="9" t="n">
        <v>178</v>
      </c>
      <c r="B179" s="9" t="s">
        <v>50</v>
      </c>
      <c r="C179" s="11" t="s">
        <v>51</v>
      </c>
      <c r="D179" s="9" t="s">
        <v>916</v>
      </c>
      <c r="E179" s="9" t="s">
        <v>917</v>
      </c>
      <c r="F179" s="9" t="s">
        <v>918</v>
      </c>
      <c r="G179" s="9" t="s">
        <v>317</v>
      </c>
      <c r="H179" s="14" t="s">
        <v>22</v>
      </c>
      <c r="I179" s="9" t="s">
        <v>919</v>
      </c>
      <c r="J179" s="13"/>
      <c r="K179" s="13"/>
    </row>
    <row r="180" customFormat="false" ht="68.65" hidden="false" customHeight="false" outlineLevel="0" collapsed="false">
      <c r="A180" s="9" t="n">
        <v>179</v>
      </c>
      <c r="B180" s="9" t="s">
        <v>50</v>
      </c>
      <c r="C180" s="11" t="s">
        <v>51</v>
      </c>
      <c r="D180" s="9" t="s">
        <v>920</v>
      </c>
      <c r="E180" s="9" t="s">
        <v>921</v>
      </c>
      <c r="F180" s="9" t="s">
        <v>922</v>
      </c>
      <c r="G180" s="9" t="s">
        <v>324</v>
      </c>
      <c r="H180" s="14" t="s">
        <v>22</v>
      </c>
      <c r="I180" s="9" t="s">
        <v>923</v>
      </c>
      <c r="J180" s="13"/>
      <c r="K180" s="13"/>
    </row>
    <row r="181" customFormat="false" ht="35.05" hidden="false" customHeight="false" outlineLevel="0" collapsed="false">
      <c r="A181" s="9" t="n">
        <v>180</v>
      </c>
      <c r="B181" s="9" t="s">
        <v>50</v>
      </c>
      <c r="C181" s="11" t="s">
        <v>51</v>
      </c>
      <c r="D181" s="9" t="s">
        <v>924</v>
      </c>
      <c r="E181" s="9" t="s">
        <v>925</v>
      </c>
      <c r="F181" s="9" t="s">
        <v>926</v>
      </c>
      <c r="G181" s="9" t="s">
        <v>308</v>
      </c>
      <c r="H181" s="15" t="s">
        <v>23</v>
      </c>
      <c r="I181" s="9" t="s">
        <v>927</v>
      </c>
      <c r="J181" s="13"/>
      <c r="K181" s="13"/>
    </row>
    <row r="182" customFormat="false" ht="57.45" hidden="false" customHeight="false" outlineLevel="0" collapsed="false">
      <c r="A182" s="9" t="n">
        <v>181</v>
      </c>
      <c r="B182" s="9" t="s">
        <v>50</v>
      </c>
      <c r="C182" s="11" t="s">
        <v>51</v>
      </c>
      <c r="D182" s="9" t="s">
        <v>928</v>
      </c>
      <c r="E182" s="9" t="s">
        <v>929</v>
      </c>
      <c r="F182" s="9" t="s">
        <v>930</v>
      </c>
      <c r="G182" s="9" t="s">
        <v>328</v>
      </c>
      <c r="H182" s="15" t="s">
        <v>23</v>
      </c>
      <c r="I182" s="9" t="s">
        <v>931</v>
      </c>
      <c r="J182" s="13"/>
      <c r="K182" s="13"/>
    </row>
    <row r="183" customFormat="false" ht="23.85" hidden="false" customHeight="false" outlineLevel="0" collapsed="false">
      <c r="A183" s="9" t="n">
        <v>182</v>
      </c>
      <c r="B183" s="9" t="s">
        <v>50</v>
      </c>
      <c r="C183" s="11" t="s">
        <v>51</v>
      </c>
      <c r="D183" s="9" t="s">
        <v>932</v>
      </c>
      <c r="E183" s="9" t="s">
        <v>933</v>
      </c>
      <c r="F183" s="9" t="s">
        <v>934</v>
      </c>
      <c r="G183" s="9" t="s">
        <v>328</v>
      </c>
      <c r="H183" s="15" t="s">
        <v>23</v>
      </c>
      <c r="I183" s="9" t="s">
        <v>935</v>
      </c>
      <c r="J183" s="13"/>
      <c r="K183" s="13"/>
    </row>
    <row r="184" customFormat="false" ht="35.05" hidden="false" customHeight="false" outlineLevel="0" collapsed="false">
      <c r="A184" s="9" t="n">
        <v>183</v>
      </c>
      <c r="B184" s="9" t="s">
        <v>50</v>
      </c>
      <c r="C184" s="11" t="s">
        <v>51</v>
      </c>
      <c r="D184" s="9" t="s">
        <v>936</v>
      </c>
      <c r="E184" s="9" t="s">
        <v>937</v>
      </c>
      <c r="F184" s="9" t="s">
        <v>938</v>
      </c>
      <c r="G184" s="9" t="s">
        <v>312</v>
      </c>
      <c r="H184" s="15" t="s">
        <v>23</v>
      </c>
      <c r="I184" s="9" t="s">
        <v>939</v>
      </c>
      <c r="J184" s="13"/>
      <c r="K184" s="13"/>
    </row>
    <row r="185" customFormat="false" ht="23.85" hidden="false" customHeight="false" outlineLevel="0" collapsed="false">
      <c r="A185" s="9" t="n">
        <v>184</v>
      </c>
      <c r="B185" s="9" t="s">
        <v>50</v>
      </c>
      <c r="C185" s="11" t="s">
        <v>51</v>
      </c>
      <c r="D185" s="9" t="s">
        <v>940</v>
      </c>
      <c r="E185" s="9" t="s">
        <v>941</v>
      </c>
      <c r="F185" s="9" t="s">
        <v>942</v>
      </c>
      <c r="G185" s="9" t="s">
        <v>312</v>
      </c>
      <c r="H185" s="15" t="s">
        <v>23</v>
      </c>
      <c r="I185" s="9" t="s">
        <v>943</v>
      </c>
      <c r="J185" s="13"/>
      <c r="K185" s="13"/>
    </row>
    <row r="186" customFormat="false" ht="35.05" hidden="false" customHeight="false" outlineLevel="0" collapsed="false">
      <c r="A186" s="9" t="n">
        <v>185</v>
      </c>
      <c r="B186" s="9" t="s">
        <v>50</v>
      </c>
      <c r="C186" s="11" t="s">
        <v>51</v>
      </c>
      <c r="D186" s="9" t="s">
        <v>944</v>
      </c>
      <c r="E186" s="9" t="s">
        <v>945</v>
      </c>
      <c r="F186" s="9" t="s">
        <v>946</v>
      </c>
      <c r="G186" s="9" t="s">
        <v>312</v>
      </c>
      <c r="H186" s="15" t="s">
        <v>23</v>
      </c>
      <c r="I186" s="9" t="s">
        <v>947</v>
      </c>
      <c r="J186" s="13"/>
      <c r="K186" s="13"/>
    </row>
    <row r="187" customFormat="false" ht="35.05" hidden="false" customHeight="false" outlineLevel="0" collapsed="false">
      <c r="A187" s="9" t="n">
        <v>186</v>
      </c>
      <c r="B187" s="9" t="s">
        <v>50</v>
      </c>
      <c r="C187" s="11" t="s">
        <v>51</v>
      </c>
      <c r="D187" s="9" t="s">
        <v>948</v>
      </c>
      <c r="E187" s="9" t="s">
        <v>949</v>
      </c>
      <c r="F187" s="9" t="s">
        <v>950</v>
      </c>
      <c r="G187" s="9" t="s">
        <v>308</v>
      </c>
      <c r="H187" s="15" t="s">
        <v>23</v>
      </c>
      <c r="I187" s="9" t="s">
        <v>951</v>
      </c>
      <c r="J187" s="13"/>
      <c r="K187" s="13"/>
    </row>
    <row r="188" customFormat="false" ht="46.25" hidden="false" customHeight="false" outlineLevel="0" collapsed="false">
      <c r="A188" s="9" t="n">
        <v>187</v>
      </c>
      <c r="B188" s="9" t="s">
        <v>50</v>
      </c>
      <c r="C188" s="11" t="s">
        <v>51</v>
      </c>
      <c r="D188" s="9" t="s">
        <v>952</v>
      </c>
      <c r="E188" s="9" t="s">
        <v>953</v>
      </c>
      <c r="F188" s="9" t="s">
        <v>954</v>
      </c>
      <c r="G188" s="9" t="s">
        <v>392</v>
      </c>
      <c r="H188" s="15" t="s">
        <v>23</v>
      </c>
      <c r="I188" s="9" t="s">
        <v>955</v>
      </c>
      <c r="J188" s="13"/>
      <c r="K188" s="13"/>
    </row>
    <row r="189" customFormat="false" ht="35.05" hidden="false" customHeight="false" outlineLevel="0" collapsed="false">
      <c r="A189" s="9" t="n">
        <v>188</v>
      </c>
      <c r="B189" s="9" t="s">
        <v>50</v>
      </c>
      <c r="C189" s="11" t="s">
        <v>51</v>
      </c>
      <c r="D189" s="9" t="s">
        <v>956</v>
      </c>
      <c r="E189" s="9" t="s">
        <v>957</v>
      </c>
      <c r="F189" s="9" t="s">
        <v>958</v>
      </c>
      <c r="G189" s="9" t="s">
        <v>303</v>
      </c>
      <c r="H189" s="15" t="s">
        <v>23</v>
      </c>
      <c r="I189" s="9" t="s">
        <v>959</v>
      </c>
      <c r="J189" s="13"/>
      <c r="K189" s="13"/>
    </row>
    <row r="190" customFormat="false" ht="35.05" hidden="false" customHeight="false" outlineLevel="0" collapsed="false">
      <c r="A190" s="9" t="n">
        <v>189</v>
      </c>
      <c r="B190" s="9" t="s">
        <v>50</v>
      </c>
      <c r="C190" s="11" t="s">
        <v>51</v>
      </c>
      <c r="D190" s="9" t="s">
        <v>960</v>
      </c>
      <c r="E190" s="9" t="s">
        <v>961</v>
      </c>
      <c r="F190" s="9" t="s">
        <v>962</v>
      </c>
      <c r="G190" s="9" t="s">
        <v>317</v>
      </c>
      <c r="H190" s="15" t="s">
        <v>23</v>
      </c>
      <c r="I190" s="9" t="s">
        <v>963</v>
      </c>
      <c r="J190" s="13"/>
      <c r="K190" s="13"/>
    </row>
    <row r="191" customFormat="false" ht="23.85" hidden="false" customHeight="false" outlineLevel="0" collapsed="false">
      <c r="A191" s="9" t="n">
        <v>190</v>
      </c>
      <c r="B191" s="9" t="s">
        <v>50</v>
      </c>
      <c r="C191" s="11" t="s">
        <v>51</v>
      </c>
      <c r="D191" s="9" t="s">
        <v>964</v>
      </c>
      <c r="E191" s="9" t="s">
        <v>965</v>
      </c>
      <c r="F191" s="9" t="s">
        <v>966</v>
      </c>
      <c r="G191" s="9" t="s">
        <v>328</v>
      </c>
      <c r="H191" s="15" t="s">
        <v>23</v>
      </c>
      <c r="I191" s="9" t="s">
        <v>967</v>
      </c>
      <c r="J191" s="13"/>
      <c r="K191" s="13"/>
    </row>
    <row r="192" customFormat="false" ht="46.25" hidden="false" customHeight="false" outlineLevel="0" collapsed="false">
      <c r="A192" s="9" t="n">
        <v>191</v>
      </c>
      <c r="B192" s="9" t="s">
        <v>50</v>
      </c>
      <c r="C192" s="11" t="s">
        <v>51</v>
      </c>
      <c r="D192" s="9" t="s">
        <v>968</v>
      </c>
      <c r="E192" s="9" t="s">
        <v>969</v>
      </c>
      <c r="F192" s="9" t="s">
        <v>970</v>
      </c>
      <c r="G192" s="9" t="s">
        <v>24</v>
      </c>
      <c r="H192" s="14" t="s">
        <v>22</v>
      </c>
      <c r="I192" s="9" t="s">
        <v>971</v>
      </c>
      <c r="J192" s="13"/>
      <c r="K192" s="13"/>
    </row>
    <row r="193" customFormat="false" ht="23.85" hidden="false" customHeight="false" outlineLevel="0" collapsed="false">
      <c r="A193" s="9" t="n">
        <v>192</v>
      </c>
      <c r="B193" s="9" t="s">
        <v>50</v>
      </c>
      <c r="C193" s="11" t="s">
        <v>51</v>
      </c>
      <c r="D193" s="9" t="s">
        <v>972</v>
      </c>
      <c r="E193" s="9" t="s">
        <v>973</v>
      </c>
      <c r="F193" s="9" t="s">
        <v>974</v>
      </c>
      <c r="G193" s="9" t="s">
        <v>24</v>
      </c>
      <c r="H193" s="14" t="s">
        <v>22</v>
      </c>
      <c r="I193" s="9" t="s">
        <v>975</v>
      </c>
      <c r="J193" s="13"/>
      <c r="K193" s="13"/>
    </row>
    <row r="194" customFormat="false" ht="23.85" hidden="false" customHeight="false" outlineLevel="0" collapsed="false">
      <c r="A194" s="9" t="n">
        <v>193</v>
      </c>
      <c r="B194" s="9" t="s">
        <v>50</v>
      </c>
      <c r="C194" s="11" t="s">
        <v>51</v>
      </c>
      <c r="D194" s="9" t="s">
        <v>976</v>
      </c>
      <c r="E194" s="9" t="s">
        <v>977</v>
      </c>
      <c r="F194" s="9" t="s">
        <v>978</v>
      </c>
      <c r="G194" s="9" t="s">
        <v>24</v>
      </c>
      <c r="H194" s="14" t="s">
        <v>22</v>
      </c>
      <c r="I194" s="9" t="s">
        <v>979</v>
      </c>
      <c r="J194" s="13"/>
      <c r="K194" s="13"/>
    </row>
    <row r="195" customFormat="false" ht="23.85" hidden="false" customHeight="false" outlineLevel="0" collapsed="false">
      <c r="A195" s="9" t="n">
        <v>194</v>
      </c>
      <c r="B195" s="9" t="s">
        <v>50</v>
      </c>
      <c r="C195" s="11" t="s">
        <v>51</v>
      </c>
      <c r="D195" s="9" t="s">
        <v>980</v>
      </c>
      <c r="E195" s="9" t="s">
        <v>981</v>
      </c>
      <c r="F195" s="9" t="s">
        <v>982</v>
      </c>
      <c r="G195" s="9" t="s">
        <v>24</v>
      </c>
      <c r="H195" s="14" t="s">
        <v>22</v>
      </c>
      <c r="I195" s="9" t="s">
        <v>983</v>
      </c>
      <c r="J195" s="13"/>
      <c r="K195" s="13"/>
    </row>
    <row r="196" customFormat="false" ht="35.05" hidden="false" customHeight="false" outlineLevel="0" collapsed="false">
      <c r="A196" s="9" t="n">
        <v>195</v>
      </c>
      <c r="B196" s="9" t="s">
        <v>50</v>
      </c>
      <c r="C196" s="11" t="s">
        <v>51</v>
      </c>
      <c r="D196" s="9" t="s">
        <v>984</v>
      </c>
      <c r="E196" s="9" t="s">
        <v>985</v>
      </c>
      <c r="F196" s="9" t="s">
        <v>986</v>
      </c>
      <c r="G196" s="9" t="s">
        <v>24</v>
      </c>
      <c r="H196" s="14" t="s">
        <v>22</v>
      </c>
      <c r="I196" s="9" t="s">
        <v>987</v>
      </c>
      <c r="J196" s="13"/>
      <c r="K196" s="13"/>
    </row>
    <row r="197" customFormat="false" ht="35.05" hidden="false" customHeight="false" outlineLevel="0" collapsed="false">
      <c r="A197" s="9" t="n">
        <v>196</v>
      </c>
      <c r="B197" s="9" t="s">
        <v>50</v>
      </c>
      <c r="C197" s="11" t="s">
        <v>51</v>
      </c>
      <c r="D197" s="9" t="s">
        <v>988</v>
      </c>
      <c r="E197" s="9" t="s">
        <v>989</v>
      </c>
      <c r="F197" s="9" t="s">
        <v>990</v>
      </c>
      <c r="G197" s="9" t="s">
        <v>24</v>
      </c>
      <c r="H197" s="14" t="s">
        <v>22</v>
      </c>
      <c r="I197" s="9" t="s">
        <v>991</v>
      </c>
      <c r="J197" s="13"/>
      <c r="K197" s="13"/>
    </row>
    <row r="198" customFormat="false" ht="57.45" hidden="false" customHeight="false" outlineLevel="0" collapsed="false">
      <c r="A198" s="9" t="n">
        <v>197</v>
      </c>
      <c r="B198" s="9" t="s">
        <v>50</v>
      </c>
      <c r="C198" s="11" t="s">
        <v>51</v>
      </c>
      <c r="D198" s="9" t="s">
        <v>992</v>
      </c>
      <c r="E198" s="9" t="s">
        <v>993</v>
      </c>
      <c r="F198" s="9" t="s">
        <v>994</v>
      </c>
      <c r="G198" s="9" t="s">
        <v>24</v>
      </c>
      <c r="H198" s="14" t="s">
        <v>22</v>
      </c>
      <c r="I198" s="9" t="s">
        <v>995</v>
      </c>
      <c r="J198" s="13"/>
      <c r="K198" s="13"/>
    </row>
    <row r="199" customFormat="false" ht="35.05" hidden="false" customHeight="false" outlineLevel="0" collapsed="false">
      <c r="A199" s="9" t="n">
        <v>198</v>
      </c>
      <c r="B199" s="9" t="s">
        <v>50</v>
      </c>
      <c r="C199" s="11" t="s">
        <v>51</v>
      </c>
      <c r="D199" s="9" t="s">
        <v>996</v>
      </c>
      <c r="E199" s="9" t="s">
        <v>358</v>
      </c>
      <c r="F199" s="9" t="s">
        <v>997</v>
      </c>
      <c r="G199" s="9" t="s">
        <v>24</v>
      </c>
      <c r="H199" s="14" t="s">
        <v>22</v>
      </c>
      <c r="I199" s="9" t="s">
        <v>998</v>
      </c>
      <c r="J199" s="13"/>
      <c r="K199" s="13"/>
    </row>
    <row r="200" customFormat="false" ht="15" hidden="false" customHeight="false" outlineLevel="0" collapsed="false">
      <c r="A200" s="9" t="n">
        <v>199</v>
      </c>
      <c r="B200" s="9" t="s">
        <v>50</v>
      </c>
      <c r="C200" s="11" t="s">
        <v>51</v>
      </c>
      <c r="D200" s="9" t="s">
        <v>999</v>
      </c>
      <c r="E200" s="9" t="s">
        <v>362</v>
      </c>
      <c r="F200" s="9" t="s">
        <v>363</v>
      </c>
      <c r="G200" s="9" t="s">
        <v>24</v>
      </c>
      <c r="H200" s="14" t="s">
        <v>22</v>
      </c>
      <c r="I200" s="9" t="s">
        <v>364</v>
      </c>
      <c r="J200" s="13"/>
      <c r="K200" s="13"/>
    </row>
    <row r="201" customFormat="false" ht="23.85" hidden="false" customHeight="false" outlineLevel="0" collapsed="false">
      <c r="A201" s="9" t="n">
        <v>200</v>
      </c>
      <c r="B201" s="9" t="s">
        <v>50</v>
      </c>
      <c r="C201" s="11" t="s">
        <v>51</v>
      </c>
      <c r="D201" s="9" t="s">
        <v>1000</v>
      </c>
      <c r="E201" s="9" t="s">
        <v>1001</v>
      </c>
      <c r="F201" s="9" t="s">
        <v>1002</v>
      </c>
      <c r="G201" s="9" t="s">
        <v>24</v>
      </c>
      <c r="H201" s="15" t="s">
        <v>23</v>
      </c>
      <c r="I201" s="9" t="s">
        <v>1003</v>
      </c>
      <c r="J201" s="13"/>
      <c r="K201" s="13"/>
    </row>
    <row r="202" customFormat="false" ht="23.85" hidden="false" customHeight="false" outlineLevel="0" collapsed="false">
      <c r="A202" s="9" t="n">
        <v>201</v>
      </c>
      <c r="B202" s="9" t="s">
        <v>50</v>
      </c>
      <c r="C202" s="11" t="s">
        <v>51</v>
      </c>
      <c r="D202" s="9" t="s">
        <v>1004</v>
      </c>
      <c r="E202" s="9" t="s">
        <v>1005</v>
      </c>
      <c r="F202" s="9" t="s">
        <v>1006</v>
      </c>
      <c r="G202" s="9" t="s">
        <v>24</v>
      </c>
      <c r="H202" s="15" t="s">
        <v>23</v>
      </c>
      <c r="I202" s="9" t="s">
        <v>1007</v>
      </c>
      <c r="J202" s="13"/>
      <c r="K202" s="13"/>
    </row>
    <row r="203" customFormat="false" ht="23.85" hidden="false" customHeight="false" outlineLevel="0" collapsed="false">
      <c r="A203" s="9" t="n">
        <v>202</v>
      </c>
      <c r="B203" s="9" t="s">
        <v>50</v>
      </c>
      <c r="C203" s="11" t="s">
        <v>51</v>
      </c>
      <c r="D203" s="9" t="s">
        <v>1008</v>
      </c>
      <c r="E203" s="9" t="s">
        <v>1009</v>
      </c>
      <c r="F203" s="9" t="s">
        <v>1010</v>
      </c>
      <c r="G203" s="9" t="s">
        <v>24</v>
      </c>
      <c r="H203" s="15" t="s">
        <v>23</v>
      </c>
      <c r="I203" s="9" t="s">
        <v>1007</v>
      </c>
      <c r="J203" s="13"/>
      <c r="K203" s="13"/>
    </row>
    <row r="204" customFormat="false" ht="23.85" hidden="false" customHeight="false" outlineLevel="0" collapsed="false">
      <c r="A204" s="9" t="n">
        <v>203</v>
      </c>
      <c r="B204" s="9" t="s">
        <v>50</v>
      </c>
      <c r="C204" s="11" t="s">
        <v>51</v>
      </c>
      <c r="D204" s="9" t="s">
        <v>1011</v>
      </c>
      <c r="E204" s="9" t="s">
        <v>1012</v>
      </c>
      <c r="F204" s="9" t="s">
        <v>1013</v>
      </c>
      <c r="G204" s="9" t="s">
        <v>24</v>
      </c>
      <c r="H204" s="15" t="s">
        <v>23</v>
      </c>
      <c r="I204" s="9" t="s">
        <v>1014</v>
      </c>
      <c r="J204" s="13"/>
      <c r="K204" s="13"/>
    </row>
    <row r="205" customFormat="false" ht="46.25" hidden="false" customHeight="false" outlineLevel="0" collapsed="false">
      <c r="A205" s="9" t="n">
        <v>204</v>
      </c>
      <c r="B205" s="9" t="s">
        <v>50</v>
      </c>
      <c r="C205" s="11" t="s">
        <v>51</v>
      </c>
      <c r="D205" s="9" t="s">
        <v>1015</v>
      </c>
      <c r="E205" s="9" t="s">
        <v>1016</v>
      </c>
      <c r="F205" s="9" t="s">
        <v>1017</v>
      </c>
      <c r="G205" s="9" t="s">
        <v>24</v>
      </c>
      <c r="H205" s="15" t="s">
        <v>23</v>
      </c>
      <c r="I205" s="9" t="s">
        <v>1018</v>
      </c>
      <c r="J205" s="13"/>
      <c r="K205" s="13"/>
    </row>
    <row r="206" customFormat="false" ht="35.05" hidden="false" customHeight="false" outlineLevel="0" collapsed="false">
      <c r="A206" s="9" t="n">
        <v>205</v>
      </c>
      <c r="B206" s="9" t="s">
        <v>50</v>
      </c>
      <c r="C206" s="11" t="s">
        <v>51</v>
      </c>
      <c r="D206" s="9" t="s">
        <v>1019</v>
      </c>
      <c r="E206" s="9" t="s">
        <v>1020</v>
      </c>
      <c r="F206" s="9" t="s">
        <v>1021</v>
      </c>
      <c r="G206" s="9" t="s">
        <v>24</v>
      </c>
      <c r="H206" s="15" t="s">
        <v>23</v>
      </c>
      <c r="I206" s="9" t="s">
        <v>1022</v>
      </c>
      <c r="J206" s="13"/>
      <c r="K206" s="13"/>
    </row>
    <row r="207" customFormat="false" ht="35.05" hidden="false" customHeight="false" outlineLevel="0" collapsed="false">
      <c r="A207" s="9" t="n">
        <v>206</v>
      </c>
      <c r="B207" s="9" t="s">
        <v>50</v>
      </c>
      <c r="C207" s="11" t="s">
        <v>51</v>
      </c>
      <c r="D207" s="9" t="s">
        <v>1023</v>
      </c>
      <c r="E207" s="9" t="s">
        <v>1024</v>
      </c>
      <c r="F207" s="9" t="s">
        <v>1025</v>
      </c>
      <c r="G207" s="9" t="s">
        <v>24</v>
      </c>
      <c r="H207" s="15" t="s">
        <v>23</v>
      </c>
      <c r="I207" s="9" t="s">
        <v>1026</v>
      </c>
      <c r="J207" s="13"/>
      <c r="K207" s="13"/>
    </row>
    <row r="208" customFormat="false" ht="35.05" hidden="false" customHeight="false" outlineLevel="0" collapsed="false">
      <c r="A208" s="9" t="n">
        <v>207</v>
      </c>
      <c r="B208" s="9" t="s">
        <v>50</v>
      </c>
      <c r="C208" s="11" t="s">
        <v>51</v>
      </c>
      <c r="D208" s="9" t="s">
        <v>1027</v>
      </c>
      <c r="E208" s="9" t="s">
        <v>1028</v>
      </c>
      <c r="F208" s="9" t="s">
        <v>1029</v>
      </c>
      <c r="G208" s="9" t="s">
        <v>24</v>
      </c>
      <c r="H208" s="15" t="s">
        <v>23</v>
      </c>
      <c r="I208" s="9" t="s">
        <v>1030</v>
      </c>
      <c r="J208" s="13"/>
      <c r="K208" s="13"/>
    </row>
    <row r="209" customFormat="false" ht="23.85" hidden="false" customHeight="false" outlineLevel="0" collapsed="false">
      <c r="A209" s="9" t="n">
        <v>208</v>
      </c>
      <c r="B209" s="9" t="s">
        <v>50</v>
      </c>
      <c r="C209" s="11" t="s">
        <v>51</v>
      </c>
      <c r="D209" s="9" t="s">
        <v>1031</v>
      </c>
      <c r="E209" s="9" t="s">
        <v>1032</v>
      </c>
      <c r="F209" s="9" t="s">
        <v>1033</v>
      </c>
      <c r="G209" s="9" t="s">
        <v>24</v>
      </c>
      <c r="H209" s="15" t="s">
        <v>23</v>
      </c>
      <c r="I209" s="9" t="s">
        <v>1034</v>
      </c>
      <c r="J209" s="13"/>
      <c r="K209" s="13"/>
    </row>
    <row r="210" customFormat="false" ht="15" hidden="false" customHeight="false" outlineLevel="0" collapsed="false">
      <c r="A210" s="9" t="n">
        <v>209</v>
      </c>
      <c r="B210" s="9" t="s">
        <v>50</v>
      </c>
      <c r="C210" s="11" t="s">
        <v>51</v>
      </c>
      <c r="D210" s="9" t="s">
        <v>1035</v>
      </c>
      <c r="E210" s="9" t="s">
        <v>1036</v>
      </c>
      <c r="F210" s="9" t="s">
        <v>1037</v>
      </c>
      <c r="G210" s="9" t="s">
        <v>24</v>
      </c>
      <c r="H210" s="15" t="s">
        <v>23</v>
      </c>
      <c r="I210" s="9" t="s">
        <v>1038</v>
      </c>
      <c r="J210" s="13"/>
      <c r="K210" s="13"/>
    </row>
    <row r="211" customFormat="false" ht="113.4" hidden="false" customHeight="false" outlineLevel="0" collapsed="false">
      <c r="A211" s="9" t="n">
        <v>210</v>
      </c>
      <c r="B211" s="9" t="s">
        <v>50</v>
      </c>
      <c r="C211" s="11" t="s">
        <v>53</v>
      </c>
      <c r="D211" s="9" t="s">
        <v>1039</v>
      </c>
      <c r="E211" s="9" t="s">
        <v>1040</v>
      </c>
      <c r="F211" s="9" t="s">
        <v>1041</v>
      </c>
      <c r="G211" s="9" t="s">
        <v>324</v>
      </c>
      <c r="H211" s="12" t="s">
        <v>21</v>
      </c>
      <c r="I211" s="9" t="s">
        <v>1042</v>
      </c>
      <c r="J211" s="13"/>
      <c r="K211" s="13"/>
    </row>
    <row r="212" customFormat="false" ht="57.45" hidden="false" customHeight="false" outlineLevel="0" collapsed="false">
      <c r="A212" s="9" t="n">
        <v>211</v>
      </c>
      <c r="B212" s="9" t="s">
        <v>50</v>
      </c>
      <c r="C212" s="11" t="s">
        <v>53</v>
      </c>
      <c r="D212" s="9" t="s">
        <v>1043</v>
      </c>
      <c r="E212" s="9" t="s">
        <v>1044</v>
      </c>
      <c r="F212" s="9" t="s">
        <v>1045</v>
      </c>
      <c r="G212" s="9" t="s">
        <v>303</v>
      </c>
      <c r="H212" s="12" t="s">
        <v>21</v>
      </c>
      <c r="I212" s="9" t="s">
        <v>1046</v>
      </c>
      <c r="J212" s="13"/>
      <c r="K212" s="13"/>
    </row>
    <row r="213" customFormat="false" ht="102.2" hidden="false" customHeight="false" outlineLevel="0" collapsed="false">
      <c r="A213" s="9" t="n">
        <v>212</v>
      </c>
      <c r="B213" s="9" t="s">
        <v>50</v>
      </c>
      <c r="C213" s="11" t="s">
        <v>53</v>
      </c>
      <c r="D213" s="9" t="s">
        <v>1047</v>
      </c>
      <c r="E213" s="9" t="s">
        <v>1048</v>
      </c>
      <c r="F213" s="9" t="s">
        <v>1049</v>
      </c>
      <c r="G213" s="9" t="s">
        <v>392</v>
      </c>
      <c r="H213" s="12" t="s">
        <v>21</v>
      </c>
      <c r="I213" s="9" t="s">
        <v>1050</v>
      </c>
      <c r="J213" s="13"/>
      <c r="K213" s="13"/>
    </row>
    <row r="214" customFormat="false" ht="68.65" hidden="false" customHeight="false" outlineLevel="0" collapsed="false">
      <c r="A214" s="9" t="n">
        <v>213</v>
      </c>
      <c r="B214" s="9" t="s">
        <v>50</v>
      </c>
      <c r="C214" s="11" t="s">
        <v>53</v>
      </c>
      <c r="D214" s="9" t="s">
        <v>1051</v>
      </c>
      <c r="E214" s="9" t="s">
        <v>1052</v>
      </c>
      <c r="F214" s="9" t="s">
        <v>1053</v>
      </c>
      <c r="G214" s="9" t="s">
        <v>861</v>
      </c>
      <c r="H214" s="12" t="s">
        <v>21</v>
      </c>
      <c r="I214" s="9" t="s">
        <v>1054</v>
      </c>
      <c r="J214" s="13"/>
      <c r="K214" s="13"/>
    </row>
    <row r="215" customFormat="false" ht="124.6" hidden="false" customHeight="false" outlineLevel="0" collapsed="false">
      <c r="A215" s="9" t="n">
        <v>214</v>
      </c>
      <c r="B215" s="9" t="s">
        <v>50</v>
      </c>
      <c r="C215" s="11" t="s">
        <v>53</v>
      </c>
      <c r="D215" s="9" t="s">
        <v>1055</v>
      </c>
      <c r="E215" s="9" t="s">
        <v>1056</v>
      </c>
      <c r="F215" s="9" t="s">
        <v>1057</v>
      </c>
      <c r="G215" s="9" t="s">
        <v>1058</v>
      </c>
      <c r="H215" s="12" t="s">
        <v>21</v>
      </c>
      <c r="I215" s="9" t="s">
        <v>1059</v>
      </c>
      <c r="J215" s="13"/>
      <c r="K215" s="13"/>
    </row>
    <row r="216" customFormat="false" ht="57.45" hidden="false" customHeight="false" outlineLevel="0" collapsed="false">
      <c r="A216" s="9" t="n">
        <v>215</v>
      </c>
      <c r="B216" s="9" t="s">
        <v>50</v>
      </c>
      <c r="C216" s="11" t="s">
        <v>53</v>
      </c>
      <c r="D216" s="9" t="s">
        <v>1060</v>
      </c>
      <c r="E216" s="9" t="s">
        <v>1061</v>
      </c>
      <c r="F216" s="9" t="s">
        <v>1062</v>
      </c>
      <c r="G216" s="9" t="s">
        <v>1063</v>
      </c>
      <c r="H216" s="12" t="s">
        <v>21</v>
      </c>
      <c r="I216" s="9" t="s">
        <v>1064</v>
      </c>
      <c r="J216" s="13"/>
      <c r="K216" s="13"/>
    </row>
    <row r="217" customFormat="false" ht="91" hidden="false" customHeight="false" outlineLevel="0" collapsed="false">
      <c r="A217" s="9" t="n">
        <v>216</v>
      </c>
      <c r="B217" s="9" t="s">
        <v>50</v>
      </c>
      <c r="C217" s="11" t="s">
        <v>53</v>
      </c>
      <c r="D217" s="9" t="s">
        <v>1065</v>
      </c>
      <c r="E217" s="9" t="s">
        <v>1066</v>
      </c>
      <c r="F217" s="9" t="s">
        <v>1067</v>
      </c>
      <c r="G217" s="9" t="s">
        <v>392</v>
      </c>
      <c r="H217" s="12" t="s">
        <v>21</v>
      </c>
      <c r="I217" s="9" t="s">
        <v>1068</v>
      </c>
      <c r="J217" s="13"/>
      <c r="K217" s="13"/>
    </row>
    <row r="218" customFormat="false" ht="91" hidden="false" customHeight="false" outlineLevel="0" collapsed="false">
      <c r="A218" s="9" t="n">
        <v>217</v>
      </c>
      <c r="B218" s="9" t="s">
        <v>50</v>
      </c>
      <c r="C218" s="11" t="s">
        <v>53</v>
      </c>
      <c r="D218" s="9" t="s">
        <v>1069</v>
      </c>
      <c r="E218" s="9" t="s">
        <v>1070</v>
      </c>
      <c r="F218" s="9" t="s">
        <v>1071</v>
      </c>
      <c r="G218" s="9" t="s">
        <v>1072</v>
      </c>
      <c r="H218" s="12" t="s">
        <v>21</v>
      </c>
      <c r="I218" s="9" t="s">
        <v>1073</v>
      </c>
      <c r="J218" s="13"/>
      <c r="K218" s="13"/>
    </row>
    <row r="219" customFormat="false" ht="79.85" hidden="false" customHeight="false" outlineLevel="0" collapsed="false">
      <c r="A219" s="9" t="n">
        <v>218</v>
      </c>
      <c r="B219" s="9" t="s">
        <v>50</v>
      </c>
      <c r="C219" s="11" t="s">
        <v>53</v>
      </c>
      <c r="D219" s="9" t="s">
        <v>1074</v>
      </c>
      <c r="E219" s="9" t="s">
        <v>1075</v>
      </c>
      <c r="F219" s="9" t="s">
        <v>1076</v>
      </c>
      <c r="G219" s="9" t="s">
        <v>328</v>
      </c>
      <c r="H219" s="14" t="s">
        <v>22</v>
      </c>
      <c r="I219" s="9" t="s">
        <v>1077</v>
      </c>
      <c r="J219" s="13"/>
      <c r="K219" s="13"/>
    </row>
    <row r="220" customFormat="false" ht="147" hidden="false" customHeight="false" outlineLevel="0" collapsed="false">
      <c r="A220" s="9" t="n">
        <v>219</v>
      </c>
      <c r="B220" s="9" t="s">
        <v>50</v>
      </c>
      <c r="C220" s="11" t="s">
        <v>53</v>
      </c>
      <c r="D220" s="9" t="s">
        <v>1078</v>
      </c>
      <c r="E220" s="9" t="s">
        <v>1079</v>
      </c>
      <c r="F220" s="9" t="s">
        <v>1080</v>
      </c>
      <c r="G220" s="9" t="s">
        <v>303</v>
      </c>
      <c r="H220" s="14" t="s">
        <v>22</v>
      </c>
      <c r="I220" s="9" t="s">
        <v>1081</v>
      </c>
      <c r="J220" s="13"/>
      <c r="K220" s="13"/>
    </row>
    <row r="221" customFormat="false" ht="91" hidden="false" customHeight="false" outlineLevel="0" collapsed="false">
      <c r="A221" s="9" t="n">
        <v>220</v>
      </c>
      <c r="B221" s="9" t="s">
        <v>50</v>
      </c>
      <c r="C221" s="11" t="s">
        <v>53</v>
      </c>
      <c r="D221" s="9" t="s">
        <v>1082</v>
      </c>
      <c r="E221" s="9" t="s">
        <v>1083</v>
      </c>
      <c r="F221" s="9" t="s">
        <v>1084</v>
      </c>
      <c r="G221" s="9" t="s">
        <v>1085</v>
      </c>
      <c r="H221" s="14" t="s">
        <v>22</v>
      </c>
      <c r="I221" s="9" t="s">
        <v>1086</v>
      </c>
      <c r="J221" s="13"/>
      <c r="K221" s="13"/>
    </row>
    <row r="222" customFormat="false" ht="46.25" hidden="false" customHeight="false" outlineLevel="0" collapsed="false">
      <c r="A222" s="9" t="n">
        <v>221</v>
      </c>
      <c r="B222" s="9" t="s">
        <v>50</v>
      </c>
      <c r="C222" s="11" t="s">
        <v>53</v>
      </c>
      <c r="D222" s="9" t="s">
        <v>1087</v>
      </c>
      <c r="E222" s="9" t="s">
        <v>1088</v>
      </c>
      <c r="F222" s="9" t="s">
        <v>1089</v>
      </c>
      <c r="G222" s="9" t="s">
        <v>392</v>
      </c>
      <c r="H222" s="14" t="s">
        <v>22</v>
      </c>
      <c r="I222" s="9" t="s">
        <v>1090</v>
      </c>
      <c r="J222" s="13"/>
      <c r="K222" s="13"/>
    </row>
    <row r="223" customFormat="false" ht="68.65" hidden="false" customHeight="false" outlineLevel="0" collapsed="false">
      <c r="A223" s="9" t="n">
        <v>222</v>
      </c>
      <c r="B223" s="9" t="s">
        <v>50</v>
      </c>
      <c r="C223" s="11" t="s">
        <v>53</v>
      </c>
      <c r="D223" s="9" t="s">
        <v>1091</v>
      </c>
      <c r="E223" s="9" t="s">
        <v>1092</v>
      </c>
      <c r="F223" s="9" t="s">
        <v>1093</v>
      </c>
      <c r="G223" s="9" t="s">
        <v>1094</v>
      </c>
      <c r="H223" s="14" t="s">
        <v>22</v>
      </c>
      <c r="I223" s="9" t="s">
        <v>1095</v>
      </c>
      <c r="J223" s="13"/>
      <c r="K223" s="13"/>
    </row>
    <row r="224" customFormat="false" ht="46.25" hidden="false" customHeight="false" outlineLevel="0" collapsed="false">
      <c r="A224" s="9" t="n">
        <v>223</v>
      </c>
      <c r="B224" s="9" t="s">
        <v>50</v>
      </c>
      <c r="C224" s="11" t="s">
        <v>53</v>
      </c>
      <c r="D224" s="9" t="s">
        <v>1096</v>
      </c>
      <c r="E224" s="9" t="s">
        <v>1097</v>
      </c>
      <c r="F224" s="9" t="s">
        <v>1098</v>
      </c>
      <c r="G224" s="9" t="s">
        <v>392</v>
      </c>
      <c r="H224" s="14" t="s">
        <v>22</v>
      </c>
      <c r="I224" s="9" t="s">
        <v>1099</v>
      </c>
      <c r="J224" s="13"/>
      <c r="K224" s="13"/>
    </row>
    <row r="225" customFormat="false" ht="57.45" hidden="false" customHeight="false" outlineLevel="0" collapsed="false">
      <c r="A225" s="9" t="n">
        <v>224</v>
      </c>
      <c r="B225" s="9" t="s">
        <v>50</v>
      </c>
      <c r="C225" s="11" t="s">
        <v>53</v>
      </c>
      <c r="D225" s="9" t="s">
        <v>1100</v>
      </c>
      <c r="E225" s="9" t="s">
        <v>1101</v>
      </c>
      <c r="F225" s="9" t="s">
        <v>1102</v>
      </c>
      <c r="G225" s="9" t="s">
        <v>1072</v>
      </c>
      <c r="H225" s="14" t="s">
        <v>22</v>
      </c>
      <c r="I225" s="9" t="s">
        <v>1103</v>
      </c>
      <c r="J225" s="13"/>
      <c r="K225" s="13"/>
    </row>
    <row r="226" customFormat="false" ht="23.85" hidden="false" customHeight="false" outlineLevel="0" collapsed="false">
      <c r="A226" s="9" t="n">
        <v>225</v>
      </c>
      <c r="B226" s="9" t="s">
        <v>50</v>
      </c>
      <c r="C226" s="11" t="s">
        <v>53</v>
      </c>
      <c r="D226" s="9" t="s">
        <v>1104</v>
      </c>
      <c r="E226" s="9" t="s">
        <v>1105</v>
      </c>
      <c r="F226" s="9" t="s">
        <v>1106</v>
      </c>
      <c r="G226" s="9" t="s">
        <v>328</v>
      </c>
      <c r="H226" s="14" t="s">
        <v>22</v>
      </c>
      <c r="I226" s="9" t="s">
        <v>1107</v>
      </c>
      <c r="J226" s="13"/>
      <c r="K226" s="13"/>
    </row>
    <row r="227" customFormat="false" ht="191.75" hidden="false" customHeight="false" outlineLevel="0" collapsed="false">
      <c r="A227" s="9" t="n">
        <v>226</v>
      </c>
      <c r="B227" s="9" t="s">
        <v>50</v>
      </c>
      <c r="C227" s="11" t="s">
        <v>53</v>
      </c>
      <c r="D227" s="9" t="s">
        <v>1108</v>
      </c>
      <c r="E227" s="9" t="s">
        <v>1109</v>
      </c>
      <c r="F227" s="9" t="s">
        <v>1110</v>
      </c>
      <c r="G227" s="9" t="s">
        <v>303</v>
      </c>
      <c r="H227" s="14" t="s">
        <v>22</v>
      </c>
      <c r="I227" s="9" t="s">
        <v>1111</v>
      </c>
      <c r="J227" s="13"/>
      <c r="K227" s="13"/>
    </row>
    <row r="228" customFormat="false" ht="113.4" hidden="false" customHeight="false" outlineLevel="0" collapsed="false">
      <c r="A228" s="9" t="n">
        <v>227</v>
      </c>
      <c r="B228" s="9" t="s">
        <v>50</v>
      </c>
      <c r="C228" s="11" t="s">
        <v>53</v>
      </c>
      <c r="D228" s="9" t="s">
        <v>1112</v>
      </c>
      <c r="E228" s="9" t="s">
        <v>1113</v>
      </c>
      <c r="F228" s="9" t="s">
        <v>1114</v>
      </c>
      <c r="G228" s="9" t="s">
        <v>308</v>
      </c>
      <c r="H228" s="14" t="s">
        <v>22</v>
      </c>
      <c r="I228" s="9" t="s">
        <v>1115</v>
      </c>
      <c r="J228" s="13"/>
      <c r="K228" s="13"/>
    </row>
    <row r="229" customFormat="false" ht="113.4" hidden="false" customHeight="false" outlineLevel="0" collapsed="false">
      <c r="A229" s="9" t="n">
        <v>228</v>
      </c>
      <c r="B229" s="9" t="s">
        <v>50</v>
      </c>
      <c r="C229" s="11" t="s">
        <v>53</v>
      </c>
      <c r="D229" s="9" t="s">
        <v>1116</v>
      </c>
      <c r="E229" s="9" t="s">
        <v>1117</v>
      </c>
      <c r="F229" s="9" t="s">
        <v>1118</v>
      </c>
      <c r="G229" s="9" t="s">
        <v>303</v>
      </c>
      <c r="H229" s="14" t="s">
        <v>22</v>
      </c>
      <c r="I229" s="9" t="s">
        <v>1119</v>
      </c>
      <c r="J229" s="13"/>
      <c r="K229" s="13"/>
    </row>
    <row r="230" customFormat="false" ht="68.65" hidden="false" customHeight="false" outlineLevel="0" collapsed="false">
      <c r="A230" s="9" t="n">
        <v>229</v>
      </c>
      <c r="B230" s="9" t="s">
        <v>50</v>
      </c>
      <c r="C230" s="11" t="s">
        <v>53</v>
      </c>
      <c r="D230" s="9" t="s">
        <v>1120</v>
      </c>
      <c r="E230" s="9" t="s">
        <v>1121</v>
      </c>
      <c r="F230" s="9" t="s">
        <v>1122</v>
      </c>
      <c r="G230" s="9" t="s">
        <v>1085</v>
      </c>
      <c r="H230" s="14" t="s">
        <v>22</v>
      </c>
      <c r="I230" s="9" t="s">
        <v>1123</v>
      </c>
      <c r="J230" s="13"/>
      <c r="K230" s="13"/>
    </row>
    <row r="231" customFormat="false" ht="91" hidden="false" customHeight="false" outlineLevel="0" collapsed="false">
      <c r="A231" s="9" t="n">
        <v>230</v>
      </c>
      <c r="B231" s="9" t="s">
        <v>50</v>
      </c>
      <c r="C231" s="11" t="s">
        <v>53</v>
      </c>
      <c r="D231" s="9" t="s">
        <v>1124</v>
      </c>
      <c r="E231" s="9" t="s">
        <v>1125</v>
      </c>
      <c r="F231" s="9" t="s">
        <v>1126</v>
      </c>
      <c r="G231" s="9" t="s">
        <v>392</v>
      </c>
      <c r="H231" s="14" t="s">
        <v>22</v>
      </c>
      <c r="I231" s="9" t="s">
        <v>1127</v>
      </c>
      <c r="J231" s="13"/>
      <c r="K231" s="13"/>
    </row>
    <row r="232" customFormat="false" ht="35.05" hidden="false" customHeight="false" outlineLevel="0" collapsed="false">
      <c r="A232" s="9" t="n">
        <v>231</v>
      </c>
      <c r="B232" s="9" t="s">
        <v>50</v>
      </c>
      <c r="C232" s="11" t="s">
        <v>53</v>
      </c>
      <c r="D232" s="9" t="s">
        <v>1128</v>
      </c>
      <c r="E232" s="9" t="s">
        <v>1129</v>
      </c>
      <c r="F232" s="9" t="s">
        <v>1130</v>
      </c>
      <c r="G232" s="9" t="s">
        <v>1072</v>
      </c>
      <c r="H232" s="14" t="s">
        <v>22</v>
      </c>
      <c r="I232" s="9" t="s">
        <v>1131</v>
      </c>
      <c r="J232" s="13"/>
      <c r="K232" s="13"/>
    </row>
    <row r="233" customFormat="false" ht="113.4" hidden="false" customHeight="false" outlineLevel="0" collapsed="false">
      <c r="A233" s="9" t="n">
        <v>232</v>
      </c>
      <c r="B233" s="9" t="s">
        <v>50</v>
      </c>
      <c r="C233" s="11" t="s">
        <v>53</v>
      </c>
      <c r="D233" s="9" t="s">
        <v>1132</v>
      </c>
      <c r="E233" s="9" t="s">
        <v>1133</v>
      </c>
      <c r="F233" s="9" t="s">
        <v>1134</v>
      </c>
      <c r="G233" s="9" t="s">
        <v>392</v>
      </c>
      <c r="H233" s="14" t="s">
        <v>22</v>
      </c>
      <c r="I233" s="9" t="s">
        <v>1135</v>
      </c>
      <c r="J233" s="13"/>
      <c r="K233" s="13"/>
    </row>
    <row r="234" customFormat="false" ht="57.45" hidden="false" customHeight="false" outlineLevel="0" collapsed="false">
      <c r="A234" s="9" t="n">
        <v>233</v>
      </c>
      <c r="B234" s="9" t="s">
        <v>50</v>
      </c>
      <c r="C234" s="11" t="s">
        <v>53</v>
      </c>
      <c r="D234" s="9" t="s">
        <v>1136</v>
      </c>
      <c r="E234" s="9" t="s">
        <v>1137</v>
      </c>
      <c r="F234" s="9" t="s">
        <v>1138</v>
      </c>
      <c r="G234" s="9" t="s">
        <v>1139</v>
      </c>
      <c r="H234" s="14" t="s">
        <v>22</v>
      </c>
      <c r="I234" s="9" t="s">
        <v>1140</v>
      </c>
      <c r="J234" s="13"/>
      <c r="K234" s="13"/>
    </row>
    <row r="235" customFormat="false" ht="68.65" hidden="false" customHeight="false" outlineLevel="0" collapsed="false">
      <c r="A235" s="9" t="n">
        <v>234</v>
      </c>
      <c r="B235" s="9" t="s">
        <v>50</v>
      </c>
      <c r="C235" s="11" t="s">
        <v>53</v>
      </c>
      <c r="D235" s="9" t="s">
        <v>1141</v>
      </c>
      <c r="E235" s="9" t="s">
        <v>1142</v>
      </c>
      <c r="F235" s="9" t="s">
        <v>1143</v>
      </c>
      <c r="G235" s="9" t="s">
        <v>317</v>
      </c>
      <c r="H235" s="14" t="s">
        <v>22</v>
      </c>
      <c r="I235" s="9" t="s">
        <v>1144</v>
      </c>
      <c r="J235" s="13"/>
      <c r="K235" s="13"/>
    </row>
    <row r="236" customFormat="false" ht="46.25" hidden="false" customHeight="false" outlineLevel="0" collapsed="false">
      <c r="A236" s="9" t="n">
        <v>235</v>
      </c>
      <c r="B236" s="9" t="s">
        <v>50</v>
      </c>
      <c r="C236" s="11" t="s">
        <v>53</v>
      </c>
      <c r="D236" s="9" t="s">
        <v>1145</v>
      </c>
      <c r="E236" s="9" t="s">
        <v>1146</v>
      </c>
      <c r="F236" s="9" t="s">
        <v>1147</v>
      </c>
      <c r="G236" s="9" t="s">
        <v>317</v>
      </c>
      <c r="H236" s="15" t="s">
        <v>23</v>
      </c>
      <c r="I236" s="9" t="s">
        <v>1148</v>
      </c>
      <c r="J236" s="13"/>
      <c r="K236" s="13"/>
    </row>
    <row r="237" customFormat="false" ht="68.65" hidden="false" customHeight="false" outlineLevel="0" collapsed="false">
      <c r="A237" s="9" t="n">
        <v>236</v>
      </c>
      <c r="B237" s="9" t="s">
        <v>50</v>
      </c>
      <c r="C237" s="11" t="s">
        <v>53</v>
      </c>
      <c r="D237" s="9" t="s">
        <v>1149</v>
      </c>
      <c r="E237" s="9" t="s">
        <v>1150</v>
      </c>
      <c r="F237" s="9" t="s">
        <v>1151</v>
      </c>
      <c r="G237" s="9" t="s">
        <v>308</v>
      </c>
      <c r="H237" s="15" t="s">
        <v>23</v>
      </c>
      <c r="I237" s="9" t="s">
        <v>1152</v>
      </c>
      <c r="J237" s="13"/>
      <c r="K237" s="13"/>
    </row>
    <row r="238" customFormat="false" ht="35.05" hidden="false" customHeight="false" outlineLevel="0" collapsed="false">
      <c r="A238" s="9" t="n">
        <v>237</v>
      </c>
      <c r="B238" s="9" t="s">
        <v>50</v>
      </c>
      <c r="C238" s="11" t="s">
        <v>53</v>
      </c>
      <c r="D238" s="9" t="s">
        <v>1153</v>
      </c>
      <c r="E238" s="9" t="s">
        <v>1154</v>
      </c>
      <c r="F238" s="9" t="s">
        <v>1155</v>
      </c>
      <c r="G238" s="9" t="s">
        <v>312</v>
      </c>
      <c r="H238" s="15" t="s">
        <v>23</v>
      </c>
      <c r="I238" s="9" t="s">
        <v>1156</v>
      </c>
      <c r="J238" s="13"/>
      <c r="K238" s="13"/>
    </row>
    <row r="239" customFormat="false" ht="23.85" hidden="false" customHeight="false" outlineLevel="0" collapsed="false">
      <c r="A239" s="9" t="n">
        <v>238</v>
      </c>
      <c r="B239" s="9" t="s">
        <v>50</v>
      </c>
      <c r="C239" s="11" t="s">
        <v>53</v>
      </c>
      <c r="D239" s="9" t="s">
        <v>1157</v>
      </c>
      <c r="E239" s="9" t="s">
        <v>1158</v>
      </c>
      <c r="F239" s="9" t="s">
        <v>1159</v>
      </c>
      <c r="G239" s="9" t="s">
        <v>1072</v>
      </c>
      <c r="H239" s="15" t="s">
        <v>23</v>
      </c>
      <c r="I239" s="9" t="s">
        <v>1160</v>
      </c>
      <c r="J239" s="13"/>
      <c r="K239" s="13"/>
    </row>
    <row r="240" customFormat="false" ht="57.45" hidden="false" customHeight="false" outlineLevel="0" collapsed="false">
      <c r="A240" s="9" t="n">
        <v>239</v>
      </c>
      <c r="B240" s="9" t="s">
        <v>50</v>
      </c>
      <c r="C240" s="11" t="s">
        <v>53</v>
      </c>
      <c r="D240" s="9" t="s">
        <v>1161</v>
      </c>
      <c r="E240" s="9" t="s">
        <v>1162</v>
      </c>
      <c r="F240" s="9" t="s">
        <v>1163</v>
      </c>
      <c r="G240" s="9" t="s">
        <v>328</v>
      </c>
      <c r="H240" s="15" t="s">
        <v>23</v>
      </c>
      <c r="I240" s="9" t="s">
        <v>1164</v>
      </c>
      <c r="J240" s="13"/>
      <c r="K240" s="13"/>
    </row>
    <row r="241" customFormat="false" ht="35.05" hidden="false" customHeight="false" outlineLevel="0" collapsed="false">
      <c r="A241" s="9" t="n">
        <v>240</v>
      </c>
      <c r="B241" s="9" t="s">
        <v>50</v>
      </c>
      <c r="C241" s="11" t="s">
        <v>53</v>
      </c>
      <c r="D241" s="9" t="s">
        <v>1165</v>
      </c>
      <c r="E241" s="9" t="s">
        <v>1166</v>
      </c>
      <c r="F241" s="9" t="s">
        <v>1167</v>
      </c>
      <c r="G241" s="9" t="s">
        <v>317</v>
      </c>
      <c r="H241" s="15" t="s">
        <v>23</v>
      </c>
      <c r="I241" s="9" t="s">
        <v>1168</v>
      </c>
      <c r="J241" s="13"/>
      <c r="K241" s="13"/>
    </row>
    <row r="242" customFormat="false" ht="57.45" hidden="false" customHeight="false" outlineLevel="0" collapsed="false">
      <c r="A242" s="9" t="n">
        <v>241</v>
      </c>
      <c r="B242" s="9" t="s">
        <v>50</v>
      </c>
      <c r="C242" s="11" t="s">
        <v>53</v>
      </c>
      <c r="D242" s="9" t="s">
        <v>1169</v>
      </c>
      <c r="E242" s="9" t="s">
        <v>1170</v>
      </c>
      <c r="F242" s="9" t="s">
        <v>1171</v>
      </c>
      <c r="G242" s="9" t="s">
        <v>328</v>
      </c>
      <c r="H242" s="15" t="s">
        <v>23</v>
      </c>
      <c r="I242" s="9" t="s">
        <v>1172</v>
      </c>
      <c r="J242" s="13"/>
      <c r="K242" s="13"/>
    </row>
    <row r="243" customFormat="false" ht="35.05" hidden="false" customHeight="false" outlineLevel="0" collapsed="false">
      <c r="A243" s="9" t="n">
        <v>242</v>
      </c>
      <c r="B243" s="9" t="s">
        <v>50</v>
      </c>
      <c r="C243" s="11" t="s">
        <v>53</v>
      </c>
      <c r="D243" s="9" t="s">
        <v>1173</v>
      </c>
      <c r="E243" s="9" t="s">
        <v>1174</v>
      </c>
      <c r="F243" s="9" t="s">
        <v>1175</v>
      </c>
      <c r="G243" s="9" t="s">
        <v>1072</v>
      </c>
      <c r="H243" s="15" t="s">
        <v>23</v>
      </c>
      <c r="I243" s="9" t="s">
        <v>1176</v>
      </c>
      <c r="J243" s="13"/>
      <c r="K243" s="13"/>
    </row>
    <row r="244" customFormat="false" ht="35.05" hidden="false" customHeight="false" outlineLevel="0" collapsed="false">
      <c r="A244" s="9" t="n">
        <v>243</v>
      </c>
      <c r="B244" s="9" t="s">
        <v>50</v>
      </c>
      <c r="C244" s="11" t="s">
        <v>53</v>
      </c>
      <c r="D244" s="9" t="s">
        <v>1177</v>
      </c>
      <c r="E244" s="9" t="s">
        <v>1178</v>
      </c>
      <c r="F244" s="9" t="s">
        <v>1179</v>
      </c>
      <c r="G244" s="9" t="s">
        <v>328</v>
      </c>
      <c r="H244" s="15" t="s">
        <v>23</v>
      </c>
      <c r="I244" s="9" t="s">
        <v>1180</v>
      </c>
      <c r="J244" s="13"/>
      <c r="K244" s="13"/>
    </row>
    <row r="245" customFormat="false" ht="57.45" hidden="false" customHeight="false" outlineLevel="0" collapsed="false">
      <c r="A245" s="9" t="n">
        <v>244</v>
      </c>
      <c r="B245" s="9" t="s">
        <v>50</v>
      </c>
      <c r="C245" s="11" t="s">
        <v>53</v>
      </c>
      <c r="D245" s="9" t="s">
        <v>1181</v>
      </c>
      <c r="E245" s="9" t="s">
        <v>1182</v>
      </c>
      <c r="F245" s="9" t="s">
        <v>1183</v>
      </c>
      <c r="G245" s="9" t="s">
        <v>24</v>
      </c>
      <c r="H245" s="12" t="s">
        <v>21</v>
      </c>
      <c r="I245" s="9" t="s">
        <v>1184</v>
      </c>
      <c r="J245" s="13"/>
      <c r="K245" s="13"/>
    </row>
    <row r="246" customFormat="false" ht="35.05" hidden="false" customHeight="false" outlineLevel="0" collapsed="false">
      <c r="A246" s="9" t="n">
        <v>245</v>
      </c>
      <c r="B246" s="9" t="s">
        <v>50</v>
      </c>
      <c r="C246" s="11" t="s">
        <v>53</v>
      </c>
      <c r="D246" s="9" t="s">
        <v>1185</v>
      </c>
      <c r="E246" s="9" t="s">
        <v>1186</v>
      </c>
      <c r="F246" s="9" t="s">
        <v>1187</v>
      </c>
      <c r="G246" s="9" t="s">
        <v>24</v>
      </c>
      <c r="H246" s="12" t="s">
        <v>21</v>
      </c>
      <c r="I246" s="9" t="s">
        <v>1188</v>
      </c>
      <c r="J246" s="13"/>
      <c r="K246" s="13"/>
    </row>
    <row r="247" customFormat="false" ht="46.25" hidden="false" customHeight="false" outlineLevel="0" collapsed="false">
      <c r="A247" s="9" t="n">
        <v>246</v>
      </c>
      <c r="B247" s="9" t="s">
        <v>50</v>
      </c>
      <c r="C247" s="11" t="s">
        <v>53</v>
      </c>
      <c r="D247" s="9" t="s">
        <v>1189</v>
      </c>
      <c r="E247" s="9" t="s">
        <v>1190</v>
      </c>
      <c r="F247" s="9" t="s">
        <v>1191</v>
      </c>
      <c r="G247" s="9" t="s">
        <v>24</v>
      </c>
      <c r="H247" s="12" t="s">
        <v>21</v>
      </c>
      <c r="I247" s="9" t="s">
        <v>1192</v>
      </c>
      <c r="J247" s="13"/>
      <c r="K247" s="13"/>
    </row>
    <row r="248" customFormat="false" ht="57.45" hidden="false" customHeight="false" outlineLevel="0" collapsed="false">
      <c r="A248" s="9" t="n">
        <v>247</v>
      </c>
      <c r="B248" s="9" t="s">
        <v>50</v>
      </c>
      <c r="C248" s="11" t="s">
        <v>53</v>
      </c>
      <c r="D248" s="9" t="s">
        <v>1193</v>
      </c>
      <c r="E248" s="9" t="s">
        <v>1194</v>
      </c>
      <c r="F248" s="9" t="s">
        <v>1195</v>
      </c>
      <c r="G248" s="9" t="s">
        <v>24</v>
      </c>
      <c r="H248" s="12" t="s">
        <v>21</v>
      </c>
      <c r="I248" s="9" t="s">
        <v>1196</v>
      </c>
      <c r="J248" s="13"/>
      <c r="K248" s="13"/>
    </row>
    <row r="249" customFormat="false" ht="23.85" hidden="false" customHeight="false" outlineLevel="0" collapsed="false">
      <c r="A249" s="9" t="n">
        <v>248</v>
      </c>
      <c r="B249" s="9" t="s">
        <v>50</v>
      </c>
      <c r="C249" s="11" t="s">
        <v>53</v>
      </c>
      <c r="D249" s="9" t="s">
        <v>1197</v>
      </c>
      <c r="E249" s="9" t="s">
        <v>1198</v>
      </c>
      <c r="F249" s="9" t="s">
        <v>1199</v>
      </c>
      <c r="G249" s="9" t="s">
        <v>24</v>
      </c>
      <c r="H249" s="14" t="s">
        <v>22</v>
      </c>
      <c r="I249" s="9" t="s">
        <v>1200</v>
      </c>
      <c r="J249" s="13"/>
      <c r="K249" s="13"/>
    </row>
    <row r="250" customFormat="false" ht="23.85" hidden="false" customHeight="false" outlineLevel="0" collapsed="false">
      <c r="A250" s="9" t="n">
        <v>249</v>
      </c>
      <c r="B250" s="9" t="s">
        <v>50</v>
      </c>
      <c r="C250" s="11" t="s">
        <v>53</v>
      </c>
      <c r="D250" s="9" t="s">
        <v>1201</v>
      </c>
      <c r="E250" s="9" t="s">
        <v>1202</v>
      </c>
      <c r="F250" s="9" t="s">
        <v>1203</v>
      </c>
      <c r="G250" s="9" t="s">
        <v>24</v>
      </c>
      <c r="H250" s="14" t="s">
        <v>22</v>
      </c>
      <c r="I250" s="9" t="s">
        <v>1204</v>
      </c>
      <c r="J250" s="13"/>
      <c r="K250" s="13"/>
    </row>
    <row r="251" customFormat="false" ht="15" hidden="false" customHeight="false" outlineLevel="0" collapsed="false">
      <c r="A251" s="9" t="n">
        <v>250</v>
      </c>
      <c r="B251" s="9" t="s">
        <v>50</v>
      </c>
      <c r="C251" s="11" t="s">
        <v>53</v>
      </c>
      <c r="D251" s="9" t="s">
        <v>1205</v>
      </c>
      <c r="E251" s="9" t="s">
        <v>1206</v>
      </c>
      <c r="F251" s="9" t="s">
        <v>1207</v>
      </c>
      <c r="G251" s="9" t="s">
        <v>24</v>
      </c>
      <c r="H251" s="14" t="s">
        <v>22</v>
      </c>
      <c r="I251" s="9" t="s">
        <v>1208</v>
      </c>
      <c r="J251" s="13"/>
      <c r="K251" s="13"/>
    </row>
    <row r="252" customFormat="false" ht="23.85" hidden="false" customHeight="false" outlineLevel="0" collapsed="false">
      <c r="A252" s="9" t="n">
        <v>251</v>
      </c>
      <c r="B252" s="9" t="s">
        <v>50</v>
      </c>
      <c r="C252" s="11" t="s">
        <v>53</v>
      </c>
      <c r="D252" s="9" t="s">
        <v>1209</v>
      </c>
      <c r="E252" s="9" t="s">
        <v>1210</v>
      </c>
      <c r="F252" s="9" t="s">
        <v>1211</v>
      </c>
      <c r="G252" s="9" t="s">
        <v>24</v>
      </c>
      <c r="H252" s="14" t="s">
        <v>22</v>
      </c>
      <c r="I252" s="9" t="s">
        <v>1212</v>
      </c>
      <c r="J252" s="13"/>
      <c r="K252" s="13"/>
    </row>
    <row r="253" customFormat="false" ht="23.85" hidden="false" customHeight="false" outlineLevel="0" collapsed="false">
      <c r="A253" s="9" t="n">
        <v>252</v>
      </c>
      <c r="B253" s="9" t="s">
        <v>50</v>
      </c>
      <c r="C253" s="11" t="s">
        <v>53</v>
      </c>
      <c r="D253" s="9" t="s">
        <v>1213</v>
      </c>
      <c r="E253" s="9" t="s">
        <v>1214</v>
      </c>
      <c r="F253" s="9" t="s">
        <v>1215</v>
      </c>
      <c r="G253" s="9" t="s">
        <v>24</v>
      </c>
      <c r="H253" s="14" t="s">
        <v>22</v>
      </c>
      <c r="I253" s="9" t="s">
        <v>1216</v>
      </c>
      <c r="J253" s="13"/>
      <c r="K253" s="13"/>
    </row>
    <row r="254" customFormat="false" ht="23.85" hidden="false" customHeight="false" outlineLevel="0" collapsed="false">
      <c r="A254" s="9" t="n">
        <v>253</v>
      </c>
      <c r="B254" s="9" t="s">
        <v>50</v>
      </c>
      <c r="C254" s="11" t="s">
        <v>53</v>
      </c>
      <c r="D254" s="9" t="s">
        <v>1217</v>
      </c>
      <c r="E254" s="9" t="s">
        <v>1218</v>
      </c>
      <c r="F254" s="9" t="s">
        <v>1219</v>
      </c>
      <c r="G254" s="9" t="s">
        <v>24</v>
      </c>
      <c r="H254" s="14" t="s">
        <v>22</v>
      </c>
      <c r="I254" s="9" t="s">
        <v>1220</v>
      </c>
      <c r="J254" s="13"/>
      <c r="K254" s="13"/>
    </row>
    <row r="255" customFormat="false" ht="15" hidden="false" customHeight="false" outlineLevel="0" collapsed="false">
      <c r="A255" s="9" t="n">
        <v>254</v>
      </c>
      <c r="B255" s="9" t="s">
        <v>50</v>
      </c>
      <c r="C255" s="11" t="s">
        <v>53</v>
      </c>
      <c r="D255" s="9" t="s">
        <v>1221</v>
      </c>
      <c r="E255" s="9" t="s">
        <v>1222</v>
      </c>
      <c r="F255" s="9" t="s">
        <v>1223</v>
      </c>
      <c r="G255" s="9" t="s">
        <v>24</v>
      </c>
      <c r="H255" s="14" t="s">
        <v>22</v>
      </c>
      <c r="I255" s="9" t="s">
        <v>1224</v>
      </c>
      <c r="J255" s="13"/>
      <c r="K255" s="13"/>
    </row>
    <row r="256" customFormat="false" ht="23.85" hidden="false" customHeight="false" outlineLevel="0" collapsed="false">
      <c r="A256" s="9" t="n">
        <v>255</v>
      </c>
      <c r="B256" s="9" t="s">
        <v>50</v>
      </c>
      <c r="C256" s="11" t="s">
        <v>53</v>
      </c>
      <c r="D256" s="9" t="s">
        <v>1225</v>
      </c>
      <c r="E256" s="9" t="s">
        <v>1226</v>
      </c>
      <c r="F256" s="9" t="s">
        <v>1227</v>
      </c>
      <c r="G256" s="9" t="s">
        <v>24</v>
      </c>
      <c r="H256" s="14" t="s">
        <v>22</v>
      </c>
      <c r="I256" s="9" t="s">
        <v>1228</v>
      </c>
      <c r="J256" s="13"/>
      <c r="K256" s="13"/>
    </row>
    <row r="257" customFormat="false" ht="23.85" hidden="false" customHeight="false" outlineLevel="0" collapsed="false">
      <c r="A257" s="9" t="n">
        <v>256</v>
      </c>
      <c r="B257" s="9" t="s">
        <v>50</v>
      </c>
      <c r="C257" s="11" t="s">
        <v>53</v>
      </c>
      <c r="D257" s="9" t="s">
        <v>1229</v>
      </c>
      <c r="E257" s="9" t="s">
        <v>1230</v>
      </c>
      <c r="F257" s="9" t="s">
        <v>1231</v>
      </c>
      <c r="G257" s="9" t="s">
        <v>24</v>
      </c>
      <c r="H257" s="14" t="s">
        <v>22</v>
      </c>
      <c r="I257" s="9" t="s">
        <v>1232</v>
      </c>
      <c r="J257" s="13"/>
      <c r="K257" s="13"/>
    </row>
    <row r="258" customFormat="false" ht="57.45" hidden="false" customHeight="false" outlineLevel="0" collapsed="false">
      <c r="A258" s="9" t="n">
        <v>257</v>
      </c>
      <c r="B258" s="9" t="s">
        <v>50</v>
      </c>
      <c r="C258" s="11" t="s">
        <v>53</v>
      </c>
      <c r="D258" s="9" t="s">
        <v>1233</v>
      </c>
      <c r="E258" s="9" t="s">
        <v>1234</v>
      </c>
      <c r="F258" s="9" t="s">
        <v>1235</v>
      </c>
      <c r="G258" s="9" t="s">
        <v>24</v>
      </c>
      <c r="H258" s="14" t="s">
        <v>22</v>
      </c>
      <c r="I258" s="9" t="s">
        <v>1236</v>
      </c>
      <c r="J258" s="13"/>
      <c r="K258" s="13"/>
    </row>
    <row r="259" customFormat="false" ht="23.85" hidden="false" customHeight="false" outlineLevel="0" collapsed="false">
      <c r="A259" s="9" t="n">
        <v>258</v>
      </c>
      <c r="B259" s="9" t="s">
        <v>50</v>
      </c>
      <c r="C259" s="11" t="s">
        <v>53</v>
      </c>
      <c r="D259" s="9" t="s">
        <v>1237</v>
      </c>
      <c r="E259" s="9" t="s">
        <v>1238</v>
      </c>
      <c r="F259" s="9" t="s">
        <v>1239</v>
      </c>
      <c r="G259" s="9" t="s">
        <v>24</v>
      </c>
      <c r="H259" s="14" t="s">
        <v>22</v>
      </c>
      <c r="I259" s="9" t="s">
        <v>1240</v>
      </c>
      <c r="J259" s="13"/>
      <c r="K259" s="13"/>
    </row>
    <row r="260" customFormat="false" ht="23.85" hidden="false" customHeight="false" outlineLevel="0" collapsed="false">
      <c r="A260" s="9" t="n">
        <v>259</v>
      </c>
      <c r="B260" s="9" t="s">
        <v>50</v>
      </c>
      <c r="C260" s="11" t="s">
        <v>53</v>
      </c>
      <c r="D260" s="9" t="s">
        <v>1241</v>
      </c>
      <c r="E260" s="9" t="s">
        <v>358</v>
      </c>
      <c r="F260" s="9" t="s">
        <v>1242</v>
      </c>
      <c r="G260" s="9" t="s">
        <v>24</v>
      </c>
      <c r="H260" s="14" t="s">
        <v>22</v>
      </c>
      <c r="I260" s="9" t="s">
        <v>1243</v>
      </c>
      <c r="J260" s="13"/>
      <c r="K260" s="13"/>
    </row>
    <row r="261" customFormat="false" ht="15" hidden="false" customHeight="false" outlineLevel="0" collapsed="false">
      <c r="A261" s="9" t="n">
        <v>260</v>
      </c>
      <c r="B261" s="9" t="s">
        <v>50</v>
      </c>
      <c r="C261" s="11" t="s">
        <v>53</v>
      </c>
      <c r="D261" s="9" t="s">
        <v>1244</v>
      </c>
      <c r="E261" s="9" t="s">
        <v>362</v>
      </c>
      <c r="F261" s="9" t="s">
        <v>363</v>
      </c>
      <c r="G261" s="9" t="s">
        <v>24</v>
      </c>
      <c r="H261" s="14" t="s">
        <v>22</v>
      </c>
      <c r="I261" s="9" t="s">
        <v>364</v>
      </c>
      <c r="J261" s="13"/>
      <c r="K261" s="13"/>
    </row>
    <row r="262" customFormat="false" ht="23.85" hidden="false" customHeight="false" outlineLevel="0" collapsed="false">
      <c r="A262" s="9" t="n">
        <v>261</v>
      </c>
      <c r="B262" s="9" t="s">
        <v>50</v>
      </c>
      <c r="C262" s="11" t="s">
        <v>53</v>
      </c>
      <c r="D262" s="9" t="s">
        <v>1245</v>
      </c>
      <c r="E262" s="9" t="s">
        <v>1246</v>
      </c>
      <c r="F262" s="9" t="s">
        <v>1247</v>
      </c>
      <c r="G262" s="9" t="s">
        <v>24</v>
      </c>
      <c r="H262" s="15" t="s">
        <v>23</v>
      </c>
      <c r="I262" s="9" t="s">
        <v>1248</v>
      </c>
      <c r="J262" s="13"/>
      <c r="K262" s="13"/>
    </row>
    <row r="263" customFormat="false" ht="15" hidden="false" customHeight="false" outlineLevel="0" collapsed="false">
      <c r="A263" s="9" t="n">
        <v>262</v>
      </c>
      <c r="B263" s="9" t="s">
        <v>50</v>
      </c>
      <c r="C263" s="11" t="s">
        <v>53</v>
      </c>
      <c r="D263" s="9" t="s">
        <v>1249</v>
      </c>
      <c r="E263" s="9" t="s">
        <v>1250</v>
      </c>
      <c r="F263" s="9" t="s">
        <v>1251</v>
      </c>
      <c r="G263" s="9" t="s">
        <v>24</v>
      </c>
      <c r="H263" s="15" t="s">
        <v>23</v>
      </c>
      <c r="I263" s="9" t="s">
        <v>1007</v>
      </c>
      <c r="J263" s="13"/>
      <c r="K263" s="13"/>
    </row>
    <row r="264" customFormat="false" ht="23.85" hidden="false" customHeight="false" outlineLevel="0" collapsed="false">
      <c r="A264" s="9" t="n">
        <v>263</v>
      </c>
      <c r="B264" s="9" t="s">
        <v>50</v>
      </c>
      <c r="C264" s="11" t="s">
        <v>53</v>
      </c>
      <c r="D264" s="9" t="s">
        <v>1252</v>
      </c>
      <c r="E264" s="9" t="s">
        <v>1253</v>
      </c>
      <c r="F264" s="9" t="s">
        <v>1254</v>
      </c>
      <c r="G264" s="9" t="s">
        <v>24</v>
      </c>
      <c r="H264" s="15" t="s">
        <v>23</v>
      </c>
      <c r="I264" s="9" t="s">
        <v>1007</v>
      </c>
      <c r="J264" s="13"/>
      <c r="K264" s="13"/>
    </row>
    <row r="265" customFormat="false" ht="23.85" hidden="false" customHeight="false" outlineLevel="0" collapsed="false">
      <c r="A265" s="9" t="n">
        <v>264</v>
      </c>
      <c r="B265" s="9" t="s">
        <v>50</v>
      </c>
      <c r="C265" s="11" t="s">
        <v>53</v>
      </c>
      <c r="D265" s="9" t="s">
        <v>1255</v>
      </c>
      <c r="E265" s="9" t="s">
        <v>1256</v>
      </c>
      <c r="F265" s="9" t="s">
        <v>1257</v>
      </c>
      <c r="G265" s="9" t="s">
        <v>24</v>
      </c>
      <c r="H265" s="15" t="s">
        <v>23</v>
      </c>
      <c r="I265" s="9" t="s">
        <v>1258</v>
      </c>
      <c r="J265" s="13"/>
      <c r="K265" s="13"/>
    </row>
    <row r="266" customFormat="false" ht="23.85" hidden="false" customHeight="false" outlineLevel="0" collapsed="false">
      <c r="A266" s="9" t="n">
        <v>265</v>
      </c>
      <c r="B266" s="9" t="s">
        <v>50</v>
      </c>
      <c r="C266" s="11" t="s">
        <v>53</v>
      </c>
      <c r="D266" s="9" t="s">
        <v>1259</v>
      </c>
      <c r="E266" s="9" t="s">
        <v>1260</v>
      </c>
      <c r="F266" s="9" t="s">
        <v>1261</v>
      </c>
      <c r="G266" s="9" t="s">
        <v>24</v>
      </c>
      <c r="H266" s="15" t="s">
        <v>23</v>
      </c>
      <c r="I266" s="9" t="s">
        <v>1007</v>
      </c>
      <c r="J266" s="13"/>
      <c r="K266" s="13"/>
    </row>
    <row r="267" customFormat="false" ht="35.05" hidden="false" customHeight="false" outlineLevel="0" collapsed="false">
      <c r="A267" s="9" t="n">
        <v>266</v>
      </c>
      <c r="B267" s="9" t="s">
        <v>50</v>
      </c>
      <c r="C267" s="11" t="s">
        <v>53</v>
      </c>
      <c r="D267" s="9" t="s">
        <v>1262</v>
      </c>
      <c r="E267" s="9" t="s">
        <v>1263</v>
      </c>
      <c r="F267" s="9" t="s">
        <v>1264</v>
      </c>
      <c r="G267" s="9" t="s">
        <v>24</v>
      </c>
      <c r="H267" s="15" t="s">
        <v>23</v>
      </c>
      <c r="I267" s="9" t="s">
        <v>1265</v>
      </c>
      <c r="J267" s="13"/>
      <c r="K267" s="13"/>
    </row>
    <row r="268" customFormat="false" ht="23.85" hidden="false" customHeight="false" outlineLevel="0" collapsed="false">
      <c r="A268" s="9" t="n">
        <v>267</v>
      </c>
      <c r="B268" s="9" t="s">
        <v>50</v>
      </c>
      <c r="C268" s="11" t="s">
        <v>53</v>
      </c>
      <c r="D268" s="9" t="s">
        <v>1266</v>
      </c>
      <c r="E268" s="9" t="s">
        <v>1267</v>
      </c>
      <c r="F268" s="9" t="s">
        <v>1268</v>
      </c>
      <c r="G268" s="9" t="s">
        <v>24</v>
      </c>
      <c r="H268" s="15" t="s">
        <v>23</v>
      </c>
      <c r="I268" s="9" t="s">
        <v>380</v>
      </c>
      <c r="J268" s="13"/>
      <c r="K268" s="13"/>
    </row>
    <row r="269" customFormat="false" ht="23.85" hidden="false" customHeight="false" outlineLevel="0" collapsed="false">
      <c r="A269" s="9" t="n">
        <v>268</v>
      </c>
      <c r="B269" s="9" t="s">
        <v>50</v>
      </c>
      <c r="C269" s="11" t="s">
        <v>53</v>
      </c>
      <c r="D269" s="9" t="s">
        <v>1269</v>
      </c>
      <c r="E269" s="9" t="s">
        <v>1270</v>
      </c>
      <c r="F269" s="9" t="s">
        <v>1271</v>
      </c>
      <c r="G269" s="9" t="s">
        <v>24</v>
      </c>
      <c r="H269" s="15" t="s">
        <v>23</v>
      </c>
      <c r="I269" s="9" t="s">
        <v>1272</v>
      </c>
      <c r="J269" s="13"/>
      <c r="K269" s="13"/>
    </row>
    <row r="270" customFormat="false" ht="23.85" hidden="false" customHeight="false" outlineLevel="0" collapsed="false">
      <c r="A270" s="9" t="n">
        <v>269</v>
      </c>
      <c r="B270" s="9" t="s">
        <v>50</v>
      </c>
      <c r="C270" s="11" t="s">
        <v>53</v>
      </c>
      <c r="D270" s="9" t="s">
        <v>1273</v>
      </c>
      <c r="E270" s="9" t="s">
        <v>1274</v>
      </c>
      <c r="F270" s="9" t="s">
        <v>1275</v>
      </c>
      <c r="G270" s="9" t="s">
        <v>24</v>
      </c>
      <c r="H270" s="15" t="s">
        <v>23</v>
      </c>
      <c r="I270" s="9" t="s">
        <v>1276</v>
      </c>
      <c r="J270" s="13"/>
      <c r="K270" s="13"/>
    </row>
    <row r="271" customFormat="false" ht="113.4" hidden="false" customHeight="false" outlineLevel="0" collapsed="false">
      <c r="A271" s="9" t="n">
        <v>270</v>
      </c>
      <c r="B271" s="9" t="s">
        <v>50</v>
      </c>
      <c r="C271" s="11" t="s">
        <v>55</v>
      </c>
      <c r="D271" s="9" t="s">
        <v>1277</v>
      </c>
      <c r="E271" s="9" t="s">
        <v>1278</v>
      </c>
      <c r="F271" s="9" t="s">
        <v>1279</v>
      </c>
      <c r="G271" s="9" t="s">
        <v>317</v>
      </c>
      <c r="H271" s="12" t="s">
        <v>21</v>
      </c>
      <c r="I271" s="9" t="s">
        <v>1280</v>
      </c>
      <c r="J271" s="13"/>
      <c r="K271" s="13"/>
    </row>
    <row r="272" customFormat="false" ht="91" hidden="false" customHeight="false" outlineLevel="0" collapsed="false">
      <c r="A272" s="9" t="n">
        <v>271</v>
      </c>
      <c r="B272" s="9" t="s">
        <v>50</v>
      </c>
      <c r="C272" s="11" t="s">
        <v>55</v>
      </c>
      <c r="D272" s="9" t="s">
        <v>1281</v>
      </c>
      <c r="E272" s="9" t="s">
        <v>1282</v>
      </c>
      <c r="F272" s="9" t="s">
        <v>1283</v>
      </c>
      <c r="G272" s="9" t="s">
        <v>1284</v>
      </c>
      <c r="H272" s="12" t="s">
        <v>21</v>
      </c>
      <c r="I272" s="9" t="s">
        <v>1285</v>
      </c>
      <c r="J272" s="13"/>
      <c r="K272" s="13"/>
    </row>
    <row r="273" customFormat="false" ht="91" hidden="false" customHeight="false" outlineLevel="0" collapsed="false">
      <c r="A273" s="9" t="n">
        <v>272</v>
      </c>
      <c r="B273" s="9" t="s">
        <v>50</v>
      </c>
      <c r="C273" s="11" t="s">
        <v>55</v>
      </c>
      <c r="D273" s="9" t="s">
        <v>1286</v>
      </c>
      <c r="E273" s="9" t="s">
        <v>1287</v>
      </c>
      <c r="F273" s="9" t="s">
        <v>1288</v>
      </c>
      <c r="G273" s="9" t="s">
        <v>392</v>
      </c>
      <c r="H273" s="14" t="s">
        <v>22</v>
      </c>
      <c r="I273" s="9" t="s">
        <v>1289</v>
      </c>
      <c r="J273" s="13"/>
      <c r="K273" s="13"/>
    </row>
    <row r="274" customFormat="false" ht="68.65" hidden="false" customHeight="false" outlineLevel="0" collapsed="false">
      <c r="A274" s="9" t="n">
        <v>273</v>
      </c>
      <c r="B274" s="9" t="s">
        <v>50</v>
      </c>
      <c r="C274" s="11" t="s">
        <v>55</v>
      </c>
      <c r="D274" s="9" t="s">
        <v>1290</v>
      </c>
      <c r="E274" s="9" t="s">
        <v>1291</v>
      </c>
      <c r="F274" s="9" t="s">
        <v>1292</v>
      </c>
      <c r="G274" s="9" t="s">
        <v>303</v>
      </c>
      <c r="H274" s="14" t="s">
        <v>22</v>
      </c>
      <c r="I274" s="9" t="s">
        <v>1293</v>
      </c>
      <c r="J274" s="13"/>
      <c r="K274" s="13"/>
    </row>
    <row r="275" customFormat="false" ht="35.05" hidden="false" customHeight="false" outlineLevel="0" collapsed="false">
      <c r="A275" s="9" t="n">
        <v>274</v>
      </c>
      <c r="B275" s="9" t="s">
        <v>50</v>
      </c>
      <c r="C275" s="11" t="s">
        <v>55</v>
      </c>
      <c r="D275" s="9" t="s">
        <v>1294</v>
      </c>
      <c r="E275" s="9" t="s">
        <v>1295</v>
      </c>
      <c r="F275" s="9" t="s">
        <v>1296</v>
      </c>
      <c r="G275" s="9" t="s">
        <v>303</v>
      </c>
      <c r="H275" s="15" t="s">
        <v>23</v>
      </c>
      <c r="I275" s="9" t="s">
        <v>1297</v>
      </c>
      <c r="J275" s="13"/>
      <c r="K275" s="13"/>
    </row>
    <row r="276" customFormat="false" ht="68.65" hidden="false" customHeight="false" outlineLevel="0" collapsed="false">
      <c r="A276" s="9" t="n">
        <v>275</v>
      </c>
      <c r="B276" s="9" t="s">
        <v>50</v>
      </c>
      <c r="C276" s="11" t="s">
        <v>55</v>
      </c>
      <c r="D276" s="9" t="s">
        <v>1298</v>
      </c>
      <c r="E276" s="9" t="s">
        <v>1299</v>
      </c>
      <c r="F276" s="9" t="s">
        <v>1300</v>
      </c>
      <c r="G276" s="9" t="s">
        <v>392</v>
      </c>
      <c r="H276" s="14" t="s">
        <v>22</v>
      </c>
      <c r="I276" s="9" t="s">
        <v>1301</v>
      </c>
      <c r="J276" s="13"/>
      <c r="K276" s="13"/>
    </row>
    <row r="277" customFormat="false" ht="68.65" hidden="false" customHeight="false" outlineLevel="0" collapsed="false">
      <c r="A277" s="9" t="n">
        <v>276</v>
      </c>
      <c r="B277" s="9" t="s">
        <v>50</v>
      </c>
      <c r="C277" s="11" t="s">
        <v>55</v>
      </c>
      <c r="D277" s="9" t="s">
        <v>1302</v>
      </c>
      <c r="E277" s="9" t="s">
        <v>1303</v>
      </c>
      <c r="F277" s="9" t="s">
        <v>1304</v>
      </c>
      <c r="G277" s="9" t="s">
        <v>861</v>
      </c>
      <c r="H277" s="14" t="s">
        <v>22</v>
      </c>
      <c r="I277" s="9" t="s">
        <v>1305</v>
      </c>
      <c r="J277" s="13"/>
      <c r="K277" s="13"/>
    </row>
    <row r="278" customFormat="false" ht="35.05" hidden="false" customHeight="false" outlineLevel="0" collapsed="false">
      <c r="A278" s="9" t="n">
        <v>277</v>
      </c>
      <c r="B278" s="9" t="s">
        <v>50</v>
      </c>
      <c r="C278" s="11" t="s">
        <v>55</v>
      </c>
      <c r="D278" s="9" t="s">
        <v>1306</v>
      </c>
      <c r="E278" s="9" t="s">
        <v>1307</v>
      </c>
      <c r="F278" s="9" t="s">
        <v>1308</v>
      </c>
      <c r="G278" s="9" t="s">
        <v>328</v>
      </c>
      <c r="H278" s="15" t="s">
        <v>23</v>
      </c>
      <c r="I278" s="9" t="s">
        <v>1309</v>
      </c>
      <c r="J278" s="13"/>
      <c r="K278" s="13"/>
    </row>
    <row r="279" customFormat="false" ht="35.05" hidden="false" customHeight="false" outlineLevel="0" collapsed="false">
      <c r="A279" s="9" t="n">
        <v>278</v>
      </c>
      <c r="B279" s="9" t="s">
        <v>50</v>
      </c>
      <c r="C279" s="11" t="s">
        <v>55</v>
      </c>
      <c r="D279" s="9" t="s">
        <v>1310</v>
      </c>
      <c r="E279" s="9" t="s">
        <v>1311</v>
      </c>
      <c r="F279" s="9" t="s">
        <v>1312</v>
      </c>
      <c r="G279" s="9" t="s">
        <v>392</v>
      </c>
      <c r="H279" s="15" t="s">
        <v>23</v>
      </c>
      <c r="I279" s="9" t="s">
        <v>1313</v>
      </c>
      <c r="J279" s="13"/>
      <c r="K279" s="13"/>
    </row>
    <row r="280" customFormat="false" ht="57.45" hidden="false" customHeight="false" outlineLevel="0" collapsed="false">
      <c r="A280" s="9" t="n">
        <v>279</v>
      </c>
      <c r="B280" s="9" t="s">
        <v>50</v>
      </c>
      <c r="C280" s="11" t="s">
        <v>55</v>
      </c>
      <c r="D280" s="9" t="s">
        <v>1314</v>
      </c>
      <c r="E280" s="9" t="s">
        <v>1315</v>
      </c>
      <c r="F280" s="9" t="s">
        <v>1316</v>
      </c>
      <c r="G280" s="9" t="s">
        <v>303</v>
      </c>
      <c r="H280" s="14" t="s">
        <v>22</v>
      </c>
      <c r="I280" s="9" t="s">
        <v>1317</v>
      </c>
      <c r="J280" s="13"/>
      <c r="K280" s="13"/>
    </row>
    <row r="281" customFormat="false" ht="79.85" hidden="false" customHeight="false" outlineLevel="0" collapsed="false">
      <c r="A281" s="9" t="n">
        <v>280</v>
      </c>
      <c r="B281" s="9" t="s">
        <v>50</v>
      </c>
      <c r="C281" s="11" t="s">
        <v>55</v>
      </c>
      <c r="D281" s="9" t="s">
        <v>1318</v>
      </c>
      <c r="E281" s="9" t="s">
        <v>1319</v>
      </c>
      <c r="F281" s="9" t="s">
        <v>1320</v>
      </c>
      <c r="G281" s="9" t="s">
        <v>861</v>
      </c>
      <c r="H281" s="14" t="s">
        <v>22</v>
      </c>
      <c r="I281" s="9" t="s">
        <v>1321</v>
      </c>
      <c r="J281" s="13"/>
      <c r="K281" s="13"/>
    </row>
    <row r="282" customFormat="false" ht="113.4" hidden="false" customHeight="false" outlineLevel="0" collapsed="false">
      <c r="A282" s="9" t="n">
        <v>281</v>
      </c>
      <c r="B282" s="9" t="s">
        <v>50</v>
      </c>
      <c r="C282" s="11" t="s">
        <v>55</v>
      </c>
      <c r="D282" s="9" t="s">
        <v>1322</v>
      </c>
      <c r="E282" s="9" t="s">
        <v>1323</v>
      </c>
      <c r="F282" s="9" t="s">
        <v>1324</v>
      </c>
      <c r="G282" s="9" t="s">
        <v>392</v>
      </c>
      <c r="H282" s="14" t="s">
        <v>22</v>
      </c>
      <c r="I282" s="9" t="s">
        <v>1325</v>
      </c>
      <c r="J282" s="13"/>
      <c r="K282" s="13"/>
    </row>
    <row r="283" customFormat="false" ht="35.05" hidden="false" customHeight="false" outlineLevel="0" collapsed="false">
      <c r="A283" s="9" t="n">
        <v>282</v>
      </c>
      <c r="B283" s="9" t="s">
        <v>50</v>
      </c>
      <c r="C283" s="11" t="s">
        <v>55</v>
      </c>
      <c r="D283" s="9" t="s">
        <v>1326</v>
      </c>
      <c r="E283" s="9" t="s">
        <v>1327</v>
      </c>
      <c r="F283" s="9" t="s">
        <v>1328</v>
      </c>
      <c r="G283" s="9" t="s">
        <v>392</v>
      </c>
      <c r="H283" s="15" t="s">
        <v>23</v>
      </c>
      <c r="I283" s="9" t="s">
        <v>1329</v>
      </c>
      <c r="J283" s="13"/>
      <c r="K283" s="13"/>
    </row>
    <row r="284" customFormat="false" ht="113.4" hidden="false" customHeight="false" outlineLevel="0" collapsed="false">
      <c r="A284" s="9" t="n">
        <v>283</v>
      </c>
      <c r="B284" s="9" t="s">
        <v>50</v>
      </c>
      <c r="C284" s="11" t="s">
        <v>55</v>
      </c>
      <c r="D284" s="9" t="s">
        <v>1330</v>
      </c>
      <c r="E284" s="9" t="s">
        <v>1331</v>
      </c>
      <c r="F284" s="9" t="s">
        <v>1332</v>
      </c>
      <c r="G284" s="9" t="s">
        <v>308</v>
      </c>
      <c r="H284" s="14" t="s">
        <v>22</v>
      </c>
      <c r="I284" s="9" t="s">
        <v>1333</v>
      </c>
      <c r="J284" s="13"/>
      <c r="K284" s="13"/>
    </row>
    <row r="285" customFormat="false" ht="57.45" hidden="false" customHeight="false" outlineLevel="0" collapsed="false">
      <c r="A285" s="9" t="n">
        <v>284</v>
      </c>
      <c r="B285" s="9" t="s">
        <v>50</v>
      </c>
      <c r="C285" s="11" t="s">
        <v>55</v>
      </c>
      <c r="D285" s="9" t="s">
        <v>1334</v>
      </c>
      <c r="E285" s="9" t="s">
        <v>1335</v>
      </c>
      <c r="F285" s="9" t="s">
        <v>1336</v>
      </c>
      <c r="G285" s="9" t="s">
        <v>392</v>
      </c>
      <c r="H285" s="14" t="s">
        <v>22</v>
      </c>
      <c r="I285" s="9" t="s">
        <v>1337</v>
      </c>
      <c r="J285" s="13"/>
      <c r="K285" s="13"/>
    </row>
    <row r="286" customFormat="false" ht="57.45" hidden="false" customHeight="false" outlineLevel="0" collapsed="false">
      <c r="A286" s="9" t="n">
        <v>285</v>
      </c>
      <c r="B286" s="9" t="s">
        <v>50</v>
      </c>
      <c r="C286" s="11" t="s">
        <v>55</v>
      </c>
      <c r="D286" s="9" t="s">
        <v>1338</v>
      </c>
      <c r="E286" s="9" t="s">
        <v>1339</v>
      </c>
      <c r="F286" s="9" t="s">
        <v>1340</v>
      </c>
      <c r="G286" s="9" t="s">
        <v>1058</v>
      </c>
      <c r="H286" s="14" t="s">
        <v>22</v>
      </c>
      <c r="I286" s="9" t="s">
        <v>1341</v>
      </c>
      <c r="J286" s="13"/>
      <c r="K286" s="13"/>
    </row>
    <row r="287" customFormat="false" ht="113.4" hidden="false" customHeight="false" outlineLevel="0" collapsed="false">
      <c r="A287" s="9" t="n">
        <v>286</v>
      </c>
      <c r="B287" s="9" t="s">
        <v>50</v>
      </c>
      <c r="C287" s="11" t="s">
        <v>55</v>
      </c>
      <c r="D287" s="9" t="s">
        <v>1342</v>
      </c>
      <c r="E287" s="9" t="s">
        <v>1343</v>
      </c>
      <c r="F287" s="9" t="s">
        <v>1344</v>
      </c>
      <c r="G287" s="9" t="s">
        <v>1284</v>
      </c>
      <c r="H287" s="14" t="s">
        <v>22</v>
      </c>
      <c r="I287" s="9" t="s">
        <v>1345</v>
      </c>
      <c r="J287" s="13"/>
      <c r="K287" s="13"/>
    </row>
    <row r="288" customFormat="false" ht="79.85" hidden="false" customHeight="false" outlineLevel="0" collapsed="false">
      <c r="A288" s="9" t="n">
        <v>287</v>
      </c>
      <c r="B288" s="9" t="s">
        <v>50</v>
      </c>
      <c r="C288" s="11" t="s">
        <v>55</v>
      </c>
      <c r="D288" s="9" t="s">
        <v>1346</v>
      </c>
      <c r="E288" s="9" t="s">
        <v>1347</v>
      </c>
      <c r="F288" s="9" t="s">
        <v>1348</v>
      </c>
      <c r="G288" s="9" t="s">
        <v>1349</v>
      </c>
      <c r="H288" s="14" t="s">
        <v>22</v>
      </c>
      <c r="I288" s="9" t="s">
        <v>1350</v>
      </c>
      <c r="J288" s="13"/>
      <c r="K288" s="13"/>
    </row>
    <row r="289" customFormat="false" ht="79.85" hidden="false" customHeight="false" outlineLevel="0" collapsed="false">
      <c r="A289" s="9" t="n">
        <v>288</v>
      </c>
      <c r="B289" s="9" t="s">
        <v>50</v>
      </c>
      <c r="C289" s="11" t="s">
        <v>55</v>
      </c>
      <c r="D289" s="9" t="s">
        <v>1351</v>
      </c>
      <c r="E289" s="9" t="s">
        <v>1352</v>
      </c>
      <c r="F289" s="9" t="s">
        <v>1353</v>
      </c>
      <c r="G289" s="9" t="s">
        <v>392</v>
      </c>
      <c r="H289" s="14" t="s">
        <v>22</v>
      </c>
      <c r="I289" s="9" t="s">
        <v>1354</v>
      </c>
      <c r="J289" s="13"/>
      <c r="K289" s="13"/>
    </row>
    <row r="290" customFormat="false" ht="46.25" hidden="false" customHeight="false" outlineLevel="0" collapsed="false">
      <c r="A290" s="9" t="n">
        <v>289</v>
      </c>
      <c r="B290" s="9" t="s">
        <v>50</v>
      </c>
      <c r="C290" s="11" t="s">
        <v>55</v>
      </c>
      <c r="D290" s="9" t="s">
        <v>1355</v>
      </c>
      <c r="E290" s="9" t="s">
        <v>1356</v>
      </c>
      <c r="F290" s="9" t="s">
        <v>1357</v>
      </c>
      <c r="G290" s="9" t="s">
        <v>392</v>
      </c>
      <c r="H290" s="15" t="s">
        <v>23</v>
      </c>
      <c r="I290" s="9" t="s">
        <v>1358</v>
      </c>
      <c r="J290" s="13"/>
      <c r="K290" s="13"/>
    </row>
    <row r="291" customFormat="false" ht="46.25" hidden="false" customHeight="false" outlineLevel="0" collapsed="false">
      <c r="A291" s="9" t="n">
        <v>290</v>
      </c>
      <c r="B291" s="9" t="s">
        <v>50</v>
      </c>
      <c r="C291" s="11" t="s">
        <v>55</v>
      </c>
      <c r="D291" s="9" t="s">
        <v>1359</v>
      </c>
      <c r="E291" s="9" t="s">
        <v>1360</v>
      </c>
      <c r="F291" s="9" t="s">
        <v>1361</v>
      </c>
      <c r="G291" s="9" t="s">
        <v>1072</v>
      </c>
      <c r="H291" s="14" t="s">
        <v>22</v>
      </c>
      <c r="I291" s="9" t="s">
        <v>1362</v>
      </c>
      <c r="J291" s="13"/>
      <c r="K291" s="13"/>
    </row>
    <row r="292" customFormat="false" ht="79.85" hidden="false" customHeight="false" outlineLevel="0" collapsed="false">
      <c r="A292" s="9" t="n">
        <v>291</v>
      </c>
      <c r="B292" s="9" t="s">
        <v>50</v>
      </c>
      <c r="C292" s="11" t="s">
        <v>55</v>
      </c>
      <c r="D292" s="9" t="s">
        <v>1363</v>
      </c>
      <c r="E292" s="9" t="s">
        <v>1364</v>
      </c>
      <c r="F292" s="9" t="s">
        <v>1365</v>
      </c>
      <c r="G292" s="9" t="s">
        <v>324</v>
      </c>
      <c r="H292" s="14" t="s">
        <v>22</v>
      </c>
      <c r="I292" s="9" t="s">
        <v>1366</v>
      </c>
      <c r="J292" s="13"/>
      <c r="K292" s="13"/>
    </row>
    <row r="293" customFormat="false" ht="68.65" hidden="false" customHeight="false" outlineLevel="0" collapsed="false">
      <c r="A293" s="9" t="n">
        <v>292</v>
      </c>
      <c r="B293" s="9" t="s">
        <v>50</v>
      </c>
      <c r="C293" s="11" t="s">
        <v>55</v>
      </c>
      <c r="D293" s="9" t="s">
        <v>1367</v>
      </c>
      <c r="E293" s="9" t="s">
        <v>1368</v>
      </c>
      <c r="F293" s="9" t="s">
        <v>1369</v>
      </c>
      <c r="G293" s="9" t="s">
        <v>1370</v>
      </c>
      <c r="H293" s="14" t="s">
        <v>22</v>
      </c>
      <c r="I293" s="9" t="s">
        <v>1371</v>
      </c>
      <c r="J293" s="13"/>
      <c r="K293" s="13"/>
    </row>
    <row r="294" customFormat="false" ht="113.4" hidden="false" customHeight="false" outlineLevel="0" collapsed="false">
      <c r="A294" s="9" t="n">
        <v>293</v>
      </c>
      <c r="B294" s="9" t="s">
        <v>50</v>
      </c>
      <c r="C294" s="11" t="s">
        <v>55</v>
      </c>
      <c r="D294" s="9" t="s">
        <v>1372</v>
      </c>
      <c r="E294" s="9" t="s">
        <v>1373</v>
      </c>
      <c r="F294" s="9" t="s">
        <v>1374</v>
      </c>
      <c r="G294" s="9" t="s">
        <v>317</v>
      </c>
      <c r="H294" s="14" t="s">
        <v>22</v>
      </c>
      <c r="I294" s="9" t="s">
        <v>1375</v>
      </c>
      <c r="J294" s="13"/>
      <c r="K294" s="13"/>
    </row>
    <row r="295" customFormat="false" ht="57.45" hidden="false" customHeight="false" outlineLevel="0" collapsed="false">
      <c r="A295" s="9" t="n">
        <v>294</v>
      </c>
      <c r="B295" s="9" t="s">
        <v>50</v>
      </c>
      <c r="C295" s="11" t="s">
        <v>55</v>
      </c>
      <c r="D295" s="9" t="s">
        <v>1376</v>
      </c>
      <c r="E295" s="9" t="s">
        <v>1377</v>
      </c>
      <c r="F295" s="9" t="s">
        <v>1378</v>
      </c>
      <c r="G295" s="9" t="s">
        <v>392</v>
      </c>
      <c r="H295" s="15" t="s">
        <v>23</v>
      </c>
      <c r="I295" s="9" t="s">
        <v>1379</v>
      </c>
      <c r="J295" s="13"/>
      <c r="K295" s="13"/>
    </row>
    <row r="296" customFormat="false" ht="79.85" hidden="false" customHeight="false" outlineLevel="0" collapsed="false">
      <c r="A296" s="9" t="n">
        <v>295</v>
      </c>
      <c r="B296" s="9" t="s">
        <v>50</v>
      </c>
      <c r="C296" s="11" t="s">
        <v>55</v>
      </c>
      <c r="D296" s="9" t="s">
        <v>1380</v>
      </c>
      <c r="E296" s="9" t="s">
        <v>1381</v>
      </c>
      <c r="F296" s="9" t="s">
        <v>1382</v>
      </c>
      <c r="G296" s="9" t="s">
        <v>317</v>
      </c>
      <c r="H296" s="14" t="s">
        <v>22</v>
      </c>
      <c r="I296" s="9" t="s">
        <v>1383</v>
      </c>
      <c r="J296" s="13"/>
      <c r="K296" s="13"/>
    </row>
    <row r="297" customFormat="false" ht="68.65" hidden="false" customHeight="false" outlineLevel="0" collapsed="false">
      <c r="A297" s="9" t="n">
        <v>296</v>
      </c>
      <c r="B297" s="9" t="s">
        <v>50</v>
      </c>
      <c r="C297" s="11" t="s">
        <v>55</v>
      </c>
      <c r="D297" s="9" t="s">
        <v>1384</v>
      </c>
      <c r="E297" s="9" t="s">
        <v>1385</v>
      </c>
      <c r="F297" s="9" t="s">
        <v>1386</v>
      </c>
      <c r="G297" s="9" t="s">
        <v>1085</v>
      </c>
      <c r="H297" s="15" t="s">
        <v>23</v>
      </c>
      <c r="I297" s="9" t="s">
        <v>1387</v>
      </c>
      <c r="J297" s="13"/>
      <c r="K297" s="13"/>
    </row>
    <row r="298" customFormat="false" ht="57.45" hidden="false" customHeight="false" outlineLevel="0" collapsed="false">
      <c r="A298" s="9" t="n">
        <v>297</v>
      </c>
      <c r="B298" s="9" t="s">
        <v>50</v>
      </c>
      <c r="C298" s="11" t="s">
        <v>55</v>
      </c>
      <c r="D298" s="9" t="s">
        <v>1388</v>
      </c>
      <c r="E298" s="9" t="s">
        <v>1389</v>
      </c>
      <c r="F298" s="9" t="s">
        <v>1390</v>
      </c>
      <c r="G298" s="9" t="s">
        <v>392</v>
      </c>
      <c r="H298" s="15" t="s">
        <v>23</v>
      </c>
      <c r="I298" s="9" t="s">
        <v>1391</v>
      </c>
      <c r="J298" s="13"/>
      <c r="K298" s="13"/>
    </row>
    <row r="299" customFormat="false" ht="79.85" hidden="false" customHeight="false" outlineLevel="0" collapsed="false">
      <c r="A299" s="9" t="n">
        <v>298</v>
      </c>
      <c r="B299" s="9" t="s">
        <v>50</v>
      </c>
      <c r="C299" s="11" t="s">
        <v>55</v>
      </c>
      <c r="D299" s="9" t="s">
        <v>1392</v>
      </c>
      <c r="E299" s="9" t="s">
        <v>1393</v>
      </c>
      <c r="F299" s="9" t="s">
        <v>1394</v>
      </c>
      <c r="G299" s="9" t="s">
        <v>308</v>
      </c>
      <c r="H299" s="14" t="s">
        <v>22</v>
      </c>
      <c r="I299" s="9" t="s">
        <v>1395</v>
      </c>
      <c r="J299" s="13"/>
      <c r="K299" s="13"/>
    </row>
    <row r="300" customFormat="false" ht="147" hidden="false" customHeight="false" outlineLevel="0" collapsed="false">
      <c r="A300" s="9" t="n">
        <v>299</v>
      </c>
      <c r="B300" s="9" t="s">
        <v>50</v>
      </c>
      <c r="C300" s="11" t="s">
        <v>55</v>
      </c>
      <c r="D300" s="9" t="s">
        <v>1396</v>
      </c>
      <c r="E300" s="9" t="s">
        <v>1397</v>
      </c>
      <c r="F300" s="9" t="s">
        <v>1398</v>
      </c>
      <c r="G300" s="9" t="s">
        <v>1399</v>
      </c>
      <c r="H300" s="14" t="s">
        <v>22</v>
      </c>
      <c r="I300" s="9" t="s">
        <v>1400</v>
      </c>
      <c r="J300" s="13"/>
      <c r="K300" s="13"/>
    </row>
    <row r="301" customFormat="false" ht="258.95" hidden="false" customHeight="false" outlineLevel="0" collapsed="false">
      <c r="A301" s="9" t="n">
        <v>300</v>
      </c>
      <c r="B301" s="9" t="s">
        <v>50</v>
      </c>
      <c r="C301" s="11" t="s">
        <v>55</v>
      </c>
      <c r="D301" s="9" t="s">
        <v>1401</v>
      </c>
      <c r="E301" s="9" t="s">
        <v>1402</v>
      </c>
      <c r="F301" s="9" t="s">
        <v>1403</v>
      </c>
      <c r="G301" s="9" t="s">
        <v>1404</v>
      </c>
      <c r="H301" s="14" t="s">
        <v>22</v>
      </c>
      <c r="I301" s="9" t="s">
        <v>1405</v>
      </c>
      <c r="J301" s="13"/>
      <c r="K301" s="13"/>
    </row>
    <row r="302" customFormat="false" ht="124.6" hidden="false" customHeight="false" outlineLevel="0" collapsed="false">
      <c r="A302" s="9" t="n">
        <v>301</v>
      </c>
      <c r="B302" s="9" t="s">
        <v>50</v>
      </c>
      <c r="C302" s="11" t="s">
        <v>55</v>
      </c>
      <c r="D302" s="9" t="s">
        <v>1406</v>
      </c>
      <c r="E302" s="9" t="s">
        <v>1407</v>
      </c>
      <c r="F302" s="9" t="s">
        <v>1408</v>
      </c>
      <c r="G302" s="9" t="s">
        <v>1349</v>
      </c>
      <c r="H302" s="14" t="s">
        <v>22</v>
      </c>
      <c r="I302" s="9" t="s">
        <v>1409</v>
      </c>
      <c r="J302" s="13"/>
      <c r="K302" s="13"/>
    </row>
    <row r="303" customFormat="false" ht="91" hidden="false" customHeight="false" outlineLevel="0" collapsed="false">
      <c r="A303" s="9" t="n">
        <v>302</v>
      </c>
      <c r="B303" s="9" t="s">
        <v>50</v>
      </c>
      <c r="C303" s="11" t="s">
        <v>55</v>
      </c>
      <c r="D303" s="9" t="s">
        <v>1410</v>
      </c>
      <c r="E303" s="9" t="s">
        <v>1411</v>
      </c>
      <c r="F303" s="9" t="s">
        <v>1412</v>
      </c>
      <c r="G303" s="9" t="s">
        <v>312</v>
      </c>
      <c r="H303" s="14" t="s">
        <v>22</v>
      </c>
      <c r="I303" s="9" t="s">
        <v>1413</v>
      </c>
      <c r="J303" s="13"/>
      <c r="K303" s="13"/>
    </row>
    <row r="304" customFormat="false" ht="23.85" hidden="false" customHeight="false" outlineLevel="0" collapsed="false">
      <c r="A304" s="9" t="n">
        <v>303</v>
      </c>
      <c r="B304" s="9" t="s">
        <v>50</v>
      </c>
      <c r="C304" s="11" t="s">
        <v>55</v>
      </c>
      <c r="D304" s="9" t="s">
        <v>1414</v>
      </c>
      <c r="E304" s="9" t="s">
        <v>1415</v>
      </c>
      <c r="F304" s="9" t="s">
        <v>1416</v>
      </c>
      <c r="G304" s="9" t="s">
        <v>1072</v>
      </c>
      <c r="H304" s="14" t="s">
        <v>22</v>
      </c>
      <c r="I304" s="9" t="s">
        <v>1417</v>
      </c>
      <c r="J304" s="13"/>
      <c r="K304" s="13"/>
    </row>
    <row r="305" customFormat="false" ht="46.25" hidden="false" customHeight="false" outlineLevel="0" collapsed="false">
      <c r="A305" s="9" t="n">
        <v>304</v>
      </c>
      <c r="B305" s="9" t="s">
        <v>50</v>
      </c>
      <c r="C305" s="11" t="s">
        <v>55</v>
      </c>
      <c r="D305" s="9" t="s">
        <v>1418</v>
      </c>
      <c r="E305" s="9" t="s">
        <v>1419</v>
      </c>
      <c r="F305" s="9" t="s">
        <v>1420</v>
      </c>
      <c r="G305" s="9" t="s">
        <v>1421</v>
      </c>
      <c r="H305" s="14" t="s">
        <v>22</v>
      </c>
      <c r="I305" s="9" t="s">
        <v>1422</v>
      </c>
      <c r="J305" s="13"/>
      <c r="K305" s="13"/>
    </row>
    <row r="306" customFormat="false" ht="35.05" hidden="false" customHeight="false" outlineLevel="0" collapsed="false">
      <c r="A306" s="9" t="n">
        <v>305</v>
      </c>
      <c r="B306" s="9" t="s">
        <v>50</v>
      </c>
      <c r="C306" s="11" t="s">
        <v>55</v>
      </c>
      <c r="D306" s="9" t="s">
        <v>1423</v>
      </c>
      <c r="E306" s="9" t="s">
        <v>1424</v>
      </c>
      <c r="F306" s="9" t="s">
        <v>1425</v>
      </c>
      <c r="G306" s="9" t="s">
        <v>1072</v>
      </c>
      <c r="H306" s="15" t="s">
        <v>23</v>
      </c>
      <c r="I306" s="9" t="s">
        <v>1426</v>
      </c>
      <c r="J306" s="13"/>
      <c r="K306" s="13"/>
    </row>
    <row r="307" customFormat="false" ht="68.65" hidden="false" customHeight="false" outlineLevel="0" collapsed="false">
      <c r="A307" s="9" t="n">
        <v>306</v>
      </c>
      <c r="B307" s="9" t="s">
        <v>50</v>
      </c>
      <c r="C307" s="11" t="s">
        <v>55</v>
      </c>
      <c r="D307" s="9" t="s">
        <v>1427</v>
      </c>
      <c r="E307" s="9" t="s">
        <v>1428</v>
      </c>
      <c r="F307" s="9" t="s">
        <v>1429</v>
      </c>
      <c r="G307" s="9" t="s">
        <v>1058</v>
      </c>
      <c r="H307" s="15" t="s">
        <v>23</v>
      </c>
      <c r="I307" s="9" t="s">
        <v>1430</v>
      </c>
      <c r="J307" s="13"/>
      <c r="K307" s="13"/>
    </row>
    <row r="308" customFormat="false" ht="35.05" hidden="false" customHeight="false" outlineLevel="0" collapsed="false">
      <c r="A308" s="9" t="n">
        <v>307</v>
      </c>
      <c r="B308" s="9" t="s">
        <v>50</v>
      </c>
      <c r="C308" s="11" t="s">
        <v>55</v>
      </c>
      <c r="D308" s="9" t="s">
        <v>1431</v>
      </c>
      <c r="E308" s="9" t="s">
        <v>1432</v>
      </c>
      <c r="F308" s="9" t="s">
        <v>1433</v>
      </c>
      <c r="G308" s="9" t="s">
        <v>303</v>
      </c>
      <c r="H308" s="14" t="s">
        <v>22</v>
      </c>
      <c r="I308" s="9" t="s">
        <v>1434</v>
      </c>
      <c r="J308" s="13"/>
      <c r="K308" s="13"/>
    </row>
    <row r="309" customFormat="false" ht="35.05" hidden="false" customHeight="false" outlineLevel="0" collapsed="false">
      <c r="A309" s="9" t="n">
        <v>308</v>
      </c>
      <c r="B309" s="9" t="s">
        <v>50</v>
      </c>
      <c r="C309" s="11" t="s">
        <v>55</v>
      </c>
      <c r="D309" s="9" t="s">
        <v>1435</v>
      </c>
      <c r="E309" s="9" t="s">
        <v>1436</v>
      </c>
      <c r="F309" s="9" t="s">
        <v>1437</v>
      </c>
      <c r="G309" s="9" t="s">
        <v>392</v>
      </c>
      <c r="H309" s="15" t="s">
        <v>23</v>
      </c>
      <c r="I309" s="9" t="s">
        <v>1438</v>
      </c>
      <c r="J309" s="13"/>
      <c r="K309" s="13"/>
    </row>
    <row r="310" customFormat="false" ht="57.45" hidden="false" customHeight="false" outlineLevel="0" collapsed="false">
      <c r="A310" s="9" t="n">
        <v>309</v>
      </c>
      <c r="B310" s="9" t="s">
        <v>50</v>
      </c>
      <c r="C310" s="11" t="s">
        <v>55</v>
      </c>
      <c r="D310" s="9" t="s">
        <v>1439</v>
      </c>
      <c r="E310" s="9" t="s">
        <v>1440</v>
      </c>
      <c r="F310" s="9" t="s">
        <v>1441</v>
      </c>
      <c r="G310" s="9" t="s">
        <v>328</v>
      </c>
      <c r="H310" s="15" t="s">
        <v>23</v>
      </c>
      <c r="I310" s="9" t="s">
        <v>1442</v>
      </c>
      <c r="J310" s="13"/>
      <c r="K310" s="13"/>
    </row>
    <row r="311" customFormat="false" ht="57.45" hidden="false" customHeight="false" outlineLevel="0" collapsed="false">
      <c r="A311" s="9" t="n">
        <v>310</v>
      </c>
      <c r="B311" s="9" t="s">
        <v>50</v>
      </c>
      <c r="C311" s="11" t="s">
        <v>55</v>
      </c>
      <c r="D311" s="9" t="s">
        <v>1443</v>
      </c>
      <c r="E311" s="9" t="s">
        <v>1444</v>
      </c>
      <c r="F311" s="9" t="s">
        <v>1445</v>
      </c>
      <c r="G311" s="9" t="s">
        <v>312</v>
      </c>
      <c r="H311" s="15" t="s">
        <v>23</v>
      </c>
      <c r="I311" s="9" t="s">
        <v>1446</v>
      </c>
      <c r="J311" s="13"/>
      <c r="K311" s="13"/>
    </row>
    <row r="312" customFormat="false" ht="35.05" hidden="false" customHeight="false" outlineLevel="0" collapsed="false">
      <c r="A312" s="9" t="n">
        <v>311</v>
      </c>
      <c r="B312" s="9" t="s">
        <v>50</v>
      </c>
      <c r="C312" s="11" t="s">
        <v>55</v>
      </c>
      <c r="D312" s="9" t="s">
        <v>1447</v>
      </c>
      <c r="E312" s="9" t="s">
        <v>1448</v>
      </c>
      <c r="F312" s="9" t="s">
        <v>1449</v>
      </c>
      <c r="G312" s="9" t="s">
        <v>303</v>
      </c>
      <c r="H312" s="15" t="s">
        <v>23</v>
      </c>
      <c r="I312" s="9" t="s">
        <v>1450</v>
      </c>
      <c r="J312" s="13"/>
      <c r="K312" s="13"/>
    </row>
    <row r="313" customFormat="false" ht="57.45" hidden="false" customHeight="false" outlineLevel="0" collapsed="false">
      <c r="A313" s="9" t="n">
        <v>312</v>
      </c>
      <c r="B313" s="9" t="s">
        <v>50</v>
      </c>
      <c r="C313" s="11" t="s">
        <v>55</v>
      </c>
      <c r="D313" s="9" t="s">
        <v>1451</v>
      </c>
      <c r="E313" s="9" t="s">
        <v>1452</v>
      </c>
      <c r="F313" s="9" t="s">
        <v>1453</v>
      </c>
      <c r="G313" s="9" t="s">
        <v>312</v>
      </c>
      <c r="H313" s="15" t="s">
        <v>23</v>
      </c>
      <c r="I313" s="9" t="s">
        <v>1454</v>
      </c>
      <c r="J313" s="13"/>
      <c r="K313" s="13"/>
    </row>
    <row r="314" customFormat="false" ht="35.05" hidden="false" customHeight="false" outlineLevel="0" collapsed="false">
      <c r="A314" s="9" t="n">
        <v>313</v>
      </c>
      <c r="B314" s="9" t="s">
        <v>50</v>
      </c>
      <c r="C314" s="11" t="s">
        <v>55</v>
      </c>
      <c r="D314" s="9" t="s">
        <v>1455</v>
      </c>
      <c r="E314" s="9" t="s">
        <v>1456</v>
      </c>
      <c r="F314" s="9" t="s">
        <v>1457</v>
      </c>
      <c r="G314" s="9" t="s">
        <v>328</v>
      </c>
      <c r="H314" s="15" t="s">
        <v>23</v>
      </c>
      <c r="I314" s="9" t="s">
        <v>1458</v>
      </c>
      <c r="J314" s="13"/>
      <c r="K314" s="13"/>
    </row>
    <row r="315" customFormat="false" ht="46.25" hidden="false" customHeight="false" outlineLevel="0" collapsed="false">
      <c r="A315" s="9" t="n">
        <v>314</v>
      </c>
      <c r="B315" s="9" t="s">
        <v>50</v>
      </c>
      <c r="C315" s="11" t="s">
        <v>55</v>
      </c>
      <c r="D315" s="9" t="s">
        <v>1459</v>
      </c>
      <c r="E315" s="9" t="s">
        <v>1460</v>
      </c>
      <c r="F315" s="9" t="s">
        <v>1461</v>
      </c>
      <c r="G315" s="9" t="s">
        <v>317</v>
      </c>
      <c r="H315" s="15" t="s">
        <v>23</v>
      </c>
      <c r="I315" s="9" t="s">
        <v>1462</v>
      </c>
      <c r="J315" s="13"/>
      <c r="K315" s="13"/>
    </row>
    <row r="316" customFormat="false" ht="46.25" hidden="false" customHeight="false" outlineLevel="0" collapsed="false">
      <c r="A316" s="9" t="n">
        <v>315</v>
      </c>
      <c r="B316" s="9" t="s">
        <v>50</v>
      </c>
      <c r="C316" s="11" t="s">
        <v>55</v>
      </c>
      <c r="D316" s="9" t="s">
        <v>1463</v>
      </c>
      <c r="E316" s="9" t="s">
        <v>1464</v>
      </c>
      <c r="F316" s="9" t="s">
        <v>1465</v>
      </c>
      <c r="G316" s="9" t="s">
        <v>312</v>
      </c>
      <c r="H316" s="15" t="s">
        <v>23</v>
      </c>
      <c r="I316" s="9" t="s">
        <v>1466</v>
      </c>
      <c r="J316" s="13"/>
      <c r="K316" s="13"/>
    </row>
    <row r="317" customFormat="false" ht="46.25" hidden="false" customHeight="false" outlineLevel="0" collapsed="false">
      <c r="A317" s="9" t="n">
        <v>316</v>
      </c>
      <c r="B317" s="9" t="s">
        <v>50</v>
      </c>
      <c r="C317" s="11" t="s">
        <v>55</v>
      </c>
      <c r="D317" s="9" t="s">
        <v>1467</v>
      </c>
      <c r="E317" s="9" t="s">
        <v>1468</v>
      </c>
      <c r="F317" s="9" t="s">
        <v>1469</v>
      </c>
      <c r="G317" s="9" t="s">
        <v>317</v>
      </c>
      <c r="H317" s="15" t="s">
        <v>23</v>
      </c>
      <c r="I317" s="9" t="s">
        <v>1470</v>
      </c>
      <c r="J317" s="13"/>
      <c r="K317" s="13"/>
    </row>
    <row r="318" customFormat="false" ht="23.85" hidden="false" customHeight="false" outlineLevel="0" collapsed="false">
      <c r="A318" s="9" t="n">
        <v>317</v>
      </c>
      <c r="B318" s="9" t="s">
        <v>50</v>
      </c>
      <c r="C318" s="11" t="s">
        <v>55</v>
      </c>
      <c r="D318" s="9" t="s">
        <v>1471</v>
      </c>
      <c r="E318" s="9" t="s">
        <v>1472</v>
      </c>
      <c r="F318" s="9" t="s">
        <v>1473</v>
      </c>
      <c r="G318" s="9" t="s">
        <v>317</v>
      </c>
      <c r="H318" s="15" t="s">
        <v>23</v>
      </c>
      <c r="I318" s="9" t="s">
        <v>1474</v>
      </c>
      <c r="J318" s="13"/>
      <c r="K318" s="13"/>
    </row>
    <row r="319" customFormat="false" ht="35.05" hidden="false" customHeight="false" outlineLevel="0" collapsed="false">
      <c r="A319" s="9" t="n">
        <v>318</v>
      </c>
      <c r="B319" s="9" t="s">
        <v>50</v>
      </c>
      <c r="C319" s="11" t="s">
        <v>55</v>
      </c>
      <c r="D319" s="9" t="s">
        <v>1475</v>
      </c>
      <c r="E319" s="9" t="s">
        <v>1476</v>
      </c>
      <c r="F319" s="9" t="s">
        <v>1477</v>
      </c>
      <c r="G319" s="9" t="s">
        <v>392</v>
      </c>
      <c r="H319" s="15" t="s">
        <v>23</v>
      </c>
      <c r="I319" s="9" t="s">
        <v>1478</v>
      </c>
      <c r="J319" s="13"/>
      <c r="K319" s="13"/>
    </row>
    <row r="320" customFormat="false" ht="46.25" hidden="false" customHeight="false" outlineLevel="0" collapsed="false">
      <c r="A320" s="9" t="n">
        <v>319</v>
      </c>
      <c r="B320" s="9" t="s">
        <v>50</v>
      </c>
      <c r="C320" s="11" t="s">
        <v>55</v>
      </c>
      <c r="D320" s="9" t="s">
        <v>1479</v>
      </c>
      <c r="E320" s="9" t="s">
        <v>1480</v>
      </c>
      <c r="F320" s="9" t="s">
        <v>1481</v>
      </c>
      <c r="G320" s="9" t="s">
        <v>308</v>
      </c>
      <c r="H320" s="15" t="s">
        <v>23</v>
      </c>
      <c r="I320" s="9" t="s">
        <v>1482</v>
      </c>
      <c r="J320" s="13"/>
      <c r="K320" s="13"/>
    </row>
    <row r="321" customFormat="false" ht="46.25" hidden="false" customHeight="false" outlineLevel="0" collapsed="false">
      <c r="A321" s="9" t="n">
        <v>320</v>
      </c>
      <c r="B321" s="9" t="s">
        <v>50</v>
      </c>
      <c r="C321" s="11" t="s">
        <v>55</v>
      </c>
      <c r="D321" s="9" t="s">
        <v>1483</v>
      </c>
      <c r="E321" s="9" t="s">
        <v>1484</v>
      </c>
      <c r="F321" s="9" t="s">
        <v>1485</v>
      </c>
      <c r="G321" s="9" t="s">
        <v>24</v>
      </c>
      <c r="H321" s="12" t="s">
        <v>21</v>
      </c>
      <c r="I321" s="9" t="s">
        <v>1486</v>
      </c>
      <c r="J321" s="13"/>
      <c r="K321" s="13"/>
    </row>
    <row r="322" customFormat="false" ht="35.05" hidden="false" customHeight="false" outlineLevel="0" collapsed="false">
      <c r="A322" s="9" t="n">
        <v>321</v>
      </c>
      <c r="B322" s="9" t="s">
        <v>50</v>
      </c>
      <c r="C322" s="11" t="s">
        <v>55</v>
      </c>
      <c r="D322" s="9" t="s">
        <v>1487</v>
      </c>
      <c r="E322" s="9" t="s">
        <v>1488</v>
      </c>
      <c r="F322" s="9" t="s">
        <v>1489</v>
      </c>
      <c r="G322" s="9" t="s">
        <v>24</v>
      </c>
      <c r="H322" s="12" t="s">
        <v>21</v>
      </c>
      <c r="I322" s="9" t="s">
        <v>1490</v>
      </c>
      <c r="J322" s="13"/>
      <c r="K322" s="13"/>
    </row>
    <row r="323" customFormat="false" ht="35.05" hidden="false" customHeight="false" outlineLevel="0" collapsed="false">
      <c r="A323" s="9" t="n">
        <v>322</v>
      </c>
      <c r="B323" s="9" t="s">
        <v>50</v>
      </c>
      <c r="C323" s="11" t="s">
        <v>55</v>
      </c>
      <c r="D323" s="9" t="s">
        <v>1491</v>
      </c>
      <c r="E323" s="9" t="s">
        <v>1492</v>
      </c>
      <c r="F323" s="9" t="s">
        <v>1493</v>
      </c>
      <c r="G323" s="9" t="s">
        <v>24</v>
      </c>
      <c r="H323" s="14" t="s">
        <v>22</v>
      </c>
      <c r="I323" s="9" t="s">
        <v>1494</v>
      </c>
      <c r="J323" s="13"/>
      <c r="K323" s="13"/>
    </row>
    <row r="324" customFormat="false" ht="35.05" hidden="false" customHeight="false" outlineLevel="0" collapsed="false">
      <c r="A324" s="9" t="n">
        <v>323</v>
      </c>
      <c r="B324" s="9" t="s">
        <v>50</v>
      </c>
      <c r="C324" s="11" t="s">
        <v>55</v>
      </c>
      <c r="D324" s="9" t="s">
        <v>1495</v>
      </c>
      <c r="E324" s="9" t="s">
        <v>1496</v>
      </c>
      <c r="F324" s="9" t="s">
        <v>1497</v>
      </c>
      <c r="G324" s="9" t="s">
        <v>24</v>
      </c>
      <c r="H324" s="14" t="s">
        <v>22</v>
      </c>
      <c r="I324" s="9" t="s">
        <v>1498</v>
      </c>
      <c r="J324" s="13"/>
      <c r="K324" s="13"/>
    </row>
    <row r="325" customFormat="false" ht="23.85" hidden="false" customHeight="false" outlineLevel="0" collapsed="false">
      <c r="A325" s="9" t="n">
        <v>324</v>
      </c>
      <c r="B325" s="9" t="s">
        <v>50</v>
      </c>
      <c r="C325" s="11" t="s">
        <v>55</v>
      </c>
      <c r="D325" s="9" t="s">
        <v>1499</v>
      </c>
      <c r="E325" s="9" t="s">
        <v>1500</v>
      </c>
      <c r="F325" s="9" t="s">
        <v>1501</v>
      </c>
      <c r="G325" s="9" t="s">
        <v>24</v>
      </c>
      <c r="H325" s="14" t="s">
        <v>22</v>
      </c>
      <c r="I325" s="9" t="s">
        <v>1502</v>
      </c>
      <c r="J325" s="13"/>
      <c r="K325" s="13"/>
    </row>
    <row r="326" customFormat="false" ht="35.05" hidden="false" customHeight="false" outlineLevel="0" collapsed="false">
      <c r="A326" s="9" t="n">
        <v>325</v>
      </c>
      <c r="B326" s="9" t="s">
        <v>50</v>
      </c>
      <c r="C326" s="11" t="s">
        <v>55</v>
      </c>
      <c r="D326" s="9" t="s">
        <v>1503</v>
      </c>
      <c r="E326" s="9" t="s">
        <v>1504</v>
      </c>
      <c r="F326" s="9" t="s">
        <v>1505</v>
      </c>
      <c r="G326" s="9" t="s">
        <v>24</v>
      </c>
      <c r="H326" s="14" t="s">
        <v>22</v>
      </c>
      <c r="I326" s="9" t="s">
        <v>1506</v>
      </c>
      <c r="J326" s="13"/>
      <c r="K326" s="13"/>
    </row>
    <row r="327" customFormat="false" ht="15" hidden="false" customHeight="false" outlineLevel="0" collapsed="false">
      <c r="A327" s="9" t="n">
        <v>326</v>
      </c>
      <c r="B327" s="9" t="s">
        <v>50</v>
      </c>
      <c r="C327" s="11" t="s">
        <v>55</v>
      </c>
      <c r="D327" s="9" t="s">
        <v>1507</v>
      </c>
      <c r="E327" s="9" t="s">
        <v>1508</v>
      </c>
      <c r="F327" s="9" t="s">
        <v>1509</v>
      </c>
      <c r="G327" s="9" t="s">
        <v>24</v>
      </c>
      <c r="H327" s="14" t="s">
        <v>22</v>
      </c>
      <c r="I327" s="9" t="s">
        <v>1510</v>
      </c>
      <c r="J327" s="13"/>
      <c r="K327" s="13"/>
    </row>
    <row r="328" customFormat="false" ht="35.05" hidden="false" customHeight="false" outlineLevel="0" collapsed="false">
      <c r="A328" s="9" t="n">
        <v>327</v>
      </c>
      <c r="B328" s="9" t="s">
        <v>50</v>
      </c>
      <c r="C328" s="11" t="s">
        <v>55</v>
      </c>
      <c r="D328" s="9" t="s">
        <v>1511</v>
      </c>
      <c r="E328" s="9" t="s">
        <v>1512</v>
      </c>
      <c r="F328" s="9" t="s">
        <v>1513</v>
      </c>
      <c r="G328" s="9" t="s">
        <v>24</v>
      </c>
      <c r="H328" s="14" t="s">
        <v>22</v>
      </c>
      <c r="I328" s="9" t="s">
        <v>1510</v>
      </c>
      <c r="J328" s="13"/>
      <c r="K328" s="13"/>
    </row>
    <row r="329" customFormat="false" ht="46.25" hidden="false" customHeight="false" outlineLevel="0" collapsed="false">
      <c r="A329" s="9" t="n">
        <v>328</v>
      </c>
      <c r="B329" s="9" t="s">
        <v>50</v>
      </c>
      <c r="C329" s="11" t="s">
        <v>55</v>
      </c>
      <c r="D329" s="9" t="s">
        <v>1514</v>
      </c>
      <c r="E329" s="9" t="s">
        <v>1515</v>
      </c>
      <c r="F329" s="9" t="s">
        <v>1516</v>
      </c>
      <c r="G329" s="9" t="s">
        <v>24</v>
      </c>
      <c r="H329" s="14" t="s">
        <v>22</v>
      </c>
      <c r="I329" s="9" t="s">
        <v>1517</v>
      </c>
      <c r="J329" s="13"/>
      <c r="K329" s="13"/>
    </row>
    <row r="330" customFormat="false" ht="46.25" hidden="false" customHeight="false" outlineLevel="0" collapsed="false">
      <c r="A330" s="9" t="n">
        <v>329</v>
      </c>
      <c r="B330" s="9" t="s">
        <v>50</v>
      </c>
      <c r="C330" s="11" t="s">
        <v>55</v>
      </c>
      <c r="D330" s="9" t="s">
        <v>1518</v>
      </c>
      <c r="E330" s="9" t="s">
        <v>1519</v>
      </c>
      <c r="F330" s="9" t="s">
        <v>1520</v>
      </c>
      <c r="G330" s="9" t="s">
        <v>24</v>
      </c>
      <c r="H330" s="14" t="s">
        <v>22</v>
      </c>
      <c r="I330" s="9" t="s">
        <v>1521</v>
      </c>
      <c r="J330" s="13"/>
      <c r="K330" s="13"/>
    </row>
    <row r="331" customFormat="false" ht="113.4" hidden="false" customHeight="false" outlineLevel="0" collapsed="false">
      <c r="A331" s="9" t="n">
        <v>330</v>
      </c>
      <c r="B331" s="9" t="s">
        <v>50</v>
      </c>
      <c r="C331" s="11" t="s">
        <v>55</v>
      </c>
      <c r="D331" s="9" t="s">
        <v>1522</v>
      </c>
      <c r="E331" s="9" t="s">
        <v>1523</v>
      </c>
      <c r="F331" s="9" t="s">
        <v>1524</v>
      </c>
      <c r="G331" s="9" t="s">
        <v>24</v>
      </c>
      <c r="H331" s="14" t="s">
        <v>22</v>
      </c>
      <c r="I331" s="9" t="s">
        <v>1525</v>
      </c>
      <c r="J331" s="13"/>
      <c r="K331" s="13"/>
    </row>
    <row r="332" customFormat="false" ht="46.25" hidden="false" customHeight="false" outlineLevel="0" collapsed="false">
      <c r="A332" s="9" t="n">
        <v>331</v>
      </c>
      <c r="B332" s="9" t="s">
        <v>50</v>
      </c>
      <c r="C332" s="11" t="s">
        <v>55</v>
      </c>
      <c r="D332" s="9" t="s">
        <v>1526</v>
      </c>
      <c r="E332" s="9" t="s">
        <v>1527</v>
      </c>
      <c r="F332" s="9" t="s">
        <v>1528</v>
      </c>
      <c r="G332" s="9" t="s">
        <v>24</v>
      </c>
      <c r="H332" s="14" t="s">
        <v>22</v>
      </c>
      <c r="I332" s="9" t="s">
        <v>1529</v>
      </c>
      <c r="J332" s="13"/>
      <c r="K332" s="13"/>
    </row>
    <row r="333" customFormat="false" ht="23.85" hidden="false" customHeight="false" outlineLevel="0" collapsed="false">
      <c r="A333" s="9" t="n">
        <v>332</v>
      </c>
      <c r="B333" s="9" t="s">
        <v>50</v>
      </c>
      <c r="C333" s="11" t="s">
        <v>55</v>
      </c>
      <c r="D333" s="9" t="s">
        <v>1530</v>
      </c>
      <c r="E333" s="9" t="s">
        <v>1531</v>
      </c>
      <c r="F333" s="9" t="s">
        <v>1532</v>
      </c>
      <c r="G333" s="9" t="s">
        <v>24</v>
      </c>
      <c r="H333" s="14" t="s">
        <v>22</v>
      </c>
      <c r="I333" s="9" t="s">
        <v>1533</v>
      </c>
      <c r="J333" s="13"/>
      <c r="K333" s="13"/>
    </row>
    <row r="334" customFormat="false" ht="23.85" hidden="false" customHeight="false" outlineLevel="0" collapsed="false">
      <c r="A334" s="9" t="n">
        <v>333</v>
      </c>
      <c r="B334" s="9" t="s">
        <v>50</v>
      </c>
      <c r="C334" s="11" t="s">
        <v>55</v>
      </c>
      <c r="D334" s="9" t="s">
        <v>1534</v>
      </c>
      <c r="E334" s="9" t="s">
        <v>1535</v>
      </c>
      <c r="F334" s="9" t="s">
        <v>1536</v>
      </c>
      <c r="G334" s="9" t="s">
        <v>24</v>
      </c>
      <c r="H334" s="14" t="s">
        <v>22</v>
      </c>
      <c r="I334" s="9" t="s">
        <v>1537</v>
      </c>
      <c r="J334" s="13"/>
      <c r="K334" s="13"/>
    </row>
    <row r="335" customFormat="false" ht="57.45" hidden="false" customHeight="false" outlineLevel="0" collapsed="false">
      <c r="A335" s="9" t="n">
        <v>334</v>
      </c>
      <c r="B335" s="9" t="s">
        <v>50</v>
      </c>
      <c r="C335" s="11" t="s">
        <v>55</v>
      </c>
      <c r="D335" s="9" t="s">
        <v>1538</v>
      </c>
      <c r="E335" s="9" t="s">
        <v>358</v>
      </c>
      <c r="F335" s="9" t="s">
        <v>1539</v>
      </c>
      <c r="G335" s="9" t="s">
        <v>24</v>
      </c>
      <c r="H335" s="14" t="s">
        <v>22</v>
      </c>
      <c r="I335" s="9" t="s">
        <v>1540</v>
      </c>
      <c r="J335" s="13"/>
      <c r="K335" s="13"/>
    </row>
    <row r="336" customFormat="false" ht="15" hidden="false" customHeight="false" outlineLevel="0" collapsed="false">
      <c r="A336" s="9" t="n">
        <v>335</v>
      </c>
      <c r="B336" s="9" t="s">
        <v>50</v>
      </c>
      <c r="C336" s="11" t="s">
        <v>55</v>
      </c>
      <c r="D336" s="9" t="s">
        <v>1541</v>
      </c>
      <c r="E336" s="9" t="s">
        <v>362</v>
      </c>
      <c r="F336" s="9" t="s">
        <v>1542</v>
      </c>
      <c r="G336" s="9" t="s">
        <v>24</v>
      </c>
      <c r="H336" s="14" t="s">
        <v>22</v>
      </c>
      <c r="I336" s="9" t="s">
        <v>364</v>
      </c>
      <c r="J336" s="13"/>
      <c r="K336" s="13"/>
    </row>
    <row r="337" customFormat="false" ht="46.25" hidden="false" customHeight="false" outlineLevel="0" collapsed="false">
      <c r="A337" s="9" t="n">
        <v>336</v>
      </c>
      <c r="B337" s="9" t="s">
        <v>50</v>
      </c>
      <c r="C337" s="11" t="s">
        <v>55</v>
      </c>
      <c r="D337" s="9" t="s">
        <v>1543</v>
      </c>
      <c r="E337" s="9" t="s">
        <v>1544</v>
      </c>
      <c r="F337" s="9" t="s">
        <v>1545</v>
      </c>
      <c r="G337" s="9" t="s">
        <v>24</v>
      </c>
      <c r="H337" s="14" t="s">
        <v>22</v>
      </c>
      <c r="I337" s="9" t="s">
        <v>1546</v>
      </c>
      <c r="J337" s="13"/>
      <c r="K337" s="13"/>
    </row>
    <row r="338" customFormat="false" ht="91" hidden="false" customHeight="false" outlineLevel="0" collapsed="false">
      <c r="A338" s="9" t="n">
        <v>337</v>
      </c>
      <c r="B338" s="9" t="s">
        <v>50</v>
      </c>
      <c r="C338" s="11" t="s">
        <v>55</v>
      </c>
      <c r="D338" s="9" t="s">
        <v>1547</v>
      </c>
      <c r="E338" s="9" t="s">
        <v>1548</v>
      </c>
      <c r="F338" s="9" t="s">
        <v>1549</v>
      </c>
      <c r="G338" s="9" t="s">
        <v>24</v>
      </c>
      <c r="H338" s="15" t="s">
        <v>23</v>
      </c>
      <c r="I338" s="9" t="s">
        <v>1550</v>
      </c>
      <c r="J338" s="13"/>
      <c r="K338" s="13"/>
    </row>
    <row r="339" customFormat="false" ht="15" hidden="false" customHeight="false" outlineLevel="0" collapsed="false">
      <c r="A339" s="9" t="n">
        <v>338</v>
      </c>
      <c r="B339" s="9" t="s">
        <v>50</v>
      </c>
      <c r="C339" s="11" t="s">
        <v>55</v>
      </c>
      <c r="D339" s="9" t="s">
        <v>1551</v>
      </c>
      <c r="E339" s="9" t="s">
        <v>1552</v>
      </c>
      <c r="F339" s="9" t="s">
        <v>1553</v>
      </c>
      <c r="G339" s="9" t="s">
        <v>24</v>
      </c>
      <c r="H339" s="15" t="s">
        <v>23</v>
      </c>
      <c r="I339" s="9" t="s">
        <v>1554</v>
      </c>
      <c r="J339" s="13"/>
      <c r="K339" s="13"/>
    </row>
    <row r="340" customFormat="false" ht="46.25" hidden="false" customHeight="false" outlineLevel="0" collapsed="false">
      <c r="A340" s="9" t="n">
        <v>339</v>
      </c>
      <c r="B340" s="9" t="s">
        <v>50</v>
      </c>
      <c r="C340" s="11" t="s">
        <v>55</v>
      </c>
      <c r="D340" s="9" t="s">
        <v>1555</v>
      </c>
      <c r="E340" s="9" t="s">
        <v>1556</v>
      </c>
      <c r="F340" s="9" t="s">
        <v>1557</v>
      </c>
      <c r="G340" s="9" t="s">
        <v>24</v>
      </c>
      <c r="H340" s="15" t="s">
        <v>23</v>
      </c>
      <c r="I340" s="9" t="s">
        <v>1558</v>
      </c>
      <c r="J340" s="13"/>
      <c r="K340" s="13"/>
    </row>
    <row r="341" customFormat="false" ht="23.85" hidden="false" customHeight="false" outlineLevel="0" collapsed="false">
      <c r="A341" s="9" t="n">
        <v>340</v>
      </c>
      <c r="B341" s="9" t="s">
        <v>50</v>
      </c>
      <c r="C341" s="11" t="s">
        <v>55</v>
      </c>
      <c r="D341" s="9" t="s">
        <v>1559</v>
      </c>
      <c r="E341" s="9" t="s">
        <v>1560</v>
      </c>
      <c r="F341" s="9" t="s">
        <v>1561</v>
      </c>
      <c r="G341" s="9" t="s">
        <v>24</v>
      </c>
      <c r="H341" s="15" t="s">
        <v>23</v>
      </c>
      <c r="I341" s="9" t="s">
        <v>1007</v>
      </c>
      <c r="J341" s="13"/>
      <c r="K341" s="13"/>
    </row>
    <row r="342" customFormat="false" ht="23.85" hidden="false" customHeight="false" outlineLevel="0" collapsed="false">
      <c r="A342" s="9" t="n">
        <v>341</v>
      </c>
      <c r="B342" s="9" t="s">
        <v>50</v>
      </c>
      <c r="C342" s="11" t="s">
        <v>55</v>
      </c>
      <c r="D342" s="9" t="s">
        <v>1562</v>
      </c>
      <c r="E342" s="9" t="s">
        <v>1563</v>
      </c>
      <c r="F342" s="9" t="s">
        <v>1564</v>
      </c>
      <c r="G342" s="9" t="s">
        <v>24</v>
      </c>
      <c r="H342" s="15" t="s">
        <v>23</v>
      </c>
      <c r="I342" s="9" t="s">
        <v>1565</v>
      </c>
      <c r="J342" s="13"/>
      <c r="K342" s="13"/>
    </row>
    <row r="343" customFormat="false" ht="15" hidden="false" customHeight="false" outlineLevel="0" collapsed="false">
      <c r="A343" s="9" t="n">
        <v>342</v>
      </c>
      <c r="B343" s="9" t="s">
        <v>50</v>
      </c>
      <c r="C343" s="11" t="s">
        <v>55</v>
      </c>
      <c r="D343" s="9" t="s">
        <v>1566</v>
      </c>
      <c r="E343" s="9" t="s">
        <v>1567</v>
      </c>
      <c r="F343" s="9" t="s">
        <v>1568</v>
      </c>
      <c r="G343" s="9" t="s">
        <v>24</v>
      </c>
      <c r="H343" s="15" t="s">
        <v>23</v>
      </c>
      <c r="I343" s="9" t="s">
        <v>1569</v>
      </c>
      <c r="J343" s="13"/>
      <c r="K343" s="13"/>
    </row>
    <row r="344" customFormat="false" ht="46.25" hidden="false" customHeight="false" outlineLevel="0" collapsed="false">
      <c r="A344" s="9" t="n">
        <v>343</v>
      </c>
      <c r="B344" s="9" t="s">
        <v>50</v>
      </c>
      <c r="C344" s="11" t="s">
        <v>55</v>
      </c>
      <c r="D344" s="9" t="s">
        <v>1570</v>
      </c>
      <c r="E344" s="9" t="s">
        <v>1571</v>
      </c>
      <c r="F344" s="9" t="s">
        <v>1572</v>
      </c>
      <c r="G344" s="9" t="s">
        <v>24</v>
      </c>
      <c r="H344" s="15" t="s">
        <v>23</v>
      </c>
      <c r="I344" s="9" t="s">
        <v>1573</v>
      </c>
      <c r="J344" s="13"/>
      <c r="K344" s="13"/>
    </row>
    <row r="345" customFormat="false" ht="23.85" hidden="false" customHeight="false" outlineLevel="0" collapsed="false">
      <c r="A345" s="9" t="n">
        <v>344</v>
      </c>
      <c r="B345" s="9" t="s">
        <v>50</v>
      </c>
      <c r="C345" s="11" t="s">
        <v>55</v>
      </c>
      <c r="D345" s="9" t="s">
        <v>1574</v>
      </c>
      <c r="E345" s="9" t="s">
        <v>1575</v>
      </c>
      <c r="F345" s="9" t="s">
        <v>1576</v>
      </c>
      <c r="G345" s="9" t="s">
        <v>24</v>
      </c>
      <c r="H345" s="15" t="s">
        <v>23</v>
      </c>
      <c r="I345" s="9" t="s">
        <v>1577</v>
      </c>
      <c r="J345" s="13"/>
      <c r="K345" s="13"/>
    </row>
    <row r="346" customFormat="false" ht="23.85" hidden="false" customHeight="false" outlineLevel="0" collapsed="false">
      <c r="A346" s="9" t="n">
        <v>345</v>
      </c>
      <c r="B346" s="9" t="s">
        <v>50</v>
      </c>
      <c r="C346" s="11" t="s">
        <v>55</v>
      </c>
      <c r="D346" s="9" t="s">
        <v>1578</v>
      </c>
      <c r="E346" s="9" t="s">
        <v>1579</v>
      </c>
      <c r="F346" s="9" t="s">
        <v>1580</v>
      </c>
      <c r="G346" s="9" t="s">
        <v>24</v>
      </c>
      <c r="H346" s="15" t="s">
        <v>23</v>
      </c>
      <c r="I346" s="9" t="s">
        <v>1581</v>
      </c>
      <c r="J346" s="13"/>
      <c r="K346" s="13"/>
    </row>
    <row r="347" customFormat="false" ht="23.85" hidden="false" customHeight="false" outlineLevel="0" collapsed="false">
      <c r="A347" s="9" t="n">
        <v>346</v>
      </c>
      <c r="B347" s="9" t="s">
        <v>50</v>
      </c>
      <c r="C347" s="11" t="s">
        <v>55</v>
      </c>
      <c r="D347" s="9" t="s">
        <v>1582</v>
      </c>
      <c r="E347" s="9" t="s">
        <v>1583</v>
      </c>
      <c r="F347" s="9" t="s">
        <v>1584</v>
      </c>
      <c r="G347" s="9" t="s">
        <v>24</v>
      </c>
      <c r="H347" s="15" t="s">
        <v>23</v>
      </c>
      <c r="I347" s="9" t="s">
        <v>1585</v>
      </c>
      <c r="J347" s="13"/>
      <c r="K347" s="13"/>
    </row>
    <row r="348" customFormat="false" ht="23.85" hidden="false" customHeight="false" outlineLevel="0" collapsed="false">
      <c r="A348" s="9" t="n">
        <v>347</v>
      </c>
      <c r="B348" s="9" t="s">
        <v>50</v>
      </c>
      <c r="C348" s="11" t="s">
        <v>55</v>
      </c>
      <c r="D348" s="9" t="s">
        <v>1586</v>
      </c>
      <c r="E348" s="9" t="s">
        <v>1587</v>
      </c>
      <c r="F348" s="9" t="s">
        <v>1588</v>
      </c>
      <c r="G348" s="9" t="s">
        <v>24</v>
      </c>
      <c r="H348" s="15" t="s">
        <v>23</v>
      </c>
      <c r="I348" s="9" t="s">
        <v>1272</v>
      </c>
      <c r="J348" s="13"/>
      <c r="K348" s="13"/>
    </row>
    <row r="349" customFormat="false" ht="23.85" hidden="false" customHeight="false" outlineLevel="0" collapsed="false">
      <c r="A349" s="9" t="n">
        <v>348</v>
      </c>
      <c r="B349" s="9" t="s">
        <v>50</v>
      </c>
      <c r="C349" s="11" t="s">
        <v>55</v>
      </c>
      <c r="D349" s="9" t="s">
        <v>1589</v>
      </c>
      <c r="E349" s="9" t="s">
        <v>1590</v>
      </c>
      <c r="F349" s="9" t="s">
        <v>1591</v>
      </c>
      <c r="G349" s="9" t="s">
        <v>24</v>
      </c>
      <c r="H349" s="15" t="s">
        <v>23</v>
      </c>
      <c r="I349" s="9" t="s">
        <v>1592</v>
      </c>
      <c r="J349" s="13"/>
      <c r="K349" s="13"/>
    </row>
    <row r="350" customFormat="false" ht="35.05" hidden="false" customHeight="false" outlineLevel="0" collapsed="false">
      <c r="A350" s="9" t="n">
        <v>349</v>
      </c>
      <c r="B350" s="9" t="s">
        <v>50</v>
      </c>
      <c r="C350" s="11" t="s">
        <v>55</v>
      </c>
      <c r="D350" s="9" t="s">
        <v>1593</v>
      </c>
      <c r="E350" s="9" t="s">
        <v>1594</v>
      </c>
      <c r="F350" s="9" t="s">
        <v>1595</v>
      </c>
      <c r="G350" s="9" t="s">
        <v>24</v>
      </c>
      <c r="H350" s="15" t="s">
        <v>23</v>
      </c>
      <c r="I350" s="9" t="s">
        <v>1596</v>
      </c>
      <c r="J350" s="13"/>
      <c r="K350" s="13"/>
    </row>
    <row r="351" customFormat="false" ht="180.55" hidden="false" customHeight="false" outlineLevel="0" collapsed="false">
      <c r="A351" s="9" t="n">
        <v>350</v>
      </c>
      <c r="B351" s="9" t="s">
        <v>50</v>
      </c>
      <c r="C351" s="11" t="s">
        <v>57</v>
      </c>
      <c r="D351" s="9" t="s">
        <v>1597</v>
      </c>
      <c r="E351" s="9" t="s">
        <v>1598</v>
      </c>
      <c r="F351" s="9" t="s">
        <v>1599</v>
      </c>
      <c r="G351" s="9" t="s">
        <v>303</v>
      </c>
      <c r="H351" s="14" t="s">
        <v>22</v>
      </c>
      <c r="I351" s="9" t="s">
        <v>1600</v>
      </c>
      <c r="J351" s="13"/>
      <c r="K351" s="13"/>
    </row>
    <row r="352" customFormat="false" ht="79.85" hidden="false" customHeight="false" outlineLevel="0" collapsed="false">
      <c r="A352" s="9" t="n">
        <v>351</v>
      </c>
      <c r="B352" s="9" t="s">
        <v>50</v>
      </c>
      <c r="C352" s="11" t="s">
        <v>57</v>
      </c>
      <c r="D352" s="9" t="s">
        <v>1601</v>
      </c>
      <c r="E352" s="9" t="s">
        <v>1602</v>
      </c>
      <c r="F352" s="9" t="s">
        <v>1603</v>
      </c>
      <c r="G352" s="9" t="s">
        <v>1604</v>
      </c>
      <c r="H352" s="14" t="s">
        <v>22</v>
      </c>
      <c r="I352" s="9" t="s">
        <v>1605</v>
      </c>
      <c r="J352" s="13"/>
      <c r="K352" s="13"/>
    </row>
    <row r="353" customFormat="false" ht="35.05" hidden="false" customHeight="false" outlineLevel="0" collapsed="false">
      <c r="A353" s="9" t="n">
        <v>352</v>
      </c>
      <c r="B353" s="9" t="s">
        <v>50</v>
      </c>
      <c r="C353" s="11" t="s">
        <v>57</v>
      </c>
      <c r="D353" s="9" t="s">
        <v>1606</v>
      </c>
      <c r="E353" s="9" t="s">
        <v>1607</v>
      </c>
      <c r="F353" s="9" t="s">
        <v>1608</v>
      </c>
      <c r="G353" s="9" t="s">
        <v>312</v>
      </c>
      <c r="H353" s="14" t="s">
        <v>22</v>
      </c>
      <c r="I353" s="9" t="s">
        <v>1609</v>
      </c>
      <c r="J353" s="13"/>
      <c r="K353" s="13"/>
    </row>
    <row r="354" customFormat="false" ht="91" hidden="false" customHeight="false" outlineLevel="0" collapsed="false">
      <c r="A354" s="9" t="n">
        <v>353</v>
      </c>
      <c r="B354" s="9" t="s">
        <v>50</v>
      </c>
      <c r="C354" s="11" t="s">
        <v>57</v>
      </c>
      <c r="D354" s="9" t="s">
        <v>1610</v>
      </c>
      <c r="E354" s="9" t="s">
        <v>1611</v>
      </c>
      <c r="F354" s="9" t="s">
        <v>1612</v>
      </c>
      <c r="G354" s="9" t="s">
        <v>1613</v>
      </c>
      <c r="H354" s="14" t="s">
        <v>22</v>
      </c>
      <c r="I354" s="9" t="s">
        <v>1614</v>
      </c>
      <c r="J354" s="13"/>
      <c r="K354" s="13"/>
    </row>
    <row r="355" customFormat="false" ht="102.2" hidden="false" customHeight="false" outlineLevel="0" collapsed="false">
      <c r="A355" s="9" t="n">
        <v>354</v>
      </c>
      <c r="B355" s="9" t="s">
        <v>50</v>
      </c>
      <c r="C355" s="11" t="s">
        <v>57</v>
      </c>
      <c r="D355" s="9" t="s">
        <v>1615</v>
      </c>
      <c r="E355" s="9" t="s">
        <v>1616</v>
      </c>
      <c r="F355" s="9" t="s">
        <v>1617</v>
      </c>
      <c r="G355" s="9" t="s">
        <v>392</v>
      </c>
      <c r="H355" s="14" t="s">
        <v>22</v>
      </c>
      <c r="I355" s="9" t="s">
        <v>1618</v>
      </c>
      <c r="J355" s="13"/>
      <c r="K355" s="13"/>
    </row>
    <row r="356" customFormat="false" ht="35.05" hidden="false" customHeight="false" outlineLevel="0" collapsed="false">
      <c r="A356" s="9" t="n">
        <v>355</v>
      </c>
      <c r="B356" s="9" t="s">
        <v>50</v>
      </c>
      <c r="C356" s="11" t="s">
        <v>57</v>
      </c>
      <c r="D356" s="9" t="s">
        <v>1619</v>
      </c>
      <c r="E356" s="9" t="s">
        <v>1620</v>
      </c>
      <c r="F356" s="9" t="s">
        <v>1621</v>
      </c>
      <c r="G356" s="9" t="s">
        <v>308</v>
      </c>
      <c r="H356" s="14" t="s">
        <v>22</v>
      </c>
      <c r="I356" s="9" t="s">
        <v>1622</v>
      </c>
      <c r="J356" s="13"/>
      <c r="K356" s="13"/>
    </row>
    <row r="357" customFormat="false" ht="46.25" hidden="false" customHeight="false" outlineLevel="0" collapsed="false">
      <c r="A357" s="9" t="n">
        <v>356</v>
      </c>
      <c r="B357" s="9" t="s">
        <v>50</v>
      </c>
      <c r="C357" s="11" t="s">
        <v>57</v>
      </c>
      <c r="D357" s="9" t="s">
        <v>1623</v>
      </c>
      <c r="E357" s="9" t="s">
        <v>1624</v>
      </c>
      <c r="F357" s="9" t="s">
        <v>1625</v>
      </c>
      <c r="G357" s="9" t="s">
        <v>392</v>
      </c>
      <c r="H357" s="14" t="s">
        <v>22</v>
      </c>
      <c r="I357" s="9" t="s">
        <v>1626</v>
      </c>
      <c r="J357" s="13"/>
      <c r="K357" s="13"/>
    </row>
    <row r="358" customFormat="false" ht="57.45" hidden="false" customHeight="false" outlineLevel="0" collapsed="false">
      <c r="A358" s="9" t="n">
        <v>357</v>
      </c>
      <c r="B358" s="9" t="s">
        <v>50</v>
      </c>
      <c r="C358" s="11" t="s">
        <v>57</v>
      </c>
      <c r="D358" s="9" t="s">
        <v>1627</v>
      </c>
      <c r="E358" s="9" t="s">
        <v>1628</v>
      </c>
      <c r="F358" s="9" t="s">
        <v>1629</v>
      </c>
      <c r="G358" s="9" t="s">
        <v>324</v>
      </c>
      <c r="H358" s="14" t="s">
        <v>22</v>
      </c>
      <c r="I358" s="9" t="s">
        <v>1630</v>
      </c>
      <c r="J358" s="13"/>
      <c r="K358" s="13"/>
    </row>
    <row r="359" customFormat="false" ht="57.45" hidden="false" customHeight="false" outlineLevel="0" collapsed="false">
      <c r="A359" s="9" t="n">
        <v>358</v>
      </c>
      <c r="B359" s="9" t="s">
        <v>50</v>
      </c>
      <c r="C359" s="11" t="s">
        <v>57</v>
      </c>
      <c r="D359" s="9" t="s">
        <v>1631</v>
      </c>
      <c r="E359" s="9" t="s">
        <v>1632</v>
      </c>
      <c r="F359" s="9" t="s">
        <v>1633</v>
      </c>
      <c r="G359" s="9" t="s">
        <v>392</v>
      </c>
      <c r="H359" s="14" t="s">
        <v>22</v>
      </c>
      <c r="I359" s="9" t="s">
        <v>1634</v>
      </c>
      <c r="J359" s="13"/>
      <c r="K359" s="13"/>
    </row>
    <row r="360" customFormat="false" ht="68.65" hidden="false" customHeight="false" outlineLevel="0" collapsed="false">
      <c r="A360" s="9" t="n">
        <v>359</v>
      </c>
      <c r="B360" s="9" t="s">
        <v>50</v>
      </c>
      <c r="C360" s="11" t="s">
        <v>57</v>
      </c>
      <c r="D360" s="9" t="s">
        <v>1635</v>
      </c>
      <c r="E360" s="9" t="s">
        <v>1636</v>
      </c>
      <c r="F360" s="9" t="s">
        <v>1637</v>
      </c>
      <c r="G360" s="9" t="s">
        <v>1638</v>
      </c>
      <c r="H360" s="14" t="s">
        <v>22</v>
      </c>
      <c r="I360" s="9" t="s">
        <v>1639</v>
      </c>
      <c r="J360" s="13"/>
      <c r="K360" s="13"/>
    </row>
    <row r="361" customFormat="false" ht="68.65" hidden="false" customHeight="false" outlineLevel="0" collapsed="false">
      <c r="A361" s="9" t="n">
        <v>360</v>
      </c>
      <c r="B361" s="9" t="s">
        <v>50</v>
      </c>
      <c r="C361" s="11" t="s">
        <v>57</v>
      </c>
      <c r="D361" s="9" t="s">
        <v>1640</v>
      </c>
      <c r="E361" s="9" t="s">
        <v>1641</v>
      </c>
      <c r="F361" s="9" t="s">
        <v>1642</v>
      </c>
      <c r="G361" s="9" t="s">
        <v>1643</v>
      </c>
      <c r="H361" s="15" t="s">
        <v>23</v>
      </c>
      <c r="I361" s="9" t="s">
        <v>1644</v>
      </c>
      <c r="J361" s="13"/>
      <c r="K361" s="13"/>
    </row>
    <row r="362" customFormat="false" ht="46.25" hidden="false" customHeight="false" outlineLevel="0" collapsed="false">
      <c r="A362" s="9" t="n">
        <v>361</v>
      </c>
      <c r="B362" s="9" t="s">
        <v>50</v>
      </c>
      <c r="C362" s="11" t="s">
        <v>57</v>
      </c>
      <c r="D362" s="9" t="s">
        <v>1645</v>
      </c>
      <c r="E362" s="9" t="s">
        <v>1646</v>
      </c>
      <c r="F362" s="9" t="s">
        <v>1647</v>
      </c>
      <c r="G362" s="9" t="s">
        <v>1072</v>
      </c>
      <c r="H362" s="15" t="s">
        <v>23</v>
      </c>
      <c r="I362" s="9" t="s">
        <v>1648</v>
      </c>
      <c r="J362" s="13"/>
      <c r="K362" s="13"/>
    </row>
    <row r="363" customFormat="false" ht="35.05" hidden="false" customHeight="false" outlineLevel="0" collapsed="false">
      <c r="A363" s="9" t="n">
        <v>362</v>
      </c>
      <c r="B363" s="9" t="s">
        <v>50</v>
      </c>
      <c r="C363" s="11" t="s">
        <v>57</v>
      </c>
      <c r="D363" s="9" t="s">
        <v>1649</v>
      </c>
      <c r="E363" s="9" t="s">
        <v>1650</v>
      </c>
      <c r="F363" s="9" t="s">
        <v>1651</v>
      </c>
      <c r="G363" s="9" t="s">
        <v>317</v>
      </c>
      <c r="H363" s="15" t="s">
        <v>23</v>
      </c>
      <c r="I363" s="9" t="s">
        <v>1652</v>
      </c>
      <c r="J363" s="13"/>
      <c r="K363" s="13"/>
    </row>
    <row r="364" customFormat="false" ht="35.05" hidden="false" customHeight="false" outlineLevel="0" collapsed="false">
      <c r="A364" s="9" t="n">
        <v>363</v>
      </c>
      <c r="B364" s="9" t="s">
        <v>50</v>
      </c>
      <c r="C364" s="11" t="s">
        <v>57</v>
      </c>
      <c r="D364" s="9" t="s">
        <v>1653</v>
      </c>
      <c r="E364" s="9" t="s">
        <v>1654</v>
      </c>
      <c r="F364" s="9" t="s">
        <v>1655</v>
      </c>
      <c r="G364" s="9" t="s">
        <v>1072</v>
      </c>
      <c r="H364" s="15" t="s">
        <v>23</v>
      </c>
      <c r="I364" s="9" t="s">
        <v>1656</v>
      </c>
      <c r="J364" s="13"/>
      <c r="K364" s="13"/>
    </row>
    <row r="365" customFormat="false" ht="57.45" hidden="false" customHeight="false" outlineLevel="0" collapsed="false">
      <c r="A365" s="9" t="n">
        <v>364</v>
      </c>
      <c r="B365" s="9" t="s">
        <v>50</v>
      </c>
      <c r="C365" s="11" t="s">
        <v>57</v>
      </c>
      <c r="D365" s="9" t="s">
        <v>1657</v>
      </c>
      <c r="E365" s="9" t="s">
        <v>1658</v>
      </c>
      <c r="F365" s="9" t="s">
        <v>1659</v>
      </c>
      <c r="G365" s="9" t="s">
        <v>317</v>
      </c>
      <c r="H365" s="15" t="s">
        <v>23</v>
      </c>
      <c r="I365" s="9" t="s">
        <v>1660</v>
      </c>
      <c r="J365" s="13"/>
      <c r="K365" s="13"/>
    </row>
    <row r="366" customFormat="false" ht="68.65" hidden="false" customHeight="false" outlineLevel="0" collapsed="false">
      <c r="A366" s="9" t="n">
        <v>365</v>
      </c>
      <c r="B366" s="9" t="s">
        <v>50</v>
      </c>
      <c r="C366" s="11" t="s">
        <v>57</v>
      </c>
      <c r="D366" s="9" t="s">
        <v>1661</v>
      </c>
      <c r="E366" s="9" t="s">
        <v>1662</v>
      </c>
      <c r="F366" s="9" t="s">
        <v>1663</v>
      </c>
      <c r="G366" s="9" t="s">
        <v>861</v>
      </c>
      <c r="H366" s="15" t="s">
        <v>23</v>
      </c>
      <c r="I366" s="9" t="s">
        <v>1664</v>
      </c>
      <c r="J366" s="13"/>
      <c r="K366" s="13"/>
    </row>
    <row r="367" customFormat="false" ht="57.45" hidden="false" customHeight="false" outlineLevel="0" collapsed="false">
      <c r="A367" s="9" t="n">
        <v>366</v>
      </c>
      <c r="B367" s="9" t="s">
        <v>50</v>
      </c>
      <c r="C367" s="11" t="s">
        <v>57</v>
      </c>
      <c r="D367" s="9" t="s">
        <v>1665</v>
      </c>
      <c r="E367" s="9" t="s">
        <v>1666</v>
      </c>
      <c r="F367" s="9" t="s">
        <v>1667</v>
      </c>
      <c r="G367" s="9" t="s">
        <v>317</v>
      </c>
      <c r="H367" s="15" t="s">
        <v>23</v>
      </c>
      <c r="I367" s="9" t="s">
        <v>1668</v>
      </c>
      <c r="J367" s="13"/>
      <c r="K367" s="13"/>
    </row>
    <row r="368" customFormat="false" ht="35.05" hidden="false" customHeight="false" outlineLevel="0" collapsed="false">
      <c r="A368" s="9" t="n">
        <v>367</v>
      </c>
      <c r="B368" s="9" t="s">
        <v>50</v>
      </c>
      <c r="C368" s="11" t="s">
        <v>57</v>
      </c>
      <c r="D368" s="9" t="s">
        <v>1669</v>
      </c>
      <c r="E368" s="9" t="s">
        <v>1670</v>
      </c>
      <c r="F368" s="9" t="s">
        <v>1671</v>
      </c>
      <c r="G368" s="9" t="s">
        <v>1072</v>
      </c>
      <c r="H368" s="15" t="s">
        <v>23</v>
      </c>
      <c r="I368" s="9" t="s">
        <v>1672</v>
      </c>
      <c r="J368" s="13"/>
      <c r="K368" s="13"/>
    </row>
    <row r="369" customFormat="false" ht="46.25" hidden="false" customHeight="false" outlineLevel="0" collapsed="false">
      <c r="A369" s="9" t="n">
        <v>368</v>
      </c>
      <c r="B369" s="9" t="s">
        <v>50</v>
      </c>
      <c r="C369" s="11" t="s">
        <v>57</v>
      </c>
      <c r="D369" s="9" t="s">
        <v>1673</v>
      </c>
      <c r="E369" s="9" t="s">
        <v>1674</v>
      </c>
      <c r="F369" s="9" t="s">
        <v>1675</v>
      </c>
      <c r="G369" s="9" t="s">
        <v>317</v>
      </c>
      <c r="H369" s="15" t="s">
        <v>23</v>
      </c>
      <c r="I369" s="9" t="s">
        <v>1676</v>
      </c>
      <c r="J369" s="13"/>
      <c r="K369" s="13"/>
    </row>
    <row r="370" customFormat="false" ht="46.25" hidden="false" customHeight="false" outlineLevel="0" collapsed="false">
      <c r="A370" s="9" t="n">
        <v>369</v>
      </c>
      <c r="B370" s="9" t="s">
        <v>50</v>
      </c>
      <c r="C370" s="11" t="s">
        <v>57</v>
      </c>
      <c r="D370" s="9" t="s">
        <v>1677</v>
      </c>
      <c r="E370" s="9" t="s">
        <v>1678</v>
      </c>
      <c r="F370" s="9" t="s">
        <v>1679</v>
      </c>
      <c r="G370" s="9" t="s">
        <v>392</v>
      </c>
      <c r="H370" s="15" t="s">
        <v>23</v>
      </c>
      <c r="I370" s="9" t="s">
        <v>1680</v>
      </c>
      <c r="J370" s="13"/>
      <c r="K370" s="13"/>
    </row>
    <row r="371" customFormat="false" ht="35.05" hidden="false" customHeight="false" outlineLevel="0" collapsed="false">
      <c r="A371" s="9" t="n">
        <v>370</v>
      </c>
      <c r="B371" s="9" t="s">
        <v>50</v>
      </c>
      <c r="C371" s="11" t="s">
        <v>57</v>
      </c>
      <c r="D371" s="9" t="s">
        <v>1681</v>
      </c>
      <c r="E371" s="9" t="s">
        <v>1682</v>
      </c>
      <c r="F371" s="9" t="s">
        <v>1683</v>
      </c>
      <c r="G371" s="9" t="s">
        <v>312</v>
      </c>
      <c r="H371" s="15" t="s">
        <v>23</v>
      </c>
      <c r="I371" s="9" t="s">
        <v>1684</v>
      </c>
      <c r="J371" s="13"/>
      <c r="K371" s="13"/>
    </row>
    <row r="372" customFormat="false" ht="35.05" hidden="false" customHeight="false" outlineLevel="0" collapsed="false">
      <c r="A372" s="9" t="n">
        <v>371</v>
      </c>
      <c r="B372" s="9" t="s">
        <v>50</v>
      </c>
      <c r="C372" s="11" t="s">
        <v>57</v>
      </c>
      <c r="D372" s="9" t="s">
        <v>1685</v>
      </c>
      <c r="E372" s="9" t="s">
        <v>1686</v>
      </c>
      <c r="F372" s="9" t="s">
        <v>1687</v>
      </c>
      <c r="G372" s="9" t="s">
        <v>392</v>
      </c>
      <c r="H372" s="15" t="s">
        <v>23</v>
      </c>
      <c r="I372" s="9" t="s">
        <v>1688</v>
      </c>
      <c r="J372" s="13"/>
      <c r="K372" s="13"/>
    </row>
    <row r="373" customFormat="false" ht="23.85" hidden="false" customHeight="false" outlineLevel="0" collapsed="false">
      <c r="A373" s="9" t="n">
        <v>372</v>
      </c>
      <c r="B373" s="9" t="s">
        <v>50</v>
      </c>
      <c r="C373" s="11" t="s">
        <v>57</v>
      </c>
      <c r="D373" s="9" t="s">
        <v>1689</v>
      </c>
      <c r="E373" s="9" t="s">
        <v>1690</v>
      </c>
      <c r="F373" s="9" t="s">
        <v>1691</v>
      </c>
      <c r="G373" s="9" t="s">
        <v>392</v>
      </c>
      <c r="H373" s="15" t="s">
        <v>23</v>
      </c>
      <c r="I373" s="9" t="s">
        <v>1692</v>
      </c>
      <c r="J373" s="13"/>
      <c r="K373" s="13"/>
    </row>
    <row r="374" customFormat="false" ht="35.05" hidden="false" customHeight="false" outlineLevel="0" collapsed="false">
      <c r="A374" s="9" t="n">
        <v>373</v>
      </c>
      <c r="B374" s="9" t="s">
        <v>50</v>
      </c>
      <c r="C374" s="11" t="s">
        <v>57</v>
      </c>
      <c r="D374" s="9" t="s">
        <v>1693</v>
      </c>
      <c r="E374" s="9" t="s">
        <v>1694</v>
      </c>
      <c r="F374" s="9" t="s">
        <v>1695</v>
      </c>
      <c r="G374" s="9" t="s">
        <v>303</v>
      </c>
      <c r="H374" s="15" t="s">
        <v>23</v>
      </c>
      <c r="I374" s="9" t="s">
        <v>1696</v>
      </c>
      <c r="J374" s="13"/>
      <c r="K374" s="13"/>
    </row>
    <row r="375" customFormat="false" ht="46.25" hidden="false" customHeight="false" outlineLevel="0" collapsed="false">
      <c r="A375" s="9" t="n">
        <v>374</v>
      </c>
      <c r="B375" s="9" t="s">
        <v>50</v>
      </c>
      <c r="C375" s="11" t="s">
        <v>57</v>
      </c>
      <c r="D375" s="9" t="s">
        <v>1697</v>
      </c>
      <c r="E375" s="9" t="s">
        <v>1698</v>
      </c>
      <c r="F375" s="9" t="s">
        <v>1699</v>
      </c>
      <c r="G375" s="9" t="s">
        <v>303</v>
      </c>
      <c r="H375" s="15" t="s">
        <v>23</v>
      </c>
      <c r="I375" s="9" t="s">
        <v>1700</v>
      </c>
      <c r="J375" s="13"/>
      <c r="K375" s="13"/>
    </row>
    <row r="376" customFormat="false" ht="23.85" hidden="false" customHeight="false" outlineLevel="0" collapsed="false">
      <c r="A376" s="9" t="n">
        <v>375</v>
      </c>
      <c r="B376" s="9" t="s">
        <v>50</v>
      </c>
      <c r="C376" s="11" t="s">
        <v>57</v>
      </c>
      <c r="D376" s="9" t="s">
        <v>1701</v>
      </c>
      <c r="E376" s="9" t="s">
        <v>1702</v>
      </c>
      <c r="F376" s="9" t="s">
        <v>1703</v>
      </c>
      <c r="G376" s="9" t="s">
        <v>328</v>
      </c>
      <c r="H376" s="15" t="s">
        <v>23</v>
      </c>
      <c r="I376" s="9" t="s">
        <v>1704</v>
      </c>
      <c r="J376" s="13"/>
      <c r="K376" s="13"/>
    </row>
    <row r="377" customFormat="false" ht="35.05" hidden="false" customHeight="false" outlineLevel="0" collapsed="false">
      <c r="A377" s="9" t="n">
        <v>376</v>
      </c>
      <c r="B377" s="9" t="s">
        <v>50</v>
      </c>
      <c r="C377" s="11" t="s">
        <v>57</v>
      </c>
      <c r="D377" s="9" t="s">
        <v>1705</v>
      </c>
      <c r="E377" s="9" t="s">
        <v>1706</v>
      </c>
      <c r="F377" s="9" t="s">
        <v>1707</v>
      </c>
      <c r="G377" s="9" t="s">
        <v>1072</v>
      </c>
      <c r="H377" s="15" t="s">
        <v>23</v>
      </c>
      <c r="I377" s="9" t="s">
        <v>1708</v>
      </c>
      <c r="J377" s="13"/>
      <c r="K377" s="13"/>
    </row>
    <row r="378" customFormat="false" ht="35.05" hidden="false" customHeight="false" outlineLevel="0" collapsed="false">
      <c r="A378" s="9" t="n">
        <v>377</v>
      </c>
      <c r="B378" s="9" t="s">
        <v>50</v>
      </c>
      <c r="C378" s="11" t="s">
        <v>57</v>
      </c>
      <c r="D378" s="9" t="s">
        <v>1709</v>
      </c>
      <c r="E378" s="9" t="s">
        <v>1710</v>
      </c>
      <c r="F378" s="9" t="s">
        <v>1711</v>
      </c>
      <c r="G378" s="9" t="s">
        <v>24</v>
      </c>
      <c r="H378" s="14" t="s">
        <v>22</v>
      </c>
      <c r="I378" s="9" t="s">
        <v>1712</v>
      </c>
      <c r="J378" s="13"/>
      <c r="K378" s="13"/>
    </row>
    <row r="379" customFormat="false" ht="23.85" hidden="false" customHeight="false" outlineLevel="0" collapsed="false">
      <c r="A379" s="9" t="n">
        <v>378</v>
      </c>
      <c r="B379" s="9" t="s">
        <v>50</v>
      </c>
      <c r="C379" s="11" t="s">
        <v>57</v>
      </c>
      <c r="D379" s="9" t="s">
        <v>1713</v>
      </c>
      <c r="E379" s="9" t="s">
        <v>1714</v>
      </c>
      <c r="F379" s="9" t="s">
        <v>1715</v>
      </c>
      <c r="G379" s="9" t="s">
        <v>24</v>
      </c>
      <c r="H379" s="14" t="s">
        <v>22</v>
      </c>
      <c r="I379" s="9" t="s">
        <v>1716</v>
      </c>
      <c r="J379" s="13"/>
      <c r="K379" s="13"/>
    </row>
    <row r="380" customFormat="false" ht="23.85" hidden="false" customHeight="false" outlineLevel="0" collapsed="false">
      <c r="A380" s="9" t="n">
        <v>379</v>
      </c>
      <c r="B380" s="9" t="s">
        <v>50</v>
      </c>
      <c r="C380" s="11" t="s">
        <v>57</v>
      </c>
      <c r="D380" s="9" t="s">
        <v>1717</v>
      </c>
      <c r="E380" s="9" t="s">
        <v>1718</v>
      </c>
      <c r="F380" s="9" t="s">
        <v>1719</v>
      </c>
      <c r="G380" s="9" t="s">
        <v>24</v>
      </c>
      <c r="H380" s="14" t="s">
        <v>22</v>
      </c>
      <c r="I380" s="9" t="s">
        <v>1720</v>
      </c>
      <c r="J380" s="13"/>
      <c r="K380" s="13"/>
    </row>
    <row r="381" customFormat="false" ht="23.85" hidden="false" customHeight="false" outlineLevel="0" collapsed="false">
      <c r="A381" s="9" t="n">
        <v>380</v>
      </c>
      <c r="B381" s="9" t="s">
        <v>50</v>
      </c>
      <c r="C381" s="11" t="s">
        <v>57</v>
      </c>
      <c r="D381" s="9" t="s">
        <v>1721</v>
      </c>
      <c r="E381" s="9" t="s">
        <v>1722</v>
      </c>
      <c r="F381" s="9" t="s">
        <v>1723</v>
      </c>
      <c r="G381" s="9" t="s">
        <v>24</v>
      </c>
      <c r="H381" s="14" t="s">
        <v>22</v>
      </c>
      <c r="I381" s="9" t="s">
        <v>1724</v>
      </c>
      <c r="J381" s="13"/>
      <c r="K381" s="13"/>
    </row>
    <row r="382" customFormat="false" ht="23.85" hidden="false" customHeight="false" outlineLevel="0" collapsed="false">
      <c r="A382" s="9" t="n">
        <v>381</v>
      </c>
      <c r="B382" s="9" t="s">
        <v>50</v>
      </c>
      <c r="C382" s="11" t="s">
        <v>57</v>
      </c>
      <c r="D382" s="9" t="s">
        <v>1725</v>
      </c>
      <c r="E382" s="9" t="s">
        <v>1726</v>
      </c>
      <c r="F382" s="9" t="s">
        <v>1727</v>
      </c>
      <c r="G382" s="9" t="s">
        <v>24</v>
      </c>
      <c r="H382" s="14" t="s">
        <v>22</v>
      </c>
      <c r="I382" s="9" t="s">
        <v>1728</v>
      </c>
      <c r="J382" s="13"/>
      <c r="K382" s="13"/>
    </row>
    <row r="383" customFormat="false" ht="46.25" hidden="false" customHeight="false" outlineLevel="0" collapsed="false">
      <c r="A383" s="9" t="n">
        <v>382</v>
      </c>
      <c r="B383" s="9" t="s">
        <v>50</v>
      </c>
      <c r="C383" s="11" t="s">
        <v>57</v>
      </c>
      <c r="D383" s="9" t="s">
        <v>1729</v>
      </c>
      <c r="E383" s="9" t="s">
        <v>1730</v>
      </c>
      <c r="F383" s="9" t="s">
        <v>1731</v>
      </c>
      <c r="G383" s="9" t="s">
        <v>24</v>
      </c>
      <c r="H383" s="14" t="s">
        <v>22</v>
      </c>
      <c r="I383" s="9" t="s">
        <v>1732</v>
      </c>
      <c r="J383" s="13"/>
      <c r="K383" s="13"/>
    </row>
    <row r="384" customFormat="false" ht="23.85" hidden="false" customHeight="false" outlineLevel="0" collapsed="false">
      <c r="A384" s="9" t="n">
        <v>383</v>
      </c>
      <c r="B384" s="9" t="s">
        <v>50</v>
      </c>
      <c r="C384" s="11" t="s">
        <v>57</v>
      </c>
      <c r="D384" s="9" t="s">
        <v>1733</v>
      </c>
      <c r="E384" s="9" t="s">
        <v>1734</v>
      </c>
      <c r="F384" s="9" t="s">
        <v>1735</v>
      </c>
      <c r="G384" s="9" t="s">
        <v>24</v>
      </c>
      <c r="H384" s="14" t="s">
        <v>22</v>
      </c>
      <c r="I384" s="9" t="s">
        <v>1736</v>
      </c>
      <c r="J384" s="13"/>
      <c r="K384" s="13"/>
    </row>
    <row r="385" customFormat="false" ht="23.85" hidden="false" customHeight="false" outlineLevel="0" collapsed="false">
      <c r="A385" s="9" t="n">
        <v>384</v>
      </c>
      <c r="B385" s="9" t="s">
        <v>50</v>
      </c>
      <c r="C385" s="11" t="s">
        <v>57</v>
      </c>
      <c r="D385" s="9" t="s">
        <v>1737</v>
      </c>
      <c r="E385" s="9" t="s">
        <v>1738</v>
      </c>
      <c r="F385" s="9" t="s">
        <v>1739</v>
      </c>
      <c r="G385" s="9" t="s">
        <v>24</v>
      </c>
      <c r="H385" s="14" t="s">
        <v>22</v>
      </c>
      <c r="I385" s="9" t="s">
        <v>1740</v>
      </c>
      <c r="J385" s="13"/>
      <c r="K385" s="13"/>
    </row>
    <row r="386" customFormat="false" ht="15" hidden="false" customHeight="false" outlineLevel="0" collapsed="false">
      <c r="A386" s="9" t="n">
        <v>385</v>
      </c>
      <c r="B386" s="9" t="s">
        <v>50</v>
      </c>
      <c r="C386" s="11" t="s">
        <v>57</v>
      </c>
      <c r="D386" s="9" t="s">
        <v>1741</v>
      </c>
      <c r="E386" s="9" t="s">
        <v>1742</v>
      </c>
      <c r="F386" s="9" t="s">
        <v>1743</v>
      </c>
      <c r="G386" s="9" t="s">
        <v>24</v>
      </c>
      <c r="H386" s="14" t="s">
        <v>22</v>
      </c>
      <c r="I386" s="9" t="s">
        <v>1744</v>
      </c>
      <c r="J386" s="13"/>
      <c r="K386" s="13"/>
    </row>
    <row r="387" customFormat="false" ht="23.85" hidden="false" customHeight="false" outlineLevel="0" collapsed="false">
      <c r="A387" s="9" t="n">
        <v>386</v>
      </c>
      <c r="B387" s="9" t="s">
        <v>50</v>
      </c>
      <c r="C387" s="11" t="s">
        <v>57</v>
      </c>
      <c r="D387" s="9" t="s">
        <v>1745</v>
      </c>
      <c r="E387" s="9" t="s">
        <v>1746</v>
      </c>
      <c r="F387" s="9" t="s">
        <v>1747</v>
      </c>
      <c r="G387" s="9" t="s">
        <v>24</v>
      </c>
      <c r="H387" s="14" t="s">
        <v>22</v>
      </c>
      <c r="I387" s="9" t="s">
        <v>434</v>
      </c>
      <c r="J387" s="13"/>
      <c r="K387" s="13"/>
    </row>
    <row r="388" customFormat="false" ht="23.85" hidden="false" customHeight="false" outlineLevel="0" collapsed="false">
      <c r="A388" s="9" t="n">
        <v>387</v>
      </c>
      <c r="B388" s="9" t="s">
        <v>50</v>
      </c>
      <c r="C388" s="11" t="s">
        <v>57</v>
      </c>
      <c r="D388" s="9" t="s">
        <v>1748</v>
      </c>
      <c r="E388" s="9" t="s">
        <v>1749</v>
      </c>
      <c r="F388" s="9" t="s">
        <v>1750</v>
      </c>
      <c r="G388" s="9" t="s">
        <v>24</v>
      </c>
      <c r="H388" s="14" t="s">
        <v>22</v>
      </c>
      <c r="I388" s="9" t="s">
        <v>1751</v>
      </c>
      <c r="J388" s="13"/>
      <c r="K388" s="13"/>
    </row>
    <row r="389" customFormat="false" ht="23.85" hidden="false" customHeight="false" outlineLevel="0" collapsed="false">
      <c r="A389" s="9" t="n">
        <v>388</v>
      </c>
      <c r="B389" s="9" t="s">
        <v>50</v>
      </c>
      <c r="C389" s="11" t="s">
        <v>57</v>
      </c>
      <c r="D389" s="9" t="s">
        <v>1752</v>
      </c>
      <c r="E389" s="9" t="s">
        <v>1753</v>
      </c>
      <c r="F389" s="9" t="s">
        <v>1754</v>
      </c>
      <c r="G389" s="9" t="s">
        <v>24</v>
      </c>
      <c r="H389" s="14" t="s">
        <v>22</v>
      </c>
      <c r="I389" s="9" t="s">
        <v>1755</v>
      </c>
      <c r="J389" s="13"/>
      <c r="K389" s="13"/>
    </row>
    <row r="390" customFormat="false" ht="35.05" hidden="false" customHeight="false" outlineLevel="0" collapsed="false">
      <c r="A390" s="9" t="n">
        <v>389</v>
      </c>
      <c r="B390" s="9" t="s">
        <v>50</v>
      </c>
      <c r="C390" s="11" t="s">
        <v>57</v>
      </c>
      <c r="D390" s="9" t="s">
        <v>1756</v>
      </c>
      <c r="E390" s="9" t="s">
        <v>1757</v>
      </c>
      <c r="F390" s="9" t="s">
        <v>1758</v>
      </c>
      <c r="G390" s="9" t="s">
        <v>24</v>
      </c>
      <c r="H390" s="14" t="s">
        <v>22</v>
      </c>
      <c r="I390" s="9" t="s">
        <v>1759</v>
      </c>
      <c r="J390" s="13"/>
      <c r="K390" s="13"/>
    </row>
    <row r="391" customFormat="false" ht="23.85" hidden="false" customHeight="false" outlineLevel="0" collapsed="false">
      <c r="A391" s="9" t="n">
        <v>390</v>
      </c>
      <c r="B391" s="9" t="s">
        <v>50</v>
      </c>
      <c r="C391" s="11" t="s">
        <v>57</v>
      </c>
      <c r="D391" s="9" t="s">
        <v>1760</v>
      </c>
      <c r="E391" s="9" t="s">
        <v>1761</v>
      </c>
      <c r="F391" s="9" t="s">
        <v>1762</v>
      </c>
      <c r="G391" s="9" t="s">
        <v>24</v>
      </c>
      <c r="H391" s="14" t="s">
        <v>22</v>
      </c>
      <c r="I391" s="9" t="s">
        <v>1763</v>
      </c>
      <c r="J391" s="13"/>
      <c r="K391" s="13"/>
    </row>
    <row r="392" customFormat="false" ht="35.05" hidden="false" customHeight="false" outlineLevel="0" collapsed="false">
      <c r="A392" s="9" t="n">
        <v>391</v>
      </c>
      <c r="B392" s="9" t="s">
        <v>50</v>
      </c>
      <c r="C392" s="11" t="s">
        <v>57</v>
      </c>
      <c r="D392" s="9" t="s">
        <v>1764</v>
      </c>
      <c r="E392" s="9" t="s">
        <v>358</v>
      </c>
      <c r="F392" s="9" t="s">
        <v>1765</v>
      </c>
      <c r="G392" s="9" t="s">
        <v>24</v>
      </c>
      <c r="H392" s="14" t="s">
        <v>22</v>
      </c>
      <c r="I392" s="9" t="s">
        <v>1766</v>
      </c>
      <c r="J392" s="13"/>
      <c r="K392" s="13"/>
    </row>
    <row r="393" customFormat="false" ht="15" hidden="false" customHeight="false" outlineLevel="0" collapsed="false">
      <c r="A393" s="9" t="n">
        <v>392</v>
      </c>
      <c r="B393" s="9" t="s">
        <v>50</v>
      </c>
      <c r="C393" s="11" t="s">
        <v>57</v>
      </c>
      <c r="D393" s="9" t="s">
        <v>1767</v>
      </c>
      <c r="E393" s="9" t="s">
        <v>362</v>
      </c>
      <c r="F393" s="9" t="s">
        <v>363</v>
      </c>
      <c r="G393" s="9" t="s">
        <v>24</v>
      </c>
      <c r="H393" s="14" t="s">
        <v>22</v>
      </c>
      <c r="I393" s="9" t="s">
        <v>364</v>
      </c>
      <c r="J393" s="13"/>
      <c r="K393" s="13"/>
    </row>
    <row r="394" customFormat="false" ht="23.85" hidden="false" customHeight="false" outlineLevel="0" collapsed="false">
      <c r="A394" s="9" t="n">
        <v>393</v>
      </c>
      <c r="B394" s="9" t="s">
        <v>50</v>
      </c>
      <c r="C394" s="11" t="s">
        <v>57</v>
      </c>
      <c r="D394" s="9" t="s">
        <v>1768</v>
      </c>
      <c r="E394" s="9" t="s">
        <v>1769</v>
      </c>
      <c r="F394" s="9" t="s">
        <v>1770</v>
      </c>
      <c r="G394" s="9" t="s">
        <v>24</v>
      </c>
      <c r="H394" s="15" t="s">
        <v>23</v>
      </c>
      <c r="I394" s="9" t="s">
        <v>434</v>
      </c>
      <c r="J394" s="13"/>
      <c r="K394" s="13"/>
    </row>
    <row r="395" customFormat="false" ht="35.05" hidden="false" customHeight="false" outlineLevel="0" collapsed="false">
      <c r="A395" s="9" t="n">
        <v>394</v>
      </c>
      <c r="B395" s="9" t="s">
        <v>50</v>
      </c>
      <c r="C395" s="11" t="s">
        <v>57</v>
      </c>
      <c r="D395" s="9" t="s">
        <v>1771</v>
      </c>
      <c r="E395" s="9" t="s">
        <v>1772</v>
      </c>
      <c r="F395" s="9" t="s">
        <v>1773</v>
      </c>
      <c r="G395" s="9" t="s">
        <v>24</v>
      </c>
      <c r="H395" s="15" t="s">
        <v>23</v>
      </c>
      <c r="I395" s="9" t="s">
        <v>1774</v>
      </c>
      <c r="J395" s="13"/>
      <c r="K395" s="13"/>
    </row>
    <row r="396" customFormat="false" ht="23.85" hidden="false" customHeight="false" outlineLevel="0" collapsed="false">
      <c r="A396" s="9" t="n">
        <v>395</v>
      </c>
      <c r="B396" s="9" t="s">
        <v>50</v>
      </c>
      <c r="C396" s="11" t="s">
        <v>57</v>
      </c>
      <c r="D396" s="9" t="s">
        <v>1775</v>
      </c>
      <c r="E396" s="9" t="s">
        <v>1776</v>
      </c>
      <c r="F396" s="9" t="s">
        <v>1777</v>
      </c>
      <c r="G396" s="9" t="s">
        <v>24</v>
      </c>
      <c r="H396" s="15" t="s">
        <v>23</v>
      </c>
      <c r="I396" s="9" t="s">
        <v>1778</v>
      </c>
      <c r="J396" s="13"/>
      <c r="K396" s="13"/>
    </row>
    <row r="397" customFormat="false" ht="35.05" hidden="false" customHeight="false" outlineLevel="0" collapsed="false">
      <c r="A397" s="9" t="n">
        <v>396</v>
      </c>
      <c r="B397" s="9" t="s">
        <v>50</v>
      </c>
      <c r="C397" s="11" t="s">
        <v>57</v>
      </c>
      <c r="D397" s="9" t="s">
        <v>1779</v>
      </c>
      <c r="E397" s="9" t="s">
        <v>1780</v>
      </c>
      <c r="F397" s="9" t="s">
        <v>1781</v>
      </c>
      <c r="G397" s="9" t="s">
        <v>24</v>
      </c>
      <c r="H397" s="15" t="s">
        <v>23</v>
      </c>
      <c r="I397" s="9" t="s">
        <v>1782</v>
      </c>
      <c r="J397" s="13"/>
      <c r="K397" s="13"/>
    </row>
    <row r="398" customFormat="false" ht="23.85" hidden="false" customHeight="false" outlineLevel="0" collapsed="false">
      <c r="A398" s="9" t="n">
        <v>397</v>
      </c>
      <c r="B398" s="9" t="s">
        <v>50</v>
      </c>
      <c r="C398" s="11" t="s">
        <v>57</v>
      </c>
      <c r="D398" s="9" t="s">
        <v>1783</v>
      </c>
      <c r="E398" s="9" t="s">
        <v>1784</v>
      </c>
      <c r="F398" s="9" t="s">
        <v>1785</v>
      </c>
      <c r="G398" s="9" t="s">
        <v>24</v>
      </c>
      <c r="H398" s="15" t="s">
        <v>23</v>
      </c>
      <c r="I398" s="9" t="s">
        <v>1786</v>
      </c>
      <c r="J398" s="13"/>
      <c r="K398" s="13"/>
    </row>
    <row r="399" customFormat="false" ht="124.6" hidden="false" customHeight="false" outlineLevel="0" collapsed="false">
      <c r="A399" s="9" t="n">
        <v>398</v>
      </c>
      <c r="B399" s="9" t="s">
        <v>50</v>
      </c>
      <c r="C399" s="11" t="s">
        <v>59</v>
      </c>
      <c r="D399" s="9" t="s">
        <v>1787</v>
      </c>
      <c r="E399" s="9" t="s">
        <v>1788</v>
      </c>
      <c r="F399" s="9" t="s">
        <v>1789</v>
      </c>
      <c r="G399" s="9" t="s">
        <v>1370</v>
      </c>
      <c r="H399" s="12" t="s">
        <v>21</v>
      </c>
      <c r="I399" s="9" t="s">
        <v>1790</v>
      </c>
      <c r="J399" s="13"/>
      <c r="K399" s="13"/>
    </row>
    <row r="400" customFormat="false" ht="180.55" hidden="false" customHeight="false" outlineLevel="0" collapsed="false">
      <c r="A400" s="9" t="n">
        <v>399</v>
      </c>
      <c r="B400" s="9" t="s">
        <v>50</v>
      </c>
      <c r="C400" s="11" t="s">
        <v>59</v>
      </c>
      <c r="D400" s="9" t="s">
        <v>1791</v>
      </c>
      <c r="E400" s="9" t="s">
        <v>1792</v>
      </c>
      <c r="F400" s="9" t="s">
        <v>1793</v>
      </c>
      <c r="G400" s="9" t="s">
        <v>303</v>
      </c>
      <c r="H400" s="12" t="s">
        <v>21</v>
      </c>
      <c r="I400" s="9" t="s">
        <v>1794</v>
      </c>
      <c r="J400" s="13"/>
      <c r="K400" s="13"/>
    </row>
    <row r="401" customFormat="false" ht="102.2" hidden="false" customHeight="false" outlineLevel="0" collapsed="false">
      <c r="A401" s="9" t="n">
        <v>400</v>
      </c>
      <c r="B401" s="9" t="s">
        <v>50</v>
      </c>
      <c r="C401" s="11" t="s">
        <v>59</v>
      </c>
      <c r="D401" s="9" t="s">
        <v>1795</v>
      </c>
      <c r="E401" s="9" t="s">
        <v>1796</v>
      </c>
      <c r="F401" s="9" t="s">
        <v>1797</v>
      </c>
      <c r="G401" s="9" t="s">
        <v>847</v>
      </c>
      <c r="H401" s="12" t="s">
        <v>21</v>
      </c>
      <c r="I401" s="9" t="s">
        <v>1798</v>
      </c>
      <c r="J401" s="13"/>
      <c r="K401" s="13"/>
    </row>
    <row r="402" customFormat="false" ht="147" hidden="false" customHeight="false" outlineLevel="0" collapsed="false">
      <c r="A402" s="9" t="n">
        <v>401</v>
      </c>
      <c r="B402" s="9" t="s">
        <v>50</v>
      </c>
      <c r="C402" s="11" t="s">
        <v>59</v>
      </c>
      <c r="D402" s="9" t="s">
        <v>1799</v>
      </c>
      <c r="E402" s="9" t="s">
        <v>1800</v>
      </c>
      <c r="F402" s="9" t="s">
        <v>1801</v>
      </c>
      <c r="G402" s="9" t="s">
        <v>1094</v>
      </c>
      <c r="H402" s="12" t="s">
        <v>21</v>
      </c>
      <c r="I402" s="9" t="s">
        <v>1802</v>
      </c>
      <c r="J402" s="13"/>
      <c r="K402" s="13"/>
    </row>
    <row r="403" customFormat="false" ht="79.85" hidden="false" customHeight="false" outlineLevel="0" collapsed="false">
      <c r="A403" s="9" t="n">
        <v>402</v>
      </c>
      <c r="B403" s="9" t="s">
        <v>50</v>
      </c>
      <c r="C403" s="11" t="s">
        <v>59</v>
      </c>
      <c r="D403" s="9" t="s">
        <v>1803</v>
      </c>
      <c r="E403" s="9" t="s">
        <v>1804</v>
      </c>
      <c r="F403" s="9" t="s">
        <v>1805</v>
      </c>
      <c r="G403" s="9" t="s">
        <v>392</v>
      </c>
      <c r="H403" s="12" t="s">
        <v>21</v>
      </c>
      <c r="I403" s="9" t="s">
        <v>1806</v>
      </c>
      <c r="J403" s="13"/>
      <c r="K403" s="13"/>
    </row>
    <row r="404" customFormat="false" ht="68.65" hidden="false" customHeight="false" outlineLevel="0" collapsed="false">
      <c r="A404" s="9" t="n">
        <v>403</v>
      </c>
      <c r="B404" s="9" t="s">
        <v>50</v>
      </c>
      <c r="C404" s="11" t="s">
        <v>59</v>
      </c>
      <c r="D404" s="9" t="s">
        <v>1807</v>
      </c>
      <c r="E404" s="9" t="s">
        <v>1808</v>
      </c>
      <c r="F404" s="9" t="s">
        <v>1809</v>
      </c>
      <c r="G404" s="9" t="s">
        <v>1072</v>
      </c>
      <c r="H404" s="14" t="s">
        <v>22</v>
      </c>
      <c r="I404" s="9" t="s">
        <v>1810</v>
      </c>
      <c r="J404" s="13"/>
      <c r="K404" s="13"/>
    </row>
    <row r="405" customFormat="false" ht="68.65" hidden="false" customHeight="false" outlineLevel="0" collapsed="false">
      <c r="A405" s="9" t="n">
        <v>404</v>
      </c>
      <c r="B405" s="9" t="s">
        <v>50</v>
      </c>
      <c r="C405" s="11" t="s">
        <v>59</v>
      </c>
      <c r="D405" s="9" t="s">
        <v>1811</v>
      </c>
      <c r="E405" s="9" t="s">
        <v>1812</v>
      </c>
      <c r="F405" s="9" t="s">
        <v>1813</v>
      </c>
      <c r="G405" s="9" t="s">
        <v>392</v>
      </c>
      <c r="H405" s="14" t="s">
        <v>22</v>
      </c>
      <c r="I405" s="9" t="s">
        <v>1814</v>
      </c>
      <c r="J405" s="13"/>
      <c r="K405" s="13"/>
    </row>
    <row r="406" customFormat="false" ht="68.65" hidden="false" customHeight="false" outlineLevel="0" collapsed="false">
      <c r="A406" s="9" t="n">
        <v>405</v>
      </c>
      <c r="B406" s="9" t="s">
        <v>50</v>
      </c>
      <c r="C406" s="11" t="s">
        <v>59</v>
      </c>
      <c r="D406" s="9" t="s">
        <v>1815</v>
      </c>
      <c r="E406" s="9" t="s">
        <v>1816</v>
      </c>
      <c r="F406" s="9" t="s">
        <v>1817</v>
      </c>
      <c r="G406" s="9" t="s">
        <v>392</v>
      </c>
      <c r="H406" s="14" t="s">
        <v>22</v>
      </c>
      <c r="I406" s="9" t="s">
        <v>1818</v>
      </c>
      <c r="J406" s="13"/>
      <c r="K406" s="13"/>
    </row>
    <row r="407" customFormat="false" ht="68.65" hidden="false" customHeight="false" outlineLevel="0" collapsed="false">
      <c r="A407" s="9" t="n">
        <v>406</v>
      </c>
      <c r="B407" s="9" t="s">
        <v>50</v>
      </c>
      <c r="C407" s="11" t="s">
        <v>59</v>
      </c>
      <c r="D407" s="9" t="s">
        <v>1819</v>
      </c>
      <c r="E407" s="9" t="s">
        <v>1820</v>
      </c>
      <c r="F407" s="9" t="s">
        <v>1821</v>
      </c>
      <c r="G407" s="9" t="s">
        <v>1058</v>
      </c>
      <c r="H407" s="14" t="s">
        <v>22</v>
      </c>
      <c r="I407" s="9" t="s">
        <v>1822</v>
      </c>
      <c r="J407" s="13"/>
      <c r="K407" s="13"/>
    </row>
    <row r="408" customFormat="false" ht="46.25" hidden="false" customHeight="false" outlineLevel="0" collapsed="false">
      <c r="A408" s="9" t="n">
        <v>407</v>
      </c>
      <c r="B408" s="9" t="s">
        <v>50</v>
      </c>
      <c r="C408" s="11" t="s">
        <v>59</v>
      </c>
      <c r="D408" s="9" t="s">
        <v>1823</v>
      </c>
      <c r="E408" s="9" t="s">
        <v>1824</v>
      </c>
      <c r="F408" s="9" t="s">
        <v>1825</v>
      </c>
      <c r="G408" s="9" t="s">
        <v>392</v>
      </c>
      <c r="H408" s="15" t="s">
        <v>23</v>
      </c>
      <c r="I408" s="9" t="s">
        <v>1826</v>
      </c>
      <c r="J408" s="13"/>
      <c r="K408" s="13"/>
    </row>
    <row r="409" customFormat="false" ht="57.45" hidden="false" customHeight="false" outlineLevel="0" collapsed="false">
      <c r="A409" s="9" t="n">
        <v>408</v>
      </c>
      <c r="B409" s="9" t="s">
        <v>50</v>
      </c>
      <c r="C409" s="11" t="s">
        <v>59</v>
      </c>
      <c r="D409" s="9" t="s">
        <v>1827</v>
      </c>
      <c r="E409" s="9" t="s">
        <v>1828</v>
      </c>
      <c r="F409" s="9" t="s">
        <v>1829</v>
      </c>
      <c r="G409" s="9" t="s">
        <v>392</v>
      </c>
      <c r="H409" s="15" t="s">
        <v>23</v>
      </c>
      <c r="I409" s="9" t="s">
        <v>1830</v>
      </c>
      <c r="J409" s="13"/>
      <c r="K409" s="13"/>
    </row>
    <row r="410" customFormat="false" ht="35.05" hidden="false" customHeight="false" outlineLevel="0" collapsed="false">
      <c r="A410" s="9" t="n">
        <v>409</v>
      </c>
      <c r="B410" s="9" t="s">
        <v>50</v>
      </c>
      <c r="C410" s="11" t="s">
        <v>59</v>
      </c>
      <c r="D410" s="9" t="s">
        <v>1831</v>
      </c>
      <c r="E410" s="9" t="s">
        <v>1832</v>
      </c>
      <c r="F410" s="9" t="s">
        <v>1833</v>
      </c>
      <c r="G410" s="9" t="s">
        <v>392</v>
      </c>
      <c r="H410" s="15" t="s">
        <v>23</v>
      </c>
      <c r="I410" s="9" t="s">
        <v>1834</v>
      </c>
      <c r="J410" s="13"/>
      <c r="K410" s="13"/>
    </row>
    <row r="411" customFormat="false" ht="57.45" hidden="false" customHeight="false" outlineLevel="0" collapsed="false">
      <c r="A411" s="9" t="n">
        <v>410</v>
      </c>
      <c r="B411" s="9" t="s">
        <v>50</v>
      </c>
      <c r="C411" s="11" t="s">
        <v>59</v>
      </c>
      <c r="D411" s="9" t="s">
        <v>1835</v>
      </c>
      <c r="E411" s="9" t="s">
        <v>1836</v>
      </c>
      <c r="F411" s="9" t="s">
        <v>1837</v>
      </c>
      <c r="G411" s="9" t="s">
        <v>1838</v>
      </c>
      <c r="H411" s="14" t="s">
        <v>22</v>
      </c>
      <c r="I411" s="9" t="s">
        <v>1839</v>
      </c>
      <c r="J411" s="13"/>
      <c r="K411" s="13"/>
    </row>
    <row r="412" customFormat="false" ht="57.45" hidden="false" customHeight="false" outlineLevel="0" collapsed="false">
      <c r="A412" s="9" t="n">
        <v>411</v>
      </c>
      <c r="B412" s="9" t="s">
        <v>50</v>
      </c>
      <c r="C412" s="11" t="s">
        <v>59</v>
      </c>
      <c r="D412" s="9" t="s">
        <v>1840</v>
      </c>
      <c r="E412" s="9" t="s">
        <v>1841</v>
      </c>
      <c r="F412" s="9" t="s">
        <v>1842</v>
      </c>
      <c r="G412" s="9" t="s">
        <v>1843</v>
      </c>
      <c r="H412" s="14" t="s">
        <v>22</v>
      </c>
      <c r="I412" s="9" t="s">
        <v>1844</v>
      </c>
      <c r="J412" s="13"/>
      <c r="K412" s="13"/>
    </row>
    <row r="413" customFormat="false" ht="68.65" hidden="false" customHeight="false" outlineLevel="0" collapsed="false">
      <c r="A413" s="9" t="n">
        <v>412</v>
      </c>
      <c r="B413" s="9" t="s">
        <v>50</v>
      </c>
      <c r="C413" s="11" t="s">
        <v>59</v>
      </c>
      <c r="D413" s="9" t="s">
        <v>1845</v>
      </c>
      <c r="E413" s="9" t="s">
        <v>1846</v>
      </c>
      <c r="F413" s="9" t="s">
        <v>1847</v>
      </c>
      <c r="G413" s="9" t="s">
        <v>312</v>
      </c>
      <c r="H413" s="14" t="s">
        <v>22</v>
      </c>
      <c r="I413" s="9" t="s">
        <v>1848</v>
      </c>
      <c r="J413" s="13"/>
      <c r="K413" s="13"/>
    </row>
    <row r="414" customFormat="false" ht="68.65" hidden="false" customHeight="false" outlineLevel="0" collapsed="false">
      <c r="A414" s="9" t="n">
        <v>413</v>
      </c>
      <c r="B414" s="9" t="s">
        <v>50</v>
      </c>
      <c r="C414" s="11" t="s">
        <v>59</v>
      </c>
      <c r="D414" s="9" t="s">
        <v>1849</v>
      </c>
      <c r="E414" s="9" t="s">
        <v>1850</v>
      </c>
      <c r="F414" s="9" t="s">
        <v>1851</v>
      </c>
      <c r="G414" s="9" t="s">
        <v>1852</v>
      </c>
      <c r="H414" s="15" t="s">
        <v>23</v>
      </c>
      <c r="I414" s="9" t="s">
        <v>1853</v>
      </c>
      <c r="J414" s="13"/>
      <c r="K414" s="13"/>
    </row>
    <row r="415" customFormat="false" ht="57.45" hidden="false" customHeight="false" outlineLevel="0" collapsed="false">
      <c r="A415" s="9" t="n">
        <v>414</v>
      </c>
      <c r="B415" s="9" t="s">
        <v>50</v>
      </c>
      <c r="C415" s="11" t="s">
        <v>59</v>
      </c>
      <c r="D415" s="9" t="s">
        <v>1854</v>
      </c>
      <c r="E415" s="9" t="s">
        <v>1855</v>
      </c>
      <c r="F415" s="9" t="s">
        <v>1856</v>
      </c>
      <c r="G415" s="9" t="s">
        <v>902</v>
      </c>
      <c r="H415" s="15" t="s">
        <v>23</v>
      </c>
      <c r="I415" s="9" t="s">
        <v>1857</v>
      </c>
      <c r="J415" s="13"/>
      <c r="K415" s="13"/>
    </row>
    <row r="416" customFormat="false" ht="35.05" hidden="false" customHeight="false" outlineLevel="0" collapsed="false">
      <c r="A416" s="9" t="n">
        <v>415</v>
      </c>
      <c r="B416" s="9" t="s">
        <v>50</v>
      </c>
      <c r="C416" s="11" t="s">
        <v>59</v>
      </c>
      <c r="D416" s="9" t="s">
        <v>1858</v>
      </c>
      <c r="E416" s="9" t="s">
        <v>1859</v>
      </c>
      <c r="F416" s="9" t="s">
        <v>1860</v>
      </c>
      <c r="G416" s="9" t="s">
        <v>312</v>
      </c>
      <c r="H416" s="15" t="s">
        <v>23</v>
      </c>
      <c r="I416" s="9" t="s">
        <v>1861</v>
      </c>
      <c r="J416" s="13"/>
      <c r="K416" s="13"/>
    </row>
    <row r="417" customFormat="false" ht="46.25" hidden="false" customHeight="false" outlineLevel="0" collapsed="false">
      <c r="A417" s="9" t="n">
        <v>416</v>
      </c>
      <c r="B417" s="9" t="s">
        <v>50</v>
      </c>
      <c r="C417" s="11" t="s">
        <v>59</v>
      </c>
      <c r="D417" s="9" t="s">
        <v>1862</v>
      </c>
      <c r="E417" s="9" t="s">
        <v>1863</v>
      </c>
      <c r="F417" s="9" t="s">
        <v>1864</v>
      </c>
      <c r="G417" s="9" t="s">
        <v>317</v>
      </c>
      <c r="H417" s="15" t="s">
        <v>23</v>
      </c>
      <c r="I417" s="9" t="s">
        <v>1865</v>
      </c>
      <c r="J417" s="13"/>
      <c r="K417" s="13"/>
    </row>
    <row r="418" customFormat="false" ht="35.05" hidden="false" customHeight="false" outlineLevel="0" collapsed="false">
      <c r="A418" s="9" t="n">
        <v>417</v>
      </c>
      <c r="B418" s="9" t="s">
        <v>50</v>
      </c>
      <c r="C418" s="11" t="s">
        <v>59</v>
      </c>
      <c r="D418" s="9" t="s">
        <v>1866</v>
      </c>
      <c r="E418" s="9" t="s">
        <v>1867</v>
      </c>
      <c r="F418" s="9" t="s">
        <v>1868</v>
      </c>
      <c r="G418" s="9" t="s">
        <v>1072</v>
      </c>
      <c r="H418" s="15" t="s">
        <v>23</v>
      </c>
      <c r="I418" s="9" t="s">
        <v>1869</v>
      </c>
      <c r="J418" s="13"/>
      <c r="K418" s="13"/>
    </row>
    <row r="419" customFormat="false" ht="57.45" hidden="false" customHeight="false" outlineLevel="0" collapsed="false">
      <c r="A419" s="9" t="n">
        <v>418</v>
      </c>
      <c r="B419" s="9" t="s">
        <v>50</v>
      </c>
      <c r="C419" s="11" t="s">
        <v>59</v>
      </c>
      <c r="D419" s="9" t="s">
        <v>1870</v>
      </c>
      <c r="E419" s="9" t="s">
        <v>1871</v>
      </c>
      <c r="F419" s="9" t="s">
        <v>1872</v>
      </c>
      <c r="G419" s="9" t="s">
        <v>328</v>
      </c>
      <c r="H419" s="15" t="s">
        <v>23</v>
      </c>
      <c r="I419" s="9" t="s">
        <v>1873</v>
      </c>
      <c r="J419" s="13"/>
      <c r="K419" s="13"/>
    </row>
    <row r="420" customFormat="false" ht="102.2" hidden="false" customHeight="false" outlineLevel="0" collapsed="false">
      <c r="A420" s="9" t="n">
        <v>419</v>
      </c>
      <c r="B420" s="9" t="s">
        <v>50</v>
      </c>
      <c r="C420" s="11" t="s">
        <v>59</v>
      </c>
      <c r="D420" s="9" t="s">
        <v>1874</v>
      </c>
      <c r="E420" s="9" t="s">
        <v>1875</v>
      </c>
      <c r="F420" s="9" t="s">
        <v>1876</v>
      </c>
      <c r="G420" s="9" t="s">
        <v>1877</v>
      </c>
      <c r="H420" s="14" t="s">
        <v>22</v>
      </c>
      <c r="I420" s="9" t="s">
        <v>1878</v>
      </c>
      <c r="J420" s="13"/>
      <c r="K420" s="13"/>
    </row>
    <row r="421" customFormat="false" ht="79.85" hidden="false" customHeight="false" outlineLevel="0" collapsed="false">
      <c r="A421" s="9" t="n">
        <v>420</v>
      </c>
      <c r="B421" s="9" t="s">
        <v>50</v>
      </c>
      <c r="C421" s="11" t="s">
        <v>59</v>
      </c>
      <c r="D421" s="9" t="s">
        <v>1879</v>
      </c>
      <c r="E421" s="9" t="s">
        <v>1880</v>
      </c>
      <c r="F421" s="9" t="s">
        <v>1881</v>
      </c>
      <c r="G421" s="9" t="s">
        <v>303</v>
      </c>
      <c r="H421" s="14" t="s">
        <v>22</v>
      </c>
      <c r="I421" s="9" t="s">
        <v>1882</v>
      </c>
      <c r="J421" s="13"/>
      <c r="K421" s="13"/>
    </row>
    <row r="422" customFormat="false" ht="68.65" hidden="false" customHeight="false" outlineLevel="0" collapsed="false">
      <c r="A422" s="9" t="n">
        <v>421</v>
      </c>
      <c r="B422" s="9" t="s">
        <v>50</v>
      </c>
      <c r="C422" s="11" t="s">
        <v>59</v>
      </c>
      <c r="D422" s="9" t="s">
        <v>1883</v>
      </c>
      <c r="E422" s="9" t="s">
        <v>1884</v>
      </c>
      <c r="F422" s="9" t="s">
        <v>1885</v>
      </c>
      <c r="G422" s="9" t="s">
        <v>324</v>
      </c>
      <c r="H422" s="14" t="s">
        <v>22</v>
      </c>
      <c r="I422" s="9" t="s">
        <v>1886</v>
      </c>
      <c r="J422" s="13"/>
      <c r="K422" s="13"/>
    </row>
    <row r="423" customFormat="false" ht="113.4" hidden="false" customHeight="false" outlineLevel="0" collapsed="false">
      <c r="A423" s="9" t="n">
        <v>422</v>
      </c>
      <c r="B423" s="9" t="s">
        <v>50</v>
      </c>
      <c r="C423" s="11" t="s">
        <v>59</v>
      </c>
      <c r="D423" s="9" t="s">
        <v>1887</v>
      </c>
      <c r="E423" s="9" t="s">
        <v>1888</v>
      </c>
      <c r="F423" s="9" t="s">
        <v>1889</v>
      </c>
      <c r="G423" s="9" t="s">
        <v>392</v>
      </c>
      <c r="H423" s="14" t="s">
        <v>22</v>
      </c>
      <c r="I423" s="9" t="s">
        <v>1890</v>
      </c>
      <c r="J423" s="13"/>
      <c r="K423" s="13"/>
    </row>
    <row r="424" customFormat="false" ht="57.45" hidden="false" customHeight="false" outlineLevel="0" collapsed="false">
      <c r="A424" s="9" t="n">
        <v>423</v>
      </c>
      <c r="B424" s="9" t="s">
        <v>50</v>
      </c>
      <c r="C424" s="11" t="s">
        <v>59</v>
      </c>
      <c r="D424" s="9" t="s">
        <v>1891</v>
      </c>
      <c r="E424" s="9" t="s">
        <v>1892</v>
      </c>
      <c r="F424" s="9" t="s">
        <v>1893</v>
      </c>
      <c r="G424" s="9" t="s">
        <v>392</v>
      </c>
      <c r="H424" s="15" t="s">
        <v>23</v>
      </c>
      <c r="I424" s="9" t="s">
        <v>1894</v>
      </c>
      <c r="J424" s="13"/>
      <c r="K424" s="13"/>
    </row>
    <row r="425" customFormat="false" ht="46.25" hidden="false" customHeight="false" outlineLevel="0" collapsed="false">
      <c r="A425" s="9" t="n">
        <v>424</v>
      </c>
      <c r="B425" s="9" t="s">
        <v>50</v>
      </c>
      <c r="C425" s="11" t="s">
        <v>59</v>
      </c>
      <c r="D425" s="9" t="s">
        <v>1895</v>
      </c>
      <c r="E425" s="9" t="s">
        <v>1896</v>
      </c>
      <c r="F425" s="9" t="s">
        <v>1897</v>
      </c>
      <c r="G425" s="9" t="s">
        <v>312</v>
      </c>
      <c r="H425" s="15" t="s">
        <v>23</v>
      </c>
      <c r="I425" s="9" t="s">
        <v>1898</v>
      </c>
      <c r="J425" s="13"/>
      <c r="K425" s="13"/>
    </row>
    <row r="426" customFormat="false" ht="46.25" hidden="false" customHeight="false" outlineLevel="0" collapsed="false">
      <c r="A426" s="9" t="n">
        <v>425</v>
      </c>
      <c r="B426" s="9" t="s">
        <v>50</v>
      </c>
      <c r="C426" s="11" t="s">
        <v>59</v>
      </c>
      <c r="D426" s="9" t="s">
        <v>1899</v>
      </c>
      <c r="E426" s="9" t="s">
        <v>1900</v>
      </c>
      <c r="F426" s="9" t="s">
        <v>1901</v>
      </c>
      <c r="G426" s="9" t="s">
        <v>1643</v>
      </c>
      <c r="H426" s="15" t="s">
        <v>23</v>
      </c>
      <c r="I426" s="9" t="s">
        <v>1902</v>
      </c>
      <c r="J426" s="13"/>
      <c r="K426" s="13"/>
    </row>
    <row r="427" customFormat="false" ht="35.05" hidden="false" customHeight="false" outlineLevel="0" collapsed="false">
      <c r="A427" s="9" t="n">
        <v>426</v>
      </c>
      <c r="B427" s="9" t="s">
        <v>50</v>
      </c>
      <c r="C427" s="11" t="s">
        <v>59</v>
      </c>
      <c r="D427" s="9" t="s">
        <v>1903</v>
      </c>
      <c r="E427" s="9" t="s">
        <v>1904</v>
      </c>
      <c r="F427" s="9" t="s">
        <v>1905</v>
      </c>
      <c r="G427" s="9" t="s">
        <v>317</v>
      </c>
      <c r="H427" s="15" t="s">
        <v>23</v>
      </c>
      <c r="I427" s="9" t="s">
        <v>1906</v>
      </c>
      <c r="J427" s="13"/>
      <c r="K427" s="13"/>
    </row>
    <row r="428" customFormat="false" ht="35.05" hidden="false" customHeight="false" outlineLevel="0" collapsed="false">
      <c r="A428" s="9" t="n">
        <v>427</v>
      </c>
      <c r="B428" s="9" t="s">
        <v>50</v>
      </c>
      <c r="C428" s="11" t="s">
        <v>59</v>
      </c>
      <c r="D428" s="9" t="s">
        <v>1907</v>
      </c>
      <c r="E428" s="9" t="s">
        <v>1908</v>
      </c>
      <c r="F428" s="9" t="s">
        <v>1909</v>
      </c>
      <c r="G428" s="9" t="s">
        <v>312</v>
      </c>
      <c r="H428" s="15" t="s">
        <v>23</v>
      </c>
      <c r="I428" s="9" t="s">
        <v>1910</v>
      </c>
      <c r="J428" s="13"/>
      <c r="K428" s="13"/>
    </row>
    <row r="429" customFormat="false" ht="23.85" hidden="false" customHeight="false" outlineLevel="0" collapsed="false">
      <c r="A429" s="9" t="n">
        <v>428</v>
      </c>
      <c r="B429" s="9" t="s">
        <v>50</v>
      </c>
      <c r="C429" s="11" t="s">
        <v>59</v>
      </c>
      <c r="D429" s="9" t="s">
        <v>1911</v>
      </c>
      <c r="E429" s="9" t="s">
        <v>1912</v>
      </c>
      <c r="F429" s="9" t="s">
        <v>1913</v>
      </c>
      <c r="G429" s="9" t="s">
        <v>328</v>
      </c>
      <c r="H429" s="15" t="s">
        <v>23</v>
      </c>
      <c r="I429" s="9" t="s">
        <v>1914</v>
      </c>
      <c r="J429" s="13"/>
      <c r="K429" s="13"/>
    </row>
    <row r="430" customFormat="false" ht="23.85" hidden="false" customHeight="false" outlineLevel="0" collapsed="false">
      <c r="A430" s="9" t="n">
        <v>429</v>
      </c>
      <c r="B430" s="9" t="s">
        <v>50</v>
      </c>
      <c r="C430" s="11" t="s">
        <v>59</v>
      </c>
      <c r="D430" s="9" t="s">
        <v>1915</v>
      </c>
      <c r="E430" s="9" t="s">
        <v>1916</v>
      </c>
      <c r="F430" s="9" t="s">
        <v>1917</v>
      </c>
      <c r="G430" s="9" t="s">
        <v>1918</v>
      </c>
      <c r="H430" s="15" t="s">
        <v>23</v>
      </c>
      <c r="I430" s="9" t="s">
        <v>1919</v>
      </c>
      <c r="J430" s="13"/>
      <c r="K430" s="13"/>
    </row>
    <row r="431" customFormat="false" ht="23.85" hidden="false" customHeight="false" outlineLevel="0" collapsed="false">
      <c r="A431" s="9" t="n">
        <v>430</v>
      </c>
      <c r="B431" s="9" t="s">
        <v>50</v>
      </c>
      <c r="C431" s="11" t="s">
        <v>59</v>
      </c>
      <c r="D431" s="9" t="s">
        <v>1920</v>
      </c>
      <c r="E431" s="9" t="s">
        <v>1921</v>
      </c>
      <c r="F431" s="9" t="s">
        <v>1922</v>
      </c>
      <c r="G431" s="9" t="s">
        <v>1918</v>
      </c>
      <c r="H431" s="15" t="s">
        <v>23</v>
      </c>
      <c r="I431" s="9" t="s">
        <v>1923</v>
      </c>
      <c r="J431" s="13"/>
      <c r="K431" s="13"/>
    </row>
    <row r="432" customFormat="false" ht="23.85" hidden="false" customHeight="false" outlineLevel="0" collapsed="false">
      <c r="A432" s="9" t="n">
        <v>431</v>
      </c>
      <c r="B432" s="9" t="s">
        <v>50</v>
      </c>
      <c r="C432" s="11" t="s">
        <v>59</v>
      </c>
      <c r="D432" s="9" t="s">
        <v>1924</v>
      </c>
      <c r="E432" s="9" t="s">
        <v>1702</v>
      </c>
      <c r="F432" s="9" t="s">
        <v>1925</v>
      </c>
      <c r="G432" s="9" t="s">
        <v>328</v>
      </c>
      <c r="H432" s="15" t="s">
        <v>23</v>
      </c>
      <c r="I432" s="9" t="s">
        <v>1926</v>
      </c>
      <c r="J432" s="13"/>
      <c r="K432" s="13"/>
    </row>
    <row r="433" customFormat="false" ht="46.25" hidden="false" customHeight="false" outlineLevel="0" collapsed="false">
      <c r="A433" s="9" t="n">
        <v>432</v>
      </c>
      <c r="B433" s="9" t="s">
        <v>50</v>
      </c>
      <c r="C433" s="11" t="s">
        <v>59</v>
      </c>
      <c r="D433" s="9" t="s">
        <v>1927</v>
      </c>
      <c r="E433" s="9" t="s">
        <v>1928</v>
      </c>
      <c r="F433" s="9" t="s">
        <v>1929</v>
      </c>
      <c r="G433" s="9" t="s">
        <v>312</v>
      </c>
      <c r="H433" s="15" t="s">
        <v>23</v>
      </c>
      <c r="I433" s="9" t="s">
        <v>1930</v>
      </c>
      <c r="J433" s="13"/>
      <c r="K433" s="13"/>
    </row>
    <row r="434" customFormat="false" ht="46.25" hidden="false" customHeight="false" outlineLevel="0" collapsed="false">
      <c r="A434" s="9" t="n">
        <v>433</v>
      </c>
      <c r="B434" s="9" t="s">
        <v>50</v>
      </c>
      <c r="C434" s="11" t="s">
        <v>59</v>
      </c>
      <c r="D434" s="9" t="s">
        <v>1931</v>
      </c>
      <c r="E434" s="9" t="s">
        <v>1932</v>
      </c>
      <c r="F434" s="9" t="s">
        <v>1933</v>
      </c>
      <c r="G434" s="9" t="s">
        <v>317</v>
      </c>
      <c r="H434" s="15" t="s">
        <v>23</v>
      </c>
      <c r="I434" s="9" t="s">
        <v>1934</v>
      </c>
      <c r="J434" s="13"/>
      <c r="K434" s="13"/>
    </row>
    <row r="435" customFormat="false" ht="35.05" hidden="false" customHeight="false" outlineLevel="0" collapsed="false">
      <c r="A435" s="9" t="n">
        <v>434</v>
      </c>
      <c r="B435" s="9" t="s">
        <v>50</v>
      </c>
      <c r="C435" s="11" t="s">
        <v>59</v>
      </c>
      <c r="D435" s="9" t="s">
        <v>1935</v>
      </c>
      <c r="E435" s="9" t="s">
        <v>1936</v>
      </c>
      <c r="F435" s="9" t="s">
        <v>1937</v>
      </c>
      <c r="G435" s="9" t="s">
        <v>24</v>
      </c>
      <c r="H435" s="14" t="s">
        <v>22</v>
      </c>
      <c r="I435" s="9" t="s">
        <v>1938</v>
      </c>
      <c r="J435" s="13"/>
      <c r="K435" s="13"/>
    </row>
    <row r="436" customFormat="false" ht="23.85" hidden="false" customHeight="false" outlineLevel="0" collapsed="false">
      <c r="A436" s="9" t="n">
        <v>435</v>
      </c>
      <c r="B436" s="9" t="s">
        <v>50</v>
      </c>
      <c r="C436" s="11" t="s">
        <v>59</v>
      </c>
      <c r="D436" s="9" t="s">
        <v>1939</v>
      </c>
      <c r="E436" s="9" t="s">
        <v>1940</v>
      </c>
      <c r="F436" s="9" t="s">
        <v>1941</v>
      </c>
      <c r="G436" s="9" t="s">
        <v>24</v>
      </c>
      <c r="H436" s="14" t="s">
        <v>22</v>
      </c>
      <c r="I436" s="9" t="s">
        <v>1942</v>
      </c>
      <c r="J436" s="13"/>
      <c r="K436" s="13"/>
    </row>
    <row r="437" customFormat="false" ht="23.85" hidden="false" customHeight="false" outlineLevel="0" collapsed="false">
      <c r="A437" s="9" t="n">
        <v>436</v>
      </c>
      <c r="B437" s="9" t="s">
        <v>50</v>
      </c>
      <c r="C437" s="11" t="s">
        <v>59</v>
      </c>
      <c r="D437" s="9" t="s">
        <v>1943</v>
      </c>
      <c r="E437" s="9" t="s">
        <v>1944</v>
      </c>
      <c r="F437" s="9" t="s">
        <v>1945</v>
      </c>
      <c r="G437" s="9" t="s">
        <v>24</v>
      </c>
      <c r="H437" s="14" t="s">
        <v>22</v>
      </c>
      <c r="I437" s="9" t="s">
        <v>1946</v>
      </c>
      <c r="J437" s="13"/>
      <c r="K437" s="13"/>
    </row>
    <row r="438" customFormat="false" ht="23.85" hidden="false" customHeight="false" outlineLevel="0" collapsed="false">
      <c r="A438" s="9" t="n">
        <v>437</v>
      </c>
      <c r="B438" s="9" t="s">
        <v>50</v>
      </c>
      <c r="C438" s="11" t="s">
        <v>59</v>
      </c>
      <c r="D438" s="9" t="s">
        <v>1947</v>
      </c>
      <c r="E438" s="9" t="s">
        <v>1948</v>
      </c>
      <c r="F438" s="9" t="s">
        <v>1949</v>
      </c>
      <c r="G438" s="9" t="s">
        <v>24</v>
      </c>
      <c r="H438" s="14" t="s">
        <v>22</v>
      </c>
      <c r="I438" s="9" t="s">
        <v>1720</v>
      </c>
      <c r="J438" s="13"/>
      <c r="K438" s="13"/>
    </row>
    <row r="439" customFormat="false" ht="15" hidden="false" customHeight="false" outlineLevel="0" collapsed="false">
      <c r="A439" s="9" t="n">
        <v>438</v>
      </c>
      <c r="B439" s="9" t="s">
        <v>50</v>
      </c>
      <c r="C439" s="11" t="s">
        <v>59</v>
      </c>
      <c r="D439" s="9" t="s">
        <v>1950</v>
      </c>
      <c r="E439" s="9" t="s">
        <v>1951</v>
      </c>
      <c r="F439" s="9" t="s">
        <v>1952</v>
      </c>
      <c r="G439" s="9" t="s">
        <v>24</v>
      </c>
      <c r="H439" s="14" t="s">
        <v>22</v>
      </c>
      <c r="I439" s="9" t="s">
        <v>1720</v>
      </c>
      <c r="J439" s="13"/>
      <c r="K439" s="13"/>
    </row>
    <row r="440" customFormat="false" ht="23.85" hidden="false" customHeight="false" outlineLevel="0" collapsed="false">
      <c r="A440" s="9" t="n">
        <v>439</v>
      </c>
      <c r="B440" s="9" t="s">
        <v>50</v>
      </c>
      <c r="C440" s="11" t="s">
        <v>59</v>
      </c>
      <c r="D440" s="9" t="s">
        <v>1953</v>
      </c>
      <c r="E440" s="9" t="s">
        <v>1954</v>
      </c>
      <c r="F440" s="9" t="s">
        <v>1955</v>
      </c>
      <c r="G440" s="9" t="s">
        <v>24</v>
      </c>
      <c r="H440" s="15" t="s">
        <v>23</v>
      </c>
      <c r="I440" s="9" t="s">
        <v>1956</v>
      </c>
      <c r="J440" s="13"/>
      <c r="K440" s="13"/>
    </row>
    <row r="441" customFormat="false" ht="46.25" hidden="false" customHeight="false" outlineLevel="0" collapsed="false">
      <c r="A441" s="9" t="n">
        <v>440</v>
      </c>
      <c r="B441" s="9" t="s">
        <v>50</v>
      </c>
      <c r="C441" s="11" t="s">
        <v>59</v>
      </c>
      <c r="D441" s="9" t="s">
        <v>1957</v>
      </c>
      <c r="E441" s="9" t="s">
        <v>1958</v>
      </c>
      <c r="F441" s="9" t="s">
        <v>1959</v>
      </c>
      <c r="G441" s="9" t="s">
        <v>24</v>
      </c>
      <c r="H441" s="14" t="s">
        <v>22</v>
      </c>
      <c r="I441" s="9" t="s">
        <v>1960</v>
      </c>
      <c r="J441" s="13"/>
      <c r="K441" s="13"/>
    </row>
    <row r="442" customFormat="false" ht="46.25" hidden="false" customHeight="false" outlineLevel="0" collapsed="false">
      <c r="A442" s="9" t="n">
        <v>441</v>
      </c>
      <c r="B442" s="9" t="s">
        <v>50</v>
      </c>
      <c r="C442" s="11" t="s">
        <v>59</v>
      </c>
      <c r="D442" s="9" t="s">
        <v>1961</v>
      </c>
      <c r="E442" s="9" t="s">
        <v>1962</v>
      </c>
      <c r="F442" s="9" t="s">
        <v>1963</v>
      </c>
      <c r="G442" s="9" t="s">
        <v>24</v>
      </c>
      <c r="H442" s="14" t="s">
        <v>22</v>
      </c>
      <c r="I442" s="9" t="s">
        <v>1964</v>
      </c>
      <c r="J442" s="13"/>
      <c r="K442" s="13"/>
    </row>
    <row r="443" customFormat="false" ht="23.85" hidden="false" customHeight="false" outlineLevel="0" collapsed="false">
      <c r="A443" s="9" t="n">
        <v>442</v>
      </c>
      <c r="B443" s="9" t="s">
        <v>50</v>
      </c>
      <c r="C443" s="11" t="s">
        <v>59</v>
      </c>
      <c r="D443" s="9" t="s">
        <v>1965</v>
      </c>
      <c r="E443" s="9" t="s">
        <v>1966</v>
      </c>
      <c r="F443" s="9" t="s">
        <v>1967</v>
      </c>
      <c r="G443" s="9" t="s">
        <v>24</v>
      </c>
      <c r="H443" s="14" t="s">
        <v>22</v>
      </c>
      <c r="I443" s="9" t="s">
        <v>1968</v>
      </c>
      <c r="J443" s="13"/>
      <c r="K443" s="13"/>
    </row>
    <row r="444" customFormat="false" ht="23.85" hidden="false" customHeight="false" outlineLevel="0" collapsed="false">
      <c r="A444" s="9" t="n">
        <v>443</v>
      </c>
      <c r="B444" s="9" t="s">
        <v>50</v>
      </c>
      <c r="C444" s="11" t="s">
        <v>59</v>
      </c>
      <c r="D444" s="9" t="s">
        <v>1969</v>
      </c>
      <c r="E444" s="9" t="s">
        <v>1970</v>
      </c>
      <c r="F444" s="9" t="s">
        <v>1971</v>
      </c>
      <c r="G444" s="9" t="s">
        <v>24</v>
      </c>
      <c r="H444" s="14" t="s">
        <v>22</v>
      </c>
      <c r="I444" s="9" t="s">
        <v>434</v>
      </c>
      <c r="J444" s="13"/>
      <c r="K444" s="13"/>
    </row>
    <row r="445" customFormat="false" ht="23.85" hidden="false" customHeight="false" outlineLevel="0" collapsed="false">
      <c r="A445" s="9" t="n">
        <v>444</v>
      </c>
      <c r="B445" s="9" t="s">
        <v>50</v>
      </c>
      <c r="C445" s="11" t="s">
        <v>59</v>
      </c>
      <c r="D445" s="9" t="s">
        <v>1972</v>
      </c>
      <c r="E445" s="9" t="s">
        <v>1973</v>
      </c>
      <c r="F445" s="9" t="s">
        <v>1974</v>
      </c>
      <c r="G445" s="9" t="s">
        <v>24</v>
      </c>
      <c r="H445" s="14" t="s">
        <v>22</v>
      </c>
      <c r="I445" s="9" t="s">
        <v>1975</v>
      </c>
      <c r="J445" s="13"/>
      <c r="K445" s="13"/>
    </row>
    <row r="446" customFormat="false" ht="23.85" hidden="false" customHeight="false" outlineLevel="0" collapsed="false">
      <c r="A446" s="9" t="n">
        <v>445</v>
      </c>
      <c r="B446" s="9" t="s">
        <v>50</v>
      </c>
      <c r="C446" s="11" t="s">
        <v>59</v>
      </c>
      <c r="D446" s="9" t="s">
        <v>1976</v>
      </c>
      <c r="E446" s="9" t="s">
        <v>1977</v>
      </c>
      <c r="F446" s="9" t="s">
        <v>1978</v>
      </c>
      <c r="G446" s="9" t="s">
        <v>24</v>
      </c>
      <c r="H446" s="15" t="s">
        <v>23</v>
      </c>
      <c r="I446" s="9" t="s">
        <v>1979</v>
      </c>
      <c r="J446" s="13"/>
      <c r="K446" s="13"/>
    </row>
    <row r="447" customFormat="false" ht="35.05" hidden="false" customHeight="false" outlineLevel="0" collapsed="false">
      <c r="A447" s="9" t="n">
        <v>446</v>
      </c>
      <c r="B447" s="9" t="s">
        <v>50</v>
      </c>
      <c r="C447" s="11" t="s">
        <v>59</v>
      </c>
      <c r="D447" s="9" t="s">
        <v>1980</v>
      </c>
      <c r="E447" s="9" t="s">
        <v>1981</v>
      </c>
      <c r="F447" s="9" t="s">
        <v>1982</v>
      </c>
      <c r="G447" s="9" t="s">
        <v>24</v>
      </c>
      <c r="H447" s="15" t="s">
        <v>23</v>
      </c>
      <c r="I447" s="9" t="s">
        <v>434</v>
      </c>
      <c r="J447" s="13"/>
      <c r="K447" s="13"/>
    </row>
    <row r="448" customFormat="false" ht="35.05" hidden="false" customHeight="false" outlineLevel="0" collapsed="false">
      <c r="A448" s="9" t="n">
        <v>447</v>
      </c>
      <c r="B448" s="9" t="s">
        <v>50</v>
      </c>
      <c r="C448" s="11" t="s">
        <v>59</v>
      </c>
      <c r="D448" s="9" t="s">
        <v>1983</v>
      </c>
      <c r="E448" s="9" t="s">
        <v>358</v>
      </c>
      <c r="F448" s="9" t="s">
        <v>1984</v>
      </c>
      <c r="G448" s="9" t="s">
        <v>24</v>
      </c>
      <c r="H448" s="14" t="s">
        <v>22</v>
      </c>
      <c r="I448" s="9" t="s">
        <v>1985</v>
      </c>
      <c r="J448" s="13"/>
      <c r="K448" s="13"/>
    </row>
    <row r="449" customFormat="false" ht="15" hidden="false" customHeight="false" outlineLevel="0" collapsed="false">
      <c r="A449" s="9" t="n">
        <v>448</v>
      </c>
      <c r="B449" s="9" t="s">
        <v>50</v>
      </c>
      <c r="C449" s="11" t="s">
        <v>59</v>
      </c>
      <c r="D449" s="9" t="s">
        <v>1986</v>
      </c>
      <c r="E449" s="9" t="s">
        <v>362</v>
      </c>
      <c r="F449" s="9" t="s">
        <v>363</v>
      </c>
      <c r="G449" s="9" t="s">
        <v>24</v>
      </c>
      <c r="H449" s="14" t="s">
        <v>22</v>
      </c>
      <c r="I449" s="9" t="s">
        <v>364</v>
      </c>
      <c r="J449" s="13"/>
      <c r="K449" s="13"/>
    </row>
    <row r="450" customFormat="false" ht="23.85" hidden="false" customHeight="false" outlineLevel="0" collapsed="false">
      <c r="A450" s="9" t="n">
        <v>449</v>
      </c>
      <c r="B450" s="9" t="s">
        <v>50</v>
      </c>
      <c r="C450" s="11" t="s">
        <v>59</v>
      </c>
      <c r="D450" s="9" t="s">
        <v>1987</v>
      </c>
      <c r="E450" s="9" t="s">
        <v>1988</v>
      </c>
      <c r="F450" s="9" t="s">
        <v>1989</v>
      </c>
      <c r="G450" s="9" t="s">
        <v>24</v>
      </c>
      <c r="H450" s="15" t="s">
        <v>23</v>
      </c>
      <c r="I450" s="9" t="s">
        <v>380</v>
      </c>
      <c r="J450" s="13"/>
      <c r="K450" s="13"/>
    </row>
    <row r="451" customFormat="false" ht="35.05" hidden="false" customHeight="false" outlineLevel="0" collapsed="false">
      <c r="A451" s="9" t="n">
        <v>450</v>
      </c>
      <c r="B451" s="9" t="s">
        <v>50</v>
      </c>
      <c r="C451" s="11" t="s">
        <v>59</v>
      </c>
      <c r="D451" s="9" t="s">
        <v>1990</v>
      </c>
      <c r="E451" s="9" t="s">
        <v>1991</v>
      </c>
      <c r="F451" s="9" t="s">
        <v>1992</v>
      </c>
      <c r="G451" s="9" t="s">
        <v>24</v>
      </c>
      <c r="H451" s="15" t="s">
        <v>23</v>
      </c>
      <c r="I451" s="9" t="s">
        <v>1993</v>
      </c>
      <c r="J451" s="13"/>
      <c r="K451" s="13"/>
    </row>
    <row r="452" customFormat="false" ht="23.85" hidden="false" customHeight="false" outlineLevel="0" collapsed="false">
      <c r="A452" s="9" t="n">
        <v>451</v>
      </c>
      <c r="B452" s="9" t="s">
        <v>50</v>
      </c>
      <c r="C452" s="11" t="s">
        <v>59</v>
      </c>
      <c r="D452" s="9" t="s">
        <v>1994</v>
      </c>
      <c r="E452" s="9" t="s">
        <v>1995</v>
      </c>
      <c r="F452" s="9" t="s">
        <v>1996</v>
      </c>
      <c r="G452" s="9" t="s">
        <v>24</v>
      </c>
      <c r="H452" s="15" t="s">
        <v>23</v>
      </c>
      <c r="I452" s="9" t="s">
        <v>1997</v>
      </c>
      <c r="J452" s="13"/>
      <c r="K452" s="13"/>
    </row>
    <row r="453" customFormat="false" ht="23.85" hidden="false" customHeight="false" outlineLevel="0" collapsed="false">
      <c r="A453" s="9" t="n">
        <v>452</v>
      </c>
      <c r="B453" s="9" t="s">
        <v>50</v>
      </c>
      <c r="C453" s="11" t="s">
        <v>59</v>
      </c>
      <c r="D453" s="9" t="s">
        <v>1998</v>
      </c>
      <c r="E453" s="9" t="s">
        <v>1999</v>
      </c>
      <c r="F453" s="9" t="s">
        <v>448</v>
      </c>
      <c r="G453" s="9" t="s">
        <v>24</v>
      </c>
      <c r="H453" s="15" t="s">
        <v>23</v>
      </c>
      <c r="I453" s="9" t="s">
        <v>2000</v>
      </c>
      <c r="J453" s="13"/>
      <c r="K453" s="13"/>
    </row>
    <row r="454" customFormat="false" ht="102.2" hidden="false" customHeight="false" outlineLevel="0" collapsed="false">
      <c r="A454" s="9" t="n">
        <v>453</v>
      </c>
      <c r="B454" s="9" t="s">
        <v>50</v>
      </c>
      <c r="C454" s="11" t="s">
        <v>61</v>
      </c>
      <c r="D454" s="9" t="s">
        <v>2001</v>
      </c>
      <c r="E454" s="9" t="s">
        <v>2002</v>
      </c>
      <c r="F454" s="9" t="s">
        <v>2003</v>
      </c>
      <c r="G454" s="9" t="s">
        <v>303</v>
      </c>
      <c r="H454" s="12" t="s">
        <v>21</v>
      </c>
      <c r="I454" s="9" t="s">
        <v>2004</v>
      </c>
      <c r="J454" s="13"/>
      <c r="K454" s="13"/>
    </row>
    <row r="455" customFormat="false" ht="35.05" hidden="false" customHeight="false" outlineLevel="0" collapsed="false">
      <c r="A455" s="9" t="n">
        <v>454</v>
      </c>
      <c r="B455" s="9" t="s">
        <v>50</v>
      </c>
      <c r="C455" s="11" t="s">
        <v>61</v>
      </c>
      <c r="D455" s="9" t="s">
        <v>2005</v>
      </c>
      <c r="E455" s="9" t="s">
        <v>2006</v>
      </c>
      <c r="F455" s="9" t="s">
        <v>2007</v>
      </c>
      <c r="G455" s="9" t="s">
        <v>303</v>
      </c>
      <c r="H455" s="14" t="s">
        <v>22</v>
      </c>
      <c r="I455" s="9" t="s">
        <v>2008</v>
      </c>
      <c r="J455" s="13"/>
      <c r="K455" s="13"/>
    </row>
    <row r="456" customFormat="false" ht="135.8" hidden="false" customHeight="false" outlineLevel="0" collapsed="false">
      <c r="A456" s="9" t="n">
        <v>455</v>
      </c>
      <c r="B456" s="9" t="s">
        <v>50</v>
      </c>
      <c r="C456" s="11" t="s">
        <v>61</v>
      </c>
      <c r="D456" s="9" t="s">
        <v>2009</v>
      </c>
      <c r="E456" s="9" t="s">
        <v>2010</v>
      </c>
      <c r="F456" s="9" t="s">
        <v>2011</v>
      </c>
      <c r="G456" s="9" t="s">
        <v>303</v>
      </c>
      <c r="H456" s="14" t="s">
        <v>22</v>
      </c>
      <c r="I456" s="9" t="s">
        <v>2012</v>
      </c>
      <c r="J456" s="13"/>
      <c r="K456" s="13"/>
    </row>
    <row r="457" customFormat="false" ht="91" hidden="false" customHeight="false" outlineLevel="0" collapsed="false">
      <c r="A457" s="9" t="n">
        <v>456</v>
      </c>
      <c r="B457" s="9" t="s">
        <v>50</v>
      </c>
      <c r="C457" s="11" t="s">
        <v>61</v>
      </c>
      <c r="D457" s="9" t="s">
        <v>2013</v>
      </c>
      <c r="E457" s="9" t="s">
        <v>2014</v>
      </c>
      <c r="F457" s="9" t="s">
        <v>2015</v>
      </c>
      <c r="G457" s="9" t="s">
        <v>303</v>
      </c>
      <c r="H457" s="14" t="s">
        <v>22</v>
      </c>
      <c r="I457" s="9" t="s">
        <v>2016</v>
      </c>
      <c r="J457" s="13"/>
      <c r="K457" s="13"/>
    </row>
    <row r="458" customFormat="false" ht="57.45" hidden="false" customHeight="false" outlineLevel="0" collapsed="false">
      <c r="A458" s="9" t="n">
        <v>457</v>
      </c>
      <c r="B458" s="9" t="s">
        <v>50</v>
      </c>
      <c r="C458" s="11" t="s">
        <v>61</v>
      </c>
      <c r="D458" s="9" t="s">
        <v>2017</v>
      </c>
      <c r="E458" s="9" t="s">
        <v>2018</v>
      </c>
      <c r="F458" s="9" t="s">
        <v>2019</v>
      </c>
      <c r="G458" s="9" t="s">
        <v>312</v>
      </c>
      <c r="H458" s="14" t="s">
        <v>22</v>
      </c>
      <c r="I458" s="9" t="s">
        <v>2020</v>
      </c>
      <c r="J458" s="13"/>
      <c r="K458" s="13"/>
    </row>
    <row r="459" customFormat="false" ht="79.85" hidden="false" customHeight="false" outlineLevel="0" collapsed="false">
      <c r="A459" s="9" t="n">
        <v>458</v>
      </c>
      <c r="B459" s="9" t="s">
        <v>50</v>
      </c>
      <c r="C459" s="11" t="s">
        <v>61</v>
      </c>
      <c r="D459" s="9" t="s">
        <v>2021</v>
      </c>
      <c r="E459" s="9" t="s">
        <v>2022</v>
      </c>
      <c r="F459" s="9" t="s">
        <v>2023</v>
      </c>
      <c r="G459" s="9" t="s">
        <v>317</v>
      </c>
      <c r="H459" s="14" t="s">
        <v>22</v>
      </c>
      <c r="I459" s="9" t="s">
        <v>2024</v>
      </c>
      <c r="J459" s="13"/>
      <c r="K459" s="13"/>
    </row>
    <row r="460" customFormat="false" ht="57.45" hidden="false" customHeight="false" outlineLevel="0" collapsed="false">
      <c r="A460" s="9" t="n">
        <v>459</v>
      </c>
      <c r="B460" s="9" t="s">
        <v>50</v>
      </c>
      <c r="C460" s="11" t="s">
        <v>61</v>
      </c>
      <c r="D460" s="9" t="s">
        <v>2025</v>
      </c>
      <c r="E460" s="9" t="s">
        <v>2026</v>
      </c>
      <c r="F460" s="9" t="s">
        <v>2027</v>
      </c>
      <c r="G460" s="9" t="s">
        <v>317</v>
      </c>
      <c r="H460" s="14" t="s">
        <v>22</v>
      </c>
      <c r="I460" s="9" t="s">
        <v>2028</v>
      </c>
      <c r="J460" s="13"/>
      <c r="K460" s="13"/>
    </row>
    <row r="461" customFormat="false" ht="35.05" hidden="false" customHeight="false" outlineLevel="0" collapsed="false">
      <c r="A461" s="9" t="n">
        <v>460</v>
      </c>
      <c r="B461" s="9" t="s">
        <v>50</v>
      </c>
      <c r="C461" s="11" t="s">
        <v>61</v>
      </c>
      <c r="D461" s="9" t="s">
        <v>2029</v>
      </c>
      <c r="E461" s="9" t="s">
        <v>2030</v>
      </c>
      <c r="F461" s="9" t="s">
        <v>2031</v>
      </c>
      <c r="G461" s="9" t="s">
        <v>312</v>
      </c>
      <c r="H461" s="14" t="s">
        <v>22</v>
      </c>
      <c r="I461" s="9" t="s">
        <v>2032</v>
      </c>
      <c r="J461" s="13"/>
      <c r="K461" s="13"/>
    </row>
    <row r="462" customFormat="false" ht="46.25" hidden="false" customHeight="false" outlineLevel="0" collapsed="false">
      <c r="A462" s="9" t="n">
        <v>461</v>
      </c>
      <c r="B462" s="9" t="s">
        <v>50</v>
      </c>
      <c r="C462" s="11" t="s">
        <v>61</v>
      </c>
      <c r="D462" s="9" t="s">
        <v>2033</v>
      </c>
      <c r="E462" s="9" t="s">
        <v>2034</v>
      </c>
      <c r="F462" s="9" t="s">
        <v>2035</v>
      </c>
      <c r="G462" s="9" t="s">
        <v>328</v>
      </c>
      <c r="H462" s="14" t="s">
        <v>22</v>
      </c>
      <c r="I462" s="9" t="s">
        <v>2036</v>
      </c>
      <c r="J462" s="13"/>
      <c r="K462" s="13"/>
    </row>
    <row r="463" customFormat="false" ht="57.45" hidden="false" customHeight="false" outlineLevel="0" collapsed="false">
      <c r="A463" s="9" t="n">
        <v>462</v>
      </c>
      <c r="B463" s="9" t="s">
        <v>50</v>
      </c>
      <c r="C463" s="11" t="s">
        <v>61</v>
      </c>
      <c r="D463" s="9" t="s">
        <v>2037</v>
      </c>
      <c r="E463" s="9" t="s">
        <v>2038</v>
      </c>
      <c r="F463" s="9" t="s">
        <v>2039</v>
      </c>
      <c r="G463" s="9" t="s">
        <v>328</v>
      </c>
      <c r="H463" s="15" t="s">
        <v>23</v>
      </c>
      <c r="I463" s="9" t="s">
        <v>2040</v>
      </c>
      <c r="J463" s="13"/>
      <c r="K463" s="13"/>
    </row>
    <row r="464" customFormat="false" ht="68.65" hidden="false" customHeight="false" outlineLevel="0" collapsed="false">
      <c r="A464" s="9" t="n">
        <v>463</v>
      </c>
      <c r="B464" s="9" t="s">
        <v>50</v>
      </c>
      <c r="C464" s="11" t="s">
        <v>61</v>
      </c>
      <c r="D464" s="9" t="s">
        <v>2041</v>
      </c>
      <c r="E464" s="9" t="s">
        <v>2042</v>
      </c>
      <c r="F464" s="9" t="s">
        <v>2043</v>
      </c>
      <c r="G464" s="9" t="s">
        <v>2044</v>
      </c>
      <c r="H464" s="14" t="s">
        <v>22</v>
      </c>
      <c r="I464" s="9" t="s">
        <v>2045</v>
      </c>
      <c r="J464" s="13"/>
      <c r="K464" s="13"/>
    </row>
    <row r="465" customFormat="false" ht="68.65" hidden="false" customHeight="false" outlineLevel="0" collapsed="false">
      <c r="A465" s="9" t="n">
        <v>464</v>
      </c>
      <c r="B465" s="9" t="s">
        <v>50</v>
      </c>
      <c r="C465" s="11" t="s">
        <v>61</v>
      </c>
      <c r="D465" s="9" t="s">
        <v>2046</v>
      </c>
      <c r="E465" s="9" t="s">
        <v>2047</v>
      </c>
      <c r="F465" s="9" t="s">
        <v>2048</v>
      </c>
      <c r="G465" s="9" t="s">
        <v>312</v>
      </c>
      <c r="H465" s="14" t="s">
        <v>22</v>
      </c>
      <c r="I465" s="9" t="s">
        <v>2049</v>
      </c>
      <c r="J465" s="13"/>
      <c r="K465" s="13"/>
    </row>
    <row r="466" customFormat="false" ht="35.05" hidden="false" customHeight="false" outlineLevel="0" collapsed="false">
      <c r="A466" s="9" t="n">
        <v>465</v>
      </c>
      <c r="B466" s="9" t="s">
        <v>50</v>
      </c>
      <c r="C466" s="11" t="s">
        <v>61</v>
      </c>
      <c r="D466" s="9" t="s">
        <v>2050</v>
      </c>
      <c r="E466" s="9" t="s">
        <v>2051</v>
      </c>
      <c r="F466" s="9" t="s">
        <v>2052</v>
      </c>
      <c r="G466" s="9" t="s">
        <v>303</v>
      </c>
      <c r="H466" s="15" t="s">
        <v>23</v>
      </c>
      <c r="I466" s="9" t="s">
        <v>2053</v>
      </c>
      <c r="J466" s="13"/>
      <c r="K466" s="13"/>
    </row>
    <row r="467" customFormat="false" ht="35.05" hidden="false" customHeight="false" outlineLevel="0" collapsed="false">
      <c r="A467" s="9" t="n">
        <v>466</v>
      </c>
      <c r="B467" s="9" t="s">
        <v>50</v>
      </c>
      <c r="C467" s="11" t="s">
        <v>61</v>
      </c>
      <c r="D467" s="9" t="s">
        <v>2054</v>
      </c>
      <c r="E467" s="9" t="s">
        <v>2055</v>
      </c>
      <c r="F467" s="9" t="s">
        <v>2056</v>
      </c>
      <c r="G467" s="9" t="s">
        <v>317</v>
      </c>
      <c r="H467" s="15" t="s">
        <v>23</v>
      </c>
      <c r="I467" s="9" t="s">
        <v>2057</v>
      </c>
      <c r="J467" s="13"/>
      <c r="K467" s="13"/>
    </row>
    <row r="468" customFormat="false" ht="35.05" hidden="false" customHeight="false" outlineLevel="0" collapsed="false">
      <c r="A468" s="9" t="n">
        <v>467</v>
      </c>
      <c r="B468" s="9" t="s">
        <v>50</v>
      </c>
      <c r="C468" s="11" t="s">
        <v>61</v>
      </c>
      <c r="D468" s="9" t="s">
        <v>2058</v>
      </c>
      <c r="E468" s="9" t="s">
        <v>2059</v>
      </c>
      <c r="F468" s="9" t="s">
        <v>2060</v>
      </c>
      <c r="G468" s="9" t="s">
        <v>312</v>
      </c>
      <c r="H468" s="15" t="s">
        <v>23</v>
      </c>
      <c r="I468" s="9" t="s">
        <v>2061</v>
      </c>
      <c r="J468" s="13"/>
      <c r="K468" s="13"/>
    </row>
    <row r="469" customFormat="false" ht="23.85" hidden="false" customHeight="false" outlineLevel="0" collapsed="false">
      <c r="A469" s="9" t="n">
        <v>468</v>
      </c>
      <c r="B469" s="9" t="s">
        <v>50</v>
      </c>
      <c r="C469" s="11" t="s">
        <v>61</v>
      </c>
      <c r="D469" s="9" t="s">
        <v>2062</v>
      </c>
      <c r="E469" s="9" t="s">
        <v>2063</v>
      </c>
      <c r="F469" s="9" t="s">
        <v>2064</v>
      </c>
      <c r="G469" s="9" t="s">
        <v>312</v>
      </c>
      <c r="H469" s="15" t="s">
        <v>23</v>
      </c>
      <c r="I469" s="9" t="s">
        <v>2065</v>
      </c>
      <c r="J469" s="13"/>
      <c r="K469" s="13"/>
    </row>
    <row r="470" customFormat="false" ht="46.25" hidden="false" customHeight="false" outlineLevel="0" collapsed="false">
      <c r="A470" s="9" t="n">
        <v>469</v>
      </c>
      <c r="B470" s="9" t="s">
        <v>50</v>
      </c>
      <c r="C470" s="11" t="s">
        <v>61</v>
      </c>
      <c r="D470" s="9" t="s">
        <v>2066</v>
      </c>
      <c r="E470" s="9" t="s">
        <v>2067</v>
      </c>
      <c r="F470" s="9" t="s">
        <v>2068</v>
      </c>
      <c r="G470" s="9" t="s">
        <v>2044</v>
      </c>
      <c r="H470" s="15" t="s">
        <v>23</v>
      </c>
      <c r="I470" s="9" t="s">
        <v>2069</v>
      </c>
      <c r="J470" s="13"/>
      <c r="K470" s="13"/>
    </row>
    <row r="471" customFormat="false" ht="23.85" hidden="false" customHeight="false" outlineLevel="0" collapsed="false">
      <c r="A471" s="9" t="n">
        <v>470</v>
      </c>
      <c r="B471" s="9" t="s">
        <v>50</v>
      </c>
      <c r="C471" s="11" t="s">
        <v>61</v>
      </c>
      <c r="D471" s="9" t="s">
        <v>2070</v>
      </c>
      <c r="E471" s="9" t="s">
        <v>2071</v>
      </c>
      <c r="F471" s="9" t="s">
        <v>2072</v>
      </c>
      <c r="G471" s="9" t="s">
        <v>317</v>
      </c>
      <c r="H471" s="15" t="s">
        <v>23</v>
      </c>
      <c r="I471" s="9" t="s">
        <v>2073</v>
      </c>
      <c r="J471" s="13"/>
      <c r="K471" s="13"/>
    </row>
    <row r="472" customFormat="false" ht="35.05" hidden="false" customHeight="false" outlineLevel="0" collapsed="false">
      <c r="A472" s="9" t="n">
        <v>471</v>
      </c>
      <c r="B472" s="9" t="s">
        <v>50</v>
      </c>
      <c r="C472" s="11" t="s">
        <v>61</v>
      </c>
      <c r="D472" s="9" t="s">
        <v>2074</v>
      </c>
      <c r="E472" s="9" t="s">
        <v>2075</v>
      </c>
      <c r="F472" s="9" t="s">
        <v>2076</v>
      </c>
      <c r="G472" s="9" t="s">
        <v>312</v>
      </c>
      <c r="H472" s="15" t="s">
        <v>23</v>
      </c>
      <c r="I472" s="9" t="s">
        <v>2077</v>
      </c>
      <c r="J472" s="13"/>
      <c r="K472" s="13"/>
    </row>
    <row r="473" customFormat="false" ht="23.85" hidden="false" customHeight="false" outlineLevel="0" collapsed="false">
      <c r="A473" s="9" t="n">
        <v>472</v>
      </c>
      <c r="B473" s="9" t="s">
        <v>50</v>
      </c>
      <c r="C473" s="11" t="s">
        <v>61</v>
      </c>
      <c r="D473" s="9" t="s">
        <v>2078</v>
      </c>
      <c r="E473" s="9" t="s">
        <v>2079</v>
      </c>
      <c r="F473" s="9" t="s">
        <v>2080</v>
      </c>
      <c r="G473" s="9" t="s">
        <v>312</v>
      </c>
      <c r="H473" s="15" t="s">
        <v>23</v>
      </c>
      <c r="I473" s="9" t="s">
        <v>2081</v>
      </c>
      <c r="J473" s="13"/>
      <c r="K473" s="13"/>
    </row>
    <row r="474" customFormat="false" ht="46.25" hidden="false" customHeight="false" outlineLevel="0" collapsed="false">
      <c r="A474" s="9" t="n">
        <v>473</v>
      </c>
      <c r="B474" s="9" t="s">
        <v>50</v>
      </c>
      <c r="C474" s="11" t="s">
        <v>61</v>
      </c>
      <c r="D474" s="9" t="s">
        <v>2082</v>
      </c>
      <c r="E474" s="9" t="s">
        <v>2083</v>
      </c>
      <c r="F474" s="9" t="s">
        <v>2084</v>
      </c>
      <c r="G474" s="9" t="s">
        <v>312</v>
      </c>
      <c r="H474" s="15" t="s">
        <v>23</v>
      </c>
      <c r="I474" s="9" t="s">
        <v>2085</v>
      </c>
      <c r="J474" s="13"/>
      <c r="K474" s="13"/>
    </row>
    <row r="475" customFormat="false" ht="23.85" hidden="false" customHeight="false" outlineLevel="0" collapsed="false">
      <c r="A475" s="9" t="n">
        <v>474</v>
      </c>
      <c r="B475" s="9" t="s">
        <v>50</v>
      </c>
      <c r="C475" s="11" t="s">
        <v>61</v>
      </c>
      <c r="D475" s="9" t="s">
        <v>2086</v>
      </c>
      <c r="E475" s="9" t="s">
        <v>2087</v>
      </c>
      <c r="F475" s="9" t="s">
        <v>2088</v>
      </c>
      <c r="G475" s="9" t="s">
        <v>312</v>
      </c>
      <c r="H475" s="15" t="s">
        <v>23</v>
      </c>
      <c r="I475" s="9" t="s">
        <v>2089</v>
      </c>
      <c r="J475" s="13"/>
      <c r="K475" s="13"/>
    </row>
    <row r="476" customFormat="false" ht="23.85" hidden="false" customHeight="false" outlineLevel="0" collapsed="false">
      <c r="A476" s="9" t="n">
        <v>475</v>
      </c>
      <c r="B476" s="9" t="s">
        <v>50</v>
      </c>
      <c r="C476" s="11" t="s">
        <v>61</v>
      </c>
      <c r="D476" s="9" t="s">
        <v>2090</v>
      </c>
      <c r="E476" s="9" t="s">
        <v>1921</v>
      </c>
      <c r="F476" s="9" t="s">
        <v>2091</v>
      </c>
      <c r="G476" s="9" t="s">
        <v>328</v>
      </c>
      <c r="H476" s="15" t="s">
        <v>23</v>
      </c>
      <c r="I476" s="9" t="s">
        <v>2092</v>
      </c>
      <c r="J476" s="13"/>
      <c r="K476" s="13"/>
    </row>
    <row r="477" customFormat="false" ht="23.85" hidden="false" customHeight="false" outlineLevel="0" collapsed="false">
      <c r="A477" s="9" t="n">
        <v>476</v>
      </c>
      <c r="B477" s="9" t="s">
        <v>50</v>
      </c>
      <c r="C477" s="11" t="s">
        <v>61</v>
      </c>
      <c r="D477" s="9" t="s">
        <v>2093</v>
      </c>
      <c r="E477" s="9" t="s">
        <v>2094</v>
      </c>
      <c r="F477" s="9" t="s">
        <v>2095</v>
      </c>
      <c r="G477" s="9" t="s">
        <v>328</v>
      </c>
      <c r="H477" s="15" t="s">
        <v>23</v>
      </c>
      <c r="I477" s="9" t="s">
        <v>2096</v>
      </c>
      <c r="J477" s="13"/>
      <c r="K477" s="13"/>
    </row>
    <row r="478" customFormat="false" ht="46.25" hidden="false" customHeight="false" outlineLevel="0" collapsed="false">
      <c r="A478" s="9" t="n">
        <v>477</v>
      </c>
      <c r="B478" s="9" t="s">
        <v>50</v>
      </c>
      <c r="C478" s="11" t="s">
        <v>61</v>
      </c>
      <c r="D478" s="9" t="s">
        <v>2097</v>
      </c>
      <c r="E478" s="9" t="s">
        <v>2098</v>
      </c>
      <c r="F478" s="9" t="s">
        <v>2099</v>
      </c>
      <c r="G478" s="9" t="s">
        <v>324</v>
      </c>
      <c r="H478" s="15" t="s">
        <v>23</v>
      </c>
      <c r="I478" s="9" t="s">
        <v>2100</v>
      </c>
      <c r="J478" s="13"/>
      <c r="K478" s="13"/>
    </row>
    <row r="479" customFormat="false" ht="46.25" hidden="false" customHeight="false" outlineLevel="0" collapsed="false">
      <c r="A479" s="9" t="n">
        <v>478</v>
      </c>
      <c r="B479" s="9" t="s">
        <v>50</v>
      </c>
      <c r="C479" s="11" t="s">
        <v>61</v>
      </c>
      <c r="D479" s="9" t="s">
        <v>2101</v>
      </c>
      <c r="E479" s="9" t="s">
        <v>2102</v>
      </c>
      <c r="F479" s="9" t="s">
        <v>2103</v>
      </c>
      <c r="G479" s="9" t="s">
        <v>24</v>
      </c>
      <c r="H479" s="12" t="s">
        <v>21</v>
      </c>
      <c r="I479" s="9" t="s">
        <v>2104</v>
      </c>
      <c r="J479" s="13"/>
      <c r="K479" s="13"/>
    </row>
    <row r="480" customFormat="false" ht="57.45" hidden="false" customHeight="false" outlineLevel="0" collapsed="false">
      <c r="A480" s="9" t="n">
        <v>479</v>
      </c>
      <c r="B480" s="9" t="s">
        <v>50</v>
      </c>
      <c r="C480" s="11" t="s">
        <v>61</v>
      </c>
      <c r="D480" s="9" t="s">
        <v>2105</v>
      </c>
      <c r="E480" s="9" t="s">
        <v>2106</v>
      </c>
      <c r="F480" s="9" t="s">
        <v>2107</v>
      </c>
      <c r="G480" s="9" t="s">
        <v>24</v>
      </c>
      <c r="H480" s="12" t="s">
        <v>21</v>
      </c>
      <c r="I480" s="9" t="s">
        <v>2108</v>
      </c>
      <c r="J480" s="13"/>
      <c r="K480" s="13"/>
    </row>
    <row r="481" customFormat="false" ht="23.85" hidden="false" customHeight="false" outlineLevel="0" collapsed="false">
      <c r="A481" s="9" t="n">
        <v>480</v>
      </c>
      <c r="B481" s="9" t="s">
        <v>50</v>
      </c>
      <c r="C481" s="11" t="s">
        <v>61</v>
      </c>
      <c r="D481" s="9" t="s">
        <v>2109</v>
      </c>
      <c r="E481" s="9" t="s">
        <v>2110</v>
      </c>
      <c r="F481" s="9" t="s">
        <v>2111</v>
      </c>
      <c r="G481" s="9" t="s">
        <v>24</v>
      </c>
      <c r="H481" s="14" t="s">
        <v>22</v>
      </c>
      <c r="I481" s="9" t="s">
        <v>2112</v>
      </c>
      <c r="J481" s="13"/>
      <c r="K481" s="13"/>
    </row>
    <row r="482" customFormat="false" ht="35.05" hidden="false" customHeight="false" outlineLevel="0" collapsed="false">
      <c r="A482" s="9" t="n">
        <v>481</v>
      </c>
      <c r="B482" s="9" t="s">
        <v>50</v>
      </c>
      <c r="C482" s="11" t="s">
        <v>61</v>
      </c>
      <c r="D482" s="9" t="s">
        <v>2113</v>
      </c>
      <c r="E482" s="9" t="s">
        <v>2114</v>
      </c>
      <c r="F482" s="9" t="s">
        <v>2115</v>
      </c>
      <c r="G482" s="9" t="s">
        <v>24</v>
      </c>
      <c r="H482" s="14" t="s">
        <v>22</v>
      </c>
      <c r="I482" s="9" t="s">
        <v>2116</v>
      </c>
      <c r="J482" s="13"/>
      <c r="K482" s="13"/>
    </row>
    <row r="483" customFormat="false" ht="23.85" hidden="false" customHeight="false" outlineLevel="0" collapsed="false">
      <c r="A483" s="9" t="n">
        <v>482</v>
      </c>
      <c r="B483" s="9" t="s">
        <v>50</v>
      </c>
      <c r="C483" s="11" t="s">
        <v>61</v>
      </c>
      <c r="D483" s="9" t="s">
        <v>2117</v>
      </c>
      <c r="E483" s="9" t="s">
        <v>2118</v>
      </c>
      <c r="F483" s="9" t="s">
        <v>2119</v>
      </c>
      <c r="G483" s="9" t="s">
        <v>24</v>
      </c>
      <c r="H483" s="14" t="s">
        <v>22</v>
      </c>
      <c r="I483" s="9" t="s">
        <v>2120</v>
      </c>
      <c r="J483" s="13"/>
      <c r="K483" s="13"/>
    </row>
    <row r="484" customFormat="false" ht="23.85" hidden="false" customHeight="false" outlineLevel="0" collapsed="false">
      <c r="A484" s="9" t="n">
        <v>483</v>
      </c>
      <c r="B484" s="9" t="s">
        <v>50</v>
      </c>
      <c r="C484" s="11" t="s">
        <v>61</v>
      </c>
      <c r="D484" s="9" t="s">
        <v>2121</v>
      </c>
      <c r="E484" s="9" t="s">
        <v>2122</v>
      </c>
      <c r="F484" s="9" t="s">
        <v>2123</v>
      </c>
      <c r="G484" s="9" t="s">
        <v>24</v>
      </c>
      <c r="H484" s="14" t="s">
        <v>22</v>
      </c>
      <c r="I484" s="9" t="s">
        <v>2124</v>
      </c>
      <c r="J484" s="13"/>
      <c r="K484" s="13"/>
    </row>
    <row r="485" customFormat="false" ht="23.85" hidden="false" customHeight="false" outlineLevel="0" collapsed="false">
      <c r="A485" s="9" t="n">
        <v>484</v>
      </c>
      <c r="B485" s="9" t="s">
        <v>50</v>
      </c>
      <c r="C485" s="11" t="s">
        <v>61</v>
      </c>
      <c r="D485" s="9" t="s">
        <v>2125</v>
      </c>
      <c r="E485" s="9" t="s">
        <v>2126</v>
      </c>
      <c r="F485" s="9" t="s">
        <v>2127</v>
      </c>
      <c r="G485" s="9" t="s">
        <v>24</v>
      </c>
      <c r="H485" s="15" t="s">
        <v>23</v>
      </c>
      <c r="I485" s="9" t="s">
        <v>2128</v>
      </c>
      <c r="J485" s="13"/>
      <c r="K485" s="13"/>
    </row>
    <row r="486" customFormat="false" ht="23.85" hidden="false" customHeight="false" outlineLevel="0" collapsed="false">
      <c r="A486" s="9" t="n">
        <v>485</v>
      </c>
      <c r="B486" s="9" t="s">
        <v>50</v>
      </c>
      <c r="C486" s="11" t="s">
        <v>61</v>
      </c>
      <c r="D486" s="9" t="s">
        <v>2129</v>
      </c>
      <c r="E486" s="9" t="s">
        <v>2130</v>
      </c>
      <c r="F486" s="9" t="s">
        <v>2131</v>
      </c>
      <c r="G486" s="9" t="s">
        <v>24</v>
      </c>
      <c r="H486" s="14" t="s">
        <v>22</v>
      </c>
      <c r="I486" s="9" t="s">
        <v>2132</v>
      </c>
      <c r="J486" s="13"/>
      <c r="K486" s="13"/>
    </row>
    <row r="487" customFormat="false" ht="23.85" hidden="false" customHeight="false" outlineLevel="0" collapsed="false">
      <c r="A487" s="9" t="n">
        <v>486</v>
      </c>
      <c r="B487" s="9" t="s">
        <v>50</v>
      </c>
      <c r="C487" s="11" t="s">
        <v>61</v>
      </c>
      <c r="D487" s="9" t="s">
        <v>2133</v>
      </c>
      <c r="E487" s="9" t="s">
        <v>2134</v>
      </c>
      <c r="F487" s="9" t="s">
        <v>2135</v>
      </c>
      <c r="G487" s="9" t="s">
        <v>24</v>
      </c>
      <c r="H487" s="14" t="s">
        <v>22</v>
      </c>
      <c r="I487" s="9" t="s">
        <v>2136</v>
      </c>
      <c r="J487" s="13"/>
      <c r="K487" s="13"/>
    </row>
    <row r="488" customFormat="false" ht="15" hidden="false" customHeight="false" outlineLevel="0" collapsed="false">
      <c r="A488" s="9" t="n">
        <v>487</v>
      </c>
      <c r="B488" s="9" t="s">
        <v>50</v>
      </c>
      <c r="C488" s="11" t="s">
        <v>61</v>
      </c>
      <c r="D488" s="9" t="s">
        <v>2137</v>
      </c>
      <c r="E488" s="9" t="s">
        <v>2138</v>
      </c>
      <c r="F488" s="9" t="s">
        <v>2139</v>
      </c>
      <c r="G488" s="9" t="s">
        <v>24</v>
      </c>
      <c r="H488" s="14" t="s">
        <v>22</v>
      </c>
      <c r="I488" s="9" t="s">
        <v>2140</v>
      </c>
      <c r="J488" s="13"/>
      <c r="K488" s="13"/>
    </row>
    <row r="489" customFormat="false" ht="23.85" hidden="false" customHeight="false" outlineLevel="0" collapsed="false">
      <c r="A489" s="9" t="n">
        <v>488</v>
      </c>
      <c r="B489" s="9" t="s">
        <v>50</v>
      </c>
      <c r="C489" s="11" t="s">
        <v>61</v>
      </c>
      <c r="D489" s="9" t="s">
        <v>2141</v>
      </c>
      <c r="E489" s="9" t="s">
        <v>2142</v>
      </c>
      <c r="F489" s="9" t="s">
        <v>2143</v>
      </c>
      <c r="G489" s="9" t="s">
        <v>24</v>
      </c>
      <c r="H489" s="14" t="s">
        <v>22</v>
      </c>
      <c r="I489" s="9" t="s">
        <v>434</v>
      </c>
      <c r="J489" s="13"/>
      <c r="K489" s="13"/>
    </row>
    <row r="490" customFormat="false" ht="35.05" hidden="false" customHeight="false" outlineLevel="0" collapsed="false">
      <c r="A490" s="9" t="n">
        <v>489</v>
      </c>
      <c r="B490" s="9" t="s">
        <v>50</v>
      </c>
      <c r="C490" s="11" t="s">
        <v>61</v>
      </c>
      <c r="D490" s="9" t="s">
        <v>2144</v>
      </c>
      <c r="E490" s="9" t="s">
        <v>2145</v>
      </c>
      <c r="F490" s="9" t="s">
        <v>2146</v>
      </c>
      <c r="G490" s="9" t="s">
        <v>24</v>
      </c>
      <c r="H490" s="15" t="s">
        <v>23</v>
      </c>
      <c r="I490" s="9" t="s">
        <v>2147</v>
      </c>
      <c r="J490" s="13"/>
      <c r="K490" s="13"/>
    </row>
    <row r="491" customFormat="false" ht="23.85" hidden="false" customHeight="false" outlineLevel="0" collapsed="false">
      <c r="A491" s="9" t="n">
        <v>490</v>
      </c>
      <c r="B491" s="9" t="s">
        <v>50</v>
      </c>
      <c r="C491" s="11" t="s">
        <v>61</v>
      </c>
      <c r="D491" s="9" t="s">
        <v>2148</v>
      </c>
      <c r="E491" s="9" t="s">
        <v>358</v>
      </c>
      <c r="F491" s="9" t="s">
        <v>2149</v>
      </c>
      <c r="G491" s="9" t="s">
        <v>24</v>
      </c>
      <c r="H491" s="14" t="s">
        <v>22</v>
      </c>
      <c r="I491" s="9" t="s">
        <v>2150</v>
      </c>
      <c r="J491" s="13"/>
      <c r="K491" s="13"/>
    </row>
    <row r="492" customFormat="false" ht="15" hidden="false" customHeight="false" outlineLevel="0" collapsed="false">
      <c r="A492" s="9" t="n">
        <v>491</v>
      </c>
      <c r="B492" s="9" t="s">
        <v>50</v>
      </c>
      <c r="C492" s="11" t="s">
        <v>61</v>
      </c>
      <c r="D492" s="9" t="s">
        <v>2151</v>
      </c>
      <c r="E492" s="9" t="s">
        <v>362</v>
      </c>
      <c r="F492" s="9" t="s">
        <v>363</v>
      </c>
      <c r="G492" s="9" t="s">
        <v>24</v>
      </c>
      <c r="H492" s="14" t="s">
        <v>22</v>
      </c>
      <c r="I492" s="9" t="s">
        <v>364</v>
      </c>
      <c r="J492" s="13"/>
      <c r="K492" s="13"/>
    </row>
    <row r="493" customFormat="false" ht="35.05" hidden="false" customHeight="false" outlineLevel="0" collapsed="false">
      <c r="A493" s="9" t="n">
        <v>492</v>
      </c>
      <c r="B493" s="9" t="s">
        <v>50</v>
      </c>
      <c r="C493" s="11" t="s">
        <v>61</v>
      </c>
      <c r="D493" s="9" t="s">
        <v>2152</v>
      </c>
      <c r="E493" s="9" t="s">
        <v>2153</v>
      </c>
      <c r="F493" s="9" t="s">
        <v>2154</v>
      </c>
      <c r="G493" s="9" t="s">
        <v>24</v>
      </c>
      <c r="H493" s="15" t="s">
        <v>23</v>
      </c>
      <c r="I493" s="9" t="s">
        <v>2155</v>
      </c>
      <c r="J493" s="13"/>
      <c r="K493" s="13"/>
    </row>
    <row r="494" customFormat="false" ht="23.85" hidden="false" customHeight="false" outlineLevel="0" collapsed="false">
      <c r="A494" s="9" t="n">
        <v>493</v>
      </c>
      <c r="B494" s="9" t="s">
        <v>50</v>
      </c>
      <c r="C494" s="11" t="s">
        <v>61</v>
      </c>
      <c r="D494" s="9" t="s">
        <v>2156</v>
      </c>
      <c r="E494" s="9" t="s">
        <v>2157</v>
      </c>
      <c r="F494" s="9" t="s">
        <v>2158</v>
      </c>
      <c r="G494" s="9" t="s">
        <v>24</v>
      </c>
      <c r="H494" s="15" t="s">
        <v>23</v>
      </c>
      <c r="I494" s="9" t="s">
        <v>2159</v>
      </c>
      <c r="J494" s="13"/>
      <c r="K494" s="13"/>
    </row>
    <row r="495" customFormat="false" ht="23.85" hidden="false" customHeight="false" outlineLevel="0" collapsed="false">
      <c r="A495" s="9" t="n">
        <v>494</v>
      </c>
      <c r="B495" s="9" t="s">
        <v>50</v>
      </c>
      <c r="C495" s="11" t="s">
        <v>61</v>
      </c>
      <c r="D495" s="9" t="s">
        <v>2160</v>
      </c>
      <c r="E495" s="9" t="s">
        <v>1999</v>
      </c>
      <c r="F495" s="9" t="s">
        <v>448</v>
      </c>
      <c r="G495" s="9" t="s">
        <v>24</v>
      </c>
      <c r="H495" s="15" t="s">
        <v>23</v>
      </c>
      <c r="I495" s="9" t="s">
        <v>2000</v>
      </c>
      <c r="J495" s="13"/>
      <c r="K495" s="13"/>
    </row>
    <row r="496" customFormat="false" ht="158.2" hidden="false" customHeight="false" outlineLevel="0" collapsed="false">
      <c r="A496" s="9" t="n">
        <v>495</v>
      </c>
      <c r="B496" s="9" t="s">
        <v>50</v>
      </c>
      <c r="C496" s="11" t="s">
        <v>63</v>
      </c>
      <c r="D496" s="9" t="s">
        <v>2161</v>
      </c>
      <c r="E496" s="9" t="s">
        <v>2162</v>
      </c>
      <c r="F496" s="9" t="s">
        <v>2163</v>
      </c>
      <c r="G496" s="9" t="s">
        <v>308</v>
      </c>
      <c r="H496" s="12" t="s">
        <v>21</v>
      </c>
      <c r="I496" s="9" t="s">
        <v>2164</v>
      </c>
      <c r="J496" s="13"/>
      <c r="K496" s="13"/>
    </row>
    <row r="497" customFormat="false" ht="46.25" hidden="false" customHeight="false" outlineLevel="0" collapsed="false">
      <c r="A497" s="9" t="n">
        <v>496</v>
      </c>
      <c r="B497" s="9" t="s">
        <v>50</v>
      </c>
      <c r="C497" s="11" t="s">
        <v>63</v>
      </c>
      <c r="D497" s="9" t="s">
        <v>2165</v>
      </c>
      <c r="E497" s="9" t="s">
        <v>2166</v>
      </c>
      <c r="F497" s="9" t="s">
        <v>2167</v>
      </c>
      <c r="G497" s="9" t="s">
        <v>303</v>
      </c>
      <c r="H497" s="12" t="s">
        <v>21</v>
      </c>
      <c r="I497" s="9" t="s">
        <v>2168</v>
      </c>
      <c r="J497" s="13"/>
      <c r="K497" s="13"/>
    </row>
    <row r="498" customFormat="false" ht="46.25" hidden="false" customHeight="false" outlineLevel="0" collapsed="false">
      <c r="A498" s="9" t="n">
        <v>497</v>
      </c>
      <c r="B498" s="9" t="s">
        <v>50</v>
      </c>
      <c r="C498" s="11" t="s">
        <v>63</v>
      </c>
      <c r="D498" s="9" t="s">
        <v>2169</v>
      </c>
      <c r="E498" s="9" t="s">
        <v>2170</v>
      </c>
      <c r="F498" s="9" t="s">
        <v>2171</v>
      </c>
      <c r="G498" s="9" t="s">
        <v>303</v>
      </c>
      <c r="H498" s="14" t="s">
        <v>22</v>
      </c>
      <c r="I498" s="9" t="s">
        <v>2172</v>
      </c>
      <c r="J498" s="13"/>
      <c r="K498" s="13"/>
    </row>
    <row r="499" customFormat="false" ht="35.05" hidden="false" customHeight="false" outlineLevel="0" collapsed="false">
      <c r="A499" s="9" t="n">
        <v>498</v>
      </c>
      <c r="B499" s="9" t="s">
        <v>50</v>
      </c>
      <c r="C499" s="11" t="s">
        <v>63</v>
      </c>
      <c r="D499" s="9" t="s">
        <v>2173</v>
      </c>
      <c r="E499" s="9" t="s">
        <v>2174</v>
      </c>
      <c r="F499" s="9" t="s">
        <v>2175</v>
      </c>
      <c r="G499" s="9" t="s">
        <v>303</v>
      </c>
      <c r="H499" s="14" t="s">
        <v>22</v>
      </c>
      <c r="I499" s="9" t="s">
        <v>2176</v>
      </c>
      <c r="J499" s="13"/>
      <c r="K499" s="13"/>
    </row>
    <row r="500" customFormat="false" ht="102.2" hidden="false" customHeight="false" outlineLevel="0" collapsed="false">
      <c r="A500" s="9" t="n">
        <v>499</v>
      </c>
      <c r="B500" s="9" t="s">
        <v>50</v>
      </c>
      <c r="C500" s="11" t="s">
        <v>63</v>
      </c>
      <c r="D500" s="9" t="s">
        <v>2177</v>
      </c>
      <c r="E500" s="9" t="s">
        <v>2178</v>
      </c>
      <c r="F500" s="9" t="s">
        <v>2179</v>
      </c>
      <c r="G500" s="9" t="s">
        <v>317</v>
      </c>
      <c r="H500" s="12" t="s">
        <v>21</v>
      </c>
      <c r="I500" s="9" t="s">
        <v>2180</v>
      </c>
      <c r="J500" s="13"/>
      <c r="K500" s="13"/>
    </row>
    <row r="501" customFormat="false" ht="68.65" hidden="false" customHeight="false" outlineLevel="0" collapsed="false">
      <c r="A501" s="9" t="n">
        <v>500</v>
      </c>
      <c r="B501" s="9" t="s">
        <v>50</v>
      </c>
      <c r="C501" s="11" t="s">
        <v>63</v>
      </c>
      <c r="D501" s="9" t="s">
        <v>2181</v>
      </c>
      <c r="E501" s="9" t="s">
        <v>2182</v>
      </c>
      <c r="F501" s="9" t="s">
        <v>2183</v>
      </c>
      <c r="G501" s="9" t="s">
        <v>317</v>
      </c>
      <c r="H501" s="14" t="s">
        <v>22</v>
      </c>
      <c r="I501" s="9" t="s">
        <v>2184</v>
      </c>
      <c r="J501" s="13"/>
      <c r="K501" s="13"/>
    </row>
    <row r="502" customFormat="false" ht="79.85" hidden="false" customHeight="false" outlineLevel="0" collapsed="false">
      <c r="A502" s="9" t="n">
        <v>501</v>
      </c>
      <c r="B502" s="9" t="s">
        <v>50</v>
      </c>
      <c r="C502" s="11" t="s">
        <v>63</v>
      </c>
      <c r="D502" s="9" t="s">
        <v>2185</v>
      </c>
      <c r="E502" s="9" t="s">
        <v>2186</v>
      </c>
      <c r="F502" s="9" t="s">
        <v>2187</v>
      </c>
      <c r="G502" s="9" t="s">
        <v>2044</v>
      </c>
      <c r="H502" s="14" t="s">
        <v>22</v>
      </c>
      <c r="I502" s="9" t="s">
        <v>2188</v>
      </c>
      <c r="J502" s="13"/>
      <c r="K502" s="13"/>
    </row>
    <row r="503" customFormat="false" ht="46.25" hidden="false" customHeight="false" outlineLevel="0" collapsed="false">
      <c r="A503" s="9" t="n">
        <v>502</v>
      </c>
      <c r="B503" s="9" t="s">
        <v>50</v>
      </c>
      <c r="C503" s="11" t="s">
        <v>63</v>
      </c>
      <c r="D503" s="9" t="s">
        <v>2189</v>
      </c>
      <c r="E503" s="9" t="s">
        <v>2190</v>
      </c>
      <c r="F503" s="9" t="s">
        <v>2191</v>
      </c>
      <c r="G503" s="9" t="s">
        <v>312</v>
      </c>
      <c r="H503" s="14" t="s">
        <v>22</v>
      </c>
      <c r="I503" s="9" t="s">
        <v>2192</v>
      </c>
      <c r="J503" s="13"/>
      <c r="K503" s="13"/>
    </row>
    <row r="504" customFormat="false" ht="91" hidden="false" customHeight="false" outlineLevel="0" collapsed="false">
      <c r="A504" s="9" t="n">
        <v>503</v>
      </c>
      <c r="B504" s="9" t="s">
        <v>50</v>
      </c>
      <c r="C504" s="11" t="s">
        <v>63</v>
      </c>
      <c r="D504" s="9" t="s">
        <v>2193</v>
      </c>
      <c r="E504" s="9" t="s">
        <v>2194</v>
      </c>
      <c r="F504" s="9" t="s">
        <v>2195</v>
      </c>
      <c r="G504" s="9" t="s">
        <v>2044</v>
      </c>
      <c r="H504" s="14" t="s">
        <v>22</v>
      </c>
      <c r="I504" s="9" t="s">
        <v>2196</v>
      </c>
      <c r="J504" s="13"/>
      <c r="K504" s="13"/>
    </row>
    <row r="505" customFormat="false" ht="35.05" hidden="false" customHeight="false" outlineLevel="0" collapsed="false">
      <c r="A505" s="9" t="n">
        <v>504</v>
      </c>
      <c r="B505" s="9" t="s">
        <v>50</v>
      </c>
      <c r="C505" s="11" t="s">
        <v>63</v>
      </c>
      <c r="D505" s="9" t="s">
        <v>2197</v>
      </c>
      <c r="E505" s="9" t="s">
        <v>2198</v>
      </c>
      <c r="F505" s="9" t="s">
        <v>2199</v>
      </c>
      <c r="G505" s="9" t="s">
        <v>312</v>
      </c>
      <c r="H505" s="14" t="s">
        <v>22</v>
      </c>
      <c r="I505" s="9" t="s">
        <v>2200</v>
      </c>
      <c r="J505" s="13"/>
      <c r="K505" s="13"/>
    </row>
    <row r="506" customFormat="false" ht="79.85" hidden="false" customHeight="false" outlineLevel="0" collapsed="false">
      <c r="A506" s="9" t="n">
        <v>505</v>
      </c>
      <c r="B506" s="9" t="s">
        <v>50</v>
      </c>
      <c r="C506" s="11" t="s">
        <v>63</v>
      </c>
      <c r="D506" s="9" t="s">
        <v>2201</v>
      </c>
      <c r="E506" s="9" t="s">
        <v>2202</v>
      </c>
      <c r="F506" s="9" t="s">
        <v>2203</v>
      </c>
      <c r="G506" s="9" t="s">
        <v>2044</v>
      </c>
      <c r="H506" s="14" t="s">
        <v>22</v>
      </c>
      <c r="I506" s="9" t="s">
        <v>2204</v>
      </c>
      <c r="J506" s="13"/>
      <c r="K506" s="13"/>
    </row>
    <row r="507" customFormat="false" ht="35.05" hidden="false" customHeight="false" outlineLevel="0" collapsed="false">
      <c r="A507" s="9" t="n">
        <v>506</v>
      </c>
      <c r="B507" s="9" t="s">
        <v>50</v>
      </c>
      <c r="C507" s="11" t="s">
        <v>63</v>
      </c>
      <c r="D507" s="9" t="s">
        <v>2205</v>
      </c>
      <c r="E507" s="9" t="s">
        <v>2206</v>
      </c>
      <c r="F507" s="9" t="s">
        <v>2207</v>
      </c>
      <c r="G507" s="9" t="s">
        <v>2044</v>
      </c>
      <c r="H507" s="14" t="s">
        <v>22</v>
      </c>
      <c r="I507" s="9" t="s">
        <v>2208</v>
      </c>
      <c r="J507" s="13"/>
      <c r="K507" s="13"/>
    </row>
    <row r="508" customFormat="false" ht="68.65" hidden="false" customHeight="false" outlineLevel="0" collapsed="false">
      <c r="A508" s="9" t="n">
        <v>507</v>
      </c>
      <c r="B508" s="9" t="s">
        <v>50</v>
      </c>
      <c r="C508" s="11" t="s">
        <v>63</v>
      </c>
      <c r="D508" s="9" t="s">
        <v>2209</v>
      </c>
      <c r="E508" s="9" t="s">
        <v>2210</v>
      </c>
      <c r="F508" s="9" t="s">
        <v>2211</v>
      </c>
      <c r="G508" s="9" t="s">
        <v>312</v>
      </c>
      <c r="H508" s="14" t="s">
        <v>22</v>
      </c>
      <c r="I508" s="9" t="s">
        <v>2212</v>
      </c>
      <c r="J508" s="13"/>
      <c r="K508" s="13"/>
    </row>
    <row r="509" customFormat="false" ht="57.45" hidden="false" customHeight="false" outlineLevel="0" collapsed="false">
      <c r="A509" s="9" t="n">
        <v>508</v>
      </c>
      <c r="B509" s="9" t="s">
        <v>50</v>
      </c>
      <c r="C509" s="11" t="s">
        <v>63</v>
      </c>
      <c r="D509" s="9" t="s">
        <v>2213</v>
      </c>
      <c r="E509" s="9" t="s">
        <v>2214</v>
      </c>
      <c r="F509" s="9" t="s">
        <v>2215</v>
      </c>
      <c r="G509" s="9" t="s">
        <v>317</v>
      </c>
      <c r="H509" s="14" t="s">
        <v>22</v>
      </c>
      <c r="I509" s="9" t="s">
        <v>2216</v>
      </c>
      <c r="J509" s="13"/>
      <c r="K509" s="13"/>
    </row>
    <row r="510" customFormat="false" ht="68.65" hidden="false" customHeight="false" outlineLevel="0" collapsed="false">
      <c r="A510" s="9" t="n">
        <v>509</v>
      </c>
      <c r="B510" s="9" t="s">
        <v>50</v>
      </c>
      <c r="C510" s="11" t="s">
        <v>63</v>
      </c>
      <c r="D510" s="9" t="s">
        <v>2217</v>
      </c>
      <c r="E510" s="9" t="s">
        <v>2218</v>
      </c>
      <c r="F510" s="9" t="s">
        <v>2219</v>
      </c>
      <c r="G510" s="9" t="s">
        <v>324</v>
      </c>
      <c r="H510" s="14" t="s">
        <v>22</v>
      </c>
      <c r="I510" s="9" t="s">
        <v>2220</v>
      </c>
      <c r="J510" s="13"/>
      <c r="K510" s="13"/>
    </row>
    <row r="511" customFormat="false" ht="57.45" hidden="false" customHeight="false" outlineLevel="0" collapsed="false">
      <c r="A511" s="9" t="n">
        <v>510</v>
      </c>
      <c r="B511" s="9" t="s">
        <v>50</v>
      </c>
      <c r="C511" s="11" t="s">
        <v>63</v>
      </c>
      <c r="D511" s="9" t="s">
        <v>2221</v>
      </c>
      <c r="E511" s="9" t="s">
        <v>2222</v>
      </c>
      <c r="F511" s="9" t="s">
        <v>2223</v>
      </c>
      <c r="G511" s="9" t="s">
        <v>2044</v>
      </c>
      <c r="H511" s="14" t="s">
        <v>22</v>
      </c>
      <c r="I511" s="9" t="s">
        <v>2224</v>
      </c>
      <c r="J511" s="13"/>
      <c r="K511" s="13"/>
    </row>
    <row r="512" customFormat="false" ht="35.05" hidden="false" customHeight="false" outlineLevel="0" collapsed="false">
      <c r="A512" s="9" t="n">
        <v>511</v>
      </c>
      <c r="B512" s="9" t="s">
        <v>50</v>
      </c>
      <c r="C512" s="11" t="s">
        <v>63</v>
      </c>
      <c r="D512" s="9" t="s">
        <v>2225</v>
      </c>
      <c r="E512" s="9" t="s">
        <v>2226</v>
      </c>
      <c r="F512" s="9" t="s">
        <v>2227</v>
      </c>
      <c r="G512" s="9" t="s">
        <v>2044</v>
      </c>
      <c r="H512" s="15" t="s">
        <v>23</v>
      </c>
      <c r="I512" s="9" t="s">
        <v>2228</v>
      </c>
      <c r="J512" s="13"/>
      <c r="K512" s="13"/>
    </row>
    <row r="513" customFormat="false" ht="46.25" hidden="false" customHeight="false" outlineLevel="0" collapsed="false">
      <c r="A513" s="9" t="n">
        <v>512</v>
      </c>
      <c r="B513" s="9" t="s">
        <v>50</v>
      </c>
      <c r="C513" s="11" t="s">
        <v>63</v>
      </c>
      <c r="D513" s="9" t="s">
        <v>2229</v>
      </c>
      <c r="E513" s="9" t="s">
        <v>2230</v>
      </c>
      <c r="F513" s="9" t="s">
        <v>2231</v>
      </c>
      <c r="G513" s="9" t="s">
        <v>2044</v>
      </c>
      <c r="H513" s="12" t="s">
        <v>21</v>
      </c>
      <c r="I513" s="9" t="s">
        <v>2232</v>
      </c>
      <c r="J513" s="13"/>
      <c r="K513" s="13"/>
    </row>
    <row r="514" customFormat="false" ht="79.85" hidden="false" customHeight="false" outlineLevel="0" collapsed="false">
      <c r="A514" s="9" t="n">
        <v>513</v>
      </c>
      <c r="B514" s="9" t="s">
        <v>50</v>
      </c>
      <c r="C514" s="11" t="s">
        <v>63</v>
      </c>
      <c r="D514" s="9" t="s">
        <v>2233</v>
      </c>
      <c r="E514" s="9" t="s">
        <v>2234</v>
      </c>
      <c r="F514" s="9" t="s">
        <v>2235</v>
      </c>
      <c r="G514" s="9" t="s">
        <v>2044</v>
      </c>
      <c r="H514" s="12" t="s">
        <v>21</v>
      </c>
      <c r="I514" s="9" t="s">
        <v>2236</v>
      </c>
      <c r="J514" s="13"/>
      <c r="K514" s="13"/>
    </row>
    <row r="515" customFormat="false" ht="46.25" hidden="false" customHeight="false" outlineLevel="0" collapsed="false">
      <c r="A515" s="9" t="n">
        <v>514</v>
      </c>
      <c r="B515" s="9" t="s">
        <v>50</v>
      </c>
      <c r="C515" s="11" t="s">
        <v>63</v>
      </c>
      <c r="D515" s="9" t="s">
        <v>2237</v>
      </c>
      <c r="E515" s="9" t="s">
        <v>2238</v>
      </c>
      <c r="F515" s="9" t="s">
        <v>2239</v>
      </c>
      <c r="G515" s="9" t="s">
        <v>312</v>
      </c>
      <c r="H515" s="12" t="s">
        <v>21</v>
      </c>
      <c r="I515" s="9" t="s">
        <v>2240</v>
      </c>
      <c r="J515" s="13"/>
      <c r="K515" s="13"/>
    </row>
    <row r="516" customFormat="false" ht="68.65" hidden="false" customHeight="false" outlineLevel="0" collapsed="false">
      <c r="A516" s="9" t="n">
        <v>515</v>
      </c>
      <c r="B516" s="9" t="s">
        <v>50</v>
      </c>
      <c r="C516" s="11" t="s">
        <v>63</v>
      </c>
      <c r="D516" s="9" t="s">
        <v>2241</v>
      </c>
      <c r="E516" s="9" t="s">
        <v>2242</v>
      </c>
      <c r="F516" s="9" t="s">
        <v>2243</v>
      </c>
      <c r="G516" s="9" t="s">
        <v>2044</v>
      </c>
      <c r="H516" s="14" t="s">
        <v>22</v>
      </c>
      <c r="I516" s="9" t="s">
        <v>2244</v>
      </c>
      <c r="J516" s="13"/>
      <c r="K516" s="13"/>
    </row>
    <row r="517" customFormat="false" ht="35.05" hidden="false" customHeight="false" outlineLevel="0" collapsed="false">
      <c r="A517" s="9" t="n">
        <v>516</v>
      </c>
      <c r="B517" s="9" t="s">
        <v>50</v>
      </c>
      <c r="C517" s="11" t="s">
        <v>63</v>
      </c>
      <c r="D517" s="9" t="s">
        <v>2245</v>
      </c>
      <c r="E517" s="9" t="s">
        <v>2246</v>
      </c>
      <c r="F517" s="9" t="s">
        <v>2247</v>
      </c>
      <c r="G517" s="9" t="s">
        <v>2044</v>
      </c>
      <c r="H517" s="15" t="s">
        <v>23</v>
      </c>
      <c r="I517" s="9" t="s">
        <v>2248</v>
      </c>
      <c r="J517" s="13"/>
      <c r="K517" s="13"/>
    </row>
    <row r="518" customFormat="false" ht="68.65" hidden="false" customHeight="false" outlineLevel="0" collapsed="false">
      <c r="A518" s="9" t="n">
        <v>517</v>
      </c>
      <c r="B518" s="9" t="s">
        <v>50</v>
      </c>
      <c r="C518" s="11" t="s">
        <v>63</v>
      </c>
      <c r="D518" s="9" t="s">
        <v>2249</v>
      </c>
      <c r="E518" s="9" t="s">
        <v>2250</v>
      </c>
      <c r="F518" s="9" t="s">
        <v>2251</v>
      </c>
      <c r="G518" s="9" t="s">
        <v>2044</v>
      </c>
      <c r="H518" s="12" t="s">
        <v>21</v>
      </c>
      <c r="I518" s="9" t="s">
        <v>2252</v>
      </c>
      <c r="J518" s="13"/>
      <c r="K518" s="13"/>
    </row>
    <row r="519" customFormat="false" ht="57.45" hidden="false" customHeight="false" outlineLevel="0" collapsed="false">
      <c r="A519" s="9" t="n">
        <v>518</v>
      </c>
      <c r="B519" s="9" t="s">
        <v>50</v>
      </c>
      <c r="C519" s="11" t="s">
        <v>63</v>
      </c>
      <c r="D519" s="9" t="s">
        <v>2253</v>
      </c>
      <c r="E519" s="9" t="s">
        <v>2254</v>
      </c>
      <c r="F519" s="9" t="s">
        <v>2255</v>
      </c>
      <c r="G519" s="9" t="s">
        <v>317</v>
      </c>
      <c r="H519" s="14" t="s">
        <v>22</v>
      </c>
      <c r="I519" s="9" t="s">
        <v>2256</v>
      </c>
      <c r="J519" s="13"/>
      <c r="K519" s="13"/>
    </row>
    <row r="520" customFormat="false" ht="57.45" hidden="false" customHeight="false" outlineLevel="0" collapsed="false">
      <c r="A520" s="9" t="n">
        <v>519</v>
      </c>
      <c r="B520" s="9" t="s">
        <v>50</v>
      </c>
      <c r="C520" s="11" t="s">
        <v>63</v>
      </c>
      <c r="D520" s="9" t="s">
        <v>2257</v>
      </c>
      <c r="E520" s="9" t="s">
        <v>2258</v>
      </c>
      <c r="F520" s="9" t="s">
        <v>2259</v>
      </c>
      <c r="G520" s="9" t="s">
        <v>328</v>
      </c>
      <c r="H520" s="14" t="s">
        <v>22</v>
      </c>
      <c r="I520" s="9" t="s">
        <v>2260</v>
      </c>
      <c r="J520" s="13"/>
      <c r="K520" s="13"/>
    </row>
    <row r="521" customFormat="false" ht="35.05" hidden="false" customHeight="false" outlineLevel="0" collapsed="false">
      <c r="A521" s="9" t="n">
        <v>520</v>
      </c>
      <c r="B521" s="9" t="s">
        <v>50</v>
      </c>
      <c r="C521" s="11" t="s">
        <v>63</v>
      </c>
      <c r="D521" s="9" t="s">
        <v>2261</v>
      </c>
      <c r="E521" s="9" t="s">
        <v>2262</v>
      </c>
      <c r="F521" s="9" t="s">
        <v>2263</v>
      </c>
      <c r="G521" s="9" t="s">
        <v>328</v>
      </c>
      <c r="H521" s="14" t="s">
        <v>22</v>
      </c>
      <c r="I521" s="9" t="s">
        <v>2264</v>
      </c>
      <c r="J521" s="13"/>
      <c r="K521" s="13"/>
    </row>
    <row r="522" customFormat="false" ht="35.05" hidden="false" customHeight="false" outlineLevel="0" collapsed="false">
      <c r="A522" s="9" t="n">
        <v>521</v>
      </c>
      <c r="B522" s="9" t="s">
        <v>50</v>
      </c>
      <c r="C522" s="11" t="s">
        <v>63</v>
      </c>
      <c r="D522" s="9" t="s">
        <v>2265</v>
      </c>
      <c r="E522" s="9" t="s">
        <v>2266</v>
      </c>
      <c r="F522" s="9" t="s">
        <v>2267</v>
      </c>
      <c r="G522" s="9" t="s">
        <v>328</v>
      </c>
      <c r="H522" s="15" t="s">
        <v>23</v>
      </c>
      <c r="I522" s="9" t="s">
        <v>2268</v>
      </c>
      <c r="J522" s="13"/>
      <c r="K522" s="13"/>
    </row>
    <row r="523" customFormat="false" ht="23.85" hidden="false" customHeight="false" outlineLevel="0" collapsed="false">
      <c r="A523" s="9" t="n">
        <v>522</v>
      </c>
      <c r="B523" s="9" t="s">
        <v>50</v>
      </c>
      <c r="C523" s="11" t="s">
        <v>63</v>
      </c>
      <c r="D523" s="9" t="s">
        <v>2269</v>
      </c>
      <c r="E523" s="9" t="s">
        <v>2270</v>
      </c>
      <c r="F523" s="9" t="s">
        <v>2271</v>
      </c>
      <c r="G523" s="9" t="s">
        <v>312</v>
      </c>
      <c r="H523" s="15" t="s">
        <v>23</v>
      </c>
      <c r="I523" s="9" t="s">
        <v>2272</v>
      </c>
      <c r="J523" s="13"/>
      <c r="K523" s="13"/>
    </row>
    <row r="524" customFormat="false" ht="46.25" hidden="false" customHeight="false" outlineLevel="0" collapsed="false">
      <c r="A524" s="9" t="n">
        <v>523</v>
      </c>
      <c r="B524" s="9" t="s">
        <v>50</v>
      </c>
      <c r="C524" s="11" t="s">
        <v>63</v>
      </c>
      <c r="D524" s="9" t="s">
        <v>2273</v>
      </c>
      <c r="E524" s="9" t="s">
        <v>2274</v>
      </c>
      <c r="F524" s="9" t="s">
        <v>2275</v>
      </c>
      <c r="G524" s="9" t="s">
        <v>312</v>
      </c>
      <c r="H524" s="15" t="s">
        <v>23</v>
      </c>
      <c r="I524" s="9" t="s">
        <v>2276</v>
      </c>
      <c r="J524" s="13"/>
      <c r="K524" s="13"/>
    </row>
    <row r="525" customFormat="false" ht="23.85" hidden="false" customHeight="false" outlineLevel="0" collapsed="false">
      <c r="A525" s="9" t="n">
        <v>524</v>
      </c>
      <c r="B525" s="9" t="s">
        <v>50</v>
      </c>
      <c r="C525" s="11" t="s">
        <v>63</v>
      </c>
      <c r="D525" s="9" t="s">
        <v>2277</v>
      </c>
      <c r="E525" s="9" t="s">
        <v>2278</v>
      </c>
      <c r="F525" s="9" t="s">
        <v>2279</v>
      </c>
      <c r="G525" s="9" t="s">
        <v>312</v>
      </c>
      <c r="H525" s="15" t="s">
        <v>23</v>
      </c>
      <c r="I525" s="9" t="s">
        <v>2280</v>
      </c>
      <c r="J525" s="13"/>
      <c r="K525" s="13"/>
    </row>
    <row r="526" customFormat="false" ht="35.05" hidden="false" customHeight="false" outlineLevel="0" collapsed="false">
      <c r="A526" s="9" t="n">
        <v>525</v>
      </c>
      <c r="B526" s="9" t="s">
        <v>50</v>
      </c>
      <c r="C526" s="11" t="s">
        <v>63</v>
      </c>
      <c r="D526" s="9" t="s">
        <v>2281</v>
      </c>
      <c r="E526" s="9" t="s">
        <v>2282</v>
      </c>
      <c r="F526" s="9" t="s">
        <v>2283</v>
      </c>
      <c r="G526" s="9" t="s">
        <v>317</v>
      </c>
      <c r="H526" s="15" t="s">
        <v>23</v>
      </c>
      <c r="I526" s="9" t="s">
        <v>2284</v>
      </c>
      <c r="J526" s="13"/>
      <c r="K526" s="13"/>
    </row>
    <row r="527" customFormat="false" ht="35.05" hidden="false" customHeight="false" outlineLevel="0" collapsed="false">
      <c r="A527" s="9" t="n">
        <v>526</v>
      </c>
      <c r="B527" s="9" t="s">
        <v>50</v>
      </c>
      <c r="C527" s="11" t="s">
        <v>63</v>
      </c>
      <c r="D527" s="9" t="s">
        <v>2285</v>
      </c>
      <c r="E527" s="9" t="s">
        <v>2286</v>
      </c>
      <c r="F527" s="9" t="s">
        <v>2287</v>
      </c>
      <c r="G527" s="9" t="s">
        <v>324</v>
      </c>
      <c r="H527" s="15" t="s">
        <v>23</v>
      </c>
      <c r="I527" s="9" t="s">
        <v>2288</v>
      </c>
      <c r="J527" s="13"/>
      <c r="K527" s="13"/>
    </row>
    <row r="528" customFormat="false" ht="46.25" hidden="false" customHeight="false" outlineLevel="0" collapsed="false">
      <c r="A528" s="9" t="n">
        <v>527</v>
      </c>
      <c r="B528" s="9" t="s">
        <v>50</v>
      </c>
      <c r="C528" s="11" t="s">
        <v>63</v>
      </c>
      <c r="D528" s="9" t="s">
        <v>2289</v>
      </c>
      <c r="E528" s="9" t="s">
        <v>2290</v>
      </c>
      <c r="F528" s="9" t="s">
        <v>2291</v>
      </c>
      <c r="G528" s="9" t="s">
        <v>2044</v>
      </c>
      <c r="H528" s="15" t="s">
        <v>23</v>
      </c>
      <c r="I528" s="9" t="s">
        <v>2292</v>
      </c>
      <c r="J528" s="13"/>
      <c r="K528" s="13"/>
    </row>
    <row r="529" customFormat="false" ht="35.05" hidden="false" customHeight="false" outlineLevel="0" collapsed="false">
      <c r="A529" s="9" t="n">
        <v>528</v>
      </c>
      <c r="B529" s="9" t="s">
        <v>50</v>
      </c>
      <c r="C529" s="11" t="s">
        <v>63</v>
      </c>
      <c r="D529" s="9" t="s">
        <v>2293</v>
      </c>
      <c r="E529" s="9" t="s">
        <v>2294</v>
      </c>
      <c r="F529" s="9" t="s">
        <v>2295</v>
      </c>
      <c r="G529" s="9" t="s">
        <v>312</v>
      </c>
      <c r="H529" s="15" t="s">
        <v>23</v>
      </c>
      <c r="I529" s="9" t="s">
        <v>2296</v>
      </c>
      <c r="J529" s="13"/>
      <c r="K529" s="13"/>
    </row>
    <row r="530" customFormat="false" ht="23.85" hidden="false" customHeight="false" outlineLevel="0" collapsed="false">
      <c r="A530" s="9" t="n">
        <v>529</v>
      </c>
      <c r="B530" s="9" t="s">
        <v>50</v>
      </c>
      <c r="C530" s="11" t="s">
        <v>63</v>
      </c>
      <c r="D530" s="9" t="s">
        <v>2297</v>
      </c>
      <c r="E530" s="9" t="s">
        <v>2094</v>
      </c>
      <c r="F530" s="9" t="s">
        <v>2095</v>
      </c>
      <c r="G530" s="9" t="s">
        <v>328</v>
      </c>
      <c r="H530" s="15" t="s">
        <v>23</v>
      </c>
      <c r="I530" s="9" t="s">
        <v>2298</v>
      </c>
      <c r="J530" s="13"/>
      <c r="K530" s="13"/>
    </row>
    <row r="531" customFormat="false" ht="35.05" hidden="false" customHeight="false" outlineLevel="0" collapsed="false">
      <c r="A531" s="9" t="n">
        <v>530</v>
      </c>
      <c r="B531" s="9" t="s">
        <v>50</v>
      </c>
      <c r="C531" s="11" t="s">
        <v>63</v>
      </c>
      <c r="D531" s="9" t="s">
        <v>2299</v>
      </c>
      <c r="E531" s="9" t="s">
        <v>2300</v>
      </c>
      <c r="F531" s="9" t="s">
        <v>2301</v>
      </c>
      <c r="G531" s="9" t="s">
        <v>328</v>
      </c>
      <c r="H531" s="15" t="s">
        <v>23</v>
      </c>
      <c r="I531" s="9" t="s">
        <v>2302</v>
      </c>
      <c r="J531" s="13"/>
      <c r="K531" s="13"/>
    </row>
    <row r="532" customFormat="false" ht="23.85" hidden="false" customHeight="false" outlineLevel="0" collapsed="false">
      <c r="A532" s="9" t="n">
        <v>531</v>
      </c>
      <c r="B532" s="9" t="s">
        <v>50</v>
      </c>
      <c r="C532" s="11" t="s">
        <v>63</v>
      </c>
      <c r="D532" s="9" t="s">
        <v>2303</v>
      </c>
      <c r="E532" s="9" t="s">
        <v>2304</v>
      </c>
      <c r="F532" s="9" t="s">
        <v>2305</v>
      </c>
      <c r="G532" s="9" t="s">
        <v>24</v>
      </c>
      <c r="H532" s="14" t="s">
        <v>22</v>
      </c>
      <c r="I532" s="9" t="s">
        <v>2112</v>
      </c>
      <c r="J532" s="13"/>
      <c r="K532" s="13"/>
    </row>
    <row r="533" customFormat="false" ht="23.85" hidden="false" customHeight="false" outlineLevel="0" collapsed="false">
      <c r="A533" s="9" t="n">
        <v>532</v>
      </c>
      <c r="B533" s="9" t="s">
        <v>50</v>
      </c>
      <c r="C533" s="11" t="s">
        <v>63</v>
      </c>
      <c r="D533" s="9" t="s">
        <v>2306</v>
      </c>
      <c r="E533" s="9" t="s">
        <v>2307</v>
      </c>
      <c r="F533" s="9" t="s">
        <v>2308</v>
      </c>
      <c r="G533" s="9" t="s">
        <v>24</v>
      </c>
      <c r="H533" s="14" t="s">
        <v>22</v>
      </c>
      <c r="I533" s="9" t="s">
        <v>1720</v>
      </c>
      <c r="J533" s="13"/>
      <c r="K533" s="13"/>
    </row>
    <row r="534" customFormat="false" ht="15" hidden="false" customHeight="false" outlineLevel="0" collapsed="false">
      <c r="A534" s="9" t="n">
        <v>533</v>
      </c>
      <c r="B534" s="9" t="s">
        <v>50</v>
      </c>
      <c r="C534" s="11" t="s">
        <v>63</v>
      </c>
      <c r="D534" s="9" t="s">
        <v>2309</v>
      </c>
      <c r="E534" s="9" t="s">
        <v>2310</v>
      </c>
      <c r="F534" s="9" t="s">
        <v>2311</v>
      </c>
      <c r="G534" s="9" t="s">
        <v>24</v>
      </c>
      <c r="H534" s="14" t="s">
        <v>22</v>
      </c>
      <c r="I534" s="9" t="s">
        <v>2312</v>
      </c>
      <c r="J534" s="13"/>
      <c r="K534" s="13"/>
    </row>
    <row r="535" customFormat="false" ht="23.85" hidden="false" customHeight="false" outlineLevel="0" collapsed="false">
      <c r="A535" s="9" t="n">
        <v>534</v>
      </c>
      <c r="B535" s="9" t="s">
        <v>50</v>
      </c>
      <c r="C535" s="11" t="s">
        <v>63</v>
      </c>
      <c r="D535" s="9" t="s">
        <v>2313</v>
      </c>
      <c r="E535" s="9" t="s">
        <v>2314</v>
      </c>
      <c r="F535" s="9" t="s">
        <v>2315</v>
      </c>
      <c r="G535" s="9" t="s">
        <v>24</v>
      </c>
      <c r="H535" s="14" t="s">
        <v>22</v>
      </c>
      <c r="I535" s="9" t="s">
        <v>2316</v>
      </c>
      <c r="J535" s="13"/>
      <c r="K535" s="13"/>
    </row>
    <row r="536" customFormat="false" ht="23.85" hidden="false" customHeight="false" outlineLevel="0" collapsed="false">
      <c r="A536" s="9" t="n">
        <v>535</v>
      </c>
      <c r="B536" s="9" t="s">
        <v>50</v>
      </c>
      <c r="C536" s="11" t="s">
        <v>63</v>
      </c>
      <c r="D536" s="9" t="s">
        <v>2317</v>
      </c>
      <c r="E536" s="9" t="s">
        <v>2318</v>
      </c>
      <c r="F536" s="9" t="s">
        <v>2319</v>
      </c>
      <c r="G536" s="9" t="s">
        <v>24</v>
      </c>
      <c r="H536" s="14" t="s">
        <v>22</v>
      </c>
      <c r="I536" s="9" t="s">
        <v>2320</v>
      </c>
      <c r="J536" s="13"/>
      <c r="K536" s="13"/>
    </row>
    <row r="537" customFormat="false" ht="46.25" hidden="false" customHeight="false" outlineLevel="0" collapsed="false">
      <c r="A537" s="9" t="n">
        <v>536</v>
      </c>
      <c r="B537" s="9" t="s">
        <v>50</v>
      </c>
      <c r="C537" s="11" t="s">
        <v>63</v>
      </c>
      <c r="D537" s="9" t="s">
        <v>2321</v>
      </c>
      <c r="E537" s="9" t="s">
        <v>2322</v>
      </c>
      <c r="F537" s="9" t="s">
        <v>2323</v>
      </c>
      <c r="G537" s="9" t="s">
        <v>24</v>
      </c>
      <c r="H537" s="15" t="s">
        <v>23</v>
      </c>
      <c r="I537" s="9" t="s">
        <v>2324</v>
      </c>
      <c r="J537" s="13"/>
      <c r="K537" s="13"/>
    </row>
    <row r="538" customFormat="false" ht="35.05" hidden="false" customHeight="false" outlineLevel="0" collapsed="false">
      <c r="A538" s="9" t="n">
        <v>537</v>
      </c>
      <c r="B538" s="9" t="s">
        <v>50</v>
      </c>
      <c r="C538" s="11" t="s">
        <v>63</v>
      </c>
      <c r="D538" s="9" t="s">
        <v>2325</v>
      </c>
      <c r="E538" s="9" t="s">
        <v>2326</v>
      </c>
      <c r="F538" s="9" t="s">
        <v>2327</v>
      </c>
      <c r="G538" s="9" t="s">
        <v>24</v>
      </c>
      <c r="H538" s="14" t="s">
        <v>22</v>
      </c>
      <c r="I538" s="9" t="s">
        <v>1720</v>
      </c>
      <c r="J538" s="13"/>
      <c r="K538" s="13"/>
    </row>
    <row r="539" customFormat="false" ht="46.25" hidden="false" customHeight="false" outlineLevel="0" collapsed="false">
      <c r="A539" s="9" t="n">
        <v>538</v>
      </c>
      <c r="B539" s="9" t="s">
        <v>50</v>
      </c>
      <c r="C539" s="11" t="s">
        <v>63</v>
      </c>
      <c r="D539" s="9" t="s">
        <v>2328</v>
      </c>
      <c r="E539" s="9" t="s">
        <v>2329</v>
      </c>
      <c r="F539" s="9" t="s">
        <v>2330</v>
      </c>
      <c r="G539" s="9" t="s">
        <v>24</v>
      </c>
      <c r="H539" s="14" t="s">
        <v>22</v>
      </c>
      <c r="I539" s="9" t="s">
        <v>2331</v>
      </c>
      <c r="J539" s="13"/>
      <c r="K539" s="13"/>
    </row>
    <row r="540" customFormat="false" ht="23.85" hidden="false" customHeight="false" outlineLevel="0" collapsed="false">
      <c r="A540" s="9" t="n">
        <v>539</v>
      </c>
      <c r="B540" s="9" t="s">
        <v>50</v>
      </c>
      <c r="C540" s="11" t="s">
        <v>63</v>
      </c>
      <c r="D540" s="9" t="s">
        <v>2332</v>
      </c>
      <c r="E540" s="9" t="s">
        <v>2333</v>
      </c>
      <c r="F540" s="9" t="s">
        <v>2334</v>
      </c>
      <c r="G540" s="9" t="s">
        <v>24</v>
      </c>
      <c r="H540" s="14" t="s">
        <v>22</v>
      </c>
      <c r="I540" s="9" t="s">
        <v>434</v>
      </c>
      <c r="J540" s="13"/>
      <c r="K540" s="13"/>
    </row>
    <row r="541" customFormat="false" ht="23.85" hidden="false" customHeight="false" outlineLevel="0" collapsed="false">
      <c r="A541" s="9" t="n">
        <v>540</v>
      </c>
      <c r="B541" s="9" t="s">
        <v>50</v>
      </c>
      <c r="C541" s="11" t="s">
        <v>63</v>
      </c>
      <c r="D541" s="9" t="s">
        <v>2335</v>
      </c>
      <c r="E541" s="9" t="s">
        <v>2336</v>
      </c>
      <c r="F541" s="9" t="s">
        <v>2337</v>
      </c>
      <c r="G541" s="9" t="s">
        <v>24</v>
      </c>
      <c r="H541" s="14" t="s">
        <v>22</v>
      </c>
      <c r="I541" s="9" t="s">
        <v>2338</v>
      </c>
      <c r="J541" s="13"/>
      <c r="K541" s="13"/>
    </row>
    <row r="542" customFormat="false" ht="23.85" hidden="false" customHeight="false" outlineLevel="0" collapsed="false">
      <c r="A542" s="9" t="n">
        <v>541</v>
      </c>
      <c r="B542" s="9" t="s">
        <v>50</v>
      </c>
      <c r="C542" s="11" t="s">
        <v>63</v>
      </c>
      <c r="D542" s="9" t="s">
        <v>2339</v>
      </c>
      <c r="E542" s="9" t="s">
        <v>2340</v>
      </c>
      <c r="F542" s="9" t="s">
        <v>2341</v>
      </c>
      <c r="G542" s="9" t="s">
        <v>24</v>
      </c>
      <c r="H542" s="14" t="s">
        <v>22</v>
      </c>
      <c r="I542" s="9" t="s">
        <v>434</v>
      </c>
      <c r="J542" s="13"/>
      <c r="K542" s="13"/>
    </row>
    <row r="543" customFormat="false" ht="23.85" hidden="false" customHeight="false" outlineLevel="0" collapsed="false">
      <c r="A543" s="9" t="n">
        <v>542</v>
      </c>
      <c r="B543" s="9" t="s">
        <v>50</v>
      </c>
      <c r="C543" s="11" t="s">
        <v>63</v>
      </c>
      <c r="D543" s="9" t="s">
        <v>2342</v>
      </c>
      <c r="E543" s="9" t="s">
        <v>358</v>
      </c>
      <c r="F543" s="9" t="s">
        <v>2343</v>
      </c>
      <c r="G543" s="9" t="s">
        <v>24</v>
      </c>
      <c r="H543" s="14" t="s">
        <v>22</v>
      </c>
      <c r="I543" s="9" t="s">
        <v>2150</v>
      </c>
      <c r="J543" s="13"/>
      <c r="K543" s="13"/>
    </row>
    <row r="544" customFormat="false" ht="15" hidden="false" customHeight="false" outlineLevel="0" collapsed="false">
      <c r="A544" s="9" t="n">
        <v>543</v>
      </c>
      <c r="B544" s="9" t="s">
        <v>50</v>
      </c>
      <c r="C544" s="11" t="s">
        <v>63</v>
      </c>
      <c r="D544" s="9" t="s">
        <v>2344</v>
      </c>
      <c r="E544" s="9" t="s">
        <v>362</v>
      </c>
      <c r="F544" s="9" t="s">
        <v>363</v>
      </c>
      <c r="G544" s="9" t="s">
        <v>24</v>
      </c>
      <c r="H544" s="14" t="s">
        <v>22</v>
      </c>
      <c r="I544" s="9" t="s">
        <v>364</v>
      </c>
      <c r="J544" s="13"/>
      <c r="K544" s="13"/>
    </row>
    <row r="545" customFormat="false" ht="23.85" hidden="false" customHeight="false" outlineLevel="0" collapsed="false">
      <c r="A545" s="9" t="n">
        <v>544</v>
      </c>
      <c r="B545" s="9" t="s">
        <v>50</v>
      </c>
      <c r="C545" s="11" t="s">
        <v>63</v>
      </c>
      <c r="D545" s="9" t="s">
        <v>2345</v>
      </c>
      <c r="E545" s="9" t="s">
        <v>2346</v>
      </c>
      <c r="F545" s="9" t="s">
        <v>2347</v>
      </c>
      <c r="G545" s="9" t="s">
        <v>24</v>
      </c>
      <c r="H545" s="15" t="s">
        <v>23</v>
      </c>
      <c r="I545" s="9" t="s">
        <v>2348</v>
      </c>
      <c r="J545" s="13"/>
      <c r="K545" s="13"/>
    </row>
    <row r="546" customFormat="false" ht="23.85" hidden="false" customHeight="false" outlineLevel="0" collapsed="false">
      <c r="A546" s="9" t="n">
        <v>545</v>
      </c>
      <c r="B546" s="9" t="s">
        <v>50</v>
      </c>
      <c r="C546" s="11" t="s">
        <v>63</v>
      </c>
      <c r="D546" s="9" t="s">
        <v>2349</v>
      </c>
      <c r="E546" s="9" t="s">
        <v>2350</v>
      </c>
      <c r="F546" s="9" t="s">
        <v>2351</v>
      </c>
      <c r="G546" s="9" t="s">
        <v>24</v>
      </c>
      <c r="H546" s="15" t="s">
        <v>23</v>
      </c>
      <c r="I546" s="9" t="s">
        <v>434</v>
      </c>
      <c r="J546" s="13"/>
      <c r="K546" s="13"/>
    </row>
    <row r="547" customFormat="false" ht="35.05" hidden="false" customHeight="false" outlineLevel="0" collapsed="false">
      <c r="A547" s="9" t="n">
        <v>546</v>
      </c>
      <c r="B547" s="9" t="s">
        <v>50</v>
      </c>
      <c r="C547" s="11" t="s">
        <v>63</v>
      </c>
      <c r="D547" s="9" t="s">
        <v>2352</v>
      </c>
      <c r="E547" s="9" t="s">
        <v>2353</v>
      </c>
      <c r="F547" s="9" t="s">
        <v>2354</v>
      </c>
      <c r="G547" s="9" t="s">
        <v>24</v>
      </c>
      <c r="H547" s="15" t="s">
        <v>23</v>
      </c>
      <c r="I547" s="9" t="s">
        <v>2355</v>
      </c>
      <c r="J547" s="13"/>
      <c r="K547" s="13"/>
    </row>
    <row r="548" customFormat="false" ht="23.85" hidden="false" customHeight="false" outlineLevel="0" collapsed="false">
      <c r="A548" s="9" t="n">
        <v>547</v>
      </c>
      <c r="B548" s="9" t="s">
        <v>50</v>
      </c>
      <c r="C548" s="11" t="s">
        <v>63</v>
      </c>
      <c r="D548" s="9" t="s">
        <v>2356</v>
      </c>
      <c r="E548" s="9" t="s">
        <v>2357</v>
      </c>
      <c r="F548" s="9" t="s">
        <v>2358</v>
      </c>
      <c r="G548" s="9" t="s">
        <v>24</v>
      </c>
      <c r="H548" s="15" t="s">
        <v>23</v>
      </c>
      <c r="I548" s="9" t="s">
        <v>380</v>
      </c>
      <c r="J548" s="13"/>
      <c r="K548" s="13"/>
    </row>
    <row r="549" customFormat="false" ht="35.05" hidden="false" customHeight="false" outlineLevel="0" collapsed="false">
      <c r="A549" s="9" t="n">
        <v>548</v>
      </c>
      <c r="B549" s="9" t="s">
        <v>50</v>
      </c>
      <c r="C549" s="11" t="s">
        <v>63</v>
      </c>
      <c r="D549" s="9" t="s">
        <v>2359</v>
      </c>
      <c r="E549" s="9" t="s">
        <v>2360</v>
      </c>
      <c r="F549" s="9" t="s">
        <v>2361</v>
      </c>
      <c r="G549" s="9" t="s">
        <v>24</v>
      </c>
      <c r="H549" s="15" t="s">
        <v>23</v>
      </c>
      <c r="I549" s="9" t="s">
        <v>2362</v>
      </c>
      <c r="J549" s="13"/>
      <c r="K549" s="13"/>
    </row>
    <row r="550" customFormat="false" ht="23.85" hidden="false" customHeight="false" outlineLevel="0" collapsed="false">
      <c r="A550" s="9" t="n">
        <v>549</v>
      </c>
      <c r="B550" s="9" t="s">
        <v>50</v>
      </c>
      <c r="C550" s="11" t="s">
        <v>63</v>
      </c>
      <c r="D550" s="9" t="s">
        <v>2363</v>
      </c>
      <c r="E550" s="9" t="s">
        <v>1999</v>
      </c>
      <c r="F550" s="9" t="s">
        <v>448</v>
      </c>
      <c r="G550" s="9" t="s">
        <v>24</v>
      </c>
      <c r="H550" s="15" t="s">
        <v>23</v>
      </c>
      <c r="I550" s="9" t="s">
        <v>2000</v>
      </c>
      <c r="J550" s="13"/>
      <c r="K550" s="13"/>
    </row>
    <row r="551" customFormat="false" ht="292.5" hidden="false" customHeight="false" outlineLevel="0" collapsed="false">
      <c r="A551" s="9" t="n">
        <v>550</v>
      </c>
      <c r="B551" s="9" t="s">
        <v>50</v>
      </c>
      <c r="C551" s="11" t="s">
        <v>65</v>
      </c>
      <c r="D551" s="9" t="s">
        <v>2364</v>
      </c>
      <c r="E551" s="9" t="s">
        <v>2365</v>
      </c>
      <c r="F551" s="9" t="s">
        <v>2366</v>
      </c>
      <c r="G551" s="9" t="s">
        <v>308</v>
      </c>
      <c r="H551" s="12" t="s">
        <v>21</v>
      </c>
      <c r="I551" s="9" t="s">
        <v>2367</v>
      </c>
      <c r="J551" s="13"/>
      <c r="K551" s="13"/>
    </row>
    <row r="552" customFormat="false" ht="35.05" hidden="false" customHeight="false" outlineLevel="0" collapsed="false">
      <c r="A552" s="9" t="n">
        <v>551</v>
      </c>
      <c r="B552" s="9" t="s">
        <v>50</v>
      </c>
      <c r="C552" s="11" t="s">
        <v>65</v>
      </c>
      <c r="D552" s="9" t="s">
        <v>2368</v>
      </c>
      <c r="E552" s="9" t="s">
        <v>2369</v>
      </c>
      <c r="F552" s="9" t="s">
        <v>2370</v>
      </c>
      <c r="G552" s="9" t="s">
        <v>2044</v>
      </c>
      <c r="H552" s="12" t="s">
        <v>21</v>
      </c>
      <c r="I552" s="9" t="s">
        <v>2371</v>
      </c>
      <c r="J552" s="13"/>
      <c r="K552" s="13"/>
    </row>
    <row r="553" customFormat="false" ht="46.25" hidden="false" customHeight="false" outlineLevel="0" collapsed="false">
      <c r="A553" s="9" t="n">
        <v>552</v>
      </c>
      <c r="B553" s="9" t="s">
        <v>50</v>
      </c>
      <c r="C553" s="11" t="s">
        <v>65</v>
      </c>
      <c r="D553" s="9" t="s">
        <v>2372</v>
      </c>
      <c r="E553" s="9" t="s">
        <v>2373</v>
      </c>
      <c r="F553" s="9" t="s">
        <v>2374</v>
      </c>
      <c r="G553" s="9" t="s">
        <v>317</v>
      </c>
      <c r="H553" s="12" t="s">
        <v>21</v>
      </c>
      <c r="I553" s="9" t="s">
        <v>2375</v>
      </c>
      <c r="J553" s="13"/>
      <c r="K553" s="13"/>
    </row>
    <row r="554" customFormat="false" ht="68.65" hidden="false" customHeight="false" outlineLevel="0" collapsed="false">
      <c r="A554" s="9" t="n">
        <v>553</v>
      </c>
      <c r="B554" s="9" t="s">
        <v>50</v>
      </c>
      <c r="C554" s="11" t="s">
        <v>65</v>
      </c>
      <c r="D554" s="9" t="s">
        <v>2376</v>
      </c>
      <c r="E554" s="9" t="s">
        <v>2377</v>
      </c>
      <c r="F554" s="9" t="s">
        <v>2378</v>
      </c>
      <c r="G554" s="9" t="s">
        <v>2044</v>
      </c>
      <c r="H554" s="12" t="s">
        <v>21</v>
      </c>
      <c r="I554" s="9" t="s">
        <v>2379</v>
      </c>
      <c r="J554" s="13"/>
      <c r="K554" s="13"/>
    </row>
    <row r="555" customFormat="false" ht="57.45" hidden="false" customHeight="false" outlineLevel="0" collapsed="false">
      <c r="A555" s="9" t="n">
        <v>554</v>
      </c>
      <c r="B555" s="9" t="s">
        <v>50</v>
      </c>
      <c r="C555" s="11" t="s">
        <v>65</v>
      </c>
      <c r="D555" s="9" t="s">
        <v>2380</v>
      </c>
      <c r="E555" s="9" t="s">
        <v>2381</v>
      </c>
      <c r="F555" s="9" t="s">
        <v>2382</v>
      </c>
      <c r="G555" s="9" t="s">
        <v>312</v>
      </c>
      <c r="H555" s="14" t="s">
        <v>22</v>
      </c>
      <c r="I555" s="9" t="s">
        <v>2383</v>
      </c>
      <c r="J555" s="13"/>
      <c r="K555" s="13"/>
    </row>
    <row r="556" customFormat="false" ht="68.65" hidden="false" customHeight="false" outlineLevel="0" collapsed="false">
      <c r="A556" s="9" t="n">
        <v>555</v>
      </c>
      <c r="B556" s="9" t="s">
        <v>50</v>
      </c>
      <c r="C556" s="11" t="s">
        <v>65</v>
      </c>
      <c r="D556" s="9" t="s">
        <v>2384</v>
      </c>
      <c r="E556" s="9" t="s">
        <v>2385</v>
      </c>
      <c r="F556" s="9" t="s">
        <v>2386</v>
      </c>
      <c r="G556" s="9" t="s">
        <v>303</v>
      </c>
      <c r="H556" s="14" t="s">
        <v>22</v>
      </c>
      <c r="I556" s="9" t="s">
        <v>2387</v>
      </c>
      <c r="J556" s="13"/>
      <c r="K556" s="13"/>
    </row>
    <row r="557" customFormat="false" ht="46.25" hidden="false" customHeight="false" outlineLevel="0" collapsed="false">
      <c r="A557" s="9" t="n">
        <v>556</v>
      </c>
      <c r="B557" s="9" t="s">
        <v>50</v>
      </c>
      <c r="C557" s="11" t="s">
        <v>65</v>
      </c>
      <c r="D557" s="9" t="s">
        <v>2388</v>
      </c>
      <c r="E557" s="9" t="s">
        <v>2389</v>
      </c>
      <c r="F557" s="9" t="s">
        <v>2390</v>
      </c>
      <c r="G557" s="9" t="s">
        <v>2044</v>
      </c>
      <c r="H557" s="14" t="s">
        <v>22</v>
      </c>
      <c r="I557" s="9" t="s">
        <v>2391</v>
      </c>
      <c r="J557" s="13"/>
      <c r="K557" s="13"/>
    </row>
    <row r="558" customFormat="false" ht="57.45" hidden="false" customHeight="false" outlineLevel="0" collapsed="false">
      <c r="A558" s="9" t="n">
        <v>557</v>
      </c>
      <c r="B558" s="9" t="s">
        <v>50</v>
      </c>
      <c r="C558" s="11" t="s">
        <v>65</v>
      </c>
      <c r="D558" s="9" t="s">
        <v>2392</v>
      </c>
      <c r="E558" s="9" t="s">
        <v>2393</v>
      </c>
      <c r="F558" s="9" t="s">
        <v>2394</v>
      </c>
      <c r="G558" s="9" t="s">
        <v>2044</v>
      </c>
      <c r="H558" s="14" t="s">
        <v>22</v>
      </c>
      <c r="I558" s="9" t="s">
        <v>2395</v>
      </c>
      <c r="J558" s="13"/>
      <c r="K558" s="13"/>
    </row>
    <row r="559" customFormat="false" ht="46.25" hidden="false" customHeight="false" outlineLevel="0" collapsed="false">
      <c r="A559" s="9" t="n">
        <v>558</v>
      </c>
      <c r="B559" s="9" t="s">
        <v>50</v>
      </c>
      <c r="C559" s="11" t="s">
        <v>65</v>
      </c>
      <c r="D559" s="9" t="s">
        <v>2396</v>
      </c>
      <c r="E559" s="9" t="s">
        <v>2397</v>
      </c>
      <c r="F559" s="9" t="s">
        <v>2398</v>
      </c>
      <c r="G559" s="9" t="s">
        <v>303</v>
      </c>
      <c r="H559" s="14" t="s">
        <v>22</v>
      </c>
      <c r="I559" s="9" t="s">
        <v>2399</v>
      </c>
      <c r="J559" s="13"/>
      <c r="K559" s="13"/>
    </row>
    <row r="560" customFormat="false" ht="57.45" hidden="false" customHeight="false" outlineLevel="0" collapsed="false">
      <c r="A560" s="9" t="n">
        <v>559</v>
      </c>
      <c r="B560" s="9" t="s">
        <v>50</v>
      </c>
      <c r="C560" s="11" t="s">
        <v>65</v>
      </c>
      <c r="D560" s="9" t="s">
        <v>2400</v>
      </c>
      <c r="E560" s="9" t="s">
        <v>2401</v>
      </c>
      <c r="F560" s="9" t="s">
        <v>2402</v>
      </c>
      <c r="G560" s="9" t="s">
        <v>2044</v>
      </c>
      <c r="H560" s="14" t="s">
        <v>22</v>
      </c>
      <c r="I560" s="9" t="s">
        <v>2403</v>
      </c>
      <c r="J560" s="13"/>
      <c r="K560" s="13"/>
    </row>
    <row r="561" customFormat="false" ht="35.05" hidden="false" customHeight="false" outlineLevel="0" collapsed="false">
      <c r="A561" s="9" t="n">
        <v>560</v>
      </c>
      <c r="B561" s="9" t="s">
        <v>50</v>
      </c>
      <c r="C561" s="11" t="s">
        <v>65</v>
      </c>
      <c r="D561" s="9" t="s">
        <v>2404</v>
      </c>
      <c r="E561" s="9" t="s">
        <v>2405</v>
      </c>
      <c r="F561" s="9" t="s">
        <v>2406</v>
      </c>
      <c r="G561" s="9" t="s">
        <v>303</v>
      </c>
      <c r="H561" s="15" t="s">
        <v>23</v>
      </c>
      <c r="I561" s="9" t="s">
        <v>2407</v>
      </c>
      <c r="J561" s="13"/>
      <c r="K561" s="13"/>
    </row>
    <row r="562" customFormat="false" ht="57.45" hidden="false" customHeight="false" outlineLevel="0" collapsed="false">
      <c r="A562" s="9" t="n">
        <v>561</v>
      </c>
      <c r="B562" s="9" t="s">
        <v>50</v>
      </c>
      <c r="C562" s="11" t="s">
        <v>65</v>
      </c>
      <c r="D562" s="9" t="s">
        <v>2408</v>
      </c>
      <c r="E562" s="9" t="s">
        <v>2409</v>
      </c>
      <c r="F562" s="9" t="s">
        <v>2410</v>
      </c>
      <c r="G562" s="9" t="s">
        <v>303</v>
      </c>
      <c r="H562" s="12" t="s">
        <v>21</v>
      </c>
      <c r="I562" s="9" t="s">
        <v>2411</v>
      </c>
      <c r="J562" s="13"/>
      <c r="K562" s="13"/>
    </row>
    <row r="563" customFormat="false" ht="23.85" hidden="false" customHeight="false" outlineLevel="0" collapsed="false">
      <c r="A563" s="9" t="n">
        <v>562</v>
      </c>
      <c r="B563" s="9" t="s">
        <v>50</v>
      </c>
      <c r="C563" s="11" t="s">
        <v>65</v>
      </c>
      <c r="D563" s="9" t="s">
        <v>2412</v>
      </c>
      <c r="E563" s="9" t="s">
        <v>2413</v>
      </c>
      <c r="F563" s="9" t="s">
        <v>2414</v>
      </c>
      <c r="G563" s="9" t="s">
        <v>317</v>
      </c>
      <c r="H563" s="14" t="s">
        <v>22</v>
      </c>
      <c r="I563" s="9" t="s">
        <v>2415</v>
      </c>
      <c r="J563" s="13"/>
      <c r="K563" s="13"/>
    </row>
    <row r="564" customFormat="false" ht="46.25" hidden="false" customHeight="false" outlineLevel="0" collapsed="false">
      <c r="A564" s="9" t="n">
        <v>563</v>
      </c>
      <c r="B564" s="9" t="s">
        <v>50</v>
      </c>
      <c r="C564" s="11" t="s">
        <v>65</v>
      </c>
      <c r="D564" s="9" t="s">
        <v>2416</v>
      </c>
      <c r="E564" s="9" t="s">
        <v>2417</v>
      </c>
      <c r="F564" s="9" t="s">
        <v>2418</v>
      </c>
      <c r="G564" s="9" t="s">
        <v>2044</v>
      </c>
      <c r="H564" s="14" t="s">
        <v>22</v>
      </c>
      <c r="I564" s="9" t="s">
        <v>2419</v>
      </c>
      <c r="J564" s="13"/>
      <c r="K564" s="13"/>
    </row>
    <row r="565" customFormat="false" ht="23.85" hidden="false" customHeight="false" outlineLevel="0" collapsed="false">
      <c r="A565" s="9" t="n">
        <v>564</v>
      </c>
      <c r="B565" s="9" t="s">
        <v>50</v>
      </c>
      <c r="C565" s="11" t="s">
        <v>65</v>
      </c>
      <c r="D565" s="9" t="s">
        <v>2420</v>
      </c>
      <c r="E565" s="9" t="s">
        <v>2421</v>
      </c>
      <c r="F565" s="9" t="s">
        <v>2422</v>
      </c>
      <c r="G565" s="9" t="s">
        <v>317</v>
      </c>
      <c r="H565" s="15" t="s">
        <v>23</v>
      </c>
      <c r="I565" s="9" t="s">
        <v>2423</v>
      </c>
      <c r="J565" s="13"/>
      <c r="K565" s="13"/>
    </row>
    <row r="566" customFormat="false" ht="35.05" hidden="false" customHeight="false" outlineLevel="0" collapsed="false">
      <c r="A566" s="9" t="n">
        <v>565</v>
      </c>
      <c r="B566" s="9" t="s">
        <v>50</v>
      </c>
      <c r="C566" s="11" t="s">
        <v>65</v>
      </c>
      <c r="D566" s="9" t="s">
        <v>2424</v>
      </c>
      <c r="E566" s="9" t="s">
        <v>2425</v>
      </c>
      <c r="F566" s="9" t="s">
        <v>2426</v>
      </c>
      <c r="G566" s="9" t="s">
        <v>324</v>
      </c>
      <c r="H566" s="15" t="s">
        <v>23</v>
      </c>
      <c r="I566" s="9" t="s">
        <v>2427</v>
      </c>
      <c r="J566" s="13"/>
      <c r="K566" s="13"/>
    </row>
    <row r="567" customFormat="false" ht="35.05" hidden="false" customHeight="false" outlineLevel="0" collapsed="false">
      <c r="A567" s="9" t="n">
        <v>566</v>
      </c>
      <c r="B567" s="9" t="s">
        <v>50</v>
      </c>
      <c r="C567" s="11" t="s">
        <v>65</v>
      </c>
      <c r="D567" s="9" t="s">
        <v>2428</v>
      </c>
      <c r="E567" s="9" t="s">
        <v>2429</v>
      </c>
      <c r="F567" s="9" t="s">
        <v>2430</v>
      </c>
      <c r="G567" s="9" t="s">
        <v>312</v>
      </c>
      <c r="H567" s="15" t="s">
        <v>23</v>
      </c>
      <c r="I567" s="9" t="s">
        <v>2431</v>
      </c>
      <c r="J567" s="13"/>
      <c r="K567" s="13"/>
    </row>
    <row r="568" customFormat="false" ht="23.85" hidden="false" customHeight="false" outlineLevel="0" collapsed="false">
      <c r="A568" s="9" t="n">
        <v>567</v>
      </c>
      <c r="B568" s="9" t="s">
        <v>50</v>
      </c>
      <c r="C568" s="11" t="s">
        <v>65</v>
      </c>
      <c r="D568" s="9" t="s">
        <v>2432</v>
      </c>
      <c r="E568" s="9" t="s">
        <v>2433</v>
      </c>
      <c r="F568" s="9" t="s">
        <v>2434</v>
      </c>
      <c r="G568" s="9" t="s">
        <v>317</v>
      </c>
      <c r="H568" s="15" t="s">
        <v>23</v>
      </c>
      <c r="I568" s="9" t="s">
        <v>2435</v>
      </c>
      <c r="J568" s="13"/>
      <c r="K568" s="13"/>
    </row>
    <row r="569" customFormat="false" ht="46.25" hidden="false" customHeight="false" outlineLevel="0" collapsed="false">
      <c r="A569" s="9" t="n">
        <v>568</v>
      </c>
      <c r="B569" s="9" t="s">
        <v>50</v>
      </c>
      <c r="C569" s="11" t="s">
        <v>65</v>
      </c>
      <c r="D569" s="9" t="s">
        <v>2436</v>
      </c>
      <c r="E569" s="9" t="s">
        <v>2437</v>
      </c>
      <c r="F569" s="9" t="s">
        <v>2438</v>
      </c>
      <c r="G569" s="9" t="s">
        <v>2044</v>
      </c>
      <c r="H569" s="15" t="s">
        <v>23</v>
      </c>
      <c r="I569" s="9" t="s">
        <v>2439</v>
      </c>
      <c r="J569" s="13"/>
      <c r="K569" s="13"/>
    </row>
    <row r="570" customFormat="false" ht="46.25" hidden="false" customHeight="false" outlineLevel="0" collapsed="false">
      <c r="A570" s="9" t="n">
        <v>569</v>
      </c>
      <c r="B570" s="9" t="s">
        <v>50</v>
      </c>
      <c r="C570" s="11" t="s">
        <v>65</v>
      </c>
      <c r="D570" s="9" t="s">
        <v>2440</v>
      </c>
      <c r="E570" s="9" t="s">
        <v>2441</v>
      </c>
      <c r="F570" s="9" t="s">
        <v>2442</v>
      </c>
      <c r="G570" s="9" t="s">
        <v>317</v>
      </c>
      <c r="H570" s="14" t="s">
        <v>22</v>
      </c>
      <c r="I570" s="9" t="s">
        <v>2443</v>
      </c>
      <c r="J570" s="13"/>
      <c r="K570" s="13"/>
    </row>
    <row r="571" customFormat="false" ht="57.45" hidden="false" customHeight="false" outlineLevel="0" collapsed="false">
      <c r="A571" s="9" t="n">
        <v>570</v>
      </c>
      <c r="B571" s="9" t="s">
        <v>50</v>
      </c>
      <c r="C571" s="11" t="s">
        <v>65</v>
      </c>
      <c r="D571" s="9" t="s">
        <v>2444</v>
      </c>
      <c r="E571" s="9" t="s">
        <v>2445</v>
      </c>
      <c r="F571" s="9" t="s">
        <v>2446</v>
      </c>
      <c r="G571" s="9" t="s">
        <v>2044</v>
      </c>
      <c r="H571" s="14" t="s">
        <v>22</v>
      </c>
      <c r="I571" s="9" t="s">
        <v>2447</v>
      </c>
      <c r="J571" s="13"/>
      <c r="K571" s="13"/>
    </row>
    <row r="572" customFormat="false" ht="57.45" hidden="false" customHeight="false" outlineLevel="0" collapsed="false">
      <c r="A572" s="9" t="n">
        <v>571</v>
      </c>
      <c r="B572" s="9" t="s">
        <v>50</v>
      </c>
      <c r="C572" s="11" t="s">
        <v>65</v>
      </c>
      <c r="D572" s="9" t="s">
        <v>2448</v>
      </c>
      <c r="E572" s="9" t="s">
        <v>2449</v>
      </c>
      <c r="F572" s="9" t="s">
        <v>2450</v>
      </c>
      <c r="G572" s="9" t="s">
        <v>2044</v>
      </c>
      <c r="H572" s="14" t="s">
        <v>22</v>
      </c>
      <c r="I572" s="9" t="s">
        <v>2451</v>
      </c>
      <c r="J572" s="13"/>
      <c r="K572" s="13"/>
    </row>
    <row r="573" customFormat="false" ht="35.05" hidden="false" customHeight="false" outlineLevel="0" collapsed="false">
      <c r="A573" s="9" t="n">
        <v>572</v>
      </c>
      <c r="B573" s="9" t="s">
        <v>50</v>
      </c>
      <c r="C573" s="11" t="s">
        <v>65</v>
      </c>
      <c r="D573" s="9" t="s">
        <v>2452</v>
      </c>
      <c r="E573" s="9" t="s">
        <v>2453</v>
      </c>
      <c r="F573" s="9" t="s">
        <v>2454</v>
      </c>
      <c r="G573" s="9" t="s">
        <v>2044</v>
      </c>
      <c r="H573" s="15" t="s">
        <v>23</v>
      </c>
      <c r="I573" s="9" t="s">
        <v>2455</v>
      </c>
      <c r="J573" s="13"/>
      <c r="K573" s="13"/>
    </row>
    <row r="574" customFormat="false" ht="46.25" hidden="false" customHeight="false" outlineLevel="0" collapsed="false">
      <c r="A574" s="9" t="n">
        <v>573</v>
      </c>
      <c r="B574" s="9" t="s">
        <v>50</v>
      </c>
      <c r="C574" s="11" t="s">
        <v>65</v>
      </c>
      <c r="D574" s="9" t="s">
        <v>2456</v>
      </c>
      <c r="E574" s="9" t="s">
        <v>2457</v>
      </c>
      <c r="F574" s="9" t="s">
        <v>2458</v>
      </c>
      <c r="G574" s="9" t="s">
        <v>303</v>
      </c>
      <c r="H574" s="14" t="s">
        <v>22</v>
      </c>
      <c r="I574" s="9" t="s">
        <v>2459</v>
      </c>
      <c r="J574" s="13"/>
      <c r="K574" s="13"/>
    </row>
    <row r="575" customFormat="false" ht="46.25" hidden="false" customHeight="false" outlineLevel="0" collapsed="false">
      <c r="A575" s="9" t="n">
        <v>574</v>
      </c>
      <c r="B575" s="9" t="s">
        <v>50</v>
      </c>
      <c r="C575" s="11" t="s">
        <v>65</v>
      </c>
      <c r="D575" s="9" t="s">
        <v>2460</v>
      </c>
      <c r="E575" s="9" t="s">
        <v>2461</v>
      </c>
      <c r="F575" s="9" t="s">
        <v>2462</v>
      </c>
      <c r="G575" s="9" t="s">
        <v>2044</v>
      </c>
      <c r="H575" s="14" t="s">
        <v>22</v>
      </c>
      <c r="I575" s="9" t="s">
        <v>2463</v>
      </c>
      <c r="J575" s="13"/>
      <c r="K575" s="13"/>
    </row>
    <row r="576" customFormat="false" ht="57.45" hidden="false" customHeight="false" outlineLevel="0" collapsed="false">
      <c r="A576" s="9" t="n">
        <v>575</v>
      </c>
      <c r="B576" s="9" t="s">
        <v>50</v>
      </c>
      <c r="C576" s="11" t="s">
        <v>65</v>
      </c>
      <c r="D576" s="9" t="s">
        <v>2464</v>
      </c>
      <c r="E576" s="9" t="s">
        <v>2465</v>
      </c>
      <c r="F576" s="9" t="s">
        <v>2466</v>
      </c>
      <c r="G576" s="9" t="s">
        <v>2044</v>
      </c>
      <c r="H576" s="14" t="s">
        <v>22</v>
      </c>
      <c r="I576" s="9" t="s">
        <v>2467</v>
      </c>
      <c r="J576" s="13"/>
      <c r="K576" s="13"/>
    </row>
    <row r="577" customFormat="false" ht="102.2" hidden="false" customHeight="false" outlineLevel="0" collapsed="false">
      <c r="A577" s="9" t="n">
        <v>576</v>
      </c>
      <c r="B577" s="9" t="s">
        <v>50</v>
      </c>
      <c r="C577" s="11" t="s">
        <v>65</v>
      </c>
      <c r="D577" s="9" t="s">
        <v>2468</v>
      </c>
      <c r="E577" s="9" t="s">
        <v>2469</v>
      </c>
      <c r="F577" s="9" t="s">
        <v>2470</v>
      </c>
      <c r="G577" s="9" t="s">
        <v>2044</v>
      </c>
      <c r="H577" s="12" t="s">
        <v>21</v>
      </c>
      <c r="I577" s="9" t="s">
        <v>2471</v>
      </c>
      <c r="J577" s="13"/>
      <c r="K577" s="13"/>
    </row>
    <row r="578" customFormat="false" ht="57.45" hidden="false" customHeight="false" outlineLevel="0" collapsed="false">
      <c r="A578" s="9" t="n">
        <v>577</v>
      </c>
      <c r="B578" s="9" t="s">
        <v>50</v>
      </c>
      <c r="C578" s="11" t="s">
        <v>65</v>
      </c>
      <c r="D578" s="9" t="s">
        <v>2472</v>
      </c>
      <c r="E578" s="9" t="s">
        <v>2473</v>
      </c>
      <c r="F578" s="9" t="s">
        <v>2474</v>
      </c>
      <c r="G578" s="9" t="s">
        <v>2044</v>
      </c>
      <c r="H578" s="14" t="s">
        <v>22</v>
      </c>
      <c r="I578" s="9" t="s">
        <v>2475</v>
      </c>
      <c r="J578" s="13"/>
      <c r="K578" s="13"/>
    </row>
    <row r="579" customFormat="false" ht="35.05" hidden="false" customHeight="false" outlineLevel="0" collapsed="false">
      <c r="A579" s="9" t="n">
        <v>578</v>
      </c>
      <c r="B579" s="9" t="s">
        <v>50</v>
      </c>
      <c r="C579" s="11" t="s">
        <v>65</v>
      </c>
      <c r="D579" s="9" t="s">
        <v>2476</v>
      </c>
      <c r="E579" s="9" t="s">
        <v>2477</v>
      </c>
      <c r="F579" s="9" t="s">
        <v>2478</v>
      </c>
      <c r="G579" s="9" t="s">
        <v>312</v>
      </c>
      <c r="H579" s="14" t="s">
        <v>22</v>
      </c>
      <c r="I579" s="9" t="s">
        <v>2479</v>
      </c>
      <c r="J579" s="13"/>
      <c r="K579" s="13"/>
    </row>
    <row r="580" customFormat="false" ht="46.25" hidden="false" customHeight="false" outlineLevel="0" collapsed="false">
      <c r="A580" s="9" t="n">
        <v>579</v>
      </c>
      <c r="B580" s="9" t="s">
        <v>50</v>
      </c>
      <c r="C580" s="11" t="s">
        <v>65</v>
      </c>
      <c r="D580" s="9" t="s">
        <v>2480</v>
      </c>
      <c r="E580" s="9" t="s">
        <v>2481</v>
      </c>
      <c r="F580" s="9" t="s">
        <v>2482</v>
      </c>
      <c r="G580" s="9" t="s">
        <v>312</v>
      </c>
      <c r="H580" s="14" t="s">
        <v>22</v>
      </c>
      <c r="I580" s="9" t="s">
        <v>2483</v>
      </c>
      <c r="J580" s="13"/>
      <c r="K580" s="13"/>
    </row>
    <row r="581" customFormat="false" ht="46.25" hidden="false" customHeight="false" outlineLevel="0" collapsed="false">
      <c r="A581" s="9" t="n">
        <v>580</v>
      </c>
      <c r="B581" s="9" t="s">
        <v>50</v>
      </c>
      <c r="C581" s="11" t="s">
        <v>65</v>
      </c>
      <c r="D581" s="9" t="s">
        <v>2484</v>
      </c>
      <c r="E581" s="9" t="s">
        <v>2485</v>
      </c>
      <c r="F581" s="9" t="s">
        <v>2486</v>
      </c>
      <c r="G581" s="9" t="s">
        <v>328</v>
      </c>
      <c r="H581" s="14" t="s">
        <v>22</v>
      </c>
      <c r="I581" s="9" t="s">
        <v>2487</v>
      </c>
      <c r="J581" s="13"/>
      <c r="K581" s="13"/>
    </row>
    <row r="582" customFormat="false" ht="46.25" hidden="false" customHeight="false" outlineLevel="0" collapsed="false">
      <c r="A582" s="9" t="n">
        <v>581</v>
      </c>
      <c r="B582" s="9" t="s">
        <v>50</v>
      </c>
      <c r="C582" s="11" t="s">
        <v>65</v>
      </c>
      <c r="D582" s="9" t="s">
        <v>2488</v>
      </c>
      <c r="E582" s="9" t="s">
        <v>2489</v>
      </c>
      <c r="F582" s="9" t="s">
        <v>2490</v>
      </c>
      <c r="G582" s="9" t="s">
        <v>328</v>
      </c>
      <c r="H582" s="15" t="s">
        <v>23</v>
      </c>
      <c r="I582" s="9" t="s">
        <v>2491</v>
      </c>
      <c r="J582" s="13"/>
      <c r="K582" s="13"/>
    </row>
    <row r="583" customFormat="false" ht="35.05" hidden="false" customHeight="false" outlineLevel="0" collapsed="false">
      <c r="A583" s="9" t="n">
        <v>582</v>
      </c>
      <c r="B583" s="9" t="s">
        <v>50</v>
      </c>
      <c r="C583" s="11" t="s">
        <v>65</v>
      </c>
      <c r="D583" s="9" t="s">
        <v>2492</v>
      </c>
      <c r="E583" s="9" t="s">
        <v>2493</v>
      </c>
      <c r="F583" s="9" t="s">
        <v>2494</v>
      </c>
      <c r="G583" s="9" t="s">
        <v>312</v>
      </c>
      <c r="H583" s="15" t="s">
        <v>23</v>
      </c>
      <c r="I583" s="9" t="s">
        <v>2495</v>
      </c>
      <c r="J583" s="13"/>
      <c r="K583" s="13"/>
    </row>
    <row r="584" customFormat="false" ht="46.25" hidden="false" customHeight="false" outlineLevel="0" collapsed="false">
      <c r="A584" s="9" t="n">
        <v>583</v>
      </c>
      <c r="B584" s="9" t="s">
        <v>50</v>
      </c>
      <c r="C584" s="11" t="s">
        <v>65</v>
      </c>
      <c r="D584" s="9" t="s">
        <v>2496</v>
      </c>
      <c r="E584" s="9" t="s">
        <v>2497</v>
      </c>
      <c r="F584" s="9" t="s">
        <v>2498</v>
      </c>
      <c r="G584" s="9" t="s">
        <v>328</v>
      </c>
      <c r="H584" s="15" t="s">
        <v>23</v>
      </c>
      <c r="I584" s="9" t="s">
        <v>2499</v>
      </c>
      <c r="J584" s="13"/>
      <c r="K584" s="13"/>
    </row>
    <row r="585" customFormat="false" ht="23.85" hidden="false" customHeight="false" outlineLevel="0" collapsed="false">
      <c r="A585" s="9" t="n">
        <v>584</v>
      </c>
      <c r="B585" s="9" t="s">
        <v>50</v>
      </c>
      <c r="C585" s="11" t="s">
        <v>65</v>
      </c>
      <c r="D585" s="9" t="s">
        <v>2500</v>
      </c>
      <c r="E585" s="9" t="s">
        <v>2094</v>
      </c>
      <c r="F585" s="9" t="s">
        <v>2095</v>
      </c>
      <c r="G585" s="9" t="s">
        <v>328</v>
      </c>
      <c r="H585" s="15" t="s">
        <v>23</v>
      </c>
      <c r="I585" s="9" t="s">
        <v>2298</v>
      </c>
      <c r="J585" s="13"/>
      <c r="K585" s="13"/>
    </row>
    <row r="586" customFormat="false" ht="35.05" hidden="false" customHeight="false" outlineLevel="0" collapsed="false">
      <c r="A586" s="9" t="n">
        <v>585</v>
      </c>
      <c r="B586" s="9" t="s">
        <v>50</v>
      </c>
      <c r="C586" s="11" t="s">
        <v>65</v>
      </c>
      <c r="D586" s="9" t="s">
        <v>2501</v>
      </c>
      <c r="E586" s="9" t="s">
        <v>2502</v>
      </c>
      <c r="F586" s="9" t="s">
        <v>2503</v>
      </c>
      <c r="G586" s="9" t="s">
        <v>312</v>
      </c>
      <c r="H586" s="15" t="s">
        <v>23</v>
      </c>
      <c r="I586" s="9" t="s">
        <v>2504</v>
      </c>
      <c r="J586" s="13"/>
      <c r="K586" s="13"/>
    </row>
    <row r="587" customFormat="false" ht="46.25" hidden="false" customHeight="false" outlineLevel="0" collapsed="false">
      <c r="A587" s="9" t="n">
        <v>586</v>
      </c>
      <c r="B587" s="9" t="s">
        <v>50</v>
      </c>
      <c r="C587" s="11" t="s">
        <v>65</v>
      </c>
      <c r="D587" s="9" t="s">
        <v>2505</v>
      </c>
      <c r="E587" s="9" t="s">
        <v>2506</v>
      </c>
      <c r="F587" s="9" t="s">
        <v>2507</v>
      </c>
      <c r="G587" s="9" t="s">
        <v>2044</v>
      </c>
      <c r="H587" s="15" t="s">
        <v>23</v>
      </c>
      <c r="I587" s="9" t="s">
        <v>2508</v>
      </c>
      <c r="J587" s="13"/>
      <c r="K587" s="13"/>
    </row>
    <row r="588" customFormat="false" ht="35.05" hidden="false" customHeight="false" outlineLevel="0" collapsed="false">
      <c r="A588" s="9" t="n">
        <v>587</v>
      </c>
      <c r="B588" s="9" t="s">
        <v>50</v>
      </c>
      <c r="C588" s="11" t="s">
        <v>65</v>
      </c>
      <c r="D588" s="9" t="s">
        <v>2509</v>
      </c>
      <c r="E588" s="9" t="s">
        <v>2510</v>
      </c>
      <c r="F588" s="9" t="s">
        <v>2511</v>
      </c>
      <c r="G588" s="9" t="s">
        <v>328</v>
      </c>
      <c r="H588" s="15" t="s">
        <v>23</v>
      </c>
      <c r="I588" s="9" t="s">
        <v>2512</v>
      </c>
      <c r="J588" s="13"/>
      <c r="K588" s="13"/>
    </row>
    <row r="589" customFormat="false" ht="57.45" hidden="false" customHeight="false" outlineLevel="0" collapsed="false">
      <c r="A589" s="9" t="n">
        <v>588</v>
      </c>
      <c r="B589" s="9" t="s">
        <v>50</v>
      </c>
      <c r="C589" s="11" t="s">
        <v>65</v>
      </c>
      <c r="D589" s="9" t="s">
        <v>2513</v>
      </c>
      <c r="E589" s="9" t="s">
        <v>2514</v>
      </c>
      <c r="F589" s="9" t="s">
        <v>2515</v>
      </c>
      <c r="G589" s="9" t="s">
        <v>324</v>
      </c>
      <c r="H589" s="14" t="s">
        <v>22</v>
      </c>
      <c r="I589" s="9" t="s">
        <v>2516</v>
      </c>
      <c r="J589" s="13"/>
      <c r="K589" s="13"/>
    </row>
    <row r="590" customFormat="false" ht="46.25" hidden="false" customHeight="false" outlineLevel="0" collapsed="false">
      <c r="A590" s="9" t="n">
        <v>589</v>
      </c>
      <c r="B590" s="9" t="s">
        <v>50</v>
      </c>
      <c r="C590" s="11" t="s">
        <v>65</v>
      </c>
      <c r="D590" s="9" t="s">
        <v>2517</v>
      </c>
      <c r="E590" s="9" t="s">
        <v>2518</v>
      </c>
      <c r="F590" s="9" t="s">
        <v>2519</v>
      </c>
      <c r="G590" s="9" t="s">
        <v>312</v>
      </c>
      <c r="H590" s="15" t="s">
        <v>23</v>
      </c>
      <c r="I590" s="9" t="s">
        <v>2520</v>
      </c>
      <c r="J590" s="13"/>
      <c r="K590" s="13"/>
    </row>
    <row r="591" customFormat="false" ht="35.05" hidden="false" customHeight="false" outlineLevel="0" collapsed="false">
      <c r="A591" s="9" t="n">
        <v>590</v>
      </c>
      <c r="B591" s="9" t="s">
        <v>50</v>
      </c>
      <c r="C591" s="11" t="s">
        <v>65</v>
      </c>
      <c r="D591" s="9" t="s">
        <v>2521</v>
      </c>
      <c r="E591" s="9" t="s">
        <v>2522</v>
      </c>
      <c r="F591" s="9" t="s">
        <v>2523</v>
      </c>
      <c r="G591" s="9" t="s">
        <v>317</v>
      </c>
      <c r="H591" s="15" t="s">
        <v>23</v>
      </c>
      <c r="I591" s="9" t="s">
        <v>2524</v>
      </c>
      <c r="J591" s="13"/>
      <c r="K591" s="13"/>
    </row>
    <row r="592" customFormat="false" ht="23.85" hidden="false" customHeight="false" outlineLevel="0" collapsed="false">
      <c r="A592" s="9" t="n">
        <v>591</v>
      </c>
      <c r="B592" s="9" t="s">
        <v>50</v>
      </c>
      <c r="C592" s="11" t="s">
        <v>65</v>
      </c>
      <c r="D592" s="9" t="s">
        <v>2525</v>
      </c>
      <c r="E592" s="9" t="s">
        <v>2526</v>
      </c>
      <c r="F592" s="9" t="s">
        <v>2527</v>
      </c>
      <c r="G592" s="9" t="s">
        <v>303</v>
      </c>
      <c r="H592" s="15" t="s">
        <v>23</v>
      </c>
      <c r="I592" s="9" t="s">
        <v>2528</v>
      </c>
      <c r="J592" s="13"/>
      <c r="K592" s="13"/>
    </row>
    <row r="593" customFormat="false" ht="35.05" hidden="false" customHeight="false" outlineLevel="0" collapsed="false">
      <c r="A593" s="9" t="n">
        <v>592</v>
      </c>
      <c r="B593" s="9" t="s">
        <v>50</v>
      </c>
      <c r="C593" s="11" t="s">
        <v>65</v>
      </c>
      <c r="D593" s="9" t="s">
        <v>2529</v>
      </c>
      <c r="E593" s="9" t="s">
        <v>2530</v>
      </c>
      <c r="F593" s="9" t="s">
        <v>2531</v>
      </c>
      <c r="G593" s="9" t="s">
        <v>24</v>
      </c>
      <c r="H593" s="12" t="s">
        <v>21</v>
      </c>
      <c r="I593" s="9" t="s">
        <v>2532</v>
      </c>
      <c r="J593" s="13"/>
      <c r="K593" s="13"/>
    </row>
    <row r="594" customFormat="false" ht="23.85" hidden="false" customHeight="false" outlineLevel="0" collapsed="false">
      <c r="A594" s="9" t="n">
        <v>593</v>
      </c>
      <c r="B594" s="9" t="s">
        <v>50</v>
      </c>
      <c r="C594" s="11" t="s">
        <v>65</v>
      </c>
      <c r="D594" s="9" t="s">
        <v>2533</v>
      </c>
      <c r="E594" s="9" t="s">
        <v>2534</v>
      </c>
      <c r="F594" s="9" t="s">
        <v>2535</v>
      </c>
      <c r="G594" s="9" t="s">
        <v>24</v>
      </c>
      <c r="H594" s="12" t="s">
        <v>21</v>
      </c>
      <c r="I594" s="9" t="s">
        <v>2536</v>
      </c>
      <c r="J594" s="13"/>
      <c r="K594" s="13"/>
    </row>
    <row r="595" customFormat="false" ht="46.25" hidden="false" customHeight="false" outlineLevel="0" collapsed="false">
      <c r="A595" s="9" t="n">
        <v>594</v>
      </c>
      <c r="B595" s="9" t="s">
        <v>50</v>
      </c>
      <c r="C595" s="11" t="s">
        <v>65</v>
      </c>
      <c r="D595" s="9" t="s">
        <v>2537</v>
      </c>
      <c r="E595" s="9" t="s">
        <v>2538</v>
      </c>
      <c r="F595" s="9" t="s">
        <v>2539</v>
      </c>
      <c r="G595" s="9" t="s">
        <v>24</v>
      </c>
      <c r="H595" s="12" t="s">
        <v>21</v>
      </c>
      <c r="I595" s="9" t="s">
        <v>2540</v>
      </c>
      <c r="J595" s="13"/>
      <c r="K595" s="13"/>
    </row>
    <row r="596" customFormat="false" ht="15" hidden="false" customHeight="false" outlineLevel="0" collapsed="false">
      <c r="A596" s="9" t="n">
        <v>595</v>
      </c>
      <c r="B596" s="9" t="s">
        <v>50</v>
      </c>
      <c r="C596" s="11" t="s">
        <v>65</v>
      </c>
      <c r="D596" s="9" t="s">
        <v>2541</v>
      </c>
      <c r="E596" s="9" t="s">
        <v>2542</v>
      </c>
      <c r="F596" s="9" t="s">
        <v>2543</v>
      </c>
      <c r="G596" s="9" t="s">
        <v>24</v>
      </c>
      <c r="H596" s="14" t="s">
        <v>22</v>
      </c>
      <c r="I596" s="9" t="s">
        <v>2544</v>
      </c>
      <c r="J596" s="13"/>
      <c r="K596" s="13"/>
    </row>
    <row r="597" customFormat="false" ht="23.85" hidden="false" customHeight="false" outlineLevel="0" collapsed="false">
      <c r="A597" s="9" t="n">
        <v>596</v>
      </c>
      <c r="B597" s="9" t="s">
        <v>50</v>
      </c>
      <c r="C597" s="11" t="s">
        <v>65</v>
      </c>
      <c r="D597" s="9" t="s">
        <v>2545</v>
      </c>
      <c r="E597" s="9" t="s">
        <v>2546</v>
      </c>
      <c r="F597" s="9" t="s">
        <v>2547</v>
      </c>
      <c r="G597" s="9" t="s">
        <v>24</v>
      </c>
      <c r="H597" s="14" t="s">
        <v>22</v>
      </c>
      <c r="I597" s="9" t="s">
        <v>2548</v>
      </c>
      <c r="J597" s="13"/>
      <c r="K597" s="13"/>
    </row>
    <row r="598" customFormat="false" ht="46.25" hidden="false" customHeight="false" outlineLevel="0" collapsed="false">
      <c r="A598" s="9" t="n">
        <v>597</v>
      </c>
      <c r="B598" s="9" t="s">
        <v>50</v>
      </c>
      <c r="C598" s="11" t="s">
        <v>65</v>
      </c>
      <c r="D598" s="9" t="s">
        <v>2549</v>
      </c>
      <c r="E598" s="9" t="s">
        <v>2550</v>
      </c>
      <c r="F598" s="9" t="s">
        <v>2551</v>
      </c>
      <c r="G598" s="9" t="s">
        <v>24</v>
      </c>
      <c r="H598" s="14" t="s">
        <v>22</v>
      </c>
      <c r="I598" s="9" t="s">
        <v>2552</v>
      </c>
      <c r="J598" s="13"/>
      <c r="K598" s="13"/>
    </row>
    <row r="599" customFormat="false" ht="23.85" hidden="false" customHeight="false" outlineLevel="0" collapsed="false">
      <c r="A599" s="9" t="n">
        <v>598</v>
      </c>
      <c r="B599" s="9" t="s">
        <v>50</v>
      </c>
      <c r="C599" s="11" t="s">
        <v>65</v>
      </c>
      <c r="D599" s="9" t="s">
        <v>2553</v>
      </c>
      <c r="E599" s="9" t="s">
        <v>2554</v>
      </c>
      <c r="F599" s="9" t="s">
        <v>2555</v>
      </c>
      <c r="G599" s="9" t="s">
        <v>24</v>
      </c>
      <c r="H599" s="14" t="s">
        <v>22</v>
      </c>
      <c r="I599" s="9" t="s">
        <v>2556</v>
      </c>
      <c r="J599" s="13"/>
      <c r="K599" s="13"/>
    </row>
    <row r="600" customFormat="false" ht="35.05" hidden="false" customHeight="false" outlineLevel="0" collapsed="false">
      <c r="A600" s="9" t="n">
        <v>599</v>
      </c>
      <c r="B600" s="9" t="s">
        <v>50</v>
      </c>
      <c r="C600" s="11" t="s">
        <v>65</v>
      </c>
      <c r="D600" s="9" t="s">
        <v>2557</v>
      </c>
      <c r="E600" s="9" t="s">
        <v>358</v>
      </c>
      <c r="F600" s="9" t="s">
        <v>2558</v>
      </c>
      <c r="G600" s="9" t="s">
        <v>24</v>
      </c>
      <c r="H600" s="14" t="s">
        <v>22</v>
      </c>
      <c r="I600" s="9" t="s">
        <v>2559</v>
      </c>
      <c r="J600" s="13"/>
      <c r="K600" s="13"/>
    </row>
    <row r="601" customFormat="false" ht="15" hidden="false" customHeight="false" outlineLevel="0" collapsed="false">
      <c r="A601" s="9" t="n">
        <v>600</v>
      </c>
      <c r="B601" s="9" t="s">
        <v>50</v>
      </c>
      <c r="C601" s="11" t="s">
        <v>65</v>
      </c>
      <c r="D601" s="9" t="s">
        <v>2560</v>
      </c>
      <c r="E601" s="9" t="s">
        <v>362</v>
      </c>
      <c r="F601" s="9" t="s">
        <v>363</v>
      </c>
      <c r="G601" s="9" t="s">
        <v>24</v>
      </c>
      <c r="H601" s="14" t="s">
        <v>22</v>
      </c>
      <c r="I601" s="9" t="s">
        <v>364</v>
      </c>
      <c r="J601" s="13"/>
      <c r="K601" s="13"/>
    </row>
    <row r="602" customFormat="false" ht="23.85" hidden="false" customHeight="false" outlineLevel="0" collapsed="false">
      <c r="A602" s="9" t="n">
        <v>601</v>
      </c>
      <c r="B602" s="9" t="s">
        <v>50</v>
      </c>
      <c r="C602" s="11" t="s">
        <v>65</v>
      </c>
      <c r="D602" s="9" t="s">
        <v>2561</v>
      </c>
      <c r="E602" s="9" t="s">
        <v>2562</v>
      </c>
      <c r="F602" s="9" t="s">
        <v>2563</v>
      </c>
      <c r="G602" s="9" t="s">
        <v>24</v>
      </c>
      <c r="H602" s="14" t="s">
        <v>22</v>
      </c>
      <c r="I602" s="9" t="s">
        <v>2564</v>
      </c>
      <c r="J602" s="13"/>
      <c r="K602" s="13"/>
    </row>
    <row r="603" customFormat="false" ht="35.05" hidden="false" customHeight="false" outlineLevel="0" collapsed="false">
      <c r="A603" s="9" t="n">
        <v>602</v>
      </c>
      <c r="B603" s="9" t="s">
        <v>50</v>
      </c>
      <c r="C603" s="11" t="s">
        <v>65</v>
      </c>
      <c r="D603" s="9" t="s">
        <v>2565</v>
      </c>
      <c r="E603" s="9" t="s">
        <v>2566</v>
      </c>
      <c r="F603" s="9" t="s">
        <v>2567</v>
      </c>
      <c r="G603" s="9" t="s">
        <v>24</v>
      </c>
      <c r="H603" s="15" t="s">
        <v>23</v>
      </c>
      <c r="I603" s="9" t="s">
        <v>2568</v>
      </c>
      <c r="J603" s="13"/>
      <c r="K603" s="13"/>
    </row>
    <row r="604" customFormat="false" ht="23.85" hidden="false" customHeight="false" outlineLevel="0" collapsed="false">
      <c r="A604" s="9" t="n">
        <v>603</v>
      </c>
      <c r="B604" s="9" t="s">
        <v>50</v>
      </c>
      <c r="C604" s="11" t="s">
        <v>65</v>
      </c>
      <c r="D604" s="9" t="s">
        <v>2569</v>
      </c>
      <c r="E604" s="9" t="s">
        <v>2570</v>
      </c>
      <c r="F604" s="9" t="s">
        <v>2571</v>
      </c>
      <c r="G604" s="9" t="s">
        <v>24</v>
      </c>
      <c r="H604" s="15" t="s">
        <v>23</v>
      </c>
      <c r="I604" s="9" t="s">
        <v>2572</v>
      </c>
      <c r="J604" s="13"/>
      <c r="K604" s="13"/>
    </row>
    <row r="605" customFormat="false" ht="23.85" hidden="false" customHeight="false" outlineLevel="0" collapsed="false">
      <c r="A605" s="9" t="n">
        <v>604</v>
      </c>
      <c r="B605" s="9" t="s">
        <v>50</v>
      </c>
      <c r="C605" s="11" t="s">
        <v>65</v>
      </c>
      <c r="D605" s="9" t="s">
        <v>2573</v>
      </c>
      <c r="E605" s="9" t="s">
        <v>2574</v>
      </c>
      <c r="F605" s="9" t="s">
        <v>2575</v>
      </c>
      <c r="G605" s="9" t="s">
        <v>24</v>
      </c>
      <c r="H605" s="15" t="s">
        <v>23</v>
      </c>
      <c r="I605" s="9" t="s">
        <v>434</v>
      </c>
      <c r="J605" s="13"/>
      <c r="K605" s="13"/>
    </row>
    <row r="606" customFormat="false" ht="46.25" hidden="false" customHeight="false" outlineLevel="0" collapsed="false">
      <c r="A606" s="9" t="n">
        <v>605</v>
      </c>
      <c r="B606" s="9" t="s">
        <v>50</v>
      </c>
      <c r="C606" s="11" t="s">
        <v>65</v>
      </c>
      <c r="D606" s="9" t="s">
        <v>2576</v>
      </c>
      <c r="E606" s="9" t="s">
        <v>2577</v>
      </c>
      <c r="F606" s="9" t="s">
        <v>2578</v>
      </c>
      <c r="G606" s="9" t="s">
        <v>24</v>
      </c>
      <c r="H606" s="15" t="s">
        <v>23</v>
      </c>
      <c r="I606" s="9" t="s">
        <v>2579</v>
      </c>
      <c r="J606" s="13"/>
      <c r="K606" s="13"/>
    </row>
    <row r="607" customFormat="false" ht="23.85" hidden="false" customHeight="false" outlineLevel="0" collapsed="false">
      <c r="A607" s="9" t="n">
        <v>606</v>
      </c>
      <c r="B607" s="9" t="s">
        <v>50</v>
      </c>
      <c r="C607" s="11" t="s">
        <v>65</v>
      </c>
      <c r="D607" s="9" t="s">
        <v>2580</v>
      </c>
      <c r="E607" s="9" t="s">
        <v>2581</v>
      </c>
      <c r="F607" s="9" t="s">
        <v>2582</v>
      </c>
      <c r="G607" s="9" t="s">
        <v>24</v>
      </c>
      <c r="H607" s="15" t="s">
        <v>23</v>
      </c>
      <c r="I607" s="9" t="s">
        <v>2583</v>
      </c>
      <c r="J607" s="13"/>
      <c r="K607" s="13"/>
    </row>
    <row r="608" customFormat="false" ht="23.85" hidden="false" customHeight="false" outlineLevel="0" collapsed="false">
      <c r="A608" s="9" t="n">
        <v>607</v>
      </c>
      <c r="B608" s="9" t="s">
        <v>50</v>
      </c>
      <c r="C608" s="11" t="s">
        <v>65</v>
      </c>
      <c r="D608" s="9" t="s">
        <v>2584</v>
      </c>
      <c r="E608" s="9" t="s">
        <v>2585</v>
      </c>
      <c r="F608" s="9" t="s">
        <v>2586</v>
      </c>
      <c r="G608" s="9" t="s">
        <v>24</v>
      </c>
      <c r="H608" s="15" t="s">
        <v>23</v>
      </c>
      <c r="I608" s="9" t="s">
        <v>1272</v>
      </c>
      <c r="J608" s="13"/>
      <c r="K608" s="13"/>
    </row>
    <row r="609" customFormat="false" ht="23.85" hidden="false" customHeight="false" outlineLevel="0" collapsed="false">
      <c r="A609" s="9" t="n">
        <v>608</v>
      </c>
      <c r="B609" s="9" t="s">
        <v>50</v>
      </c>
      <c r="C609" s="11" t="s">
        <v>65</v>
      </c>
      <c r="D609" s="9" t="s">
        <v>2587</v>
      </c>
      <c r="E609" s="9" t="s">
        <v>2588</v>
      </c>
      <c r="F609" s="9" t="s">
        <v>2589</v>
      </c>
      <c r="G609" s="9" t="s">
        <v>24</v>
      </c>
      <c r="H609" s="15" t="s">
        <v>23</v>
      </c>
      <c r="I609" s="9" t="s">
        <v>2590</v>
      </c>
      <c r="J609" s="13"/>
      <c r="K609" s="13"/>
    </row>
    <row r="610" customFormat="false" ht="23.85" hidden="false" customHeight="false" outlineLevel="0" collapsed="false">
      <c r="A610" s="9" t="n">
        <v>609</v>
      </c>
      <c r="B610" s="9" t="s">
        <v>50</v>
      </c>
      <c r="C610" s="11" t="s">
        <v>65</v>
      </c>
      <c r="D610" s="9" t="s">
        <v>2591</v>
      </c>
      <c r="E610" s="9" t="s">
        <v>2592</v>
      </c>
      <c r="F610" s="9" t="s">
        <v>2593</v>
      </c>
      <c r="G610" s="9" t="s">
        <v>24</v>
      </c>
      <c r="H610" s="15" t="s">
        <v>23</v>
      </c>
      <c r="I610" s="9" t="s">
        <v>2594</v>
      </c>
      <c r="J610" s="13"/>
      <c r="K610" s="13"/>
    </row>
    <row r="611" customFormat="false" ht="102.2" hidden="false" customHeight="false" outlineLevel="0" collapsed="false">
      <c r="A611" s="9" t="n">
        <v>610</v>
      </c>
      <c r="B611" s="9" t="s">
        <v>50</v>
      </c>
      <c r="C611" s="11" t="s">
        <v>67</v>
      </c>
      <c r="D611" s="9" t="s">
        <v>2595</v>
      </c>
      <c r="E611" s="9" t="s">
        <v>2596</v>
      </c>
      <c r="F611" s="9" t="s">
        <v>2597</v>
      </c>
      <c r="G611" s="9" t="s">
        <v>1072</v>
      </c>
      <c r="H611" s="12" t="s">
        <v>21</v>
      </c>
      <c r="I611" s="9" t="s">
        <v>2598</v>
      </c>
      <c r="J611" s="13"/>
      <c r="K611" s="13"/>
    </row>
    <row r="612" customFormat="false" ht="46.25" hidden="false" customHeight="false" outlineLevel="0" collapsed="false">
      <c r="A612" s="9" t="n">
        <v>611</v>
      </c>
      <c r="B612" s="9" t="s">
        <v>50</v>
      </c>
      <c r="C612" s="11" t="s">
        <v>67</v>
      </c>
      <c r="D612" s="9" t="s">
        <v>2599</v>
      </c>
      <c r="E612" s="9" t="s">
        <v>2600</v>
      </c>
      <c r="F612" s="9" t="s">
        <v>2601</v>
      </c>
      <c r="G612" s="9" t="s">
        <v>1072</v>
      </c>
      <c r="H612" s="12" t="s">
        <v>21</v>
      </c>
      <c r="I612" s="9" t="s">
        <v>2602</v>
      </c>
      <c r="J612" s="13"/>
      <c r="K612" s="13"/>
    </row>
    <row r="613" customFormat="false" ht="68.65" hidden="false" customHeight="false" outlineLevel="0" collapsed="false">
      <c r="A613" s="9" t="n">
        <v>612</v>
      </c>
      <c r="B613" s="9" t="s">
        <v>50</v>
      </c>
      <c r="C613" s="11" t="s">
        <v>67</v>
      </c>
      <c r="D613" s="9" t="s">
        <v>2603</v>
      </c>
      <c r="E613" s="9" t="s">
        <v>2604</v>
      </c>
      <c r="F613" s="9" t="s">
        <v>2605</v>
      </c>
      <c r="G613" s="9" t="s">
        <v>312</v>
      </c>
      <c r="H613" s="12" t="s">
        <v>21</v>
      </c>
      <c r="I613" s="9" t="s">
        <v>2606</v>
      </c>
      <c r="J613" s="13"/>
      <c r="K613" s="13"/>
    </row>
    <row r="614" customFormat="false" ht="46.25" hidden="false" customHeight="false" outlineLevel="0" collapsed="false">
      <c r="A614" s="9" t="n">
        <v>613</v>
      </c>
      <c r="B614" s="9" t="s">
        <v>50</v>
      </c>
      <c r="C614" s="11" t="s">
        <v>67</v>
      </c>
      <c r="D614" s="9" t="s">
        <v>2607</v>
      </c>
      <c r="E614" s="9" t="s">
        <v>2608</v>
      </c>
      <c r="F614" s="9" t="s">
        <v>2609</v>
      </c>
      <c r="G614" s="9" t="s">
        <v>1072</v>
      </c>
      <c r="H614" s="12" t="s">
        <v>21</v>
      </c>
      <c r="I614" s="9" t="s">
        <v>2610</v>
      </c>
      <c r="J614" s="13"/>
      <c r="K614" s="13"/>
    </row>
    <row r="615" customFormat="false" ht="124.6" hidden="false" customHeight="false" outlineLevel="0" collapsed="false">
      <c r="A615" s="9" t="n">
        <v>614</v>
      </c>
      <c r="B615" s="9" t="s">
        <v>50</v>
      </c>
      <c r="C615" s="11" t="s">
        <v>67</v>
      </c>
      <c r="D615" s="9" t="s">
        <v>2611</v>
      </c>
      <c r="E615" s="9" t="s">
        <v>2612</v>
      </c>
      <c r="F615" s="9" t="s">
        <v>2613</v>
      </c>
      <c r="G615" s="9" t="s">
        <v>392</v>
      </c>
      <c r="H615" s="12" t="s">
        <v>21</v>
      </c>
      <c r="I615" s="9" t="s">
        <v>2614</v>
      </c>
      <c r="J615" s="13"/>
      <c r="K615" s="13"/>
    </row>
    <row r="616" customFormat="false" ht="57.45" hidden="false" customHeight="false" outlineLevel="0" collapsed="false">
      <c r="A616" s="9" t="n">
        <v>615</v>
      </c>
      <c r="B616" s="9" t="s">
        <v>50</v>
      </c>
      <c r="C616" s="11" t="s">
        <v>67</v>
      </c>
      <c r="D616" s="9" t="s">
        <v>2615</v>
      </c>
      <c r="E616" s="9" t="s">
        <v>2616</v>
      </c>
      <c r="F616" s="9" t="s">
        <v>2617</v>
      </c>
      <c r="G616" s="9" t="s">
        <v>1072</v>
      </c>
      <c r="H616" s="14" t="s">
        <v>22</v>
      </c>
      <c r="I616" s="9" t="s">
        <v>2618</v>
      </c>
      <c r="J616" s="13"/>
      <c r="K616" s="13"/>
    </row>
    <row r="617" customFormat="false" ht="46.25" hidden="false" customHeight="false" outlineLevel="0" collapsed="false">
      <c r="A617" s="9" t="n">
        <v>616</v>
      </c>
      <c r="B617" s="9" t="s">
        <v>50</v>
      </c>
      <c r="C617" s="11" t="s">
        <v>67</v>
      </c>
      <c r="D617" s="9" t="s">
        <v>2619</v>
      </c>
      <c r="E617" s="9" t="s">
        <v>2620</v>
      </c>
      <c r="F617" s="9" t="s">
        <v>2621</v>
      </c>
      <c r="G617" s="9" t="s">
        <v>303</v>
      </c>
      <c r="H617" s="14" t="s">
        <v>22</v>
      </c>
      <c r="I617" s="9" t="s">
        <v>2622</v>
      </c>
      <c r="J617" s="13"/>
      <c r="K617" s="13"/>
    </row>
    <row r="618" customFormat="false" ht="46.25" hidden="false" customHeight="false" outlineLevel="0" collapsed="false">
      <c r="A618" s="9" t="n">
        <v>617</v>
      </c>
      <c r="B618" s="9" t="s">
        <v>50</v>
      </c>
      <c r="C618" s="11" t="s">
        <v>67</v>
      </c>
      <c r="D618" s="9" t="s">
        <v>2623</v>
      </c>
      <c r="E618" s="9" t="s">
        <v>2624</v>
      </c>
      <c r="F618" s="9" t="s">
        <v>2625</v>
      </c>
      <c r="G618" s="9" t="s">
        <v>303</v>
      </c>
      <c r="H618" s="12" t="s">
        <v>21</v>
      </c>
      <c r="I618" s="9" t="s">
        <v>2626</v>
      </c>
      <c r="J618" s="13"/>
      <c r="K618" s="13"/>
    </row>
    <row r="619" customFormat="false" ht="68.65" hidden="false" customHeight="false" outlineLevel="0" collapsed="false">
      <c r="A619" s="9" t="n">
        <v>618</v>
      </c>
      <c r="B619" s="9" t="s">
        <v>50</v>
      </c>
      <c r="C619" s="11" t="s">
        <v>67</v>
      </c>
      <c r="D619" s="9" t="s">
        <v>2627</v>
      </c>
      <c r="E619" s="9" t="s">
        <v>2628</v>
      </c>
      <c r="F619" s="9" t="s">
        <v>2629</v>
      </c>
      <c r="G619" s="9" t="s">
        <v>303</v>
      </c>
      <c r="H619" s="14" t="s">
        <v>22</v>
      </c>
      <c r="I619" s="9" t="s">
        <v>2630</v>
      </c>
      <c r="J619" s="13"/>
      <c r="K619" s="13"/>
    </row>
    <row r="620" customFormat="false" ht="79.85" hidden="false" customHeight="false" outlineLevel="0" collapsed="false">
      <c r="A620" s="9" t="n">
        <v>619</v>
      </c>
      <c r="B620" s="9" t="s">
        <v>50</v>
      </c>
      <c r="C620" s="11" t="s">
        <v>67</v>
      </c>
      <c r="D620" s="9" t="s">
        <v>2631</v>
      </c>
      <c r="E620" s="9" t="s">
        <v>2632</v>
      </c>
      <c r="F620" s="9" t="s">
        <v>2633</v>
      </c>
      <c r="G620" s="9" t="s">
        <v>303</v>
      </c>
      <c r="H620" s="12" t="s">
        <v>21</v>
      </c>
      <c r="I620" s="9" t="s">
        <v>2634</v>
      </c>
      <c r="J620" s="13"/>
      <c r="K620" s="13"/>
    </row>
    <row r="621" customFormat="false" ht="57.45" hidden="false" customHeight="false" outlineLevel="0" collapsed="false">
      <c r="A621" s="9" t="n">
        <v>620</v>
      </c>
      <c r="B621" s="9" t="s">
        <v>50</v>
      </c>
      <c r="C621" s="11" t="s">
        <v>67</v>
      </c>
      <c r="D621" s="9" t="s">
        <v>2635</v>
      </c>
      <c r="E621" s="9" t="s">
        <v>2636</v>
      </c>
      <c r="F621" s="9" t="s">
        <v>2637</v>
      </c>
      <c r="G621" s="9" t="s">
        <v>303</v>
      </c>
      <c r="H621" s="14" t="s">
        <v>22</v>
      </c>
      <c r="I621" s="9" t="s">
        <v>2638</v>
      </c>
      <c r="J621" s="13"/>
      <c r="K621" s="13"/>
    </row>
    <row r="622" customFormat="false" ht="79.85" hidden="false" customHeight="false" outlineLevel="0" collapsed="false">
      <c r="A622" s="9" t="n">
        <v>621</v>
      </c>
      <c r="B622" s="9" t="s">
        <v>50</v>
      </c>
      <c r="C622" s="11" t="s">
        <v>67</v>
      </c>
      <c r="D622" s="9" t="s">
        <v>2639</v>
      </c>
      <c r="E622" s="9" t="s">
        <v>2640</v>
      </c>
      <c r="F622" s="9" t="s">
        <v>2641</v>
      </c>
      <c r="G622" s="9" t="s">
        <v>303</v>
      </c>
      <c r="H622" s="14" t="s">
        <v>22</v>
      </c>
      <c r="I622" s="9" t="s">
        <v>2642</v>
      </c>
      <c r="J622" s="13"/>
      <c r="K622" s="13"/>
    </row>
    <row r="623" customFormat="false" ht="46.25" hidden="false" customHeight="false" outlineLevel="0" collapsed="false">
      <c r="A623" s="9" t="n">
        <v>622</v>
      </c>
      <c r="B623" s="9" t="s">
        <v>50</v>
      </c>
      <c r="C623" s="11" t="s">
        <v>67</v>
      </c>
      <c r="D623" s="9" t="s">
        <v>2643</v>
      </c>
      <c r="E623" s="9" t="s">
        <v>2644</v>
      </c>
      <c r="F623" s="9" t="s">
        <v>2645</v>
      </c>
      <c r="G623" s="9" t="s">
        <v>392</v>
      </c>
      <c r="H623" s="14" t="s">
        <v>22</v>
      </c>
      <c r="I623" s="9" t="s">
        <v>2646</v>
      </c>
      <c r="J623" s="13"/>
      <c r="K623" s="13"/>
    </row>
    <row r="624" customFormat="false" ht="57.45" hidden="false" customHeight="false" outlineLevel="0" collapsed="false">
      <c r="A624" s="9" t="n">
        <v>623</v>
      </c>
      <c r="B624" s="9" t="s">
        <v>50</v>
      </c>
      <c r="C624" s="11" t="s">
        <v>67</v>
      </c>
      <c r="D624" s="9" t="s">
        <v>2647</v>
      </c>
      <c r="E624" s="9" t="s">
        <v>2648</v>
      </c>
      <c r="F624" s="9" t="s">
        <v>2649</v>
      </c>
      <c r="G624" s="9" t="s">
        <v>303</v>
      </c>
      <c r="H624" s="14" t="s">
        <v>22</v>
      </c>
      <c r="I624" s="9" t="s">
        <v>2650</v>
      </c>
      <c r="J624" s="13"/>
      <c r="K624" s="13"/>
    </row>
    <row r="625" customFormat="false" ht="68.65" hidden="false" customHeight="false" outlineLevel="0" collapsed="false">
      <c r="A625" s="9" t="n">
        <v>624</v>
      </c>
      <c r="B625" s="9" t="s">
        <v>50</v>
      </c>
      <c r="C625" s="11" t="s">
        <v>67</v>
      </c>
      <c r="D625" s="9" t="s">
        <v>2651</v>
      </c>
      <c r="E625" s="9" t="s">
        <v>2652</v>
      </c>
      <c r="F625" s="9" t="s">
        <v>2653</v>
      </c>
      <c r="G625" s="9" t="s">
        <v>1072</v>
      </c>
      <c r="H625" s="14" t="s">
        <v>22</v>
      </c>
      <c r="I625" s="9" t="s">
        <v>2654</v>
      </c>
      <c r="J625" s="13"/>
      <c r="K625" s="13"/>
    </row>
    <row r="626" customFormat="false" ht="35.05" hidden="false" customHeight="false" outlineLevel="0" collapsed="false">
      <c r="A626" s="9" t="n">
        <v>625</v>
      </c>
      <c r="B626" s="9" t="s">
        <v>50</v>
      </c>
      <c r="C626" s="11" t="s">
        <v>67</v>
      </c>
      <c r="D626" s="9" t="s">
        <v>2655</v>
      </c>
      <c r="E626" s="9" t="s">
        <v>2656</v>
      </c>
      <c r="F626" s="9" t="s">
        <v>2657</v>
      </c>
      <c r="G626" s="9" t="s">
        <v>1072</v>
      </c>
      <c r="H626" s="15" t="s">
        <v>23</v>
      </c>
      <c r="I626" s="9" t="s">
        <v>2658</v>
      </c>
      <c r="J626" s="13"/>
      <c r="K626" s="13"/>
    </row>
    <row r="627" customFormat="false" ht="46.25" hidden="false" customHeight="false" outlineLevel="0" collapsed="false">
      <c r="A627" s="9" t="n">
        <v>626</v>
      </c>
      <c r="B627" s="9" t="s">
        <v>50</v>
      </c>
      <c r="C627" s="11" t="s">
        <v>67</v>
      </c>
      <c r="D627" s="9" t="s">
        <v>2659</v>
      </c>
      <c r="E627" s="9" t="s">
        <v>2660</v>
      </c>
      <c r="F627" s="9" t="s">
        <v>2661</v>
      </c>
      <c r="G627" s="9" t="s">
        <v>317</v>
      </c>
      <c r="H627" s="14" t="s">
        <v>22</v>
      </c>
      <c r="I627" s="9" t="s">
        <v>2662</v>
      </c>
      <c r="J627" s="13"/>
      <c r="K627" s="13"/>
    </row>
    <row r="628" customFormat="false" ht="46.25" hidden="false" customHeight="false" outlineLevel="0" collapsed="false">
      <c r="A628" s="9" t="n">
        <v>627</v>
      </c>
      <c r="B628" s="9" t="s">
        <v>50</v>
      </c>
      <c r="C628" s="11" t="s">
        <v>67</v>
      </c>
      <c r="D628" s="9" t="s">
        <v>2663</v>
      </c>
      <c r="E628" s="9" t="s">
        <v>2664</v>
      </c>
      <c r="F628" s="9" t="s">
        <v>2665</v>
      </c>
      <c r="G628" s="9" t="s">
        <v>317</v>
      </c>
      <c r="H628" s="14" t="s">
        <v>22</v>
      </c>
      <c r="I628" s="9" t="s">
        <v>2666</v>
      </c>
      <c r="J628" s="13"/>
      <c r="K628" s="13"/>
    </row>
    <row r="629" customFormat="false" ht="46.25" hidden="false" customHeight="false" outlineLevel="0" collapsed="false">
      <c r="A629" s="9" t="n">
        <v>628</v>
      </c>
      <c r="B629" s="9" t="s">
        <v>50</v>
      </c>
      <c r="C629" s="11" t="s">
        <v>67</v>
      </c>
      <c r="D629" s="9" t="s">
        <v>2667</v>
      </c>
      <c r="E629" s="9" t="s">
        <v>2668</v>
      </c>
      <c r="F629" s="9" t="s">
        <v>2669</v>
      </c>
      <c r="G629" s="9" t="s">
        <v>1072</v>
      </c>
      <c r="H629" s="14" t="s">
        <v>22</v>
      </c>
      <c r="I629" s="9" t="s">
        <v>2670</v>
      </c>
      <c r="J629" s="13"/>
      <c r="K629" s="13"/>
    </row>
    <row r="630" customFormat="false" ht="35.05" hidden="false" customHeight="false" outlineLevel="0" collapsed="false">
      <c r="A630" s="9" t="n">
        <v>629</v>
      </c>
      <c r="B630" s="9" t="s">
        <v>50</v>
      </c>
      <c r="C630" s="11" t="s">
        <v>67</v>
      </c>
      <c r="D630" s="9" t="s">
        <v>2671</v>
      </c>
      <c r="E630" s="9" t="s">
        <v>2672</v>
      </c>
      <c r="F630" s="9" t="s">
        <v>2673</v>
      </c>
      <c r="G630" s="9" t="s">
        <v>317</v>
      </c>
      <c r="H630" s="15" t="s">
        <v>23</v>
      </c>
      <c r="I630" s="9" t="s">
        <v>2674</v>
      </c>
      <c r="J630" s="13"/>
      <c r="K630" s="13"/>
    </row>
    <row r="631" customFormat="false" ht="46.25" hidden="false" customHeight="false" outlineLevel="0" collapsed="false">
      <c r="A631" s="9" t="n">
        <v>630</v>
      </c>
      <c r="B631" s="9" t="s">
        <v>50</v>
      </c>
      <c r="C631" s="11" t="s">
        <v>67</v>
      </c>
      <c r="D631" s="9" t="s">
        <v>2675</v>
      </c>
      <c r="E631" s="9" t="s">
        <v>2676</v>
      </c>
      <c r="F631" s="9" t="s">
        <v>2677</v>
      </c>
      <c r="G631" s="9" t="s">
        <v>392</v>
      </c>
      <c r="H631" s="14" t="s">
        <v>22</v>
      </c>
      <c r="I631" s="9" t="s">
        <v>2678</v>
      </c>
      <c r="J631" s="13"/>
      <c r="K631" s="13"/>
    </row>
    <row r="632" customFormat="false" ht="46.25" hidden="false" customHeight="false" outlineLevel="0" collapsed="false">
      <c r="A632" s="9" t="n">
        <v>631</v>
      </c>
      <c r="B632" s="9" t="s">
        <v>50</v>
      </c>
      <c r="C632" s="11" t="s">
        <v>67</v>
      </c>
      <c r="D632" s="9" t="s">
        <v>2679</v>
      </c>
      <c r="E632" s="9" t="s">
        <v>2680</v>
      </c>
      <c r="F632" s="9" t="s">
        <v>2681</v>
      </c>
      <c r="G632" s="9" t="s">
        <v>392</v>
      </c>
      <c r="H632" s="14" t="s">
        <v>22</v>
      </c>
      <c r="I632" s="9" t="s">
        <v>2682</v>
      </c>
      <c r="J632" s="13"/>
      <c r="K632" s="13"/>
    </row>
    <row r="633" customFormat="false" ht="46.25" hidden="false" customHeight="false" outlineLevel="0" collapsed="false">
      <c r="A633" s="9" t="n">
        <v>632</v>
      </c>
      <c r="B633" s="9" t="s">
        <v>50</v>
      </c>
      <c r="C633" s="11" t="s">
        <v>67</v>
      </c>
      <c r="D633" s="9" t="s">
        <v>2683</v>
      </c>
      <c r="E633" s="9" t="s">
        <v>2684</v>
      </c>
      <c r="F633" s="9" t="s">
        <v>2685</v>
      </c>
      <c r="G633" s="9" t="s">
        <v>312</v>
      </c>
      <c r="H633" s="14" t="s">
        <v>22</v>
      </c>
      <c r="I633" s="9" t="s">
        <v>2686</v>
      </c>
      <c r="J633" s="13"/>
      <c r="K633" s="13"/>
    </row>
    <row r="634" customFormat="false" ht="35.05" hidden="false" customHeight="false" outlineLevel="0" collapsed="false">
      <c r="A634" s="9" t="n">
        <v>633</v>
      </c>
      <c r="B634" s="9" t="s">
        <v>50</v>
      </c>
      <c r="C634" s="11" t="s">
        <v>67</v>
      </c>
      <c r="D634" s="9" t="s">
        <v>2687</v>
      </c>
      <c r="E634" s="9" t="s">
        <v>2688</v>
      </c>
      <c r="F634" s="9" t="s">
        <v>2689</v>
      </c>
      <c r="G634" s="9" t="s">
        <v>312</v>
      </c>
      <c r="H634" s="15" t="s">
        <v>23</v>
      </c>
      <c r="I634" s="9" t="s">
        <v>2690</v>
      </c>
      <c r="J634" s="13"/>
      <c r="K634" s="13"/>
    </row>
    <row r="635" customFormat="false" ht="79.85" hidden="false" customHeight="false" outlineLevel="0" collapsed="false">
      <c r="A635" s="9" t="n">
        <v>634</v>
      </c>
      <c r="B635" s="9" t="s">
        <v>50</v>
      </c>
      <c r="C635" s="11" t="s">
        <v>67</v>
      </c>
      <c r="D635" s="9" t="s">
        <v>2691</v>
      </c>
      <c r="E635" s="9" t="s">
        <v>2692</v>
      </c>
      <c r="F635" s="9" t="s">
        <v>2693</v>
      </c>
      <c r="G635" s="9" t="s">
        <v>392</v>
      </c>
      <c r="H635" s="14" t="s">
        <v>22</v>
      </c>
      <c r="I635" s="9" t="s">
        <v>2694</v>
      </c>
      <c r="J635" s="13"/>
      <c r="K635" s="13"/>
    </row>
    <row r="636" customFormat="false" ht="57.45" hidden="false" customHeight="false" outlineLevel="0" collapsed="false">
      <c r="A636" s="9" t="n">
        <v>635</v>
      </c>
      <c r="B636" s="9" t="s">
        <v>50</v>
      </c>
      <c r="C636" s="11" t="s">
        <v>67</v>
      </c>
      <c r="D636" s="9" t="s">
        <v>2695</v>
      </c>
      <c r="E636" s="9" t="s">
        <v>2696</v>
      </c>
      <c r="F636" s="9" t="s">
        <v>2697</v>
      </c>
      <c r="G636" s="9" t="s">
        <v>392</v>
      </c>
      <c r="H636" s="14" t="s">
        <v>22</v>
      </c>
      <c r="I636" s="9" t="s">
        <v>2698</v>
      </c>
      <c r="J636" s="13"/>
      <c r="K636" s="13"/>
    </row>
    <row r="637" customFormat="false" ht="79.85" hidden="false" customHeight="false" outlineLevel="0" collapsed="false">
      <c r="A637" s="9" t="n">
        <v>636</v>
      </c>
      <c r="B637" s="9" t="s">
        <v>50</v>
      </c>
      <c r="C637" s="11" t="s">
        <v>67</v>
      </c>
      <c r="D637" s="9" t="s">
        <v>2699</v>
      </c>
      <c r="E637" s="9" t="s">
        <v>2700</v>
      </c>
      <c r="F637" s="9" t="s">
        <v>2701</v>
      </c>
      <c r="G637" s="9" t="s">
        <v>392</v>
      </c>
      <c r="H637" s="12" t="s">
        <v>21</v>
      </c>
      <c r="I637" s="9" t="s">
        <v>2702</v>
      </c>
      <c r="J637" s="13"/>
      <c r="K637" s="13"/>
    </row>
    <row r="638" customFormat="false" ht="57.45" hidden="false" customHeight="false" outlineLevel="0" collapsed="false">
      <c r="A638" s="9" t="n">
        <v>637</v>
      </c>
      <c r="B638" s="9" t="s">
        <v>50</v>
      </c>
      <c r="C638" s="11" t="s">
        <v>67</v>
      </c>
      <c r="D638" s="9" t="s">
        <v>2703</v>
      </c>
      <c r="E638" s="9" t="s">
        <v>2704</v>
      </c>
      <c r="F638" s="9" t="s">
        <v>2705</v>
      </c>
      <c r="G638" s="9" t="s">
        <v>392</v>
      </c>
      <c r="H638" s="14" t="s">
        <v>22</v>
      </c>
      <c r="I638" s="9" t="s">
        <v>2706</v>
      </c>
      <c r="J638" s="13"/>
      <c r="K638" s="13"/>
    </row>
    <row r="639" customFormat="false" ht="68.65" hidden="false" customHeight="false" outlineLevel="0" collapsed="false">
      <c r="A639" s="9" t="n">
        <v>638</v>
      </c>
      <c r="B639" s="9" t="s">
        <v>50</v>
      </c>
      <c r="C639" s="11" t="s">
        <v>67</v>
      </c>
      <c r="D639" s="9" t="s">
        <v>2707</v>
      </c>
      <c r="E639" s="9" t="s">
        <v>2708</v>
      </c>
      <c r="F639" s="9" t="s">
        <v>2709</v>
      </c>
      <c r="G639" s="9" t="s">
        <v>392</v>
      </c>
      <c r="H639" s="12" t="s">
        <v>21</v>
      </c>
      <c r="I639" s="9" t="s">
        <v>2710</v>
      </c>
      <c r="J639" s="13"/>
      <c r="K639" s="13"/>
    </row>
    <row r="640" customFormat="false" ht="57.45" hidden="false" customHeight="false" outlineLevel="0" collapsed="false">
      <c r="A640" s="9" t="n">
        <v>639</v>
      </c>
      <c r="B640" s="9" t="s">
        <v>50</v>
      </c>
      <c r="C640" s="11" t="s">
        <v>67</v>
      </c>
      <c r="D640" s="9" t="s">
        <v>2711</v>
      </c>
      <c r="E640" s="9" t="s">
        <v>2712</v>
      </c>
      <c r="F640" s="9" t="s">
        <v>2713</v>
      </c>
      <c r="G640" s="9" t="s">
        <v>312</v>
      </c>
      <c r="H640" s="14" t="s">
        <v>22</v>
      </c>
      <c r="I640" s="9" t="s">
        <v>2714</v>
      </c>
      <c r="J640" s="13"/>
      <c r="K640" s="13"/>
    </row>
    <row r="641" customFormat="false" ht="79.85" hidden="false" customHeight="false" outlineLevel="0" collapsed="false">
      <c r="A641" s="9" t="n">
        <v>640</v>
      </c>
      <c r="B641" s="9" t="s">
        <v>50</v>
      </c>
      <c r="C641" s="11" t="s">
        <v>67</v>
      </c>
      <c r="D641" s="9" t="s">
        <v>2715</v>
      </c>
      <c r="E641" s="9" t="s">
        <v>2716</v>
      </c>
      <c r="F641" s="9" t="s">
        <v>2717</v>
      </c>
      <c r="G641" s="9" t="s">
        <v>317</v>
      </c>
      <c r="H641" s="14" t="s">
        <v>22</v>
      </c>
      <c r="I641" s="9" t="s">
        <v>2718</v>
      </c>
      <c r="J641" s="13"/>
      <c r="K641" s="13"/>
    </row>
    <row r="642" customFormat="false" ht="35.05" hidden="false" customHeight="false" outlineLevel="0" collapsed="false">
      <c r="A642" s="9" t="n">
        <v>641</v>
      </c>
      <c r="B642" s="9" t="s">
        <v>50</v>
      </c>
      <c r="C642" s="11" t="s">
        <v>67</v>
      </c>
      <c r="D642" s="9" t="s">
        <v>2719</v>
      </c>
      <c r="E642" s="9" t="s">
        <v>2720</v>
      </c>
      <c r="F642" s="9" t="s">
        <v>2721</v>
      </c>
      <c r="G642" s="9" t="s">
        <v>392</v>
      </c>
      <c r="H642" s="15" t="s">
        <v>23</v>
      </c>
      <c r="I642" s="9" t="s">
        <v>2722</v>
      </c>
      <c r="J642" s="13"/>
      <c r="K642" s="13"/>
    </row>
    <row r="643" customFormat="false" ht="35.05" hidden="false" customHeight="false" outlineLevel="0" collapsed="false">
      <c r="A643" s="9" t="n">
        <v>642</v>
      </c>
      <c r="B643" s="9" t="s">
        <v>50</v>
      </c>
      <c r="C643" s="11" t="s">
        <v>67</v>
      </c>
      <c r="D643" s="9" t="s">
        <v>2723</v>
      </c>
      <c r="E643" s="9" t="s">
        <v>2724</v>
      </c>
      <c r="F643" s="9" t="s">
        <v>2725</v>
      </c>
      <c r="G643" s="9" t="s">
        <v>312</v>
      </c>
      <c r="H643" s="15" t="s">
        <v>23</v>
      </c>
      <c r="I643" s="9" t="s">
        <v>2726</v>
      </c>
      <c r="J643" s="13"/>
      <c r="K643" s="13"/>
    </row>
    <row r="644" customFormat="false" ht="35.05" hidden="false" customHeight="false" outlineLevel="0" collapsed="false">
      <c r="A644" s="9" t="n">
        <v>643</v>
      </c>
      <c r="B644" s="9" t="s">
        <v>50</v>
      </c>
      <c r="C644" s="11" t="s">
        <v>67</v>
      </c>
      <c r="D644" s="9" t="s">
        <v>2727</v>
      </c>
      <c r="E644" s="9" t="s">
        <v>2728</v>
      </c>
      <c r="F644" s="9" t="s">
        <v>2729</v>
      </c>
      <c r="G644" s="9" t="s">
        <v>312</v>
      </c>
      <c r="H644" s="15" t="s">
        <v>23</v>
      </c>
      <c r="I644" s="9" t="s">
        <v>2730</v>
      </c>
      <c r="J644" s="13"/>
      <c r="K644" s="13"/>
    </row>
    <row r="645" customFormat="false" ht="23.85" hidden="false" customHeight="false" outlineLevel="0" collapsed="false">
      <c r="A645" s="9" t="n">
        <v>644</v>
      </c>
      <c r="B645" s="9" t="s">
        <v>50</v>
      </c>
      <c r="C645" s="11" t="s">
        <v>67</v>
      </c>
      <c r="D645" s="9" t="s">
        <v>2731</v>
      </c>
      <c r="E645" s="9" t="s">
        <v>2732</v>
      </c>
      <c r="F645" s="9" t="s">
        <v>2733</v>
      </c>
      <c r="G645" s="9" t="s">
        <v>1072</v>
      </c>
      <c r="H645" s="15" t="s">
        <v>23</v>
      </c>
      <c r="I645" s="9" t="s">
        <v>2734</v>
      </c>
      <c r="J645" s="13"/>
      <c r="K645" s="13"/>
    </row>
    <row r="646" customFormat="false" ht="35.05" hidden="false" customHeight="false" outlineLevel="0" collapsed="false">
      <c r="A646" s="9" t="n">
        <v>645</v>
      </c>
      <c r="B646" s="9" t="s">
        <v>50</v>
      </c>
      <c r="C646" s="11" t="s">
        <v>67</v>
      </c>
      <c r="D646" s="9" t="s">
        <v>2735</v>
      </c>
      <c r="E646" s="9" t="s">
        <v>2736</v>
      </c>
      <c r="F646" s="9" t="s">
        <v>2737</v>
      </c>
      <c r="G646" s="9" t="s">
        <v>303</v>
      </c>
      <c r="H646" s="14" t="s">
        <v>22</v>
      </c>
      <c r="I646" s="9" t="s">
        <v>2738</v>
      </c>
      <c r="J646" s="13"/>
      <c r="K646" s="13"/>
    </row>
    <row r="647" customFormat="false" ht="23.85" hidden="false" customHeight="false" outlineLevel="0" collapsed="false">
      <c r="A647" s="9" t="n">
        <v>646</v>
      </c>
      <c r="B647" s="9" t="s">
        <v>50</v>
      </c>
      <c r="C647" s="11" t="s">
        <v>67</v>
      </c>
      <c r="D647" s="9" t="s">
        <v>2739</v>
      </c>
      <c r="E647" s="9" t="s">
        <v>2740</v>
      </c>
      <c r="F647" s="9" t="s">
        <v>2741</v>
      </c>
      <c r="G647" s="9" t="s">
        <v>312</v>
      </c>
      <c r="H647" s="15" t="s">
        <v>23</v>
      </c>
      <c r="I647" s="9" t="s">
        <v>2742</v>
      </c>
      <c r="J647" s="13"/>
      <c r="K647" s="13"/>
    </row>
    <row r="648" customFormat="false" ht="35.05" hidden="false" customHeight="false" outlineLevel="0" collapsed="false">
      <c r="A648" s="9" t="n">
        <v>647</v>
      </c>
      <c r="B648" s="9" t="s">
        <v>50</v>
      </c>
      <c r="C648" s="11" t="s">
        <v>67</v>
      </c>
      <c r="D648" s="9" t="s">
        <v>2743</v>
      </c>
      <c r="E648" s="9" t="s">
        <v>2744</v>
      </c>
      <c r="F648" s="9" t="s">
        <v>2745</v>
      </c>
      <c r="G648" s="9" t="s">
        <v>317</v>
      </c>
      <c r="H648" s="14" t="s">
        <v>22</v>
      </c>
      <c r="I648" s="9" t="s">
        <v>2746</v>
      </c>
      <c r="J648" s="13"/>
      <c r="K648" s="13"/>
    </row>
    <row r="649" customFormat="false" ht="35.05" hidden="false" customHeight="false" outlineLevel="0" collapsed="false">
      <c r="A649" s="9" t="n">
        <v>648</v>
      </c>
      <c r="B649" s="9" t="s">
        <v>50</v>
      </c>
      <c r="C649" s="11" t="s">
        <v>67</v>
      </c>
      <c r="D649" s="9" t="s">
        <v>2747</v>
      </c>
      <c r="E649" s="9" t="s">
        <v>2748</v>
      </c>
      <c r="F649" s="9" t="s">
        <v>2749</v>
      </c>
      <c r="G649" s="9" t="s">
        <v>1072</v>
      </c>
      <c r="H649" s="12" t="s">
        <v>21</v>
      </c>
      <c r="I649" s="9" t="s">
        <v>2750</v>
      </c>
      <c r="J649" s="13"/>
      <c r="K649" s="13"/>
    </row>
    <row r="650" customFormat="false" ht="46.25" hidden="false" customHeight="false" outlineLevel="0" collapsed="false">
      <c r="A650" s="9" t="n">
        <v>649</v>
      </c>
      <c r="B650" s="9" t="s">
        <v>50</v>
      </c>
      <c r="C650" s="11" t="s">
        <v>67</v>
      </c>
      <c r="D650" s="9" t="s">
        <v>2751</v>
      </c>
      <c r="E650" s="9" t="s">
        <v>2752</v>
      </c>
      <c r="F650" s="9" t="s">
        <v>2753</v>
      </c>
      <c r="G650" s="9" t="s">
        <v>324</v>
      </c>
      <c r="H650" s="14" t="s">
        <v>22</v>
      </c>
      <c r="I650" s="9" t="s">
        <v>2754</v>
      </c>
      <c r="J650" s="13"/>
      <c r="K650" s="13"/>
    </row>
    <row r="651" customFormat="false" ht="35.05" hidden="false" customHeight="false" outlineLevel="0" collapsed="false">
      <c r="A651" s="9" t="n">
        <v>650</v>
      </c>
      <c r="B651" s="9" t="s">
        <v>50</v>
      </c>
      <c r="C651" s="11" t="s">
        <v>67</v>
      </c>
      <c r="D651" s="9" t="s">
        <v>2755</v>
      </c>
      <c r="E651" s="9" t="s">
        <v>2756</v>
      </c>
      <c r="F651" s="9" t="s">
        <v>2757</v>
      </c>
      <c r="G651" s="9" t="s">
        <v>312</v>
      </c>
      <c r="H651" s="15" t="s">
        <v>23</v>
      </c>
      <c r="I651" s="9" t="s">
        <v>2758</v>
      </c>
      <c r="J651" s="13"/>
      <c r="K651" s="13"/>
    </row>
    <row r="652" customFormat="false" ht="57.45" hidden="false" customHeight="false" outlineLevel="0" collapsed="false">
      <c r="A652" s="9" t="n">
        <v>651</v>
      </c>
      <c r="B652" s="9" t="s">
        <v>50</v>
      </c>
      <c r="C652" s="11" t="s">
        <v>67</v>
      </c>
      <c r="D652" s="9" t="s">
        <v>2759</v>
      </c>
      <c r="E652" s="9" t="s">
        <v>2760</v>
      </c>
      <c r="F652" s="9" t="s">
        <v>2761</v>
      </c>
      <c r="G652" s="9" t="s">
        <v>312</v>
      </c>
      <c r="H652" s="15" t="s">
        <v>23</v>
      </c>
      <c r="I652" s="9" t="s">
        <v>2762</v>
      </c>
      <c r="J652" s="13"/>
      <c r="K652" s="13"/>
    </row>
    <row r="653" customFormat="false" ht="46.25" hidden="false" customHeight="false" outlineLevel="0" collapsed="false">
      <c r="A653" s="9" t="n">
        <v>652</v>
      </c>
      <c r="B653" s="9" t="s">
        <v>50</v>
      </c>
      <c r="C653" s="11" t="s">
        <v>67</v>
      </c>
      <c r="D653" s="9" t="s">
        <v>2763</v>
      </c>
      <c r="E653" s="9" t="s">
        <v>2764</v>
      </c>
      <c r="F653" s="9" t="s">
        <v>2765</v>
      </c>
      <c r="G653" s="9" t="s">
        <v>312</v>
      </c>
      <c r="H653" s="15" t="s">
        <v>23</v>
      </c>
      <c r="I653" s="9" t="s">
        <v>2766</v>
      </c>
      <c r="J653" s="13"/>
      <c r="K653" s="13"/>
    </row>
    <row r="654" customFormat="false" ht="46.25" hidden="false" customHeight="false" outlineLevel="0" collapsed="false">
      <c r="A654" s="9" t="n">
        <v>653</v>
      </c>
      <c r="B654" s="9" t="s">
        <v>50</v>
      </c>
      <c r="C654" s="11" t="s">
        <v>67</v>
      </c>
      <c r="D654" s="9" t="s">
        <v>2767</v>
      </c>
      <c r="E654" s="9" t="s">
        <v>2768</v>
      </c>
      <c r="F654" s="9" t="s">
        <v>2769</v>
      </c>
      <c r="G654" s="9" t="s">
        <v>328</v>
      </c>
      <c r="H654" s="14" t="s">
        <v>22</v>
      </c>
      <c r="I654" s="9" t="s">
        <v>2770</v>
      </c>
      <c r="J654" s="13"/>
      <c r="K654" s="13"/>
    </row>
    <row r="655" customFormat="false" ht="23.85" hidden="false" customHeight="false" outlineLevel="0" collapsed="false">
      <c r="A655" s="9" t="n">
        <v>654</v>
      </c>
      <c r="B655" s="9" t="s">
        <v>50</v>
      </c>
      <c r="C655" s="11" t="s">
        <v>67</v>
      </c>
      <c r="D655" s="9" t="s">
        <v>2771</v>
      </c>
      <c r="E655" s="9" t="s">
        <v>2772</v>
      </c>
      <c r="F655" s="9" t="s">
        <v>2773</v>
      </c>
      <c r="G655" s="9" t="s">
        <v>328</v>
      </c>
      <c r="H655" s="15" t="s">
        <v>23</v>
      </c>
      <c r="I655" s="9" t="s">
        <v>2774</v>
      </c>
      <c r="J655" s="13"/>
      <c r="K655" s="13"/>
    </row>
    <row r="656" customFormat="false" ht="23.85" hidden="false" customHeight="false" outlineLevel="0" collapsed="false">
      <c r="A656" s="9" t="n">
        <v>655</v>
      </c>
      <c r="B656" s="9" t="s">
        <v>50</v>
      </c>
      <c r="C656" s="11" t="s">
        <v>67</v>
      </c>
      <c r="D656" s="9" t="s">
        <v>2775</v>
      </c>
      <c r="E656" s="9" t="s">
        <v>2094</v>
      </c>
      <c r="F656" s="9" t="s">
        <v>2095</v>
      </c>
      <c r="G656" s="9" t="s">
        <v>328</v>
      </c>
      <c r="H656" s="15" t="s">
        <v>23</v>
      </c>
      <c r="I656" s="9" t="s">
        <v>2776</v>
      </c>
      <c r="J656" s="13"/>
      <c r="K656" s="13"/>
    </row>
    <row r="657" customFormat="false" ht="23.85" hidden="false" customHeight="false" outlineLevel="0" collapsed="false">
      <c r="A657" s="9" t="n">
        <v>656</v>
      </c>
      <c r="B657" s="9" t="s">
        <v>50</v>
      </c>
      <c r="C657" s="11" t="s">
        <v>67</v>
      </c>
      <c r="D657" s="9" t="s">
        <v>2777</v>
      </c>
      <c r="E657" s="9" t="s">
        <v>2778</v>
      </c>
      <c r="F657" s="9" t="s">
        <v>2779</v>
      </c>
      <c r="G657" s="9" t="s">
        <v>328</v>
      </c>
      <c r="H657" s="15" t="s">
        <v>23</v>
      </c>
      <c r="I657" s="9" t="s">
        <v>2780</v>
      </c>
      <c r="J657" s="13"/>
      <c r="K657" s="13"/>
    </row>
    <row r="658" customFormat="false" ht="46.25" hidden="false" customHeight="false" outlineLevel="0" collapsed="false">
      <c r="A658" s="9" t="n">
        <v>657</v>
      </c>
      <c r="B658" s="9" t="s">
        <v>50</v>
      </c>
      <c r="C658" s="11" t="s">
        <v>67</v>
      </c>
      <c r="D658" s="9" t="s">
        <v>2781</v>
      </c>
      <c r="E658" s="9" t="s">
        <v>2782</v>
      </c>
      <c r="F658" s="9" t="s">
        <v>2783</v>
      </c>
      <c r="G658" s="9" t="s">
        <v>312</v>
      </c>
      <c r="H658" s="15" t="s">
        <v>23</v>
      </c>
      <c r="I658" s="9" t="s">
        <v>2784</v>
      </c>
      <c r="J658" s="13"/>
      <c r="K658" s="13"/>
    </row>
    <row r="659" customFormat="false" ht="35.05" hidden="false" customHeight="false" outlineLevel="0" collapsed="false">
      <c r="A659" s="9" t="n">
        <v>658</v>
      </c>
      <c r="B659" s="9" t="s">
        <v>50</v>
      </c>
      <c r="C659" s="11" t="s">
        <v>67</v>
      </c>
      <c r="D659" s="9" t="s">
        <v>2785</v>
      </c>
      <c r="E659" s="9" t="s">
        <v>2786</v>
      </c>
      <c r="F659" s="9" t="s">
        <v>2787</v>
      </c>
      <c r="G659" s="9" t="s">
        <v>392</v>
      </c>
      <c r="H659" s="15" t="s">
        <v>23</v>
      </c>
      <c r="I659" s="9" t="s">
        <v>2788</v>
      </c>
      <c r="J659" s="13"/>
      <c r="K659" s="13"/>
    </row>
    <row r="660" customFormat="false" ht="23.85" hidden="false" customHeight="false" outlineLevel="0" collapsed="false">
      <c r="A660" s="9" t="n">
        <v>659</v>
      </c>
      <c r="B660" s="9" t="s">
        <v>50</v>
      </c>
      <c r="C660" s="11" t="s">
        <v>67</v>
      </c>
      <c r="D660" s="9" t="s">
        <v>2789</v>
      </c>
      <c r="E660" s="9" t="s">
        <v>2790</v>
      </c>
      <c r="F660" s="9" t="s">
        <v>2791</v>
      </c>
      <c r="G660" s="9" t="s">
        <v>24</v>
      </c>
      <c r="H660" s="12" t="s">
        <v>21</v>
      </c>
      <c r="I660" s="9" t="s">
        <v>2792</v>
      </c>
      <c r="J660" s="13"/>
      <c r="K660" s="13"/>
    </row>
    <row r="661" customFormat="false" ht="35.05" hidden="false" customHeight="false" outlineLevel="0" collapsed="false">
      <c r="A661" s="9" t="n">
        <v>660</v>
      </c>
      <c r="B661" s="9" t="s">
        <v>50</v>
      </c>
      <c r="C661" s="11" t="s">
        <v>67</v>
      </c>
      <c r="D661" s="9" t="s">
        <v>2793</v>
      </c>
      <c r="E661" s="9" t="s">
        <v>2794</v>
      </c>
      <c r="F661" s="9" t="s">
        <v>2795</v>
      </c>
      <c r="G661" s="9" t="s">
        <v>24</v>
      </c>
      <c r="H661" s="12" t="s">
        <v>21</v>
      </c>
      <c r="I661" s="9" t="s">
        <v>2796</v>
      </c>
      <c r="J661" s="13"/>
      <c r="K661" s="13"/>
    </row>
    <row r="662" customFormat="false" ht="35.05" hidden="false" customHeight="false" outlineLevel="0" collapsed="false">
      <c r="A662" s="9" t="n">
        <v>661</v>
      </c>
      <c r="B662" s="9" t="s">
        <v>50</v>
      </c>
      <c r="C662" s="11" t="s">
        <v>67</v>
      </c>
      <c r="D662" s="9" t="s">
        <v>2797</v>
      </c>
      <c r="E662" s="9" t="s">
        <v>2798</v>
      </c>
      <c r="F662" s="9" t="s">
        <v>2799</v>
      </c>
      <c r="G662" s="9" t="s">
        <v>24</v>
      </c>
      <c r="H662" s="12" t="s">
        <v>21</v>
      </c>
      <c r="I662" s="9" t="s">
        <v>2800</v>
      </c>
      <c r="J662" s="13"/>
      <c r="K662" s="13"/>
    </row>
    <row r="663" customFormat="false" ht="35.05" hidden="false" customHeight="false" outlineLevel="0" collapsed="false">
      <c r="A663" s="9" t="n">
        <v>662</v>
      </c>
      <c r="B663" s="9" t="s">
        <v>50</v>
      </c>
      <c r="C663" s="11" t="s">
        <v>67</v>
      </c>
      <c r="D663" s="9" t="s">
        <v>2801</v>
      </c>
      <c r="E663" s="9" t="s">
        <v>358</v>
      </c>
      <c r="F663" s="9" t="s">
        <v>2802</v>
      </c>
      <c r="G663" s="9" t="s">
        <v>24</v>
      </c>
      <c r="H663" s="14" t="s">
        <v>22</v>
      </c>
      <c r="I663" s="9" t="s">
        <v>2803</v>
      </c>
      <c r="J663" s="13"/>
      <c r="K663" s="13"/>
    </row>
    <row r="664" customFormat="false" ht="15" hidden="false" customHeight="false" outlineLevel="0" collapsed="false">
      <c r="A664" s="9" t="n">
        <v>663</v>
      </c>
      <c r="B664" s="9" t="s">
        <v>50</v>
      </c>
      <c r="C664" s="11" t="s">
        <v>67</v>
      </c>
      <c r="D664" s="9" t="s">
        <v>2804</v>
      </c>
      <c r="E664" s="9" t="s">
        <v>362</v>
      </c>
      <c r="F664" s="9" t="s">
        <v>363</v>
      </c>
      <c r="G664" s="9" t="s">
        <v>24</v>
      </c>
      <c r="H664" s="14" t="s">
        <v>22</v>
      </c>
      <c r="I664" s="9" t="s">
        <v>364</v>
      </c>
      <c r="J664" s="13"/>
      <c r="K664" s="13"/>
    </row>
    <row r="665" customFormat="false" ht="23.85" hidden="false" customHeight="false" outlineLevel="0" collapsed="false">
      <c r="A665" s="9" t="n">
        <v>664</v>
      </c>
      <c r="B665" s="9" t="s">
        <v>50</v>
      </c>
      <c r="C665" s="11" t="s">
        <v>67</v>
      </c>
      <c r="D665" s="9" t="s">
        <v>2805</v>
      </c>
      <c r="E665" s="9" t="s">
        <v>2806</v>
      </c>
      <c r="F665" s="9" t="s">
        <v>2807</v>
      </c>
      <c r="G665" s="9" t="s">
        <v>24</v>
      </c>
      <c r="H665" s="14" t="s">
        <v>22</v>
      </c>
      <c r="I665" s="9" t="s">
        <v>2808</v>
      </c>
      <c r="J665" s="13"/>
      <c r="K665" s="13"/>
    </row>
    <row r="666" customFormat="false" ht="46.25" hidden="false" customHeight="false" outlineLevel="0" collapsed="false">
      <c r="A666" s="9" t="n">
        <v>665</v>
      </c>
      <c r="B666" s="9" t="s">
        <v>50</v>
      </c>
      <c r="C666" s="11" t="s">
        <v>67</v>
      </c>
      <c r="D666" s="9" t="s">
        <v>2809</v>
      </c>
      <c r="E666" s="9" t="s">
        <v>2810</v>
      </c>
      <c r="F666" s="9" t="s">
        <v>2811</v>
      </c>
      <c r="G666" s="9" t="s">
        <v>24</v>
      </c>
      <c r="H666" s="14" t="s">
        <v>22</v>
      </c>
      <c r="I666" s="9" t="s">
        <v>2812</v>
      </c>
      <c r="J666" s="13"/>
      <c r="K666" s="13"/>
    </row>
    <row r="667" customFormat="false" ht="23.85" hidden="false" customHeight="false" outlineLevel="0" collapsed="false">
      <c r="A667" s="9" t="n">
        <v>666</v>
      </c>
      <c r="B667" s="9" t="s">
        <v>50</v>
      </c>
      <c r="C667" s="11" t="s">
        <v>67</v>
      </c>
      <c r="D667" s="9" t="s">
        <v>2813</v>
      </c>
      <c r="E667" s="9" t="s">
        <v>2546</v>
      </c>
      <c r="F667" s="9" t="s">
        <v>2814</v>
      </c>
      <c r="G667" s="9" t="s">
        <v>24</v>
      </c>
      <c r="H667" s="14" t="s">
        <v>22</v>
      </c>
      <c r="I667" s="9" t="s">
        <v>2815</v>
      </c>
      <c r="J667" s="13"/>
      <c r="K667" s="13"/>
    </row>
    <row r="668" customFormat="false" ht="23.85" hidden="false" customHeight="false" outlineLevel="0" collapsed="false">
      <c r="A668" s="9" t="n">
        <v>667</v>
      </c>
      <c r="B668" s="9" t="s">
        <v>50</v>
      </c>
      <c r="C668" s="11" t="s">
        <v>67</v>
      </c>
      <c r="D668" s="9" t="s">
        <v>2816</v>
      </c>
      <c r="E668" s="9" t="s">
        <v>2817</v>
      </c>
      <c r="F668" s="9" t="s">
        <v>2818</v>
      </c>
      <c r="G668" s="9" t="s">
        <v>24</v>
      </c>
      <c r="H668" s="14" t="s">
        <v>22</v>
      </c>
      <c r="I668" s="9" t="s">
        <v>2819</v>
      </c>
      <c r="J668" s="13"/>
      <c r="K668" s="13"/>
    </row>
    <row r="669" customFormat="false" ht="46.25" hidden="false" customHeight="false" outlineLevel="0" collapsed="false">
      <c r="A669" s="9" t="n">
        <v>668</v>
      </c>
      <c r="B669" s="9" t="s">
        <v>50</v>
      </c>
      <c r="C669" s="11" t="s">
        <v>67</v>
      </c>
      <c r="D669" s="9" t="s">
        <v>2820</v>
      </c>
      <c r="E669" s="9" t="s">
        <v>2821</v>
      </c>
      <c r="F669" s="9" t="s">
        <v>2822</v>
      </c>
      <c r="G669" s="9" t="s">
        <v>24</v>
      </c>
      <c r="H669" s="14" t="s">
        <v>22</v>
      </c>
      <c r="I669" s="9" t="s">
        <v>2823</v>
      </c>
      <c r="J669" s="13"/>
      <c r="K669" s="13"/>
    </row>
    <row r="670" customFormat="false" ht="23.85" hidden="false" customHeight="false" outlineLevel="0" collapsed="false">
      <c r="A670" s="9" t="n">
        <v>669</v>
      </c>
      <c r="B670" s="9" t="s">
        <v>50</v>
      </c>
      <c r="C670" s="11" t="s">
        <v>67</v>
      </c>
      <c r="D670" s="9" t="s">
        <v>2824</v>
      </c>
      <c r="E670" s="9" t="s">
        <v>2825</v>
      </c>
      <c r="F670" s="9" t="s">
        <v>2826</v>
      </c>
      <c r="G670" s="9" t="s">
        <v>24</v>
      </c>
      <c r="H670" s="15" t="s">
        <v>23</v>
      </c>
      <c r="I670" s="9" t="s">
        <v>2827</v>
      </c>
      <c r="J670" s="13"/>
      <c r="K670" s="13"/>
    </row>
    <row r="671" customFormat="false" ht="15" hidden="false" customHeight="false" outlineLevel="0" collapsed="false">
      <c r="A671" s="9" t="n">
        <v>670</v>
      </c>
      <c r="B671" s="9" t="s">
        <v>50</v>
      </c>
      <c r="C671" s="11" t="s">
        <v>67</v>
      </c>
      <c r="D671" s="9" t="s">
        <v>2828</v>
      </c>
      <c r="E671" s="9" t="s">
        <v>2829</v>
      </c>
      <c r="F671" s="9" t="s">
        <v>2830</v>
      </c>
      <c r="G671" s="9" t="s">
        <v>24</v>
      </c>
      <c r="H671" s="15" t="s">
        <v>23</v>
      </c>
      <c r="I671" s="9" t="s">
        <v>2831</v>
      </c>
      <c r="J671" s="13"/>
      <c r="K671" s="13"/>
    </row>
    <row r="672" customFormat="false" ht="15" hidden="false" customHeight="false" outlineLevel="0" collapsed="false">
      <c r="A672" s="9" t="n">
        <v>671</v>
      </c>
      <c r="B672" s="9" t="s">
        <v>50</v>
      </c>
      <c r="C672" s="11" t="s">
        <v>67</v>
      </c>
      <c r="D672" s="9" t="s">
        <v>2832</v>
      </c>
      <c r="E672" s="9" t="s">
        <v>2833</v>
      </c>
      <c r="F672" s="9" t="s">
        <v>2834</v>
      </c>
      <c r="G672" s="9" t="s">
        <v>24</v>
      </c>
      <c r="H672" s="15" t="s">
        <v>23</v>
      </c>
      <c r="I672" s="9" t="s">
        <v>2835</v>
      </c>
      <c r="J672" s="13"/>
      <c r="K672" s="13"/>
    </row>
    <row r="673" customFormat="false" ht="35.05" hidden="false" customHeight="false" outlineLevel="0" collapsed="false">
      <c r="A673" s="9" t="n">
        <v>672</v>
      </c>
      <c r="B673" s="9" t="s">
        <v>50</v>
      </c>
      <c r="C673" s="11" t="s">
        <v>67</v>
      </c>
      <c r="D673" s="9" t="s">
        <v>2836</v>
      </c>
      <c r="E673" s="9" t="s">
        <v>2837</v>
      </c>
      <c r="F673" s="9" t="s">
        <v>2838</v>
      </c>
      <c r="G673" s="9" t="s">
        <v>24</v>
      </c>
      <c r="H673" s="15" t="s">
        <v>23</v>
      </c>
      <c r="I673" s="9" t="s">
        <v>2839</v>
      </c>
      <c r="J673" s="13"/>
      <c r="K673" s="13"/>
    </row>
    <row r="674" customFormat="false" ht="23.85" hidden="false" customHeight="false" outlineLevel="0" collapsed="false">
      <c r="A674" s="9" t="n">
        <v>673</v>
      </c>
      <c r="B674" s="9" t="s">
        <v>50</v>
      </c>
      <c r="C674" s="11" t="s">
        <v>67</v>
      </c>
      <c r="D674" s="9" t="s">
        <v>2840</v>
      </c>
      <c r="E674" s="9" t="s">
        <v>2841</v>
      </c>
      <c r="F674" s="9" t="s">
        <v>2842</v>
      </c>
      <c r="G674" s="9" t="s">
        <v>24</v>
      </c>
      <c r="H674" s="15" t="s">
        <v>23</v>
      </c>
      <c r="I674" s="9" t="s">
        <v>2843</v>
      </c>
      <c r="J674" s="13"/>
      <c r="K674" s="13"/>
    </row>
    <row r="675" customFormat="false" ht="23.85" hidden="false" customHeight="false" outlineLevel="0" collapsed="false">
      <c r="A675" s="9" t="n">
        <v>674</v>
      </c>
      <c r="B675" s="9" t="s">
        <v>50</v>
      </c>
      <c r="C675" s="11" t="s">
        <v>67</v>
      </c>
      <c r="D675" s="9" t="s">
        <v>2844</v>
      </c>
      <c r="E675" s="9" t="s">
        <v>2585</v>
      </c>
      <c r="F675" s="9" t="s">
        <v>2845</v>
      </c>
      <c r="G675" s="9" t="s">
        <v>24</v>
      </c>
      <c r="H675" s="15" t="s">
        <v>23</v>
      </c>
      <c r="I675" s="9" t="s">
        <v>2846</v>
      </c>
      <c r="J675" s="13"/>
      <c r="K675" s="13"/>
    </row>
    <row r="676" customFormat="false" ht="46.25" hidden="false" customHeight="false" outlineLevel="0" collapsed="false">
      <c r="A676" s="9" t="n">
        <v>675</v>
      </c>
      <c r="B676" s="9" t="s">
        <v>50</v>
      </c>
      <c r="C676" s="11" t="s">
        <v>67</v>
      </c>
      <c r="D676" s="9" t="s">
        <v>2847</v>
      </c>
      <c r="E676" s="9" t="s">
        <v>2848</v>
      </c>
      <c r="F676" s="9" t="s">
        <v>2849</v>
      </c>
      <c r="G676" s="9" t="s">
        <v>24</v>
      </c>
      <c r="H676" s="15" t="s">
        <v>23</v>
      </c>
      <c r="I676" s="9" t="s">
        <v>2850</v>
      </c>
      <c r="J676" s="13"/>
      <c r="K676" s="13"/>
    </row>
    <row r="677" customFormat="false" ht="15" hidden="false" customHeight="false" outlineLevel="0" collapsed="false">
      <c r="A677" s="9" t="n">
        <v>676</v>
      </c>
      <c r="B677" s="9" t="s">
        <v>50</v>
      </c>
      <c r="C677" s="11" t="s">
        <v>67</v>
      </c>
      <c r="D677" s="9" t="s">
        <v>2851</v>
      </c>
      <c r="E677" s="9" t="s">
        <v>2852</v>
      </c>
      <c r="F677" s="9" t="s">
        <v>448</v>
      </c>
      <c r="G677" s="9" t="s">
        <v>24</v>
      </c>
      <c r="H677" s="15" t="s">
        <v>23</v>
      </c>
      <c r="I677" s="9" t="s">
        <v>2853</v>
      </c>
      <c r="J677" s="13"/>
      <c r="K677" s="13"/>
    </row>
    <row r="678" customFormat="false" ht="135.8" hidden="false" customHeight="false" outlineLevel="0" collapsed="false">
      <c r="A678" s="9" t="n">
        <v>677</v>
      </c>
      <c r="B678" s="9" t="s">
        <v>50</v>
      </c>
      <c r="C678" s="11" t="s">
        <v>69</v>
      </c>
      <c r="D678" s="9" t="s">
        <v>2854</v>
      </c>
      <c r="E678" s="9" t="s">
        <v>2855</v>
      </c>
      <c r="F678" s="9" t="s">
        <v>2856</v>
      </c>
      <c r="G678" s="9" t="s">
        <v>317</v>
      </c>
      <c r="H678" s="12" t="s">
        <v>21</v>
      </c>
      <c r="I678" s="9" t="s">
        <v>2857</v>
      </c>
      <c r="J678" s="13"/>
      <c r="K678" s="13"/>
    </row>
    <row r="679" customFormat="false" ht="91" hidden="false" customHeight="false" outlineLevel="0" collapsed="false">
      <c r="A679" s="9" t="n">
        <v>678</v>
      </c>
      <c r="B679" s="9" t="s">
        <v>50</v>
      </c>
      <c r="C679" s="11" t="s">
        <v>69</v>
      </c>
      <c r="D679" s="9" t="s">
        <v>2858</v>
      </c>
      <c r="E679" s="9" t="s">
        <v>2859</v>
      </c>
      <c r="F679" s="9" t="s">
        <v>2860</v>
      </c>
      <c r="G679" s="9" t="s">
        <v>392</v>
      </c>
      <c r="H679" s="12" t="s">
        <v>21</v>
      </c>
      <c r="I679" s="9" t="s">
        <v>2861</v>
      </c>
      <c r="J679" s="13"/>
      <c r="K679" s="13"/>
    </row>
    <row r="680" customFormat="false" ht="68.65" hidden="false" customHeight="false" outlineLevel="0" collapsed="false">
      <c r="A680" s="9" t="n">
        <v>679</v>
      </c>
      <c r="B680" s="9" t="s">
        <v>50</v>
      </c>
      <c r="C680" s="11" t="s">
        <v>69</v>
      </c>
      <c r="D680" s="9" t="s">
        <v>2862</v>
      </c>
      <c r="E680" s="9" t="s">
        <v>2863</v>
      </c>
      <c r="F680" s="9" t="s">
        <v>2864</v>
      </c>
      <c r="G680" s="9" t="s">
        <v>317</v>
      </c>
      <c r="H680" s="12" t="s">
        <v>21</v>
      </c>
      <c r="I680" s="9" t="s">
        <v>2865</v>
      </c>
      <c r="J680" s="13"/>
      <c r="K680" s="13"/>
    </row>
    <row r="681" customFormat="false" ht="46.25" hidden="false" customHeight="false" outlineLevel="0" collapsed="false">
      <c r="A681" s="9" t="n">
        <v>680</v>
      </c>
      <c r="B681" s="9" t="s">
        <v>50</v>
      </c>
      <c r="C681" s="11" t="s">
        <v>69</v>
      </c>
      <c r="D681" s="9" t="s">
        <v>2866</v>
      </c>
      <c r="E681" s="9" t="s">
        <v>2867</v>
      </c>
      <c r="F681" s="9" t="s">
        <v>2868</v>
      </c>
      <c r="G681" s="9" t="s">
        <v>1072</v>
      </c>
      <c r="H681" s="12" t="s">
        <v>21</v>
      </c>
      <c r="I681" s="9" t="s">
        <v>2869</v>
      </c>
      <c r="J681" s="13"/>
      <c r="K681" s="13"/>
    </row>
    <row r="682" customFormat="false" ht="46.25" hidden="false" customHeight="false" outlineLevel="0" collapsed="false">
      <c r="A682" s="9" t="n">
        <v>681</v>
      </c>
      <c r="B682" s="9" t="s">
        <v>50</v>
      </c>
      <c r="C682" s="11" t="s">
        <v>69</v>
      </c>
      <c r="D682" s="9" t="s">
        <v>2870</v>
      </c>
      <c r="E682" s="9" t="s">
        <v>2871</v>
      </c>
      <c r="F682" s="9" t="s">
        <v>2872</v>
      </c>
      <c r="G682" s="9" t="s">
        <v>1072</v>
      </c>
      <c r="H682" s="12" t="s">
        <v>21</v>
      </c>
      <c r="I682" s="9" t="s">
        <v>2873</v>
      </c>
      <c r="J682" s="13"/>
      <c r="K682" s="13"/>
    </row>
    <row r="683" customFormat="false" ht="46.25" hidden="false" customHeight="false" outlineLevel="0" collapsed="false">
      <c r="A683" s="9" t="n">
        <v>682</v>
      </c>
      <c r="B683" s="9" t="s">
        <v>50</v>
      </c>
      <c r="C683" s="11" t="s">
        <v>69</v>
      </c>
      <c r="D683" s="9" t="s">
        <v>2874</v>
      </c>
      <c r="E683" s="9" t="s">
        <v>2875</v>
      </c>
      <c r="F683" s="9" t="s">
        <v>2876</v>
      </c>
      <c r="G683" s="9" t="s">
        <v>1072</v>
      </c>
      <c r="H683" s="14" t="s">
        <v>22</v>
      </c>
      <c r="I683" s="9" t="s">
        <v>2877</v>
      </c>
      <c r="J683" s="13"/>
      <c r="K683" s="13"/>
    </row>
    <row r="684" customFormat="false" ht="46.25" hidden="false" customHeight="false" outlineLevel="0" collapsed="false">
      <c r="A684" s="9" t="n">
        <v>683</v>
      </c>
      <c r="B684" s="9" t="s">
        <v>50</v>
      </c>
      <c r="C684" s="11" t="s">
        <v>69</v>
      </c>
      <c r="D684" s="9" t="s">
        <v>2878</v>
      </c>
      <c r="E684" s="9" t="s">
        <v>2879</v>
      </c>
      <c r="F684" s="9" t="s">
        <v>2880</v>
      </c>
      <c r="G684" s="9" t="s">
        <v>1072</v>
      </c>
      <c r="H684" s="14" t="s">
        <v>22</v>
      </c>
      <c r="I684" s="9" t="s">
        <v>2881</v>
      </c>
      <c r="J684" s="13"/>
      <c r="K684" s="13"/>
    </row>
    <row r="685" customFormat="false" ht="35.05" hidden="false" customHeight="false" outlineLevel="0" collapsed="false">
      <c r="A685" s="9" t="n">
        <v>684</v>
      </c>
      <c r="B685" s="9" t="s">
        <v>50</v>
      </c>
      <c r="C685" s="11" t="s">
        <v>69</v>
      </c>
      <c r="D685" s="9" t="s">
        <v>2882</v>
      </c>
      <c r="E685" s="9" t="s">
        <v>2883</v>
      </c>
      <c r="F685" s="9" t="s">
        <v>2884</v>
      </c>
      <c r="G685" s="9" t="s">
        <v>1072</v>
      </c>
      <c r="H685" s="14" t="s">
        <v>22</v>
      </c>
      <c r="I685" s="9" t="s">
        <v>2885</v>
      </c>
      <c r="J685" s="13"/>
      <c r="K685" s="13"/>
    </row>
    <row r="686" customFormat="false" ht="68.65" hidden="false" customHeight="false" outlineLevel="0" collapsed="false">
      <c r="A686" s="9" t="n">
        <v>685</v>
      </c>
      <c r="B686" s="9" t="s">
        <v>50</v>
      </c>
      <c r="C686" s="11" t="s">
        <v>69</v>
      </c>
      <c r="D686" s="9" t="s">
        <v>2886</v>
      </c>
      <c r="E686" s="9" t="s">
        <v>2887</v>
      </c>
      <c r="F686" s="9" t="s">
        <v>2888</v>
      </c>
      <c r="G686" s="9" t="s">
        <v>303</v>
      </c>
      <c r="H686" s="12" t="s">
        <v>21</v>
      </c>
      <c r="I686" s="9" t="s">
        <v>2889</v>
      </c>
      <c r="J686" s="13"/>
      <c r="K686" s="13"/>
    </row>
    <row r="687" customFormat="false" ht="102.2" hidden="false" customHeight="false" outlineLevel="0" collapsed="false">
      <c r="A687" s="9" t="n">
        <v>686</v>
      </c>
      <c r="B687" s="9" t="s">
        <v>50</v>
      </c>
      <c r="C687" s="11" t="s">
        <v>69</v>
      </c>
      <c r="D687" s="9" t="s">
        <v>2890</v>
      </c>
      <c r="E687" s="9" t="s">
        <v>2891</v>
      </c>
      <c r="F687" s="9" t="s">
        <v>2892</v>
      </c>
      <c r="G687" s="9" t="s">
        <v>392</v>
      </c>
      <c r="H687" s="12" t="s">
        <v>21</v>
      </c>
      <c r="I687" s="9" t="s">
        <v>2893</v>
      </c>
      <c r="J687" s="13"/>
      <c r="K687" s="13"/>
    </row>
    <row r="688" customFormat="false" ht="46.25" hidden="false" customHeight="false" outlineLevel="0" collapsed="false">
      <c r="A688" s="9" t="n">
        <v>687</v>
      </c>
      <c r="B688" s="9" t="s">
        <v>50</v>
      </c>
      <c r="C688" s="11" t="s">
        <v>69</v>
      </c>
      <c r="D688" s="9" t="s">
        <v>2894</v>
      </c>
      <c r="E688" s="9" t="s">
        <v>2895</v>
      </c>
      <c r="F688" s="9" t="s">
        <v>2896</v>
      </c>
      <c r="G688" s="9" t="s">
        <v>317</v>
      </c>
      <c r="H688" s="14" t="s">
        <v>22</v>
      </c>
      <c r="I688" s="9" t="s">
        <v>2897</v>
      </c>
      <c r="J688" s="13"/>
      <c r="K688" s="13"/>
    </row>
    <row r="689" customFormat="false" ht="57.45" hidden="false" customHeight="false" outlineLevel="0" collapsed="false">
      <c r="A689" s="9" t="n">
        <v>688</v>
      </c>
      <c r="B689" s="9" t="s">
        <v>50</v>
      </c>
      <c r="C689" s="11" t="s">
        <v>69</v>
      </c>
      <c r="D689" s="9" t="s">
        <v>2898</v>
      </c>
      <c r="E689" s="9" t="s">
        <v>2899</v>
      </c>
      <c r="F689" s="9" t="s">
        <v>2900</v>
      </c>
      <c r="G689" s="9" t="s">
        <v>1072</v>
      </c>
      <c r="H689" s="14" t="s">
        <v>22</v>
      </c>
      <c r="I689" s="9" t="s">
        <v>2901</v>
      </c>
      <c r="J689" s="13"/>
      <c r="K689" s="13"/>
    </row>
    <row r="690" customFormat="false" ht="35.05" hidden="false" customHeight="false" outlineLevel="0" collapsed="false">
      <c r="A690" s="9" t="n">
        <v>689</v>
      </c>
      <c r="B690" s="9" t="s">
        <v>50</v>
      </c>
      <c r="C690" s="11" t="s">
        <v>69</v>
      </c>
      <c r="D690" s="9" t="s">
        <v>2902</v>
      </c>
      <c r="E690" s="9" t="s">
        <v>2903</v>
      </c>
      <c r="F690" s="9" t="s">
        <v>2904</v>
      </c>
      <c r="G690" s="9" t="s">
        <v>1072</v>
      </c>
      <c r="H690" s="14" t="s">
        <v>22</v>
      </c>
      <c r="I690" s="9" t="s">
        <v>2905</v>
      </c>
      <c r="J690" s="13"/>
      <c r="K690" s="13"/>
    </row>
    <row r="691" customFormat="false" ht="57.45" hidden="false" customHeight="false" outlineLevel="0" collapsed="false">
      <c r="A691" s="9" t="n">
        <v>690</v>
      </c>
      <c r="B691" s="9" t="s">
        <v>50</v>
      </c>
      <c r="C691" s="11" t="s">
        <v>69</v>
      </c>
      <c r="D691" s="9" t="s">
        <v>2906</v>
      </c>
      <c r="E691" s="9" t="s">
        <v>2907</v>
      </c>
      <c r="F691" s="9" t="s">
        <v>2908</v>
      </c>
      <c r="G691" s="9" t="s">
        <v>312</v>
      </c>
      <c r="H691" s="14" t="s">
        <v>22</v>
      </c>
      <c r="I691" s="9" t="s">
        <v>2909</v>
      </c>
      <c r="J691" s="13"/>
      <c r="K691" s="13"/>
    </row>
    <row r="692" customFormat="false" ht="46.25" hidden="false" customHeight="false" outlineLevel="0" collapsed="false">
      <c r="A692" s="9" t="n">
        <v>691</v>
      </c>
      <c r="B692" s="9" t="s">
        <v>50</v>
      </c>
      <c r="C692" s="11" t="s">
        <v>69</v>
      </c>
      <c r="D692" s="9" t="s">
        <v>2910</v>
      </c>
      <c r="E692" s="9" t="s">
        <v>2911</v>
      </c>
      <c r="F692" s="9" t="s">
        <v>2912</v>
      </c>
      <c r="G692" s="9" t="s">
        <v>312</v>
      </c>
      <c r="H692" s="14" t="s">
        <v>22</v>
      </c>
      <c r="I692" s="9" t="s">
        <v>2913</v>
      </c>
      <c r="J692" s="13"/>
      <c r="K692" s="13"/>
    </row>
    <row r="693" customFormat="false" ht="57.45" hidden="false" customHeight="false" outlineLevel="0" collapsed="false">
      <c r="A693" s="9" t="n">
        <v>692</v>
      </c>
      <c r="B693" s="9" t="s">
        <v>50</v>
      </c>
      <c r="C693" s="11" t="s">
        <v>69</v>
      </c>
      <c r="D693" s="9" t="s">
        <v>2914</v>
      </c>
      <c r="E693" s="9" t="s">
        <v>2915</v>
      </c>
      <c r="F693" s="9" t="s">
        <v>2916</v>
      </c>
      <c r="G693" s="9" t="s">
        <v>1072</v>
      </c>
      <c r="H693" s="14" t="s">
        <v>22</v>
      </c>
      <c r="I693" s="9" t="s">
        <v>2917</v>
      </c>
      <c r="J693" s="13"/>
      <c r="K693" s="13"/>
    </row>
    <row r="694" customFormat="false" ht="57.45" hidden="false" customHeight="false" outlineLevel="0" collapsed="false">
      <c r="A694" s="9" t="n">
        <v>693</v>
      </c>
      <c r="B694" s="9" t="s">
        <v>50</v>
      </c>
      <c r="C694" s="11" t="s">
        <v>69</v>
      </c>
      <c r="D694" s="9" t="s">
        <v>2918</v>
      </c>
      <c r="E694" s="9" t="s">
        <v>2919</v>
      </c>
      <c r="F694" s="9" t="s">
        <v>2920</v>
      </c>
      <c r="G694" s="9" t="s">
        <v>1072</v>
      </c>
      <c r="H694" s="14" t="s">
        <v>22</v>
      </c>
      <c r="I694" s="9" t="s">
        <v>2921</v>
      </c>
      <c r="J694" s="13"/>
      <c r="K694" s="13"/>
    </row>
    <row r="695" customFormat="false" ht="46.25" hidden="false" customHeight="false" outlineLevel="0" collapsed="false">
      <c r="A695" s="9" t="n">
        <v>694</v>
      </c>
      <c r="B695" s="9" t="s">
        <v>50</v>
      </c>
      <c r="C695" s="11" t="s">
        <v>69</v>
      </c>
      <c r="D695" s="9" t="s">
        <v>2922</v>
      </c>
      <c r="E695" s="9" t="s">
        <v>2923</v>
      </c>
      <c r="F695" s="9" t="s">
        <v>2924</v>
      </c>
      <c r="G695" s="9" t="s">
        <v>1072</v>
      </c>
      <c r="H695" s="14" t="s">
        <v>22</v>
      </c>
      <c r="I695" s="9" t="s">
        <v>2925</v>
      </c>
      <c r="J695" s="13"/>
      <c r="K695" s="13"/>
    </row>
    <row r="696" customFormat="false" ht="57.45" hidden="false" customHeight="false" outlineLevel="0" collapsed="false">
      <c r="A696" s="9" t="n">
        <v>695</v>
      </c>
      <c r="B696" s="9" t="s">
        <v>50</v>
      </c>
      <c r="C696" s="11" t="s">
        <v>69</v>
      </c>
      <c r="D696" s="9" t="s">
        <v>2926</v>
      </c>
      <c r="E696" s="9" t="s">
        <v>2927</v>
      </c>
      <c r="F696" s="9" t="s">
        <v>2928</v>
      </c>
      <c r="G696" s="9" t="s">
        <v>392</v>
      </c>
      <c r="H696" s="12" t="s">
        <v>21</v>
      </c>
      <c r="I696" s="9" t="s">
        <v>2929</v>
      </c>
      <c r="J696" s="13"/>
      <c r="K696" s="13"/>
    </row>
    <row r="697" customFormat="false" ht="57.45" hidden="false" customHeight="false" outlineLevel="0" collapsed="false">
      <c r="A697" s="9" t="n">
        <v>696</v>
      </c>
      <c r="B697" s="9" t="s">
        <v>50</v>
      </c>
      <c r="C697" s="11" t="s">
        <v>69</v>
      </c>
      <c r="D697" s="9" t="s">
        <v>2930</v>
      </c>
      <c r="E697" s="9" t="s">
        <v>2931</v>
      </c>
      <c r="F697" s="9" t="s">
        <v>2932</v>
      </c>
      <c r="G697" s="9" t="s">
        <v>1072</v>
      </c>
      <c r="H697" s="14" t="s">
        <v>22</v>
      </c>
      <c r="I697" s="9" t="s">
        <v>2933</v>
      </c>
      <c r="J697" s="13"/>
      <c r="K697" s="13"/>
    </row>
    <row r="698" customFormat="false" ht="57.45" hidden="false" customHeight="false" outlineLevel="0" collapsed="false">
      <c r="A698" s="9" t="n">
        <v>697</v>
      </c>
      <c r="B698" s="9" t="s">
        <v>50</v>
      </c>
      <c r="C698" s="11" t="s">
        <v>69</v>
      </c>
      <c r="D698" s="9" t="s">
        <v>2934</v>
      </c>
      <c r="E698" s="9" t="s">
        <v>2935</v>
      </c>
      <c r="F698" s="9" t="s">
        <v>2936</v>
      </c>
      <c r="G698" s="9" t="s">
        <v>317</v>
      </c>
      <c r="H698" s="14" t="s">
        <v>22</v>
      </c>
      <c r="I698" s="9" t="s">
        <v>2937</v>
      </c>
      <c r="J698" s="13"/>
      <c r="K698" s="13"/>
    </row>
    <row r="699" customFormat="false" ht="46.25" hidden="false" customHeight="false" outlineLevel="0" collapsed="false">
      <c r="A699" s="9" t="n">
        <v>698</v>
      </c>
      <c r="B699" s="9" t="s">
        <v>50</v>
      </c>
      <c r="C699" s="11" t="s">
        <v>69</v>
      </c>
      <c r="D699" s="9" t="s">
        <v>2938</v>
      </c>
      <c r="E699" s="9" t="s">
        <v>2939</v>
      </c>
      <c r="F699" s="9" t="s">
        <v>2940</v>
      </c>
      <c r="G699" s="9" t="s">
        <v>312</v>
      </c>
      <c r="H699" s="15" t="s">
        <v>23</v>
      </c>
      <c r="I699" s="9" t="s">
        <v>2941</v>
      </c>
      <c r="J699" s="13"/>
      <c r="K699" s="13"/>
    </row>
    <row r="700" customFormat="false" ht="23.85" hidden="false" customHeight="false" outlineLevel="0" collapsed="false">
      <c r="A700" s="9" t="n">
        <v>699</v>
      </c>
      <c r="B700" s="9" t="s">
        <v>50</v>
      </c>
      <c r="C700" s="11" t="s">
        <v>69</v>
      </c>
      <c r="D700" s="9" t="s">
        <v>2942</v>
      </c>
      <c r="E700" s="9" t="s">
        <v>2943</v>
      </c>
      <c r="F700" s="9" t="s">
        <v>2944</v>
      </c>
      <c r="G700" s="9" t="s">
        <v>1072</v>
      </c>
      <c r="H700" s="15" t="s">
        <v>23</v>
      </c>
      <c r="I700" s="9" t="s">
        <v>2945</v>
      </c>
      <c r="J700" s="13"/>
      <c r="K700" s="13"/>
    </row>
    <row r="701" customFormat="false" ht="57.45" hidden="false" customHeight="false" outlineLevel="0" collapsed="false">
      <c r="A701" s="9" t="n">
        <v>700</v>
      </c>
      <c r="B701" s="9" t="s">
        <v>50</v>
      </c>
      <c r="C701" s="11" t="s">
        <v>69</v>
      </c>
      <c r="D701" s="9" t="s">
        <v>2946</v>
      </c>
      <c r="E701" s="9" t="s">
        <v>2947</v>
      </c>
      <c r="F701" s="9" t="s">
        <v>2948</v>
      </c>
      <c r="G701" s="9" t="s">
        <v>1072</v>
      </c>
      <c r="H701" s="12" t="s">
        <v>21</v>
      </c>
      <c r="I701" s="9" t="s">
        <v>2949</v>
      </c>
      <c r="J701" s="13"/>
      <c r="K701" s="13"/>
    </row>
    <row r="702" customFormat="false" ht="46.25" hidden="false" customHeight="false" outlineLevel="0" collapsed="false">
      <c r="A702" s="9" t="n">
        <v>701</v>
      </c>
      <c r="B702" s="9" t="s">
        <v>50</v>
      </c>
      <c r="C702" s="11" t="s">
        <v>69</v>
      </c>
      <c r="D702" s="9" t="s">
        <v>2950</v>
      </c>
      <c r="E702" s="9" t="s">
        <v>2951</v>
      </c>
      <c r="F702" s="9" t="s">
        <v>2952</v>
      </c>
      <c r="G702" s="9" t="s">
        <v>312</v>
      </c>
      <c r="H702" s="15" t="s">
        <v>23</v>
      </c>
      <c r="I702" s="9" t="s">
        <v>2953</v>
      </c>
      <c r="J702" s="13"/>
      <c r="K702" s="13"/>
    </row>
    <row r="703" customFormat="false" ht="46.25" hidden="false" customHeight="false" outlineLevel="0" collapsed="false">
      <c r="A703" s="9" t="n">
        <v>702</v>
      </c>
      <c r="B703" s="9" t="s">
        <v>50</v>
      </c>
      <c r="C703" s="11" t="s">
        <v>69</v>
      </c>
      <c r="D703" s="9" t="s">
        <v>2954</v>
      </c>
      <c r="E703" s="9" t="s">
        <v>2955</v>
      </c>
      <c r="F703" s="9" t="s">
        <v>2956</v>
      </c>
      <c r="G703" s="9" t="s">
        <v>312</v>
      </c>
      <c r="H703" s="15" t="s">
        <v>23</v>
      </c>
      <c r="I703" s="9" t="s">
        <v>2957</v>
      </c>
      <c r="J703" s="13"/>
      <c r="K703" s="13"/>
    </row>
    <row r="704" customFormat="false" ht="57.45" hidden="false" customHeight="false" outlineLevel="0" collapsed="false">
      <c r="A704" s="9" t="n">
        <v>703</v>
      </c>
      <c r="B704" s="9" t="s">
        <v>50</v>
      </c>
      <c r="C704" s="11" t="s">
        <v>69</v>
      </c>
      <c r="D704" s="9" t="s">
        <v>2958</v>
      </c>
      <c r="E704" s="9" t="s">
        <v>2959</v>
      </c>
      <c r="F704" s="9" t="s">
        <v>2960</v>
      </c>
      <c r="G704" s="9" t="s">
        <v>392</v>
      </c>
      <c r="H704" s="15" t="s">
        <v>23</v>
      </c>
      <c r="I704" s="9" t="s">
        <v>2961</v>
      </c>
      <c r="J704" s="13"/>
      <c r="K704" s="13"/>
    </row>
    <row r="705" customFormat="false" ht="46.25" hidden="false" customHeight="false" outlineLevel="0" collapsed="false">
      <c r="A705" s="9" t="n">
        <v>704</v>
      </c>
      <c r="B705" s="9" t="s">
        <v>50</v>
      </c>
      <c r="C705" s="11" t="s">
        <v>69</v>
      </c>
      <c r="D705" s="9" t="s">
        <v>2962</v>
      </c>
      <c r="E705" s="9" t="s">
        <v>2963</v>
      </c>
      <c r="F705" s="9" t="s">
        <v>2964</v>
      </c>
      <c r="G705" s="9" t="s">
        <v>392</v>
      </c>
      <c r="H705" s="15" t="s">
        <v>23</v>
      </c>
      <c r="I705" s="9" t="s">
        <v>2965</v>
      </c>
      <c r="J705" s="13"/>
      <c r="K705" s="13"/>
    </row>
    <row r="706" customFormat="false" ht="35.05" hidden="false" customHeight="false" outlineLevel="0" collapsed="false">
      <c r="A706" s="9" t="n">
        <v>705</v>
      </c>
      <c r="B706" s="9" t="s">
        <v>50</v>
      </c>
      <c r="C706" s="11" t="s">
        <v>69</v>
      </c>
      <c r="D706" s="9" t="s">
        <v>2966</v>
      </c>
      <c r="E706" s="9" t="s">
        <v>2967</v>
      </c>
      <c r="F706" s="9" t="s">
        <v>2968</v>
      </c>
      <c r="G706" s="9" t="s">
        <v>392</v>
      </c>
      <c r="H706" s="15" t="s">
        <v>23</v>
      </c>
      <c r="I706" s="9" t="s">
        <v>2969</v>
      </c>
      <c r="J706" s="13"/>
      <c r="K706" s="13"/>
    </row>
    <row r="707" customFormat="false" ht="23.85" hidden="false" customHeight="false" outlineLevel="0" collapsed="false">
      <c r="A707" s="9" t="n">
        <v>706</v>
      </c>
      <c r="B707" s="9" t="s">
        <v>50</v>
      </c>
      <c r="C707" s="11" t="s">
        <v>69</v>
      </c>
      <c r="D707" s="9" t="s">
        <v>2970</v>
      </c>
      <c r="E707" s="9" t="s">
        <v>2971</v>
      </c>
      <c r="F707" s="9" t="s">
        <v>2972</v>
      </c>
      <c r="G707" s="9" t="s">
        <v>303</v>
      </c>
      <c r="H707" s="15" t="s">
        <v>23</v>
      </c>
      <c r="I707" s="9" t="s">
        <v>2973</v>
      </c>
      <c r="J707" s="13"/>
      <c r="K707" s="13"/>
    </row>
    <row r="708" customFormat="false" ht="46.25" hidden="false" customHeight="false" outlineLevel="0" collapsed="false">
      <c r="A708" s="9" t="n">
        <v>707</v>
      </c>
      <c r="B708" s="9" t="s">
        <v>50</v>
      </c>
      <c r="C708" s="11" t="s">
        <v>69</v>
      </c>
      <c r="D708" s="9" t="s">
        <v>2974</v>
      </c>
      <c r="E708" s="9" t="s">
        <v>2975</v>
      </c>
      <c r="F708" s="9" t="s">
        <v>2976</v>
      </c>
      <c r="G708" s="9" t="s">
        <v>317</v>
      </c>
      <c r="H708" s="15" t="s">
        <v>23</v>
      </c>
      <c r="I708" s="9" t="s">
        <v>2977</v>
      </c>
      <c r="J708" s="13"/>
      <c r="K708" s="13"/>
    </row>
    <row r="709" customFormat="false" ht="35.05" hidden="false" customHeight="false" outlineLevel="0" collapsed="false">
      <c r="A709" s="9" t="n">
        <v>708</v>
      </c>
      <c r="B709" s="9" t="s">
        <v>50</v>
      </c>
      <c r="C709" s="11" t="s">
        <v>69</v>
      </c>
      <c r="D709" s="9" t="s">
        <v>2978</v>
      </c>
      <c r="E709" s="9" t="s">
        <v>2979</v>
      </c>
      <c r="F709" s="9" t="s">
        <v>2980</v>
      </c>
      <c r="G709" s="9" t="s">
        <v>1072</v>
      </c>
      <c r="H709" s="15" t="s">
        <v>23</v>
      </c>
      <c r="I709" s="9" t="s">
        <v>2981</v>
      </c>
      <c r="J709" s="13"/>
      <c r="K709" s="13"/>
    </row>
    <row r="710" customFormat="false" ht="23.85" hidden="false" customHeight="false" outlineLevel="0" collapsed="false">
      <c r="A710" s="9" t="n">
        <v>709</v>
      </c>
      <c r="B710" s="9" t="s">
        <v>50</v>
      </c>
      <c r="C710" s="11" t="s">
        <v>69</v>
      </c>
      <c r="D710" s="9" t="s">
        <v>2982</v>
      </c>
      <c r="E710" s="9" t="s">
        <v>2983</v>
      </c>
      <c r="F710" s="9" t="s">
        <v>2984</v>
      </c>
      <c r="G710" s="9" t="s">
        <v>1072</v>
      </c>
      <c r="H710" s="15" t="s">
        <v>23</v>
      </c>
      <c r="I710" s="9" t="s">
        <v>2985</v>
      </c>
      <c r="J710" s="13"/>
      <c r="K710" s="13"/>
    </row>
    <row r="711" customFormat="false" ht="57.45" hidden="false" customHeight="false" outlineLevel="0" collapsed="false">
      <c r="A711" s="9" t="n">
        <v>710</v>
      </c>
      <c r="B711" s="9" t="s">
        <v>50</v>
      </c>
      <c r="C711" s="11" t="s">
        <v>69</v>
      </c>
      <c r="D711" s="9" t="s">
        <v>2986</v>
      </c>
      <c r="E711" s="9" t="s">
        <v>2987</v>
      </c>
      <c r="F711" s="9" t="s">
        <v>2988</v>
      </c>
      <c r="G711" s="9" t="s">
        <v>303</v>
      </c>
      <c r="H711" s="15" t="s">
        <v>23</v>
      </c>
      <c r="I711" s="9" t="s">
        <v>2989</v>
      </c>
      <c r="J711" s="13"/>
      <c r="K711" s="13"/>
    </row>
    <row r="712" customFormat="false" ht="68.65" hidden="false" customHeight="false" outlineLevel="0" collapsed="false">
      <c r="A712" s="9" t="n">
        <v>711</v>
      </c>
      <c r="B712" s="9" t="s">
        <v>50</v>
      </c>
      <c r="C712" s="11" t="s">
        <v>69</v>
      </c>
      <c r="D712" s="9" t="s">
        <v>2990</v>
      </c>
      <c r="E712" s="9" t="s">
        <v>2991</v>
      </c>
      <c r="F712" s="9" t="s">
        <v>2992</v>
      </c>
      <c r="G712" s="9" t="s">
        <v>303</v>
      </c>
      <c r="H712" s="14" t="s">
        <v>22</v>
      </c>
      <c r="I712" s="9" t="s">
        <v>2993</v>
      </c>
      <c r="J712" s="13"/>
      <c r="K712" s="13"/>
    </row>
    <row r="713" customFormat="false" ht="35.05" hidden="false" customHeight="false" outlineLevel="0" collapsed="false">
      <c r="A713" s="9" t="n">
        <v>712</v>
      </c>
      <c r="B713" s="9" t="s">
        <v>50</v>
      </c>
      <c r="C713" s="11" t="s">
        <v>69</v>
      </c>
      <c r="D713" s="9" t="s">
        <v>2994</v>
      </c>
      <c r="E713" s="9" t="s">
        <v>2995</v>
      </c>
      <c r="F713" s="9" t="s">
        <v>2996</v>
      </c>
      <c r="G713" s="9" t="s">
        <v>312</v>
      </c>
      <c r="H713" s="15" t="s">
        <v>23</v>
      </c>
      <c r="I713" s="9" t="s">
        <v>2997</v>
      </c>
      <c r="J713" s="13"/>
      <c r="K713" s="13"/>
    </row>
    <row r="714" customFormat="false" ht="35.05" hidden="false" customHeight="false" outlineLevel="0" collapsed="false">
      <c r="A714" s="9" t="n">
        <v>713</v>
      </c>
      <c r="B714" s="9" t="s">
        <v>50</v>
      </c>
      <c r="C714" s="11" t="s">
        <v>69</v>
      </c>
      <c r="D714" s="9" t="s">
        <v>2998</v>
      </c>
      <c r="E714" s="9" t="s">
        <v>2999</v>
      </c>
      <c r="F714" s="9" t="s">
        <v>3000</v>
      </c>
      <c r="G714" s="9" t="s">
        <v>328</v>
      </c>
      <c r="H714" s="15" t="s">
        <v>23</v>
      </c>
      <c r="I714" s="9" t="s">
        <v>3001</v>
      </c>
      <c r="J714" s="13"/>
      <c r="K714" s="13"/>
    </row>
    <row r="715" customFormat="false" ht="23.85" hidden="false" customHeight="false" outlineLevel="0" collapsed="false">
      <c r="A715" s="9" t="n">
        <v>714</v>
      </c>
      <c r="B715" s="9" t="s">
        <v>50</v>
      </c>
      <c r="C715" s="11" t="s">
        <v>69</v>
      </c>
      <c r="D715" s="9" t="s">
        <v>3002</v>
      </c>
      <c r="E715" s="9" t="s">
        <v>2094</v>
      </c>
      <c r="F715" s="9" t="s">
        <v>2095</v>
      </c>
      <c r="G715" s="9" t="s">
        <v>328</v>
      </c>
      <c r="H715" s="15" t="s">
        <v>23</v>
      </c>
      <c r="I715" s="9" t="s">
        <v>2298</v>
      </c>
      <c r="J715" s="13"/>
      <c r="K715" s="13"/>
    </row>
    <row r="716" customFormat="false" ht="35.05" hidden="false" customHeight="false" outlineLevel="0" collapsed="false">
      <c r="A716" s="9" t="n">
        <v>715</v>
      </c>
      <c r="B716" s="9" t="s">
        <v>50</v>
      </c>
      <c r="C716" s="11" t="s">
        <v>69</v>
      </c>
      <c r="D716" s="9" t="s">
        <v>3003</v>
      </c>
      <c r="E716" s="9" t="s">
        <v>3004</v>
      </c>
      <c r="F716" s="9" t="s">
        <v>2779</v>
      </c>
      <c r="G716" s="9" t="s">
        <v>328</v>
      </c>
      <c r="H716" s="15" t="s">
        <v>23</v>
      </c>
      <c r="I716" s="9" t="s">
        <v>3005</v>
      </c>
      <c r="J716" s="13"/>
      <c r="K716" s="13"/>
    </row>
    <row r="717" customFormat="false" ht="35.05" hidden="false" customHeight="false" outlineLevel="0" collapsed="false">
      <c r="A717" s="9" t="n">
        <v>716</v>
      </c>
      <c r="B717" s="9" t="s">
        <v>50</v>
      </c>
      <c r="C717" s="11" t="s">
        <v>69</v>
      </c>
      <c r="D717" s="9" t="s">
        <v>3006</v>
      </c>
      <c r="E717" s="9" t="s">
        <v>3007</v>
      </c>
      <c r="F717" s="9" t="s">
        <v>3008</v>
      </c>
      <c r="G717" s="9" t="s">
        <v>324</v>
      </c>
      <c r="H717" s="14" t="s">
        <v>22</v>
      </c>
      <c r="I717" s="9" t="s">
        <v>3009</v>
      </c>
      <c r="J717" s="13"/>
      <c r="K717" s="13"/>
    </row>
    <row r="718" customFormat="false" ht="46.25" hidden="false" customHeight="false" outlineLevel="0" collapsed="false">
      <c r="A718" s="9" t="n">
        <v>717</v>
      </c>
      <c r="B718" s="9" t="s">
        <v>50</v>
      </c>
      <c r="C718" s="11" t="s">
        <v>69</v>
      </c>
      <c r="D718" s="9" t="s">
        <v>3010</v>
      </c>
      <c r="E718" s="9" t="s">
        <v>3011</v>
      </c>
      <c r="F718" s="9" t="s">
        <v>3012</v>
      </c>
      <c r="G718" s="9" t="s">
        <v>24</v>
      </c>
      <c r="H718" s="12" t="s">
        <v>21</v>
      </c>
      <c r="I718" s="9" t="s">
        <v>3013</v>
      </c>
      <c r="J718" s="13"/>
      <c r="K718" s="13"/>
    </row>
    <row r="719" customFormat="false" ht="23.85" hidden="false" customHeight="false" outlineLevel="0" collapsed="false">
      <c r="A719" s="9" t="n">
        <v>718</v>
      </c>
      <c r="B719" s="9" t="s">
        <v>50</v>
      </c>
      <c r="C719" s="11" t="s">
        <v>69</v>
      </c>
      <c r="D719" s="9" t="s">
        <v>3014</v>
      </c>
      <c r="E719" s="9" t="s">
        <v>3015</v>
      </c>
      <c r="F719" s="9" t="s">
        <v>3016</v>
      </c>
      <c r="G719" s="9" t="s">
        <v>24</v>
      </c>
      <c r="H719" s="14" t="s">
        <v>22</v>
      </c>
      <c r="I719" s="9" t="s">
        <v>3017</v>
      </c>
      <c r="J719" s="13"/>
      <c r="K719" s="13"/>
    </row>
    <row r="720" customFormat="false" ht="35.05" hidden="false" customHeight="false" outlineLevel="0" collapsed="false">
      <c r="A720" s="9" t="n">
        <v>719</v>
      </c>
      <c r="B720" s="9" t="s">
        <v>50</v>
      </c>
      <c r="C720" s="11" t="s">
        <v>69</v>
      </c>
      <c r="D720" s="9" t="s">
        <v>3018</v>
      </c>
      <c r="E720" s="9" t="s">
        <v>3019</v>
      </c>
      <c r="F720" s="9" t="s">
        <v>3020</v>
      </c>
      <c r="G720" s="9" t="s">
        <v>24</v>
      </c>
      <c r="H720" s="14" t="s">
        <v>22</v>
      </c>
      <c r="I720" s="9" t="s">
        <v>434</v>
      </c>
      <c r="J720" s="13"/>
      <c r="K720" s="13"/>
    </row>
    <row r="721" customFormat="false" ht="15" hidden="false" customHeight="false" outlineLevel="0" collapsed="false">
      <c r="A721" s="9" t="n">
        <v>720</v>
      </c>
      <c r="B721" s="9" t="s">
        <v>50</v>
      </c>
      <c r="C721" s="11" t="s">
        <v>69</v>
      </c>
      <c r="D721" s="9" t="s">
        <v>3021</v>
      </c>
      <c r="E721" s="9" t="s">
        <v>3022</v>
      </c>
      <c r="F721" s="9" t="s">
        <v>3023</v>
      </c>
      <c r="G721" s="9" t="s">
        <v>24</v>
      </c>
      <c r="H721" s="14" t="s">
        <v>22</v>
      </c>
      <c r="I721" s="9" t="s">
        <v>2815</v>
      </c>
      <c r="J721" s="13"/>
      <c r="K721" s="13"/>
    </row>
    <row r="722" customFormat="false" ht="35.05" hidden="false" customHeight="false" outlineLevel="0" collapsed="false">
      <c r="A722" s="9" t="n">
        <v>721</v>
      </c>
      <c r="B722" s="9" t="s">
        <v>50</v>
      </c>
      <c r="C722" s="11" t="s">
        <v>69</v>
      </c>
      <c r="D722" s="9" t="s">
        <v>3024</v>
      </c>
      <c r="E722" s="9" t="s">
        <v>358</v>
      </c>
      <c r="F722" s="9" t="s">
        <v>3025</v>
      </c>
      <c r="G722" s="9" t="s">
        <v>24</v>
      </c>
      <c r="H722" s="14" t="s">
        <v>22</v>
      </c>
      <c r="I722" s="9" t="s">
        <v>1985</v>
      </c>
      <c r="J722" s="13"/>
      <c r="K722" s="13"/>
    </row>
    <row r="723" customFormat="false" ht="23.85" hidden="false" customHeight="false" outlineLevel="0" collapsed="false">
      <c r="A723" s="9" t="n">
        <v>722</v>
      </c>
      <c r="B723" s="9" t="s">
        <v>50</v>
      </c>
      <c r="C723" s="11" t="s">
        <v>69</v>
      </c>
      <c r="D723" s="9" t="s">
        <v>3026</v>
      </c>
      <c r="E723" s="9" t="s">
        <v>362</v>
      </c>
      <c r="F723" s="9" t="s">
        <v>3027</v>
      </c>
      <c r="G723" s="9" t="s">
        <v>24</v>
      </c>
      <c r="H723" s="14" t="s">
        <v>22</v>
      </c>
      <c r="I723" s="9" t="s">
        <v>3028</v>
      </c>
      <c r="J723" s="13"/>
      <c r="K723" s="13"/>
    </row>
    <row r="724" customFormat="false" ht="35.05" hidden="false" customHeight="false" outlineLevel="0" collapsed="false">
      <c r="A724" s="9" t="n">
        <v>723</v>
      </c>
      <c r="B724" s="9" t="s">
        <v>50</v>
      </c>
      <c r="C724" s="11" t="s">
        <v>69</v>
      </c>
      <c r="D724" s="9" t="s">
        <v>3029</v>
      </c>
      <c r="E724" s="9" t="s">
        <v>3030</v>
      </c>
      <c r="F724" s="9" t="s">
        <v>3031</v>
      </c>
      <c r="G724" s="9" t="s">
        <v>24</v>
      </c>
      <c r="H724" s="15" t="s">
        <v>23</v>
      </c>
      <c r="I724" s="9" t="s">
        <v>3032</v>
      </c>
      <c r="J724" s="13"/>
      <c r="K724" s="13"/>
    </row>
    <row r="725" customFormat="false" ht="23.85" hidden="false" customHeight="false" outlineLevel="0" collapsed="false">
      <c r="A725" s="9" t="n">
        <v>724</v>
      </c>
      <c r="B725" s="9" t="s">
        <v>50</v>
      </c>
      <c r="C725" s="11" t="s">
        <v>69</v>
      </c>
      <c r="D725" s="9" t="s">
        <v>3033</v>
      </c>
      <c r="E725" s="9" t="s">
        <v>3034</v>
      </c>
      <c r="F725" s="9" t="s">
        <v>3035</v>
      </c>
      <c r="G725" s="9" t="s">
        <v>24</v>
      </c>
      <c r="H725" s="15" t="s">
        <v>23</v>
      </c>
      <c r="I725" s="9" t="s">
        <v>434</v>
      </c>
      <c r="J725" s="13"/>
      <c r="K725" s="13"/>
    </row>
    <row r="726" customFormat="false" ht="46.25" hidden="false" customHeight="false" outlineLevel="0" collapsed="false">
      <c r="A726" s="9" t="n">
        <v>725</v>
      </c>
      <c r="B726" s="9" t="s">
        <v>50</v>
      </c>
      <c r="C726" s="11" t="s">
        <v>69</v>
      </c>
      <c r="D726" s="9" t="s">
        <v>3036</v>
      </c>
      <c r="E726" s="9" t="s">
        <v>3037</v>
      </c>
      <c r="F726" s="9" t="s">
        <v>3038</v>
      </c>
      <c r="G726" s="9" t="s">
        <v>24</v>
      </c>
      <c r="H726" s="15" t="s">
        <v>23</v>
      </c>
      <c r="I726" s="9" t="s">
        <v>3039</v>
      </c>
      <c r="J726" s="13"/>
      <c r="K726" s="13"/>
    </row>
    <row r="727" customFormat="false" ht="35.05" hidden="false" customHeight="false" outlineLevel="0" collapsed="false">
      <c r="A727" s="9" t="n">
        <v>726</v>
      </c>
      <c r="B727" s="9" t="s">
        <v>50</v>
      </c>
      <c r="C727" s="11" t="s">
        <v>69</v>
      </c>
      <c r="D727" s="9" t="s">
        <v>3040</v>
      </c>
      <c r="E727" s="9" t="s">
        <v>3041</v>
      </c>
      <c r="F727" s="9" t="s">
        <v>3042</v>
      </c>
      <c r="G727" s="9" t="s">
        <v>24</v>
      </c>
      <c r="H727" s="15" t="s">
        <v>23</v>
      </c>
      <c r="I727" s="9" t="s">
        <v>3043</v>
      </c>
      <c r="J727" s="13"/>
      <c r="K727" s="13"/>
    </row>
    <row r="728" customFormat="false" ht="23.85" hidden="false" customHeight="false" outlineLevel="0" collapsed="false">
      <c r="A728" s="9" t="n">
        <v>727</v>
      </c>
      <c r="B728" s="9" t="s">
        <v>50</v>
      </c>
      <c r="C728" s="11" t="s">
        <v>69</v>
      </c>
      <c r="D728" s="9" t="s">
        <v>3044</v>
      </c>
      <c r="E728" s="9" t="s">
        <v>3045</v>
      </c>
      <c r="F728" s="9" t="s">
        <v>3046</v>
      </c>
      <c r="G728" s="9" t="s">
        <v>24</v>
      </c>
      <c r="H728" s="15" t="s">
        <v>23</v>
      </c>
      <c r="I728" s="9" t="s">
        <v>3047</v>
      </c>
      <c r="J728" s="13"/>
      <c r="K728" s="13"/>
    </row>
    <row r="729" customFormat="false" ht="23.85" hidden="false" customHeight="false" outlineLevel="0" collapsed="false">
      <c r="A729" s="9" t="n">
        <v>728</v>
      </c>
      <c r="B729" s="9" t="s">
        <v>50</v>
      </c>
      <c r="C729" s="11" t="s">
        <v>69</v>
      </c>
      <c r="D729" s="9" t="s">
        <v>3048</v>
      </c>
      <c r="E729" s="9" t="s">
        <v>3049</v>
      </c>
      <c r="F729" s="9" t="s">
        <v>2845</v>
      </c>
      <c r="G729" s="9" t="s">
        <v>24</v>
      </c>
      <c r="H729" s="15" t="s">
        <v>23</v>
      </c>
      <c r="I729" s="9" t="s">
        <v>2846</v>
      </c>
      <c r="J729" s="13"/>
      <c r="K729" s="13"/>
    </row>
    <row r="730" customFormat="false" ht="23.85" hidden="false" customHeight="false" outlineLevel="0" collapsed="false">
      <c r="A730" s="9" t="n">
        <v>729</v>
      </c>
      <c r="B730" s="9" t="s">
        <v>50</v>
      </c>
      <c r="C730" s="11" t="s">
        <v>69</v>
      </c>
      <c r="D730" s="9" t="s">
        <v>3050</v>
      </c>
      <c r="E730" s="9" t="s">
        <v>3051</v>
      </c>
      <c r="F730" s="9" t="s">
        <v>2842</v>
      </c>
      <c r="G730" s="9" t="s">
        <v>24</v>
      </c>
      <c r="H730" s="15" t="s">
        <v>23</v>
      </c>
      <c r="I730" s="9" t="s">
        <v>2843</v>
      </c>
      <c r="J730" s="13"/>
      <c r="K730" s="13"/>
    </row>
    <row r="731" customFormat="false" ht="15" hidden="false" customHeight="false" outlineLevel="0" collapsed="false">
      <c r="A731" s="9" t="n">
        <v>730</v>
      </c>
      <c r="B731" s="9" t="s">
        <v>50</v>
      </c>
      <c r="C731" s="11" t="s">
        <v>69</v>
      </c>
      <c r="D731" s="9" t="s">
        <v>3052</v>
      </c>
      <c r="E731" s="9" t="s">
        <v>3053</v>
      </c>
      <c r="F731" s="9" t="s">
        <v>448</v>
      </c>
      <c r="G731" s="9" t="s">
        <v>24</v>
      </c>
      <c r="H731" s="15" t="s">
        <v>23</v>
      </c>
      <c r="I731" s="9" t="s">
        <v>2853</v>
      </c>
      <c r="J731" s="13"/>
      <c r="K731" s="13"/>
    </row>
    <row r="732" customFormat="false" ht="68.65" hidden="false" customHeight="false" outlineLevel="0" collapsed="false">
      <c r="A732" s="9" t="n">
        <v>731</v>
      </c>
      <c r="B732" s="9" t="s">
        <v>50</v>
      </c>
      <c r="C732" s="11" t="s">
        <v>71</v>
      </c>
      <c r="D732" s="9" t="s">
        <v>3054</v>
      </c>
      <c r="E732" s="9" t="s">
        <v>3055</v>
      </c>
      <c r="F732" s="9" t="s">
        <v>3056</v>
      </c>
      <c r="G732" s="9" t="s">
        <v>1072</v>
      </c>
      <c r="H732" s="12" t="s">
        <v>21</v>
      </c>
      <c r="I732" s="9" t="s">
        <v>3057</v>
      </c>
      <c r="J732" s="13"/>
      <c r="K732" s="13"/>
    </row>
    <row r="733" customFormat="false" ht="57.45" hidden="false" customHeight="false" outlineLevel="0" collapsed="false">
      <c r="A733" s="9" t="n">
        <v>732</v>
      </c>
      <c r="B733" s="9" t="s">
        <v>50</v>
      </c>
      <c r="C733" s="11" t="s">
        <v>71</v>
      </c>
      <c r="D733" s="9" t="s">
        <v>3058</v>
      </c>
      <c r="E733" s="9" t="s">
        <v>3059</v>
      </c>
      <c r="F733" s="9" t="s">
        <v>3060</v>
      </c>
      <c r="G733" s="9" t="s">
        <v>1072</v>
      </c>
      <c r="H733" s="12" t="s">
        <v>21</v>
      </c>
      <c r="I733" s="9" t="s">
        <v>3061</v>
      </c>
      <c r="J733" s="13"/>
      <c r="K733" s="13"/>
    </row>
    <row r="734" customFormat="false" ht="46.25" hidden="false" customHeight="false" outlineLevel="0" collapsed="false">
      <c r="A734" s="9" t="n">
        <v>733</v>
      </c>
      <c r="B734" s="9" t="s">
        <v>50</v>
      </c>
      <c r="C734" s="11" t="s">
        <v>71</v>
      </c>
      <c r="D734" s="9" t="s">
        <v>3062</v>
      </c>
      <c r="E734" s="9" t="s">
        <v>3063</v>
      </c>
      <c r="F734" s="9" t="s">
        <v>3064</v>
      </c>
      <c r="G734" s="9" t="s">
        <v>1072</v>
      </c>
      <c r="H734" s="14" t="s">
        <v>22</v>
      </c>
      <c r="I734" s="9" t="s">
        <v>3065</v>
      </c>
      <c r="J734" s="13"/>
      <c r="K734" s="13"/>
    </row>
    <row r="735" customFormat="false" ht="57.45" hidden="false" customHeight="false" outlineLevel="0" collapsed="false">
      <c r="A735" s="9" t="n">
        <v>734</v>
      </c>
      <c r="B735" s="9" t="s">
        <v>50</v>
      </c>
      <c r="C735" s="11" t="s">
        <v>71</v>
      </c>
      <c r="D735" s="9" t="s">
        <v>3066</v>
      </c>
      <c r="E735" s="9" t="s">
        <v>3067</v>
      </c>
      <c r="F735" s="9" t="s">
        <v>3068</v>
      </c>
      <c r="G735" s="9" t="s">
        <v>392</v>
      </c>
      <c r="H735" s="14" t="s">
        <v>22</v>
      </c>
      <c r="I735" s="9" t="s">
        <v>3069</v>
      </c>
      <c r="J735" s="13"/>
      <c r="K735" s="13"/>
    </row>
    <row r="736" customFormat="false" ht="79.85" hidden="false" customHeight="false" outlineLevel="0" collapsed="false">
      <c r="A736" s="9" t="n">
        <v>735</v>
      </c>
      <c r="B736" s="9" t="s">
        <v>50</v>
      </c>
      <c r="C736" s="11" t="s">
        <v>71</v>
      </c>
      <c r="D736" s="9" t="s">
        <v>3070</v>
      </c>
      <c r="E736" s="9" t="s">
        <v>3071</v>
      </c>
      <c r="F736" s="9" t="s">
        <v>3072</v>
      </c>
      <c r="G736" s="9" t="s">
        <v>392</v>
      </c>
      <c r="H736" s="12" t="s">
        <v>21</v>
      </c>
      <c r="I736" s="9" t="s">
        <v>3073</v>
      </c>
      <c r="J736" s="13"/>
      <c r="K736" s="13"/>
    </row>
    <row r="737" customFormat="false" ht="57.45" hidden="false" customHeight="false" outlineLevel="0" collapsed="false">
      <c r="A737" s="9" t="n">
        <v>736</v>
      </c>
      <c r="B737" s="9" t="s">
        <v>50</v>
      </c>
      <c r="C737" s="11" t="s">
        <v>71</v>
      </c>
      <c r="D737" s="9" t="s">
        <v>3074</v>
      </c>
      <c r="E737" s="9" t="s">
        <v>3075</v>
      </c>
      <c r="F737" s="9" t="s">
        <v>3076</v>
      </c>
      <c r="G737" s="9" t="s">
        <v>392</v>
      </c>
      <c r="H737" s="14" t="s">
        <v>22</v>
      </c>
      <c r="I737" s="9" t="s">
        <v>3077</v>
      </c>
      <c r="J737" s="13"/>
      <c r="K737" s="13"/>
    </row>
    <row r="738" customFormat="false" ht="57.45" hidden="false" customHeight="false" outlineLevel="0" collapsed="false">
      <c r="A738" s="9" t="n">
        <v>737</v>
      </c>
      <c r="B738" s="9" t="s">
        <v>50</v>
      </c>
      <c r="C738" s="11" t="s">
        <v>71</v>
      </c>
      <c r="D738" s="9" t="s">
        <v>3078</v>
      </c>
      <c r="E738" s="9" t="s">
        <v>3079</v>
      </c>
      <c r="F738" s="9" t="s">
        <v>3080</v>
      </c>
      <c r="G738" s="9" t="s">
        <v>312</v>
      </c>
      <c r="H738" s="14" t="s">
        <v>22</v>
      </c>
      <c r="I738" s="9" t="s">
        <v>3081</v>
      </c>
      <c r="J738" s="13"/>
      <c r="K738" s="13"/>
    </row>
    <row r="739" customFormat="false" ht="102.2" hidden="false" customHeight="false" outlineLevel="0" collapsed="false">
      <c r="A739" s="9" t="n">
        <v>738</v>
      </c>
      <c r="B739" s="9" t="s">
        <v>50</v>
      </c>
      <c r="C739" s="11" t="s">
        <v>71</v>
      </c>
      <c r="D739" s="9" t="s">
        <v>3082</v>
      </c>
      <c r="E739" s="9" t="s">
        <v>3083</v>
      </c>
      <c r="F739" s="9" t="s">
        <v>3084</v>
      </c>
      <c r="G739" s="9" t="s">
        <v>392</v>
      </c>
      <c r="H739" s="14" t="s">
        <v>22</v>
      </c>
      <c r="I739" s="9" t="s">
        <v>3085</v>
      </c>
      <c r="J739" s="13"/>
      <c r="K739" s="13"/>
    </row>
    <row r="740" customFormat="false" ht="57.45" hidden="false" customHeight="false" outlineLevel="0" collapsed="false">
      <c r="A740" s="9" t="n">
        <v>739</v>
      </c>
      <c r="B740" s="9" t="s">
        <v>50</v>
      </c>
      <c r="C740" s="11" t="s">
        <v>71</v>
      </c>
      <c r="D740" s="9" t="s">
        <v>3086</v>
      </c>
      <c r="E740" s="9" t="s">
        <v>3087</v>
      </c>
      <c r="F740" s="9" t="s">
        <v>3088</v>
      </c>
      <c r="G740" s="9" t="s">
        <v>317</v>
      </c>
      <c r="H740" s="14" t="s">
        <v>22</v>
      </c>
      <c r="I740" s="9" t="s">
        <v>3089</v>
      </c>
      <c r="J740" s="13"/>
      <c r="K740" s="13"/>
    </row>
    <row r="741" customFormat="false" ht="57.45" hidden="false" customHeight="false" outlineLevel="0" collapsed="false">
      <c r="A741" s="9" t="n">
        <v>740</v>
      </c>
      <c r="B741" s="9" t="s">
        <v>50</v>
      </c>
      <c r="C741" s="11" t="s">
        <v>71</v>
      </c>
      <c r="D741" s="9" t="s">
        <v>3090</v>
      </c>
      <c r="E741" s="9" t="s">
        <v>3091</v>
      </c>
      <c r="F741" s="9" t="s">
        <v>3092</v>
      </c>
      <c r="G741" s="9" t="s">
        <v>303</v>
      </c>
      <c r="H741" s="14" t="s">
        <v>22</v>
      </c>
      <c r="I741" s="9" t="s">
        <v>3093</v>
      </c>
      <c r="J741" s="13"/>
      <c r="K741" s="13"/>
    </row>
    <row r="742" customFormat="false" ht="35.05" hidden="false" customHeight="false" outlineLevel="0" collapsed="false">
      <c r="A742" s="9" t="n">
        <v>741</v>
      </c>
      <c r="B742" s="9" t="s">
        <v>50</v>
      </c>
      <c r="C742" s="11" t="s">
        <v>71</v>
      </c>
      <c r="D742" s="9" t="s">
        <v>3094</v>
      </c>
      <c r="E742" s="9" t="s">
        <v>3095</v>
      </c>
      <c r="F742" s="9" t="s">
        <v>3096</v>
      </c>
      <c r="G742" s="9" t="s">
        <v>312</v>
      </c>
      <c r="H742" s="14" t="s">
        <v>22</v>
      </c>
      <c r="I742" s="9" t="s">
        <v>3097</v>
      </c>
      <c r="J742" s="13"/>
      <c r="K742" s="13"/>
    </row>
    <row r="743" customFormat="false" ht="35.05" hidden="false" customHeight="false" outlineLevel="0" collapsed="false">
      <c r="A743" s="9" t="n">
        <v>742</v>
      </c>
      <c r="B743" s="9" t="s">
        <v>50</v>
      </c>
      <c r="C743" s="11" t="s">
        <v>71</v>
      </c>
      <c r="D743" s="9" t="s">
        <v>3098</v>
      </c>
      <c r="E743" s="9" t="s">
        <v>3099</v>
      </c>
      <c r="F743" s="9" t="s">
        <v>3100</v>
      </c>
      <c r="G743" s="9" t="s">
        <v>1072</v>
      </c>
      <c r="H743" s="14" t="s">
        <v>22</v>
      </c>
      <c r="I743" s="9" t="s">
        <v>3101</v>
      </c>
      <c r="J743" s="13"/>
      <c r="K743" s="13"/>
    </row>
    <row r="744" customFormat="false" ht="35.05" hidden="false" customHeight="false" outlineLevel="0" collapsed="false">
      <c r="A744" s="9" t="n">
        <v>743</v>
      </c>
      <c r="B744" s="9" t="s">
        <v>50</v>
      </c>
      <c r="C744" s="11" t="s">
        <v>71</v>
      </c>
      <c r="D744" s="9" t="s">
        <v>3102</v>
      </c>
      <c r="E744" s="9" t="s">
        <v>3103</v>
      </c>
      <c r="F744" s="9" t="s">
        <v>3104</v>
      </c>
      <c r="G744" s="9" t="s">
        <v>312</v>
      </c>
      <c r="H744" s="15" t="s">
        <v>23</v>
      </c>
      <c r="I744" s="9" t="s">
        <v>3105</v>
      </c>
      <c r="J744" s="13"/>
      <c r="K744" s="13"/>
    </row>
    <row r="745" customFormat="false" ht="57.45" hidden="false" customHeight="false" outlineLevel="0" collapsed="false">
      <c r="A745" s="9" t="n">
        <v>744</v>
      </c>
      <c r="B745" s="9" t="s">
        <v>50</v>
      </c>
      <c r="C745" s="11" t="s">
        <v>71</v>
      </c>
      <c r="D745" s="9" t="s">
        <v>3106</v>
      </c>
      <c r="E745" s="9" t="s">
        <v>3107</v>
      </c>
      <c r="F745" s="9" t="s">
        <v>3108</v>
      </c>
      <c r="G745" s="9" t="s">
        <v>1072</v>
      </c>
      <c r="H745" s="14" t="s">
        <v>22</v>
      </c>
      <c r="I745" s="9" t="s">
        <v>3109</v>
      </c>
      <c r="J745" s="13"/>
      <c r="K745" s="13"/>
    </row>
    <row r="746" customFormat="false" ht="46.25" hidden="false" customHeight="false" outlineLevel="0" collapsed="false">
      <c r="A746" s="9" t="n">
        <v>745</v>
      </c>
      <c r="B746" s="9" t="s">
        <v>50</v>
      </c>
      <c r="C746" s="11" t="s">
        <v>71</v>
      </c>
      <c r="D746" s="9" t="s">
        <v>3110</v>
      </c>
      <c r="E746" s="9" t="s">
        <v>3111</v>
      </c>
      <c r="F746" s="9" t="s">
        <v>3112</v>
      </c>
      <c r="G746" s="9" t="s">
        <v>392</v>
      </c>
      <c r="H746" s="15" t="s">
        <v>23</v>
      </c>
      <c r="I746" s="9" t="s">
        <v>3113</v>
      </c>
      <c r="J746" s="13"/>
      <c r="K746" s="13"/>
    </row>
    <row r="747" customFormat="false" ht="57.45" hidden="false" customHeight="false" outlineLevel="0" collapsed="false">
      <c r="A747" s="9" t="n">
        <v>746</v>
      </c>
      <c r="B747" s="9" t="s">
        <v>50</v>
      </c>
      <c r="C747" s="11" t="s">
        <v>71</v>
      </c>
      <c r="D747" s="9" t="s">
        <v>3114</v>
      </c>
      <c r="E747" s="9" t="s">
        <v>3115</v>
      </c>
      <c r="F747" s="9" t="s">
        <v>3116</v>
      </c>
      <c r="G747" s="9" t="s">
        <v>1072</v>
      </c>
      <c r="H747" s="14" t="s">
        <v>22</v>
      </c>
      <c r="I747" s="9" t="s">
        <v>3117</v>
      </c>
      <c r="J747" s="13"/>
      <c r="K747" s="13"/>
    </row>
    <row r="748" customFormat="false" ht="35.05" hidden="false" customHeight="false" outlineLevel="0" collapsed="false">
      <c r="A748" s="9" t="n">
        <v>747</v>
      </c>
      <c r="B748" s="9" t="s">
        <v>50</v>
      </c>
      <c r="C748" s="11" t="s">
        <v>71</v>
      </c>
      <c r="D748" s="9" t="s">
        <v>3118</v>
      </c>
      <c r="E748" s="9" t="s">
        <v>3119</v>
      </c>
      <c r="F748" s="9" t="s">
        <v>3120</v>
      </c>
      <c r="G748" s="9" t="s">
        <v>308</v>
      </c>
      <c r="H748" s="15" t="s">
        <v>23</v>
      </c>
      <c r="I748" s="9" t="s">
        <v>3121</v>
      </c>
      <c r="J748" s="13"/>
      <c r="K748" s="13"/>
    </row>
    <row r="749" customFormat="false" ht="35.05" hidden="false" customHeight="false" outlineLevel="0" collapsed="false">
      <c r="A749" s="9" t="n">
        <v>748</v>
      </c>
      <c r="B749" s="9" t="s">
        <v>50</v>
      </c>
      <c r="C749" s="11" t="s">
        <v>71</v>
      </c>
      <c r="D749" s="9" t="s">
        <v>3122</v>
      </c>
      <c r="E749" s="9" t="s">
        <v>3123</v>
      </c>
      <c r="F749" s="9" t="s">
        <v>3124</v>
      </c>
      <c r="G749" s="9" t="s">
        <v>303</v>
      </c>
      <c r="H749" s="14" t="s">
        <v>22</v>
      </c>
      <c r="I749" s="9" t="s">
        <v>3125</v>
      </c>
      <c r="J749" s="13"/>
      <c r="K749" s="13"/>
    </row>
    <row r="750" customFormat="false" ht="46.25" hidden="false" customHeight="false" outlineLevel="0" collapsed="false">
      <c r="A750" s="9" t="n">
        <v>749</v>
      </c>
      <c r="B750" s="9" t="s">
        <v>50</v>
      </c>
      <c r="C750" s="11" t="s">
        <v>71</v>
      </c>
      <c r="D750" s="9" t="s">
        <v>3126</v>
      </c>
      <c r="E750" s="9" t="s">
        <v>3127</v>
      </c>
      <c r="F750" s="9" t="s">
        <v>3128</v>
      </c>
      <c r="G750" s="9" t="s">
        <v>392</v>
      </c>
      <c r="H750" s="15" t="s">
        <v>23</v>
      </c>
      <c r="I750" s="9" t="s">
        <v>3129</v>
      </c>
      <c r="J750" s="13"/>
      <c r="K750" s="13"/>
    </row>
    <row r="751" customFormat="false" ht="35.05" hidden="false" customHeight="false" outlineLevel="0" collapsed="false">
      <c r="A751" s="9" t="n">
        <v>750</v>
      </c>
      <c r="B751" s="9" t="s">
        <v>50</v>
      </c>
      <c r="C751" s="11" t="s">
        <v>71</v>
      </c>
      <c r="D751" s="9" t="s">
        <v>3130</v>
      </c>
      <c r="E751" s="9" t="s">
        <v>3131</v>
      </c>
      <c r="F751" s="9" t="s">
        <v>3132</v>
      </c>
      <c r="G751" s="9" t="s">
        <v>312</v>
      </c>
      <c r="H751" s="15" t="s">
        <v>23</v>
      </c>
      <c r="I751" s="9" t="s">
        <v>3133</v>
      </c>
      <c r="J751" s="13"/>
      <c r="K751" s="13"/>
    </row>
    <row r="752" customFormat="false" ht="35.05" hidden="false" customHeight="false" outlineLevel="0" collapsed="false">
      <c r="A752" s="9" t="n">
        <v>751</v>
      </c>
      <c r="B752" s="9" t="s">
        <v>50</v>
      </c>
      <c r="C752" s="11" t="s">
        <v>71</v>
      </c>
      <c r="D752" s="9" t="s">
        <v>3134</v>
      </c>
      <c r="E752" s="9" t="s">
        <v>3135</v>
      </c>
      <c r="F752" s="9" t="s">
        <v>3136</v>
      </c>
      <c r="G752" s="9" t="s">
        <v>328</v>
      </c>
      <c r="H752" s="14" t="s">
        <v>22</v>
      </c>
      <c r="I752" s="9" t="s">
        <v>3137</v>
      </c>
      <c r="J752" s="13"/>
      <c r="K752" s="13"/>
    </row>
    <row r="753" customFormat="false" ht="23.85" hidden="false" customHeight="false" outlineLevel="0" collapsed="false">
      <c r="A753" s="9" t="n">
        <v>752</v>
      </c>
      <c r="B753" s="9" t="s">
        <v>50</v>
      </c>
      <c r="C753" s="11" t="s">
        <v>71</v>
      </c>
      <c r="D753" s="9" t="s">
        <v>3138</v>
      </c>
      <c r="E753" s="9" t="s">
        <v>3139</v>
      </c>
      <c r="F753" s="9" t="s">
        <v>3140</v>
      </c>
      <c r="G753" s="9" t="s">
        <v>328</v>
      </c>
      <c r="H753" s="14" t="s">
        <v>22</v>
      </c>
      <c r="I753" s="9" t="s">
        <v>3141</v>
      </c>
      <c r="J753" s="13"/>
      <c r="K753" s="13"/>
    </row>
    <row r="754" customFormat="false" ht="35.05" hidden="false" customHeight="false" outlineLevel="0" collapsed="false">
      <c r="A754" s="9" t="n">
        <v>753</v>
      </c>
      <c r="B754" s="9" t="s">
        <v>50</v>
      </c>
      <c r="C754" s="11" t="s">
        <v>71</v>
      </c>
      <c r="D754" s="9" t="s">
        <v>3142</v>
      </c>
      <c r="E754" s="9" t="s">
        <v>1921</v>
      </c>
      <c r="F754" s="9" t="s">
        <v>3143</v>
      </c>
      <c r="G754" s="9" t="s">
        <v>328</v>
      </c>
      <c r="H754" s="15" t="s">
        <v>23</v>
      </c>
      <c r="I754" s="9" t="s">
        <v>3144</v>
      </c>
      <c r="J754" s="13"/>
      <c r="K754" s="13"/>
    </row>
    <row r="755" customFormat="false" ht="35.05" hidden="false" customHeight="false" outlineLevel="0" collapsed="false">
      <c r="A755" s="9" t="n">
        <v>754</v>
      </c>
      <c r="B755" s="9" t="s">
        <v>50</v>
      </c>
      <c r="C755" s="11" t="s">
        <v>71</v>
      </c>
      <c r="D755" s="9" t="s">
        <v>3145</v>
      </c>
      <c r="E755" s="9" t="s">
        <v>3146</v>
      </c>
      <c r="F755" s="9" t="s">
        <v>3147</v>
      </c>
      <c r="G755" s="9" t="s">
        <v>328</v>
      </c>
      <c r="H755" s="15" t="s">
        <v>23</v>
      </c>
      <c r="I755" s="9" t="s">
        <v>3148</v>
      </c>
      <c r="J755" s="13"/>
      <c r="K755" s="13"/>
    </row>
    <row r="756" customFormat="false" ht="35.05" hidden="false" customHeight="false" outlineLevel="0" collapsed="false">
      <c r="A756" s="9" t="n">
        <v>755</v>
      </c>
      <c r="B756" s="9" t="s">
        <v>50</v>
      </c>
      <c r="C756" s="11" t="s">
        <v>71</v>
      </c>
      <c r="D756" s="9" t="s">
        <v>3149</v>
      </c>
      <c r="E756" s="9" t="s">
        <v>3150</v>
      </c>
      <c r="F756" s="9" t="s">
        <v>3151</v>
      </c>
      <c r="G756" s="9" t="s">
        <v>1072</v>
      </c>
      <c r="H756" s="15" t="s">
        <v>23</v>
      </c>
      <c r="I756" s="9" t="s">
        <v>3152</v>
      </c>
      <c r="J756" s="13"/>
      <c r="K756" s="13"/>
    </row>
    <row r="757" customFormat="false" ht="23.85" hidden="false" customHeight="false" outlineLevel="0" collapsed="false">
      <c r="A757" s="9" t="n">
        <v>756</v>
      </c>
      <c r="B757" s="9" t="s">
        <v>50</v>
      </c>
      <c r="C757" s="11" t="s">
        <v>71</v>
      </c>
      <c r="D757" s="9" t="s">
        <v>3153</v>
      </c>
      <c r="E757" s="9" t="s">
        <v>3154</v>
      </c>
      <c r="F757" s="9" t="s">
        <v>3155</v>
      </c>
      <c r="G757" s="9" t="s">
        <v>308</v>
      </c>
      <c r="H757" s="15" t="s">
        <v>23</v>
      </c>
      <c r="I757" s="9" t="s">
        <v>3156</v>
      </c>
      <c r="J757" s="13"/>
      <c r="K757" s="13"/>
    </row>
    <row r="758" customFormat="false" ht="35.05" hidden="false" customHeight="false" outlineLevel="0" collapsed="false">
      <c r="A758" s="9" t="n">
        <v>757</v>
      </c>
      <c r="B758" s="9" t="s">
        <v>50</v>
      </c>
      <c r="C758" s="11" t="s">
        <v>71</v>
      </c>
      <c r="D758" s="9" t="s">
        <v>3157</v>
      </c>
      <c r="E758" s="9" t="s">
        <v>3158</v>
      </c>
      <c r="F758" s="9" t="s">
        <v>3159</v>
      </c>
      <c r="G758" s="9" t="s">
        <v>24</v>
      </c>
      <c r="H758" s="12" t="s">
        <v>21</v>
      </c>
      <c r="I758" s="9" t="s">
        <v>3160</v>
      </c>
      <c r="J758" s="13"/>
      <c r="K758" s="13"/>
    </row>
    <row r="759" customFormat="false" ht="23.85" hidden="false" customHeight="false" outlineLevel="0" collapsed="false">
      <c r="A759" s="9" t="n">
        <v>758</v>
      </c>
      <c r="B759" s="9" t="s">
        <v>50</v>
      </c>
      <c r="C759" s="11" t="s">
        <v>71</v>
      </c>
      <c r="D759" s="9" t="s">
        <v>3161</v>
      </c>
      <c r="E759" s="9" t="s">
        <v>3162</v>
      </c>
      <c r="F759" s="9" t="s">
        <v>3163</v>
      </c>
      <c r="G759" s="9" t="s">
        <v>24</v>
      </c>
      <c r="H759" s="12" t="s">
        <v>21</v>
      </c>
      <c r="I759" s="9" t="s">
        <v>3164</v>
      </c>
      <c r="J759" s="13"/>
      <c r="K759" s="13"/>
    </row>
    <row r="760" customFormat="false" ht="15" hidden="false" customHeight="false" outlineLevel="0" collapsed="false">
      <c r="A760" s="9" t="n">
        <v>759</v>
      </c>
      <c r="B760" s="9" t="s">
        <v>50</v>
      </c>
      <c r="C760" s="11" t="s">
        <v>71</v>
      </c>
      <c r="D760" s="9" t="s">
        <v>3165</v>
      </c>
      <c r="E760" s="9" t="s">
        <v>3166</v>
      </c>
      <c r="F760" s="9" t="s">
        <v>3167</v>
      </c>
      <c r="G760" s="9" t="s">
        <v>24</v>
      </c>
      <c r="H760" s="12" t="s">
        <v>21</v>
      </c>
      <c r="I760" s="9" t="s">
        <v>3168</v>
      </c>
      <c r="J760" s="13"/>
      <c r="K760" s="13"/>
    </row>
    <row r="761" customFormat="false" ht="46.25" hidden="false" customHeight="false" outlineLevel="0" collapsed="false">
      <c r="A761" s="9" t="n">
        <v>760</v>
      </c>
      <c r="B761" s="9" t="s">
        <v>50</v>
      </c>
      <c r="C761" s="11" t="s">
        <v>71</v>
      </c>
      <c r="D761" s="9" t="s">
        <v>3169</v>
      </c>
      <c r="E761" s="9" t="s">
        <v>3170</v>
      </c>
      <c r="F761" s="9" t="s">
        <v>3171</v>
      </c>
      <c r="G761" s="9" t="s">
        <v>24</v>
      </c>
      <c r="H761" s="14" t="s">
        <v>22</v>
      </c>
      <c r="I761" s="9" t="s">
        <v>3172</v>
      </c>
      <c r="J761" s="13"/>
      <c r="K761" s="13"/>
    </row>
    <row r="762" customFormat="false" ht="35.05" hidden="false" customHeight="false" outlineLevel="0" collapsed="false">
      <c r="A762" s="9" t="n">
        <v>761</v>
      </c>
      <c r="B762" s="9" t="s">
        <v>50</v>
      </c>
      <c r="C762" s="11" t="s">
        <v>71</v>
      </c>
      <c r="D762" s="9" t="s">
        <v>3173</v>
      </c>
      <c r="E762" s="9" t="s">
        <v>3174</v>
      </c>
      <c r="F762" s="9" t="s">
        <v>3175</v>
      </c>
      <c r="G762" s="9" t="s">
        <v>24</v>
      </c>
      <c r="H762" s="14" t="s">
        <v>22</v>
      </c>
      <c r="I762" s="9" t="s">
        <v>3176</v>
      </c>
      <c r="J762" s="13"/>
      <c r="K762" s="13"/>
    </row>
    <row r="763" customFormat="false" ht="46.25" hidden="false" customHeight="false" outlineLevel="0" collapsed="false">
      <c r="A763" s="9" t="n">
        <v>762</v>
      </c>
      <c r="B763" s="9" t="s">
        <v>50</v>
      </c>
      <c r="C763" s="11" t="s">
        <v>71</v>
      </c>
      <c r="D763" s="9" t="s">
        <v>3177</v>
      </c>
      <c r="E763" s="9" t="s">
        <v>3178</v>
      </c>
      <c r="F763" s="9" t="s">
        <v>3179</v>
      </c>
      <c r="G763" s="9" t="s">
        <v>24</v>
      </c>
      <c r="H763" s="14" t="s">
        <v>22</v>
      </c>
      <c r="I763" s="9" t="s">
        <v>3180</v>
      </c>
      <c r="J763" s="13"/>
      <c r="K763" s="13"/>
    </row>
    <row r="764" customFormat="false" ht="23.85" hidden="false" customHeight="false" outlineLevel="0" collapsed="false">
      <c r="A764" s="9" t="n">
        <v>763</v>
      </c>
      <c r="B764" s="9" t="s">
        <v>50</v>
      </c>
      <c r="C764" s="11" t="s">
        <v>71</v>
      </c>
      <c r="D764" s="9" t="s">
        <v>3181</v>
      </c>
      <c r="E764" s="9" t="s">
        <v>358</v>
      </c>
      <c r="F764" s="9" t="s">
        <v>3182</v>
      </c>
      <c r="G764" s="9" t="s">
        <v>24</v>
      </c>
      <c r="H764" s="14" t="s">
        <v>22</v>
      </c>
      <c r="I764" s="9" t="s">
        <v>1985</v>
      </c>
      <c r="J764" s="13"/>
      <c r="K764" s="13"/>
    </row>
    <row r="765" customFormat="false" ht="15" hidden="false" customHeight="false" outlineLevel="0" collapsed="false">
      <c r="A765" s="9" t="n">
        <v>764</v>
      </c>
      <c r="B765" s="9" t="s">
        <v>50</v>
      </c>
      <c r="C765" s="11" t="s">
        <v>71</v>
      </c>
      <c r="D765" s="9" t="s">
        <v>3183</v>
      </c>
      <c r="E765" s="9" t="s">
        <v>362</v>
      </c>
      <c r="F765" s="9" t="s">
        <v>363</v>
      </c>
      <c r="G765" s="9" t="s">
        <v>24</v>
      </c>
      <c r="H765" s="14" t="s">
        <v>22</v>
      </c>
      <c r="I765" s="9" t="s">
        <v>364</v>
      </c>
      <c r="J765" s="13"/>
      <c r="K765" s="13"/>
    </row>
    <row r="766" customFormat="false" ht="23.85" hidden="false" customHeight="false" outlineLevel="0" collapsed="false">
      <c r="A766" s="9" t="n">
        <v>765</v>
      </c>
      <c r="B766" s="9" t="s">
        <v>50</v>
      </c>
      <c r="C766" s="11" t="s">
        <v>71</v>
      </c>
      <c r="D766" s="9" t="s">
        <v>3184</v>
      </c>
      <c r="E766" s="9" t="s">
        <v>3185</v>
      </c>
      <c r="F766" s="9" t="s">
        <v>3186</v>
      </c>
      <c r="G766" s="9" t="s">
        <v>24</v>
      </c>
      <c r="H766" s="14" t="s">
        <v>22</v>
      </c>
      <c r="I766" s="9" t="s">
        <v>2815</v>
      </c>
      <c r="J766" s="13"/>
      <c r="K766" s="13"/>
    </row>
    <row r="767" customFormat="false" ht="35.05" hidden="false" customHeight="false" outlineLevel="0" collapsed="false">
      <c r="A767" s="9" t="n">
        <v>766</v>
      </c>
      <c r="B767" s="9" t="s">
        <v>50</v>
      </c>
      <c r="C767" s="11" t="s">
        <v>71</v>
      </c>
      <c r="D767" s="9" t="s">
        <v>3187</v>
      </c>
      <c r="E767" s="9" t="s">
        <v>3188</v>
      </c>
      <c r="F767" s="9" t="s">
        <v>3189</v>
      </c>
      <c r="G767" s="9" t="s">
        <v>24</v>
      </c>
      <c r="H767" s="14" t="s">
        <v>22</v>
      </c>
      <c r="I767" s="9" t="s">
        <v>3190</v>
      </c>
      <c r="J767" s="13"/>
      <c r="K767" s="13"/>
    </row>
    <row r="768" customFormat="false" ht="46.25" hidden="false" customHeight="false" outlineLevel="0" collapsed="false">
      <c r="A768" s="9" t="n">
        <v>767</v>
      </c>
      <c r="B768" s="9" t="s">
        <v>50</v>
      </c>
      <c r="C768" s="11" t="s">
        <v>71</v>
      </c>
      <c r="D768" s="9" t="s">
        <v>3191</v>
      </c>
      <c r="E768" s="9" t="s">
        <v>3192</v>
      </c>
      <c r="F768" s="9" t="s">
        <v>3193</v>
      </c>
      <c r="G768" s="9" t="s">
        <v>24</v>
      </c>
      <c r="H768" s="15" t="s">
        <v>23</v>
      </c>
      <c r="I768" s="9" t="s">
        <v>3194</v>
      </c>
      <c r="J768" s="13"/>
      <c r="K768" s="13"/>
    </row>
    <row r="769" customFormat="false" ht="35.05" hidden="false" customHeight="false" outlineLevel="0" collapsed="false">
      <c r="A769" s="9" t="n">
        <v>768</v>
      </c>
      <c r="B769" s="9" t="s">
        <v>50</v>
      </c>
      <c r="C769" s="11" t="s">
        <v>71</v>
      </c>
      <c r="D769" s="9" t="s">
        <v>3195</v>
      </c>
      <c r="E769" s="9" t="s">
        <v>3196</v>
      </c>
      <c r="F769" s="9" t="s">
        <v>3197</v>
      </c>
      <c r="G769" s="9" t="s">
        <v>24</v>
      </c>
      <c r="H769" s="15" t="s">
        <v>23</v>
      </c>
      <c r="I769" s="9" t="s">
        <v>3198</v>
      </c>
      <c r="J769" s="13"/>
      <c r="K769" s="13"/>
    </row>
    <row r="770" customFormat="false" ht="23.85" hidden="false" customHeight="false" outlineLevel="0" collapsed="false">
      <c r="A770" s="9" t="n">
        <v>769</v>
      </c>
      <c r="B770" s="9" t="s">
        <v>50</v>
      </c>
      <c r="C770" s="11" t="s">
        <v>71</v>
      </c>
      <c r="D770" s="9" t="s">
        <v>3199</v>
      </c>
      <c r="E770" s="9" t="s">
        <v>3200</v>
      </c>
      <c r="F770" s="9" t="s">
        <v>3201</v>
      </c>
      <c r="G770" s="9" t="s">
        <v>24</v>
      </c>
      <c r="H770" s="15" t="s">
        <v>23</v>
      </c>
      <c r="I770" s="9" t="s">
        <v>3202</v>
      </c>
      <c r="J770" s="13"/>
      <c r="K770" s="13"/>
    </row>
    <row r="771" customFormat="false" ht="23.85" hidden="false" customHeight="false" outlineLevel="0" collapsed="false">
      <c r="A771" s="9" t="n">
        <v>770</v>
      </c>
      <c r="B771" s="9" t="s">
        <v>50</v>
      </c>
      <c r="C771" s="11" t="s">
        <v>71</v>
      </c>
      <c r="D771" s="9" t="s">
        <v>3203</v>
      </c>
      <c r="E771" s="9" t="s">
        <v>3204</v>
      </c>
      <c r="F771" s="9" t="s">
        <v>3205</v>
      </c>
      <c r="G771" s="9" t="s">
        <v>24</v>
      </c>
      <c r="H771" s="15" t="s">
        <v>23</v>
      </c>
      <c r="I771" s="9" t="s">
        <v>3206</v>
      </c>
      <c r="J771" s="13"/>
      <c r="K771" s="13"/>
    </row>
    <row r="772" customFormat="false" ht="23.85" hidden="false" customHeight="false" outlineLevel="0" collapsed="false">
      <c r="A772" s="9" t="n">
        <v>771</v>
      </c>
      <c r="B772" s="9" t="s">
        <v>50</v>
      </c>
      <c r="C772" s="11" t="s">
        <v>71</v>
      </c>
      <c r="D772" s="9" t="s">
        <v>3207</v>
      </c>
      <c r="E772" s="9" t="s">
        <v>3208</v>
      </c>
      <c r="F772" s="9" t="s">
        <v>2842</v>
      </c>
      <c r="G772" s="9" t="s">
        <v>24</v>
      </c>
      <c r="H772" s="15" t="s">
        <v>23</v>
      </c>
      <c r="I772" s="9" t="s">
        <v>2843</v>
      </c>
      <c r="J772" s="13"/>
      <c r="K772" s="13"/>
    </row>
    <row r="773" customFormat="false" ht="23.85" hidden="false" customHeight="false" outlineLevel="0" collapsed="false">
      <c r="A773" s="9" t="n">
        <v>772</v>
      </c>
      <c r="B773" s="9" t="s">
        <v>50</v>
      </c>
      <c r="C773" s="11" t="s">
        <v>71</v>
      </c>
      <c r="D773" s="9" t="s">
        <v>3209</v>
      </c>
      <c r="E773" s="9" t="s">
        <v>3210</v>
      </c>
      <c r="F773" s="9" t="s">
        <v>2845</v>
      </c>
      <c r="G773" s="9" t="s">
        <v>24</v>
      </c>
      <c r="H773" s="15" t="s">
        <v>23</v>
      </c>
      <c r="I773" s="9" t="s">
        <v>2846</v>
      </c>
      <c r="J773" s="13"/>
      <c r="K773" s="13"/>
    </row>
    <row r="774" customFormat="false" ht="15" hidden="false" customHeight="false" outlineLevel="0" collapsed="false">
      <c r="A774" s="9" t="n">
        <v>773</v>
      </c>
      <c r="B774" s="9" t="s">
        <v>50</v>
      </c>
      <c r="C774" s="11" t="s">
        <v>71</v>
      </c>
      <c r="D774" s="9" t="s">
        <v>3211</v>
      </c>
      <c r="E774" s="9" t="s">
        <v>3212</v>
      </c>
      <c r="F774" s="9" t="s">
        <v>448</v>
      </c>
      <c r="G774" s="9" t="s">
        <v>24</v>
      </c>
      <c r="H774" s="15" t="s">
        <v>23</v>
      </c>
      <c r="I774" s="9" t="s">
        <v>2853</v>
      </c>
      <c r="J774" s="13"/>
      <c r="K774" s="13"/>
    </row>
    <row r="775" customFormat="false" ht="147" hidden="false" customHeight="false" outlineLevel="0" collapsed="false">
      <c r="A775" s="9" t="n">
        <v>774</v>
      </c>
      <c r="B775" s="9" t="s">
        <v>50</v>
      </c>
      <c r="C775" s="11" t="s">
        <v>73</v>
      </c>
      <c r="D775" s="9" t="s">
        <v>3213</v>
      </c>
      <c r="E775" s="9" t="s">
        <v>3214</v>
      </c>
      <c r="F775" s="9" t="s">
        <v>3215</v>
      </c>
      <c r="G775" s="9" t="s">
        <v>317</v>
      </c>
      <c r="H775" s="12" t="s">
        <v>21</v>
      </c>
      <c r="I775" s="9" t="s">
        <v>3216</v>
      </c>
      <c r="J775" s="13"/>
      <c r="K775" s="13"/>
    </row>
    <row r="776" customFormat="false" ht="135.8" hidden="false" customHeight="false" outlineLevel="0" collapsed="false">
      <c r="A776" s="9" t="n">
        <v>775</v>
      </c>
      <c r="B776" s="9" t="s">
        <v>50</v>
      </c>
      <c r="C776" s="11" t="s">
        <v>73</v>
      </c>
      <c r="D776" s="9" t="s">
        <v>3217</v>
      </c>
      <c r="E776" s="9" t="s">
        <v>3218</v>
      </c>
      <c r="F776" s="9" t="s">
        <v>3219</v>
      </c>
      <c r="G776" s="9" t="s">
        <v>3220</v>
      </c>
      <c r="H776" s="12" t="s">
        <v>21</v>
      </c>
      <c r="I776" s="9" t="s">
        <v>3221</v>
      </c>
      <c r="J776" s="13"/>
      <c r="K776" s="13"/>
    </row>
    <row r="777" customFormat="false" ht="124.6" hidden="false" customHeight="false" outlineLevel="0" collapsed="false">
      <c r="A777" s="9" t="n">
        <v>776</v>
      </c>
      <c r="B777" s="9" t="s">
        <v>50</v>
      </c>
      <c r="C777" s="11" t="s">
        <v>73</v>
      </c>
      <c r="D777" s="9" t="s">
        <v>3222</v>
      </c>
      <c r="E777" s="9" t="s">
        <v>3223</v>
      </c>
      <c r="F777" s="9" t="s">
        <v>3224</v>
      </c>
      <c r="G777" s="9" t="s">
        <v>2044</v>
      </c>
      <c r="H777" s="12" t="s">
        <v>21</v>
      </c>
      <c r="I777" s="9" t="s">
        <v>3225</v>
      </c>
      <c r="J777" s="13"/>
      <c r="K777" s="13"/>
    </row>
    <row r="778" customFormat="false" ht="57.45" hidden="false" customHeight="false" outlineLevel="0" collapsed="false">
      <c r="A778" s="9" t="n">
        <v>777</v>
      </c>
      <c r="B778" s="9" t="s">
        <v>50</v>
      </c>
      <c r="C778" s="11" t="s">
        <v>73</v>
      </c>
      <c r="D778" s="9" t="s">
        <v>3226</v>
      </c>
      <c r="E778" s="9" t="s">
        <v>3227</v>
      </c>
      <c r="F778" s="9" t="s">
        <v>3228</v>
      </c>
      <c r="G778" s="9" t="s">
        <v>1421</v>
      </c>
      <c r="H778" s="14" t="s">
        <v>22</v>
      </c>
      <c r="I778" s="9" t="s">
        <v>3229</v>
      </c>
      <c r="J778" s="13"/>
      <c r="K778" s="13"/>
    </row>
    <row r="779" customFormat="false" ht="57.45" hidden="false" customHeight="false" outlineLevel="0" collapsed="false">
      <c r="A779" s="9" t="n">
        <v>778</v>
      </c>
      <c r="B779" s="9" t="s">
        <v>50</v>
      </c>
      <c r="C779" s="11" t="s">
        <v>73</v>
      </c>
      <c r="D779" s="9" t="s">
        <v>3230</v>
      </c>
      <c r="E779" s="9" t="s">
        <v>3231</v>
      </c>
      <c r="F779" s="9" t="s">
        <v>3232</v>
      </c>
      <c r="G779" s="9" t="s">
        <v>317</v>
      </c>
      <c r="H779" s="15" t="s">
        <v>23</v>
      </c>
      <c r="I779" s="9" t="s">
        <v>3233</v>
      </c>
      <c r="J779" s="13"/>
      <c r="K779" s="13"/>
    </row>
    <row r="780" customFormat="false" ht="46.25" hidden="false" customHeight="false" outlineLevel="0" collapsed="false">
      <c r="A780" s="9" t="n">
        <v>779</v>
      </c>
      <c r="B780" s="9" t="s">
        <v>50</v>
      </c>
      <c r="C780" s="11" t="s">
        <v>73</v>
      </c>
      <c r="D780" s="9" t="s">
        <v>3234</v>
      </c>
      <c r="E780" s="9" t="s">
        <v>3235</v>
      </c>
      <c r="F780" s="9" t="s">
        <v>3236</v>
      </c>
      <c r="G780" s="9" t="s">
        <v>2044</v>
      </c>
      <c r="H780" s="14" t="s">
        <v>22</v>
      </c>
      <c r="I780" s="9" t="s">
        <v>3237</v>
      </c>
      <c r="J780" s="13"/>
      <c r="K780" s="13"/>
    </row>
    <row r="781" customFormat="false" ht="35.05" hidden="false" customHeight="false" outlineLevel="0" collapsed="false">
      <c r="A781" s="9" t="n">
        <v>780</v>
      </c>
      <c r="B781" s="9" t="s">
        <v>50</v>
      </c>
      <c r="C781" s="11" t="s">
        <v>73</v>
      </c>
      <c r="D781" s="9" t="s">
        <v>3238</v>
      </c>
      <c r="E781" s="9" t="s">
        <v>3239</v>
      </c>
      <c r="F781" s="9" t="s">
        <v>3240</v>
      </c>
      <c r="G781" s="9" t="s">
        <v>317</v>
      </c>
      <c r="H781" s="14" t="s">
        <v>22</v>
      </c>
      <c r="I781" s="9" t="s">
        <v>3241</v>
      </c>
      <c r="J781" s="13"/>
      <c r="K781" s="13"/>
    </row>
    <row r="782" customFormat="false" ht="35.05" hidden="false" customHeight="false" outlineLevel="0" collapsed="false">
      <c r="A782" s="9" t="n">
        <v>781</v>
      </c>
      <c r="B782" s="9" t="s">
        <v>50</v>
      </c>
      <c r="C782" s="11" t="s">
        <v>73</v>
      </c>
      <c r="D782" s="9" t="s">
        <v>3242</v>
      </c>
      <c r="E782" s="9" t="s">
        <v>3243</v>
      </c>
      <c r="F782" s="9" t="s">
        <v>3244</v>
      </c>
      <c r="G782" s="9" t="s">
        <v>312</v>
      </c>
      <c r="H782" s="15" t="s">
        <v>23</v>
      </c>
      <c r="I782" s="9" t="s">
        <v>3245</v>
      </c>
      <c r="J782" s="13"/>
      <c r="K782" s="13"/>
    </row>
    <row r="783" customFormat="false" ht="79.85" hidden="false" customHeight="false" outlineLevel="0" collapsed="false">
      <c r="A783" s="9" t="n">
        <v>782</v>
      </c>
      <c r="B783" s="9" t="s">
        <v>50</v>
      </c>
      <c r="C783" s="11" t="s">
        <v>73</v>
      </c>
      <c r="D783" s="9" t="s">
        <v>3246</v>
      </c>
      <c r="E783" s="9" t="s">
        <v>3247</v>
      </c>
      <c r="F783" s="9" t="s">
        <v>3248</v>
      </c>
      <c r="G783" s="9" t="s">
        <v>2044</v>
      </c>
      <c r="H783" s="14" t="s">
        <v>22</v>
      </c>
      <c r="I783" s="9" t="s">
        <v>3249</v>
      </c>
      <c r="J783" s="13"/>
      <c r="K783" s="13"/>
    </row>
    <row r="784" customFormat="false" ht="46.25" hidden="false" customHeight="false" outlineLevel="0" collapsed="false">
      <c r="A784" s="9" t="n">
        <v>783</v>
      </c>
      <c r="B784" s="9" t="s">
        <v>50</v>
      </c>
      <c r="C784" s="11" t="s">
        <v>73</v>
      </c>
      <c r="D784" s="9" t="s">
        <v>3250</v>
      </c>
      <c r="E784" s="9" t="s">
        <v>3251</v>
      </c>
      <c r="F784" s="9" t="s">
        <v>3252</v>
      </c>
      <c r="G784" s="9" t="s">
        <v>1072</v>
      </c>
      <c r="H784" s="15" t="s">
        <v>23</v>
      </c>
      <c r="I784" s="9" t="s">
        <v>3253</v>
      </c>
      <c r="J784" s="13"/>
      <c r="K784" s="13"/>
    </row>
    <row r="785" customFormat="false" ht="79.85" hidden="false" customHeight="false" outlineLevel="0" collapsed="false">
      <c r="A785" s="9" t="n">
        <v>784</v>
      </c>
      <c r="B785" s="9" t="s">
        <v>50</v>
      </c>
      <c r="C785" s="11" t="s">
        <v>73</v>
      </c>
      <c r="D785" s="9" t="s">
        <v>3254</v>
      </c>
      <c r="E785" s="9" t="s">
        <v>3255</v>
      </c>
      <c r="F785" s="9" t="s">
        <v>3256</v>
      </c>
      <c r="G785" s="9" t="s">
        <v>3257</v>
      </c>
      <c r="H785" s="14" t="s">
        <v>22</v>
      </c>
      <c r="I785" s="9" t="s">
        <v>3258</v>
      </c>
      <c r="J785" s="13"/>
      <c r="K785" s="13"/>
    </row>
    <row r="786" customFormat="false" ht="57.45" hidden="false" customHeight="false" outlineLevel="0" collapsed="false">
      <c r="A786" s="9" t="n">
        <v>785</v>
      </c>
      <c r="B786" s="9" t="s">
        <v>50</v>
      </c>
      <c r="C786" s="11" t="s">
        <v>73</v>
      </c>
      <c r="D786" s="9" t="s">
        <v>3259</v>
      </c>
      <c r="E786" s="9" t="s">
        <v>3260</v>
      </c>
      <c r="F786" s="9" t="s">
        <v>3261</v>
      </c>
      <c r="G786" s="9" t="s">
        <v>1370</v>
      </c>
      <c r="H786" s="12" t="s">
        <v>21</v>
      </c>
      <c r="I786" s="9" t="s">
        <v>3262</v>
      </c>
      <c r="J786" s="13"/>
      <c r="K786" s="13"/>
    </row>
    <row r="787" customFormat="false" ht="68.65" hidden="false" customHeight="false" outlineLevel="0" collapsed="false">
      <c r="A787" s="9" t="n">
        <v>786</v>
      </c>
      <c r="B787" s="9" t="s">
        <v>50</v>
      </c>
      <c r="C787" s="11" t="s">
        <v>73</v>
      </c>
      <c r="D787" s="9" t="s">
        <v>3263</v>
      </c>
      <c r="E787" s="9" t="s">
        <v>3264</v>
      </c>
      <c r="F787" s="9" t="s">
        <v>3265</v>
      </c>
      <c r="G787" s="9" t="s">
        <v>3266</v>
      </c>
      <c r="H787" s="14" t="s">
        <v>22</v>
      </c>
      <c r="I787" s="9" t="s">
        <v>3267</v>
      </c>
      <c r="J787" s="13"/>
      <c r="K787" s="13"/>
    </row>
    <row r="788" customFormat="false" ht="46.25" hidden="false" customHeight="false" outlineLevel="0" collapsed="false">
      <c r="A788" s="9" t="n">
        <v>787</v>
      </c>
      <c r="B788" s="9" t="s">
        <v>50</v>
      </c>
      <c r="C788" s="11" t="s">
        <v>73</v>
      </c>
      <c r="D788" s="9" t="s">
        <v>3268</v>
      </c>
      <c r="E788" s="9" t="s">
        <v>3269</v>
      </c>
      <c r="F788" s="9" t="s">
        <v>3270</v>
      </c>
      <c r="G788" s="9" t="s">
        <v>1072</v>
      </c>
      <c r="H788" s="14" t="s">
        <v>22</v>
      </c>
      <c r="I788" s="9" t="s">
        <v>3271</v>
      </c>
      <c r="J788" s="13"/>
      <c r="K788" s="13"/>
    </row>
    <row r="789" customFormat="false" ht="35.05" hidden="false" customHeight="false" outlineLevel="0" collapsed="false">
      <c r="A789" s="9" t="n">
        <v>788</v>
      </c>
      <c r="B789" s="9" t="s">
        <v>50</v>
      </c>
      <c r="C789" s="11" t="s">
        <v>73</v>
      </c>
      <c r="D789" s="9" t="s">
        <v>3272</v>
      </c>
      <c r="E789" s="9" t="s">
        <v>3273</v>
      </c>
      <c r="F789" s="9" t="s">
        <v>3274</v>
      </c>
      <c r="G789" s="9" t="s">
        <v>2044</v>
      </c>
      <c r="H789" s="15" t="s">
        <v>23</v>
      </c>
      <c r="I789" s="9" t="s">
        <v>3275</v>
      </c>
      <c r="J789" s="13"/>
      <c r="K789" s="13"/>
    </row>
    <row r="790" customFormat="false" ht="124.6" hidden="false" customHeight="false" outlineLevel="0" collapsed="false">
      <c r="A790" s="9" t="n">
        <v>789</v>
      </c>
      <c r="B790" s="9" t="s">
        <v>50</v>
      </c>
      <c r="C790" s="11" t="s">
        <v>73</v>
      </c>
      <c r="D790" s="9" t="s">
        <v>3276</v>
      </c>
      <c r="E790" s="9" t="s">
        <v>3277</v>
      </c>
      <c r="F790" s="9" t="s">
        <v>3278</v>
      </c>
      <c r="G790" s="9" t="s">
        <v>3279</v>
      </c>
      <c r="H790" s="12" t="s">
        <v>21</v>
      </c>
      <c r="I790" s="9" t="s">
        <v>3280</v>
      </c>
      <c r="J790" s="13"/>
      <c r="K790" s="13"/>
    </row>
    <row r="791" customFormat="false" ht="35.05" hidden="false" customHeight="false" outlineLevel="0" collapsed="false">
      <c r="A791" s="9" t="n">
        <v>790</v>
      </c>
      <c r="B791" s="9" t="s">
        <v>50</v>
      </c>
      <c r="C791" s="11" t="s">
        <v>73</v>
      </c>
      <c r="D791" s="9" t="s">
        <v>3281</v>
      </c>
      <c r="E791" s="9" t="s">
        <v>3282</v>
      </c>
      <c r="F791" s="9" t="s">
        <v>3283</v>
      </c>
      <c r="G791" s="9" t="s">
        <v>1072</v>
      </c>
      <c r="H791" s="12" t="s">
        <v>21</v>
      </c>
      <c r="I791" s="9" t="s">
        <v>3284</v>
      </c>
      <c r="J791" s="13"/>
      <c r="K791" s="13"/>
    </row>
    <row r="792" customFormat="false" ht="35.05" hidden="false" customHeight="false" outlineLevel="0" collapsed="false">
      <c r="A792" s="9" t="n">
        <v>791</v>
      </c>
      <c r="B792" s="9" t="s">
        <v>50</v>
      </c>
      <c r="C792" s="11" t="s">
        <v>73</v>
      </c>
      <c r="D792" s="9" t="s">
        <v>3285</v>
      </c>
      <c r="E792" s="9" t="s">
        <v>3286</v>
      </c>
      <c r="F792" s="9" t="s">
        <v>3287</v>
      </c>
      <c r="G792" s="9" t="s">
        <v>317</v>
      </c>
      <c r="H792" s="14" t="s">
        <v>22</v>
      </c>
      <c r="I792" s="9" t="s">
        <v>3288</v>
      </c>
      <c r="J792" s="13"/>
      <c r="K792" s="13"/>
    </row>
    <row r="793" customFormat="false" ht="46.25" hidden="false" customHeight="false" outlineLevel="0" collapsed="false">
      <c r="A793" s="9" t="n">
        <v>792</v>
      </c>
      <c r="B793" s="9" t="s">
        <v>50</v>
      </c>
      <c r="C793" s="11" t="s">
        <v>73</v>
      </c>
      <c r="D793" s="9" t="s">
        <v>3289</v>
      </c>
      <c r="E793" s="9" t="s">
        <v>3290</v>
      </c>
      <c r="F793" s="9" t="s">
        <v>3291</v>
      </c>
      <c r="G793" s="9" t="s">
        <v>3292</v>
      </c>
      <c r="H793" s="15" t="s">
        <v>23</v>
      </c>
      <c r="I793" s="9" t="s">
        <v>3293</v>
      </c>
      <c r="J793" s="13"/>
      <c r="K793" s="13"/>
    </row>
    <row r="794" customFormat="false" ht="68.65" hidden="false" customHeight="false" outlineLevel="0" collapsed="false">
      <c r="A794" s="9" t="n">
        <v>793</v>
      </c>
      <c r="B794" s="9" t="s">
        <v>50</v>
      </c>
      <c r="C794" s="11" t="s">
        <v>73</v>
      </c>
      <c r="D794" s="9" t="s">
        <v>3294</v>
      </c>
      <c r="E794" s="9" t="s">
        <v>3295</v>
      </c>
      <c r="F794" s="9" t="s">
        <v>3296</v>
      </c>
      <c r="G794" s="9" t="s">
        <v>3279</v>
      </c>
      <c r="H794" s="14" t="s">
        <v>22</v>
      </c>
      <c r="I794" s="9" t="s">
        <v>3297</v>
      </c>
      <c r="J794" s="13"/>
      <c r="K794" s="13"/>
    </row>
    <row r="795" customFormat="false" ht="46.25" hidden="false" customHeight="false" outlineLevel="0" collapsed="false">
      <c r="A795" s="9" t="n">
        <v>794</v>
      </c>
      <c r="B795" s="9" t="s">
        <v>50</v>
      </c>
      <c r="C795" s="11" t="s">
        <v>73</v>
      </c>
      <c r="D795" s="9" t="s">
        <v>3298</v>
      </c>
      <c r="E795" s="9" t="s">
        <v>3299</v>
      </c>
      <c r="F795" s="9" t="s">
        <v>3300</v>
      </c>
      <c r="G795" s="9" t="s">
        <v>1072</v>
      </c>
      <c r="H795" s="14" t="s">
        <v>22</v>
      </c>
      <c r="I795" s="9" t="s">
        <v>3301</v>
      </c>
      <c r="J795" s="13"/>
      <c r="K795" s="13"/>
    </row>
    <row r="796" customFormat="false" ht="91" hidden="false" customHeight="false" outlineLevel="0" collapsed="false">
      <c r="A796" s="9" t="n">
        <v>795</v>
      </c>
      <c r="B796" s="9" t="s">
        <v>50</v>
      </c>
      <c r="C796" s="11" t="s">
        <v>73</v>
      </c>
      <c r="D796" s="9" t="s">
        <v>3302</v>
      </c>
      <c r="E796" s="9" t="s">
        <v>3303</v>
      </c>
      <c r="F796" s="9" t="s">
        <v>3304</v>
      </c>
      <c r="G796" s="9" t="s">
        <v>3220</v>
      </c>
      <c r="H796" s="12" t="s">
        <v>21</v>
      </c>
      <c r="I796" s="9" t="s">
        <v>3305</v>
      </c>
      <c r="J796" s="13"/>
      <c r="K796" s="13"/>
    </row>
    <row r="797" customFormat="false" ht="35.05" hidden="false" customHeight="false" outlineLevel="0" collapsed="false">
      <c r="A797" s="9" t="n">
        <v>796</v>
      </c>
      <c r="B797" s="9" t="s">
        <v>50</v>
      </c>
      <c r="C797" s="11" t="s">
        <v>73</v>
      </c>
      <c r="D797" s="9" t="s">
        <v>3306</v>
      </c>
      <c r="E797" s="9" t="s">
        <v>3307</v>
      </c>
      <c r="F797" s="9" t="s">
        <v>3308</v>
      </c>
      <c r="G797" s="9" t="s">
        <v>312</v>
      </c>
      <c r="H797" s="15" t="s">
        <v>23</v>
      </c>
      <c r="I797" s="9" t="s">
        <v>3309</v>
      </c>
      <c r="J797" s="13"/>
      <c r="K797" s="13"/>
    </row>
    <row r="798" customFormat="false" ht="68.65" hidden="false" customHeight="false" outlineLevel="0" collapsed="false">
      <c r="A798" s="9" t="n">
        <v>797</v>
      </c>
      <c r="B798" s="9" t="s">
        <v>50</v>
      </c>
      <c r="C798" s="11" t="s">
        <v>73</v>
      </c>
      <c r="D798" s="9" t="s">
        <v>3310</v>
      </c>
      <c r="E798" s="9" t="s">
        <v>3311</v>
      </c>
      <c r="F798" s="9" t="s">
        <v>3312</v>
      </c>
      <c r="G798" s="9" t="s">
        <v>3313</v>
      </c>
      <c r="H798" s="14" t="s">
        <v>22</v>
      </c>
      <c r="I798" s="9" t="s">
        <v>3314</v>
      </c>
      <c r="J798" s="13"/>
      <c r="K798" s="13"/>
    </row>
    <row r="799" customFormat="false" ht="46.25" hidden="false" customHeight="false" outlineLevel="0" collapsed="false">
      <c r="A799" s="9" t="n">
        <v>798</v>
      </c>
      <c r="B799" s="9" t="s">
        <v>50</v>
      </c>
      <c r="C799" s="11" t="s">
        <v>73</v>
      </c>
      <c r="D799" s="9" t="s">
        <v>3315</v>
      </c>
      <c r="E799" s="9" t="s">
        <v>3316</v>
      </c>
      <c r="F799" s="9" t="s">
        <v>3317</v>
      </c>
      <c r="G799" s="9" t="s">
        <v>312</v>
      </c>
      <c r="H799" s="15" t="s">
        <v>23</v>
      </c>
      <c r="I799" s="9" t="s">
        <v>3318</v>
      </c>
      <c r="J799" s="13"/>
      <c r="K799" s="13"/>
    </row>
    <row r="800" customFormat="false" ht="35.05" hidden="false" customHeight="false" outlineLevel="0" collapsed="false">
      <c r="A800" s="9" t="n">
        <v>799</v>
      </c>
      <c r="B800" s="9" t="s">
        <v>50</v>
      </c>
      <c r="C800" s="11" t="s">
        <v>73</v>
      </c>
      <c r="D800" s="9" t="s">
        <v>3319</v>
      </c>
      <c r="E800" s="9" t="s">
        <v>3320</v>
      </c>
      <c r="F800" s="9" t="s">
        <v>3321</v>
      </c>
      <c r="G800" s="9" t="s">
        <v>317</v>
      </c>
      <c r="H800" s="15" t="s">
        <v>23</v>
      </c>
      <c r="I800" s="9" t="s">
        <v>3322</v>
      </c>
      <c r="J800" s="13"/>
      <c r="K800" s="13"/>
    </row>
    <row r="801" customFormat="false" ht="15" hidden="false" customHeight="false" outlineLevel="0" collapsed="false">
      <c r="A801" s="9" t="n">
        <v>800</v>
      </c>
      <c r="B801" s="9" t="s">
        <v>50</v>
      </c>
      <c r="C801" s="11" t="s">
        <v>73</v>
      </c>
      <c r="D801" s="9" t="s">
        <v>3323</v>
      </c>
      <c r="E801" s="9" t="s">
        <v>3324</v>
      </c>
      <c r="F801" s="9" t="s">
        <v>3325</v>
      </c>
      <c r="G801" s="9" t="s">
        <v>312</v>
      </c>
      <c r="H801" s="15" t="s">
        <v>23</v>
      </c>
      <c r="I801" s="9" t="s">
        <v>3326</v>
      </c>
      <c r="J801" s="13"/>
      <c r="K801" s="13"/>
    </row>
    <row r="802" customFormat="false" ht="23.85" hidden="false" customHeight="false" outlineLevel="0" collapsed="false">
      <c r="A802" s="9" t="n">
        <v>801</v>
      </c>
      <c r="B802" s="9" t="s">
        <v>50</v>
      </c>
      <c r="C802" s="11" t="s">
        <v>73</v>
      </c>
      <c r="D802" s="9" t="s">
        <v>3327</v>
      </c>
      <c r="E802" s="9" t="s">
        <v>3328</v>
      </c>
      <c r="F802" s="9" t="s">
        <v>3329</v>
      </c>
      <c r="G802" s="9" t="s">
        <v>312</v>
      </c>
      <c r="H802" s="15" t="s">
        <v>23</v>
      </c>
      <c r="I802" s="9" t="s">
        <v>3330</v>
      </c>
      <c r="J802" s="13"/>
      <c r="K802" s="13"/>
    </row>
    <row r="803" customFormat="false" ht="46.25" hidden="false" customHeight="false" outlineLevel="0" collapsed="false">
      <c r="A803" s="9" t="n">
        <v>802</v>
      </c>
      <c r="B803" s="9" t="s">
        <v>50</v>
      </c>
      <c r="C803" s="11" t="s">
        <v>73</v>
      </c>
      <c r="D803" s="9" t="s">
        <v>3331</v>
      </c>
      <c r="E803" s="9" t="s">
        <v>3332</v>
      </c>
      <c r="F803" s="9" t="s">
        <v>3333</v>
      </c>
      <c r="G803" s="9" t="s">
        <v>2044</v>
      </c>
      <c r="H803" s="15" t="s">
        <v>23</v>
      </c>
      <c r="I803" s="9" t="s">
        <v>3334</v>
      </c>
      <c r="J803" s="13"/>
      <c r="K803" s="13"/>
    </row>
    <row r="804" customFormat="false" ht="23.85" hidden="false" customHeight="false" outlineLevel="0" collapsed="false">
      <c r="A804" s="9" t="n">
        <v>803</v>
      </c>
      <c r="B804" s="9" t="s">
        <v>50</v>
      </c>
      <c r="C804" s="11" t="s">
        <v>73</v>
      </c>
      <c r="D804" s="9" t="s">
        <v>3335</v>
      </c>
      <c r="E804" s="9" t="s">
        <v>3336</v>
      </c>
      <c r="F804" s="9" t="s">
        <v>3337</v>
      </c>
      <c r="G804" s="9" t="s">
        <v>3338</v>
      </c>
      <c r="H804" s="15" t="s">
        <v>23</v>
      </c>
      <c r="I804" s="9" t="s">
        <v>3339</v>
      </c>
      <c r="J804" s="13"/>
      <c r="K804" s="13"/>
    </row>
    <row r="805" customFormat="false" ht="46.25" hidden="false" customHeight="false" outlineLevel="0" collapsed="false">
      <c r="A805" s="9" t="n">
        <v>804</v>
      </c>
      <c r="B805" s="9" t="s">
        <v>50</v>
      </c>
      <c r="C805" s="11" t="s">
        <v>73</v>
      </c>
      <c r="D805" s="9" t="s">
        <v>3340</v>
      </c>
      <c r="E805" s="9" t="s">
        <v>3341</v>
      </c>
      <c r="F805" s="9" t="s">
        <v>3342</v>
      </c>
      <c r="G805" s="9" t="s">
        <v>3343</v>
      </c>
      <c r="H805" s="15" t="s">
        <v>23</v>
      </c>
      <c r="I805" s="9" t="s">
        <v>3344</v>
      </c>
      <c r="J805" s="13"/>
      <c r="K805" s="13"/>
    </row>
    <row r="806" customFormat="false" ht="46.25" hidden="false" customHeight="false" outlineLevel="0" collapsed="false">
      <c r="A806" s="9" t="n">
        <v>805</v>
      </c>
      <c r="B806" s="9" t="s">
        <v>50</v>
      </c>
      <c r="C806" s="11" t="s">
        <v>73</v>
      </c>
      <c r="D806" s="9" t="s">
        <v>3345</v>
      </c>
      <c r="E806" s="9" t="s">
        <v>3346</v>
      </c>
      <c r="F806" s="9" t="s">
        <v>3347</v>
      </c>
      <c r="G806" s="9" t="s">
        <v>3338</v>
      </c>
      <c r="H806" s="15" t="s">
        <v>23</v>
      </c>
      <c r="I806" s="9" t="s">
        <v>3348</v>
      </c>
      <c r="J806" s="13"/>
      <c r="K806" s="13"/>
    </row>
    <row r="807" customFormat="false" ht="35.05" hidden="false" customHeight="false" outlineLevel="0" collapsed="false">
      <c r="A807" s="9" t="n">
        <v>806</v>
      </c>
      <c r="B807" s="9" t="s">
        <v>50</v>
      </c>
      <c r="C807" s="11" t="s">
        <v>73</v>
      </c>
      <c r="D807" s="9" t="s">
        <v>3349</v>
      </c>
      <c r="E807" s="9" t="s">
        <v>3350</v>
      </c>
      <c r="F807" s="9" t="s">
        <v>3351</v>
      </c>
      <c r="G807" s="9" t="s">
        <v>3352</v>
      </c>
      <c r="H807" s="14" t="s">
        <v>22</v>
      </c>
      <c r="I807" s="9" t="s">
        <v>3353</v>
      </c>
      <c r="J807" s="13"/>
      <c r="K807" s="13"/>
    </row>
    <row r="808" customFormat="false" ht="46.25" hidden="false" customHeight="false" outlineLevel="0" collapsed="false">
      <c r="A808" s="9" t="n">
        <v>807</v>
      </c>
      <c r="B808" s="9" t="s">
        <v>50</v>
      </c>
      <c r="C808" s="11" t="s">
        <v>73</v>
      </c>
      <c r="D808" s="9" t="s">
        <v>3354</v>
      </c>
      <c r="E808" s="9" t="s">
        <v>3355</v>
      </c>
      <c r="F808" s="9" t="s">
        <v>3356</v>
      </c>
      <c r="G808" s="9" t="s">
        <v>312</v>
      </c>
      <c r="H808" s="15" t="s">
        <v>23</v>
      </c>
      <c r="I808" s="9" t="s">
        <v>3357</v>
      </c>
      <c r="J808" s="13"/>
      <c r="K808" s="13"/>
    </row>
    <row r="809" customFormat="false" ht="23.85" hidden="false" customHeight="false" outlineLevel="0" collapsed="false">
      <c r="A809" s="9" t="n">
        <v>808</v>
      </c>
      <c r="B809" s="9" t="s">
        <v>50</v>
      </c>
      <c r="C809" s="11" t="s">
        <v>73</v>
      </c>
      <c r="D809" s="9" t="s">
        <v>3358</v>
      </c>
      <c r="E809" s="9" t="s">
        <v>3359</v>
      </c>
      <c r="F809" s="9" t="s">
        <v>2095</v>
      </c>
      <c r="G809" s="9" t="s">
        <v>3338</v>
      </c>
      <c r="H809" s="15" t="s">
        <v>23</v>
      </c>
      <c r="I809" s="9" t="s">
        <v>3360</v>
      </c>
      <c r="J809" s="13"/>
      <c r="K809" s="13"/>
    </row>
    <row r="810" customFormat="false" ht="46.25" hidden="false" customHeight="false" outlineLevel="0" collapsed="false">
      <c r="A810" s="9" t="n">
        <v>809</v>
      </c>
      <c r="B810" s="9" t="s">
        <v>50</v>
      </c>
      <c r="C810" s="11" t="s">
        <v>73</v>
      </c>
      <c r="D810" s="9" t="s">
        <v>3361</v>
      </c>
      <c r="E810" s="9" t="s">
        <v>3362</v>
      </c>
      <c r="F810" s="9" t="s">
        <v>3363</v>
      </c>
      <c r="G810" s="9" t="s">
        <v>312</v>
      </c>
      <c r="H810" s="15" t="s">
        <v>23</v>
      </c>
      <c r="I810" s="9" t="s">
        <v>3364</v>
      </c>
      <c r="J810" s="13"/>
      <c r="K810" s="13"/>
    </row>
    <row r="811" customFormat="false" ht="35.05" hidden="false" customHeight="false" outlineLevel="0" collapsed="false">
      <c r="A811" s="9" t="n">
        <v>810</v>
      </c>
      <c r="B811" s="9" t="s">
        <v>50</v>
      </c>
      <c r="C811" s="11" t="s">
        <v>73</v>
      </c>
      <c r="D811" s="9" t="s">
        <v>3365</v>
      </c>
      <c r="E811" s="9" t="s">
        <v>3366</v>
      </c>
      <c r="F811" s="9" t="s">
        <v>3367</v>
      </c>
      <c r="G811" s="9" t="s">
        <v>1072</v>
      </c>
      <c r="H811" s="15" t="s">
        <v>23</v>
      </c>
      <c r="I811" s="9" t="s">
        <v>3368</v>
      </c>
      <c r="J811" s="13"/>
      <c r="K811" s="13"/>
    </row>
    <row r="812" customFormat="false" ht="46.25" hidden="false" customHeight="false" outlineLevel="0" collapsed="false">
      <c r="A812" s="9" t="n">
        <v>811</v>
      </c>
      <c r="B812" s="9" t="s">
        <v>50</v>
      </c>
      <c r="C812" s="11" t="s">
        <v>73</v>
      </c>
      <c r="D812" s="9" t="s">
        <v>3369</v>
      </c>
      <c r="E812" s="9" t="s">
        <v>3370</v>
      </c>
      <c r="F812" s="9" t="s">
        <v>3371</v>
      </c>
      <c r="G812" s="9" t="s">
        <v>324</v>
      </c>
      <c r="H812" s="14" t="s">
        <v>22</v>
      </c>
      <c r="I812" s="9" t="s">
        <v>3372</v>
      </c>
      <c r="J812" s="13"/>
      <c r="K812" s="13"/>
    </row>
    <row r="813" customFormat="false" ht="46.25" hidden="false" customHeight="false" outlineLevel="0" collapsed="false">
      <c r="A813" s="9" t="n">
        <v>812</v>
      </c>
      <c r="B813" s="9" t="s">
        <v>50</v>
      </c>
      <c r="C813" s="11" t="s">
        <v>73</v>
      </c>
      <c r="D813" s="9" t="s">
        <v>3373</v>
      </c>
      <c r="E813" s="9" t="s">
        <v>3374</v>
      </c>
      <c r="F813" s="9" t="s">
        <v>3375</v>
      </c>
      <c r="G813" s="9" t="s">
        <v>317</v>
      </c>
      <c r="H813" s="15" t="s">
        <v>23</v>
      </c>
      <c r="I813" s="9" t="s">
        <v>3376</v>
      </c>
      <c r="J813" s="13"/>
      <c r="K813" s="13"/>
    </row>
    <row r="814" customFormat="false" ht="46.25" hidden="false" customHeight="false" outlineLevel="0" collapsed="false">
      <c r="A814" s="9" t="n">
        <v>813</v>
      </c>
      <c r="B814" s="9" t="s">
        <v>50</v>
      </c>
      <c r="C814" s="11" t="s">
        <v>73</v>
      </c>
      <c r="D814" s="9" t="s">
        <v>3377</v>
      </c>
      <c r="E814" s="9" t="s">
        <v>3378</v>
      </c>
      <c r="F814" s="9" t="s">
        <v>3379</v>
      </c>
      <c r="G814" s="9" t="s">
        <v>1072</v>
      </c>
      <c r="H814" s="15" t="s">
        <v>23</v>
      </c>
      <c r="I814" s="9" t="s">
        <v>3380</v>
      </c>
      <c r="J814" s="13"/>
      <c r="K814" s="13"/>
    </row>
    <row r="815" customFormat="false" ht="35.05" hidden="false" customHeight="false" outlineLevel="0" collapsed="false">
      <c r="A815" s="9" t="n">
        <v>814</v>
      </c>
      <c r="B815" s="9" t="s">
        <v>50</v>
      </c>
      <c r="C815" s="11" t="s">
        <v>73</v>
      </c>
      <c r="D815" s="9" t="s">
        <v>3381</v>
      </c>
      <c r="E815" s="9" t="s">
        <v>3382</v>
      </c>
      <c r="F815" s="9" t="s">
        <v>3383</v>
      </c>
      <c r="G815" s="9" t="s">
        <v>24</v>
      </c>
      <c r="H815" s="14" t="s">
        <v>22</v>
      </c>
      <c r="I815" s="9" t="s">
        <v>3384</v>
      </c>
      <c r="J815" s="13"/>
      <c r="K815" s="13"/>
    </row>
    <row r="816" customFormat="false" ht="23.85" hidden="false" customHeight="false" outlineLevel="0" collapsed="false">
      <c r="A816" s="9" t="n">
        <v>815</v>
      </c>
      <c r="B816" s="9" t="s">
        <v>50</v>
      </c>
      <c r="C816" s="11" t="s">
        <v>73</v>
      </c>
      <c r="D816" s="9" t="s">
        <v>3385</v>
      </c>
      <c r="E816" s="9" t="s">
        <v>358</v>
      </c>
      <c r="F816" s="9" t="s">
        <v>3386</v>
      </c>
      <c r="G816" s="9" t="s">
        <v>24</v>
      </c>
      <c r="H816" s="14" t="s">
        <v>22</v>
      </c>
      <c r="I816" s="9" t="s">
        <v>1985</v>
      </c>
      <c r="J816" s="13"/>
      <c r="K816" s="13"/>
    </row>
    <row r="817" customFormat="false" ht="15" hidden="false" customHeight="false" outlineLevel="0" collapsed="false">
      <c r="A817" s="9" t="n">
        <v>816</v>
      </c>
      <c r="B817" s="9" t="s">
        <v>50</v>
      </c>
      <c r="C817" s="11" t="s">
        <v>73</v>
      </c>
      <c r="D817" s="9" t="s">
        <v>3387</v>
      </c>
      <c r="E817" s="9" t="s">
        <v>362</v>
      </c>
      <c r="F817" s="9" t="s">
        <v>363</v>
      </c>
      <c r="G817" s="9" t="s">
        <v>24</v>
      </c>
      <c r="H817" s="14" t="s">
        <v>22</v>
      </c>
      <c r="I817" s="9" t="s">
        <v>364</v>
      </c>
      <c r="J817" s="13"/>
      <c r="K817" s="13"/>
    </row>
    <row r="818" customFormat="false" ht="15" hidden="false" customHeight="false" outlineLevel="0" collapsed="false">
      <c r="A818" s="9" t="n">
        <v>817</v>
      </c>
      <c r="B818" s="9" t="s">
        <v>50</v>
      </c>
      <c r="C818" s="11" t="s">
        <v>73</v>
      </c>
      <c r="D818" s="9" t="s">
        <v>3388</v>
      </c>
      <c r="E818" s="9" t="s">
        <v>3389</v>
      </c>
      <c r="F818" s="9" t="s">
        <v>3390</v>
      </c>
      <c r="G818" s="9" t="s">
        <v>24</v>
      </c>
      <c r="H818" s="14" t="s">
        <v>22</v>
      </c>
      <c r="I818" s="9" t="s">
        <v>2815</v>
      </c>
      <c r="J818" s="13"/>
      <c r="K818" s="13"/>
    </row>
    <row r="819" customFormat="false" ht="23.85" hidden="false" customHeight="false" outlineLevel="0" collapsed="false">
      <c r="A819" s="9" t="n">
        <v>818</v>
      </c>
      <c r="B819" s="9" t="s">
        <v>50</v>
      </c>
      <c r="C819" s="11" t="s">
        <v>73</v>
      </c>
      <c r="D819" s="9" t="s">
        <v>3391</v>
      </c>
      <c r="E819" s="9" t="s">
        <v>3392</v>
      </c>
      <c r="F819" s="9" t="s">
        <v>3393</v>
      </c>
      <c r="G819" s="9" t="s">
        <v>24</v>
      </c>
      <c r="H819" s="14" t="s">
        <v>22</v>
      </c>
      <c r="I819" s="9" t="s">
        <v>3190</v>
      </c>
      <c r="J819" s="13"/>
      <c r="K819" s="13"/>
    </row>
    <row r="820" customFormat="false" ht="35.05" hidden="false" customHeight="false" outlineLevel="0" collapsed="false">
      <c r="A820" s="9" t="n">
        <v>819</v>
      </c>
      <c r="B820" s="9" t="s">
        <v>50</v>
      </c>
      <c r="C820" s="11" t="s">
        <v>73</v>
      </c>
      <c r="D820" s="9" t="s">
        <v>3394</v>
      </c>
      <c r="E820" s="9" t="s">
        <v>3395</v>
      </c>
      <c r="F820" s="9" t="s">
        <v>3396</v>
      </c>
      <c r="G820" s="9" t="s">
        <v>24</v>
      </c>
      <c r="H820" s="15" t="s">
        <v>23</v>
      </c>
      <c r="I820" s="9" t="s">
        <v>3397</v>
      </c>
      <c r="J820" s="13"/>
      <c r="K820" s="13"/>
    </row>
    <row r="821" customFormat="false" ht="23.85" hidden="false" customHeight="false" outlineLevel="0" collapsed="false">
      <c r="A821" s="9" t="n">
        <v>820</v>
      </c>
      <c r="B821" s="9" t="s">
        <v>50</v>
      </c>
      <c r="C821" s="11" t="s">
        <v>73</v>
      </c>
      <c r="D821" s="9" t="s">
        <v>3398</v>
      </c>
      <c r="E821" s="9" t="s">
        <v>3399</v>
      </c>
      <c r="F821" s="9" t="s">
        <v>3400</v>
      </c>
      <c r="G821" s="9" t="s">
        <v>24</v>
      </c>
      <c r="H821" s="15" t="s">
        <v>23</v>
      </c>
      <c r="I821" s="9" t="s">
        <v>3401</v>
      </c>
      <c r="J821" s="13"/>
      <c r="K821" s="13"/>
    </row>
    <row r="822" customFormat="false" ht="23.85" hidden="false" customHeight="false" outlineLevel="0" collapsed="false">
      <c r="A822" s="9" t="n">
        <v>821</v>
      </c>
      <c r="B822" s="9" t="s">
        <v>50</v>
      </c>
      <c r="C822" s="11" t="s">
        <v>73</v>
      </c>
      <c r="D822" s="9" t="s">
        <v>3402</v>
      </c>
      <c r="E822" s="9" t="s">
        <v>3403</v>
      </c>
      <c r="F822" s="9" t="s">
        <v>3404</v>
      </c>
      <c r="G822" s="9" t="s">
        <v>24</v>
      </c>
      <c r="H822" s="15" t="s">
        <v>23</v>
      </c>
      <c r="I822" s="9" t="s">
        <v>3405</v>
      </c>
      <c r="J822" s="13"/>
      <c r="K822" s="13"/>
    </row>
    <row r="823" customFormat="false" ht="35.05" hidden="false" customHeight="false" outlineLevel="0" collapsed="false">
      <c r="A823" s="9" t="n">
        <v>822</v>
      </c>
      <c r="B823" s="9" t="s">
        <v>50</v>
      </c>
      <c r="C823" s="11" t="s">
        <v>73</v>
      </c>
      <c r="D823" s="9" t="s">
        <v>3406</v>
      </c>
      <c r="E823" s="9" t="s">
        <v>3407</v>
      </c>
      <c r="F823" s="9" t="s">
        <v>3408</v>
      </c>
      <c r="G823" s="9" t="s">
        <v>24</v>
      </c>
      <c r="H823" s="15" t="s">
        <v>23</v>
      </c>
      <c r="I823" s="9" t="s">
        <v>3409</v>
      </c>
      <c r="J823" s="13"/>
      <c r="K823" s="13"/>
    </row>
    <row r="824" customFormat="false" ht="23.85" hidden="false" customHeight="false" outlineLevel="0" collapsed="false">
      <c r="A824" s="9" t="n">
        <v>823</v>
      </c>
      <c r="B824" s="9" t="s">
        <v>50</v>
      </c>
      <c r="C824" s="11" t="s">
        <v>73</v>
      </c>
      <c r="D824" s="9" t="s">
        <v>3410</v>
      </c>
      <c r="E824" s="9" t="s">
        <v>3411</v>
      </c>
      <c r="F824" s="9" t="s">
        <v>3412</v>
      </c>
      <c r="G824" s="9" t="s">
        <v>24</v>
      </c>
      <c r="H824" s="15" t="s">
        <v>23</v>
      </c>
      <c r="I824" s="9" t="s">
        <v>434</v>
      </c>
      <c r="J824" s="13"/>
      <c r="K824" s="13"/>
    </row>
    <row r="825" customFormat="false" ht="23.85" hidden="false" customHeight="false" outlineLevel="0" collapsed="false">
      <c r="A825" s="9" t="n">
        <v>824</v>
      </c>
      <c r="B825" s="9" t="s">
        <v>50</v>
      </c>
      <c r="C825" s="11" t="s">
        <v>73</v>
      </c>
      <c r="D825" s="9" t="s">
        <v>3413</v>
      </c>
      <c r="E825" s="9" t="s">
        <v>3414</v>
      </c>
      <c r="F825" s="9" t="s">
        <v>3415</v>
      </c>
      <c r="G825" s="9" t="s">
        <v>24</v>
      </c>
      <c r="H825" s="15" t="s">
        <v>23</v>
      </c>
      <c r="I825" s="9" t="s">
        <v>434</v>
      </c>
      <c r="J825" s="13"/>
      <c r="K825" s="13"/>
    </row>
    <row r="826" customFormat="false" ht="23.85" hidden="false" customHeight="false" outlineLevel="0" collapsed="false">
      <c r="A826" s="9" t="n">
        <v>825</v>
      </c>
      <c r="B826" s="9" t="s">
        <v>50</v>
      </c>
      <c r="C826" s="11" t="s">
        <v>73</v>
      </c>
      <c r="D826" s="9" t="s">
        <v>3416</v>
      </c>
      <c r="E826" s="9" t="s">
        <v>3417</v>
      </c>
      <c r="F826" s="9" t="s">
        <v>2842</v>
      </c>
      <c r="G826" s="9" t="s">
        <v>24</v>
      </c>
      <c r="H826" s="15" t="s">
        <v>23</v>
      </c>
      <c r="I826" s="9" t="s">
        <v>2843</v>
      </c>
      <c r="J826" s="13"/>
      <c r="K826" s="13"/>
    </row>
    <row r="827" customFormat="false" ht="23.85" hidden="false" customHeight="false" outlineLevel="0" collapsed="false">
      <c r="A827" s="9" t="n">
        <v>826</v>
      </c>
      <c r="B827" s="9" t="s">
        <v>50</v>
      </c>
      <c r="C827" s="11" t="s">
        <v>73</v>
      </c>
      <c r="D827" s="9" t="s">
        <v>3418</v>
      </c>
      <c r="E827" s="9" t="s">
        <v>3419</v>
      </c>
      <c r="F827" s="9" t="s">
        <v>2845</v>
      </c>
      <c r="G827" s="9" t="s">
        <v>24</v>
      </c>
      <c r="H827" s="15" t="s">
        <v>23</v>
      </c>
      <c r="I827" s="9" t="s">
        <v>2846</v>
      </c>
      <c r="J827" s="13"/>
      <c r="K827" s="13"/>
    </row>
    <row r="828" customFormat="false" ht="15" hidden="false" customHeight="false" outlineLevel="0" collapsed="false">
      <c r="A828" s="9" t="n">
        <v>827</v>
      </c>
      <c r="B828" s="9" t="s">
        <v>50</v>
      </c>
      <c r="C828" s="11" t="s">
        <v>73</v>
      </c>
      <c r="D828" s="9" t="s">
        <v>3420</v>
      </c>
      <c r="E828" s="9" t="s">
        <v>3421</v>
      </c>
      <c r="F828" s="9" t="s">
        <v>448</v>
      </c>
      <c r="G828" s="9" t="s">
        <v>24</v>
      </c>
      <c r="H828" s="15" t="s">
        <v>23</v>
      </c>
      <c r="I828" s="9" t="s">
        <v>2853</v>
      </c>
      <c r="J828" s="13"/>
      <c r="K828" s="13"/>
    </row>
    <row r="829" customFormat="false" ht="91" hidden="false" customHeight="false" outlineLevel="0" collapsed="false">
      <c r="A829" s="9" t="n">
        <v>828</v>
      </c>
      <c r="B829" s="9" t="s">
        <v>50</v>
      </c>
      <c r="C829" s="11" t="s">
        <v>75</v>
      </c>
      <c r="D829" s="9" t="s">
        <v>3422</v>
      </c>
      <c r="E829" s="9" t="s">
        <v>3423</v>
      </c>
      <c r="F829" s="9" t="s">
        <v>3424</v>
      </c>
      <c r="G829" s="9" t="s">
        <v>317</v>
      </c>
      <c r="H829" s="12" t="s">
        <v>21</v>
      </c>
      <c r="I829" s="9" t="s">
        <v>3425</v>
      </c>
      <c r="J829" s="13"/>
      <c r="K829" s="13"/>
    </row>
    <row r="830" customFormat="false" ht="68.65" hidden="false" customHeight="false" outlineLevel="0" collapsed="false">
      <c r="A830" s="9" t="n">
        <v>829</v>
      </c>
      <c r="B830" s="9" t="s">
        <v>50</v>
      </c>
      <c r="C830" s="11" t="s">
        <v>75</v>
      </c>
      <c r="D830" s="9" t="s">
        <v>3426</v>
      </c>
      <c r="E830" s="9" t="s">
        <v>3427</v>
      </c>
      <c r="F830" s="9" t="s">
        <v>3428</v>
      </c>
      <c r="G830" s="9" t="s">
        <v>834</v>
      </c>
      <c r="H830" s="12" t="s">
        <v>21</v>
      </c>
      <c r="I830" s="9" t="s">
        <v>3429</v>
      </c>
      <c r="J830" s="13"/>
      <c r="K830" s="13"/>
    </row>
    <row r="831" customFormat="false" ht="57.45" hidden="false" customHeight="false" outlineLevel="0" collapsed="false">
      <c r="A831" s="9" t="n">
        <v>830</v>
      </c>
      <c r="B831" s="9" t="s">
        <v>50</v>
      </c>
      <c r="C831" s="11" t="s">
        <v>75</v>
      </c>
      <c r="D831" s="9" t="s">
        <v>3430</v>
      </c>
      <c r="E831" s="9" t="s">
        <v>3431</v>
      </c>
      <c r="F831" s="9" t="s">
        <v>3432</v>
      </c>
      <c r="G831" s="9" t="s">
        <v>2044</v>
      </c>
      <c r="H831" s="14" t="s">
        <v>22</v>
      </c>
      <c r="I831" s="9" t="s">
        <v>3433</v>
      </c>
      <c r="J831" s="13"/>
      <c r="K831" s="13"/>
    </row>
    <row r="832" customFormat="false" ht="35.05" hidden="false" customHeight="false" outlineLevel="0" collapsed="false">
      <c r="A832" s="9" t="n">
        <v>831</v>
      </c>
      <c r="B832" s="9" t="s">
        <v>50</v>
      </c>
      <c r="C832" s="11" t="s">
        <v>75</v>
      </c>
      <c r="D832" s="9" t="s">
        <v>3434</v>
      </c>
      <c r="E832" s="9" t="s">
        <v>3435</v>
      </c>
      <c r="F832" s="9" t="s">
        <v>3436</v>
      </c>
      <c r="G832" s="9" t="s">
        <v>2044</v>
      </c>
      <c r="H832" s="14" t="s">
        <v>22</v>
      </c>
      <c r="I832" s="9" t="s">
        <v>3437</v>
      </c>
      <c r="J832" s="13"/>
      <c r="K832" s="13"/>
    </row>
    <row r="833" customFormat="false" ht="91" hidden="false" customHeight="false" outlineLevel="0" collapsed="false">
      <c r="A833" s="9" t="n">
        <v>832</v>
      </c>
      <c r="B833" s="9" t="s">
        <v>50</v>
      </c>
      <c r="C833" s="11" t="s">
        <v>75</v>
      </c>
      <c r="D833" s="9" t="s">
        <v>3438</v>
      </c>
      <c r="E833" s="9" t="s">
        <v>3439</v>
      </c>
      <c r="F833" s="9" t="s">
        <v>3440</v>
      </c>
      <c r="G833" s="9" t="s">
        <v>3279</v>
      </c>
      <c r="H833" s="12" t="s">
        <v>21</v>
      </c>
      <c r="I833" s="9" t="s">
        <v>3441</v>
      </c>
      <c r="J833" s="13"/>
      <c r="K833" s="13"/>
    </row>
    <row r="834" customFormat="false" ht="35.05" hidden="false" customHeight="false" outlineLevel="0" collapsed="false">
      <c r="A834" s="9" t="n">
        <v>833</v>
      </c>
      <c r="B834" s="9" t="s">
        <v>50</v>
      </c>
      <c r="C834" s="11" t="s">
        <v>75</v>
      </c>
      <c r="D834" s="9" t="s">
        <v>3442</v>
      </c>
      <c r="E834" s="9" t="s">
        <v>3443</v>
      </c>
      <c r="F834" s="9" t="s">
        <v>3444</v>
      </c>
      <c r="G834" s="9" t="s">
        <v>2044</v>
      </c>
      <c r="H834" s="14" t="s">
        <v>22</v>
      </c>
      <c r="I834" s="9" t="s">
        <v>3445</v>
      </c>
      <c r="J834" s="13"/>
      <c r="K834" s="13"/>
    </row>
    <row r="835" customFormat="false" ht="57.45" hidden="false" customHeight="false" outlineLevel="0" collapsed="false">
      <c r="A835" s="9" t="n">
        <v>834</v>
      </c>
      <c r="B835" s="9" t="s">
        <v>50</v>
      </c>
      <c r="C835" s="11" t="s">
        <v>75</v>
      </c>
      <c r="D835" s="9" t="s">
        <v>3446</v>
      </c>
      <c r="E835" s="9" t="s">
        <v>3447</v>
      </c>
      <c r="F835" s="9" t="s">
        <v>3448</v>
      </c>
      <c r="G835" s="9" t="s">
        <v>2044</v>
      </c>
      <c r="H835" s="14" t="s">
        <v>22</v>
      </c>
      <c r="I835" s="9" t="s">
        <v>3449</v>
      </c>
      <c r="J835" s="13"/>
      <c r="K835" s="13"/>
    </row>
    <row r="836" customFormat="false" ht="35.05" hidden="false" customHeight="false" outlineLevel="0" collapsed="false">
      <c r="A836" s="9" t="n">
        <v>835</v>
      </c>
      <c r="B836" s="9" t="s">
        <v>50</v>
      </c>
      <c r="C836" s="11" t="s">
        <v>75</v>
      </c>
      <c r="D836" s="9" t="s">
        <v>3450</v>
      </c>
      <c r="E836" s="9" t="s">
        <v>3451</v>
      </c>
      <c r="F836" s="9" t="s">
        <v>3452</v>
      </c>
      <c r="G836" s="9" t="s">
        <v>3453</v>
      </c>
      <c r="H836" s="14" t="s">
        <v>22</v>
      </c>
      <c r="I836" s="9" t="s">
        <v>3454</v>
      </c>
      <c r="J836" s="13"/>
      <c r="K836" s="13"/>
    </row>
    <row r="837" customFormat="false" ht="91" hidden="false" customHeight="false" outlineLevel="0" collapsed="false">
      <c r="A837" s="9" t="n">
        <v>836</v>
      </c>
      <c r="B837" s="9" t="s">
        <v>50</v>
      </c>
      <c r="C837" s="11" t="s">
        <v>75</v>
      </c>
      <c r="D837" s="9" t="s">
        <v>3455</v>
      </c>
      <c r="E837" s="9" t="s">
        <v>3456</v>
      </c>
      <c r="F837" s="9" t="s">
        <v>3457</v>
      </c>
      <c r="G837" s="9" t="s">
        <v>1638</v>
      </c>
      <c r="H837" s="12" t="s">
        <v>21</v>
      </c>
      <c r="I837" s="9" t="s">
        <v>3458</v>
      </c>
      <c r="J837" s="13"/>
      <c r="K837" s="13"/>
    </row>
    <row r="838" customFormat="false" ht="46.25" hidden="false" customHeight="false" outlineLevel="0" collapsed="false">
      <c r="A838" s="9" t="n">
        <v>837</v>
      </c>
      <c r="B838" s="9" t="s">
        <v>50</v>
      </c>
      <c r="C838" s="11" t="s">
        <v>75</v>
      </c>
      <c r="D838" s="9" t="s">
        <v>3459</v>
      </c>
      <c r="E838" s="9" t="s">
        <v>3460</v>
      </c>
      <c r="F838" s="9" t="s">
        <v>3461</v>
      </c>
      <c r="G838" s="9" t="s">
        <v>3313</v>
      </c>
      <c r="H838" s="14" t="s">
        <v>22</v>
      </c>
      <c r="I838" s="9" t="s">
        <v>3462</v>
      </c>
      <c r="J838" s="13"/>
      <c r="K838" s="13"/>
    </row>
    <row r="839" customFormat="false" ht="68.65" hidden="false" customHeight="false" outlineLevel="0" collapsed="false">
      <c r="A839" s="9" t="n">
        <v>838</v>
      </c>
      <c r="B839" s="9" t="s">
        <v>50</v>
      </c>
      <c r="C839" s="11" t="s">
        <v>75</v>
      </c>
      <c r="D839" s="9" t="s">
        <v>3463</v>
      </c>
      <c r="E839" s="9" t="s">
        <v>3464</v>
      </c>
      <c r="F839" s="9" t="s">
        <v>3465</v>
      </c>
      <c r="G839" s="9" t="s">
        <v>317</v>
      </c>
      <c r="H839" s="14" t="s">
        <v>22</v>
      </c>
      <c r="I839" s="9" t="s">
        <v>3466</v>
      </c>
      <c r="J839" s="13"/>
      <c r="K839" s="13"/>
    </row>
    <row r="840" customFormat="false" ht="68.65" hidden="false" customHeight="false" outlineLevel="0" collapsed="false">
      <c r="A840" s="9" t="n">
        <v>839</v>
      </c>
      <c r="B840" s="9" t="s">
        <v>50</v>
      </c>
      <c r="C840" s="11" t="s">
        <v>75</v>
      </c>
      <c r="D840" s="9" t="s">
        <v>3467</v>
      </c>
      <c r="E840" s="9" t="s">
        <v>3468</v>
      </c>
      <c r="F840" s="9" t="s">
        <v>3469</v>
      </c>
      <c r="G840" s="9" t="s">
        <v>3279</v>
      </c>
      <c r="H840" s="12" t="s">
        <v>21</v>
      </c>
      <c r="I840" s="9" t="s">
        <v>3470</v>
      </c>
      <c r="J840" s="13"/>
      <c r="K840" s="13"/>
    </row>
    <row r="841" customFormat="false" ht="35.05" hidden="false" customHeight="false" outlineLevel="0" collapsed="false">
      <c r="A841" s="9" t="n">
        <v>840</v>
      </c>
      <c r="B841" s="9" t="s">
        <v>50</v>
      </c>
      <c r="C841" s="11" t="s">
        <v>75</v>
      </c>
      <c r="D841" s="9" t="s">
        <v>3471</v>
      </c>
      <c r="E841" s="9" t="s">
        <v>3472</v>
      </c>
      <c r="F841" s="9" t="s">
        <v>3473</v>
      </c>
      <c r="G841" s="9" t="s">
        <v>312</v>
      </c>
      <c r="H841" s="14" t="s">
        <v>22</v>
      </c>
      <c r="I841" s="9" t="s">
        <v>3474</v>
      </c>
      <c r="J841" s="13"/>
      <c r="K841" s="13"/>
    </row>
    <row r="842" customFormat="false" ht="35.05" hidden="false" customHeight="false" outlineLevel="0" collapsed="false">
      <c r="A842" s="9" t="n">
        <v>841</v>
      </c>
      <c r="B842" s="9" t="s">
        <v>50</v>
      </c>
      <c r="C842" s="11" t="s">
        <v>75</v>
      </c>
      <c r="D842" s="9" t="s">
        <v>3475</v>
      </c>
      <c r="E842" s="9" t="s">
        <v>3476</v>
      </c>
      <c r="F842" s="9" t="s">
        <v>3477</v>
      </c>
      <c r="G842" s="9" t="s">
        <v>312</v>
      </c>
      <c r="H842" s="15" t="s">
        <v>23</v>
      </c>
      <c r="I842" s="9" t="s">
        <v>3478</v>
      </c>
      <c r="J842" s="13"/>
      <c r="K842" s="13"/>
    </row>
    <row r="843" customFormat="false" ht="57.45" hidden="false" customHeight="false" outlineLevel="0" collapsed="false">
      <c r="A843" s="9" t="n">
        <v>842</v>
      </c>
      <c r="B843" s="9" t="s">
        <v>50</v>
      </c>
      <c r="C843" s="11" t="s">
        <v>75</v>
      </c>
      <c r="D843" s="9" t="s">
        <v>3479</v>
      </c>
      <c r="E843" s="9" t="s">
        <v>3480</v>
      </c>
      <c r="F843" s="9" t="s">
        <v>3481</v>
      </c>
      <c r="G843" s="9" t="s">
        <v>2044</v>
      </c>
      <c r="H843" s="14" t="s">
        <v>22</v>
      </c>
      <c r="I843" s="9" t="s">
        <v>3482</v>
      </c>
      <c r="J843" s="13"/>
      <c r="K843" s="13"/>
    </row>
    <row r="844" customFormat="false" ht="46.25" hidden="false" customHeight="false" outlineLevel="0" collapsed="false">
      <c r="A844" s="9" t="n">
        <v>843</v>
      </c>
      <c r="B844" s="9" t="s">
        <v>50</v>
      </c>
      <c r="C844" s="11" t="s">
        <v>75</v>
      </c>
      <c r="D844" s="9" t="s">
        <v>3483</v>
      </c>
      <c r="E844" s="9" t="s">
        <v>3484</v>
      </c>
      <c r="F844" s="9" t="s">
        <v>3485</v>
      </c>
      <c r="G844" s="9" t="s">
        <v>317</v>
      </c>
      <c r="H844" s="14" t="s">
        <v>22</v>
      </c>
      <c r="I844" s="9" t="s">
        <v>3486</v>
      </c>
      <c r="J844" s="13"/>
      <c r="K844" s="13"/>
    </row>
    <row r="845" customFormat="false" ht="79.85" hidden="false" customHeight="false" outlineLevel="0" collapsed="false">
      <c r="A845" s="9" t="n">
        <v>844</v>
      </c>
      <c r="B845" s="9" t="s">
        <v>50</v>
      </c>
      <c r="C845" s="11" t="s">
        <v>75</v>
      </c>
      <c r="D845" s="9" t="s">
        <v>3487</v>
      </c>
      <c r="E845" s="9" t="s">
        <v>3488</v>
      </c>
      <c r="F845" s="9" t="s">
        <v>3489</v>
      </c>
      <c r="G845" s="9" t="s">
        <v>3220</v>
      </c>
      <c r="H845" s="14" t="s">
        <v>22</v>
      </c>
      <c r="I845" s="9" t="s">
        <v>3490</v>
      </c>
      <c r="J845" s="13"/>
      <c r="K845" s="13"/>
    </row>
    <row r="846" customFormat="false" ht="23.85" hidden="false" customHeight="false" outlineLevel="0" collapsed="false">
      <c r="A846" s="9" t="n">
        <v>845</v>
      </c>
      <c r="B846" s="9" t="s">
        <v>50</v>
      </c>
      <c r="C846" s="11" t="s">
        <v>75</v>
      </c>
      <c r="D846" s="9" t="s">
        <v>3491</v>
      </c>
      <c r="E846" s="9" t="s">
        <v>3492</v>
      </c>
      <c r="F846" s="9" t="s">
        <v>3493</v>
      </c>
      <c r="G846" s="9" t="s">
        <v>317</v>
      </c>
      <c r="H846" s="15" t="s">
        <v>23</v>
      </c>
      <c r="I846" s="9" t="s">
        <v>3494</v>
      </c>
      <c r="J846" s="13"/>
      <c r="K846" s="13"/>
    </row>
    <row r="847" customFormat="false" ht="79.85" hidden="false" customHeight="false" outlineLevel="0" collapsed="false">
      <c r="A847" s="9" t="n">
        <v>846</v>
      </c>
      <c r="B847" s="9" t="s">
        <v>50</v>
      </c>
      <c r="C847" s="11" t="s">
        <v>75</v>
      </c>
      <c r="D847" s="9" t="s">
        <v>3495</v>
      </c>
      <c r="E847" s="9" t="s">
        <v>3496</v>
      </c>
      <c r="F847" s="9" t="s">
        <v>3497</v>
      </c>
      <c r="G847" s="9" t="s">
        <v>3498</v>
      </c>
      <c r="H847" s="14" t="s">
        <v>22</v>
      </c>
      <c r="I847" s="9" t="s">
        <v>3499</v>
      </c>
      <c r="J847" s="13"/>
      <c r="K847" s="13"/>
    </row>
    <row r="848" customFormat="false" ht="91" hidden="false" customHeight="false" outlineLevel="0" collapsed="false">
      <c r="A848" s="9" t="n">
        <v>847</v>
      </c>
      <c r="B848" s="9" t="s">
        <v>50</v>
      </c>
      <c r="C848" s="11" t="s">
        <v>75</v>
      </c>
      <c r="D848" s="9" t="s">
        <v>3500</v>
      </c>
      <c r="E848" s="9" t="s">
        <v>3501</v>
      </c>
      <c r="F848" s="9" t="s">
        <v>3502</v>
      </c>
      <c r="G848" s="9" t="s">
        <v>3279</v>
      </c>
      <c r="H848" s="14" t="s">
        <v>22</v>
      </c>
      <c r="I848" s="9" t="s">
        <v>3503</v>
      </c>
      <c r="J848" s="13"/>
      <c r="K848" s="13"/>
    </row>
    <row r="849" customFormat="false" ht="23.85" hidden="false" customHeight="false" outlineLevel="0" collapsed="false">
      <c r="A849" s="9" t="n">
        <v>848</v>
      </c>
      <c r="B849" s="9" t="s">
        <v>50</v>
      </c>
      <c r="C849" s="11" t="s">
        <v>75</v>
      </c>
      <c r="D849" s="9" t="s">
        <v>3504</v>
      </c>
      <c r="E849" s="9" t="s">
        <v>3505</v>
      </c>
      <c r="F849" s="9" t="s">
        <v>3506</v>
      </c>
      <c r="G849" s="9" t="s">
        <v>1072</v>
      </c>
      <c r="H849" s="14" t="s">
        <v>22</v>
      </c>
      <c r="I849" s="9" t="s">
        <v>3507</v>
      </c>
      <c r="J849" s="13"/>
      <c r="K849" s="13"/>
    </row>
    <row r="850" customFormat="false" ht="35.05" hidden="false" customHeight="false" outlineLevel="0" collapsed="false">
      <c r="A850" s="9" t="n">
        <v>849</v>
      </c>
      <c r="B850" s="9" t="s">
        <v>50</v>
      </c>
      <c r="C850" s="11" t="s">
        <v>75</v>
      </c>
      <c r="D850" s="9" t="s">
        <v>3508</v>
      </c>
      <c r="E850" s="9" t="s">
        <v>3509</v>
      </c>
      <c r="F850" s="9" t="s">
        <v>3510</v>
      </c>
      <c r="G850" s="9" t="s">
        <v>1072</v>
      </c>
      <c r="H850" s="15" t="s">
        <v>23</v>
      </c>
      <c r="I850" s="9" t="s">
        <v>3511</v>
      </c>
      <c r="J850" s="13"/>
      <c r="K850" s="13"/>
    </row>
    <row r="851" customFormat="false" ht="68.65" hidden="false" customHeight="false" outlineLevel="0" collapsed="false">
      <c r="A851" s="9" t="n">
        <v>850</v>
      </c>
      <c r="B851" s="9" t="s">
        <v>50</v>
      </c>
      <c r="C851" s="11" t="s">
        <v>75</v>
      </c>
      <c r="D851" s="9" t="s">
        <v>3512</v>
      </c>
      <c r="E851" s="9" t="s">
        <v>3513</v>
      </c>
      <c r="F851" s="9" t="s">
        <v>3514</v>
      </c>
      <c r="G851" s="9" t="s">
        <v>317</v>
      </c>
      <c r="H851" s="14" t="s">
        <v>22</v>
      </c>
      <c r="I851" s="9" t="s">
        <v>3515</v>
      </c>
      <c r="J851" s="13"/>
      <c r="K851" s="13"/>
    </row>
    <row r="852" customFormat="false" ht="79.85" hidden="false" customHeight="false" outlineLevel="0" collapsed="false">
      <c r="A852" s="9" t="n">
        <v>851</v>
      </c>
      <c r="B852" s="9" t="s">
        <v>50</v>
      </c>
      <c r="C852" s="11" t="s">
        <v>75</v>
      </c>
      <c r="D852" s="9" t="s">
        <v>3516</v>
      </c>
      <c r="E852" s="9" t="s">
        <v>3517</v>
      </c>
      <c r="F852" s="9" t="s">
        <v>3518</v>
      </c>
      <c r="G852" s="9" t="s">
        <v>3352</v>
      </c>
      <c r="H852" s="12" t="s">
        <v>21</v>
      </c>
      <c r="I852" s="9" t="s">
        <v>3519</v>
      </c>
      <c r="J852" s="13"/>
      <c r="K852" s="13"/>
    </row>
    <row r="853" customFormat="false" ht="23.85" hidden="false" customHeight="false" outlineLevel="0" collapsed="false">
      <c r="A853" s="9" t="n">
        <v>852</v>
      </c>
      <c r="B853" s="9" t="s">
        <v>50</v>
      </c>
      <c r="C853" s="11" t="s">
        <v>75</v>
      </c>
      <c r="D853" s="9" t="s">
        <v>3520</v>
      </c>
      <c r="E853" s="9" t="s">
        <v>3521</v>
      </c>
      <c r="F853" s="9" t="s">
        <v>3522</v>
      </c>
      <c r="G853" s="9" t="s">
        <v>312</v>
      </c>
      <c r="H853" s="15" t="s">
        <v>23</v>
      </c>
      <c r="I853" s="9" t="s">
        <v>3523</v>
      </c>
      <c r="J853" s="13"/>
      <c r="K853" s="13"/>
    </row>
    <row r="854" customFormat="false" ht="46.25" hidden="false" customHeight="false" outlineLevel="0" collapsed="false">
      <c r="A854" s="9" t="n">
        <v>853</v>
      </c>
      <c r="B854" s="9" t="s">
        <v>50</v>
      </c>
      <c r="C854" s="11" t="s">
        <v>75</v>
      </c>
      <c r="D854" s="9" t="s">
        <v>3524</v>
      </c>
      <c r="E854" s="9" t="s">
        <v>3525</v>
      </c>
      <c r="F854" s="9" t="s">
        <v>3526</v>
      </c>
      <c r="G854" s="9" t="s">
        <v>1072</v>
      </c>
      <c r="H854" s="15" t="s">
        <v>23</v>
      </c>
      <c r="I854" s="9" t="s">
        <v>3527</v>
      </c>
      <c r="J854" s="13"/>
      <c r="K854" s="13"/>
    </row>
    <row r="855" customFormat="false" ht="46.25" hidden="false" customHeight="false" outlineLevel="0" collapsed="false">
      <c r="A855" s="9" t="n">
        <v>854</v>
      </c>
      <c r="B855" s="9" t="s">
        <v>50</v>
      </c>
      <c r="C855" s="11" t="s">
        <v>75</v>
      </c>
      <c r="D855" s="9" t="s">
        <v>3528</v>
      </c>
      <c r="E855" s="9" t="s">
        <v>3529</v>
      </c>
      <c r="F855" s="9" t="s">
        <v>3530</v>
      </c>
      <c r="G855" s="9" t="s">
        <v>312</v>
      </c>
      <c r="H855" s="15" t="s">
        <v>23</v>
      </c>
      <c r="I855" s="9" t="s">
        <v>3531</v>
      </c>
      <c r="J855" s="13"/>
      <c r="K855" s="13"/>
    </row>
    <row r="856" customFormat="false" ht="57.45" hidden="false" customHeight="false" outlineLevel="0" collapsed="false">
      <c r="A856" s="9" t="n">
        <v>855</v>
      </c>
      <c r="B856" s="9" t="s">
        <v>50</v>
      </c>
      <c r="C856" s="11" t="s">
        <v>75</v>
      </c>
      <c r="D856" s="9" t="s">
        <v>3532</v>
      </c>
      <c r="E856" s="9" t="s">
        <v>3533</v>
      </c>
      <c r="F856" s="9" t="s">
        <v>3534</v>
      </c>
      <c r="G856" s="9" t="s">
        <v>3338</v>
      </c>
      <c r="H856" s="15" t="s">
        <v>23</v>
      </c>
      <c r="I856" s="9" t="s">
        <v>3535</v>
      </c>
      <c r="J856" s="13"/>
      <c r="K856" s="13"/>
    </row>
    <row r="857" customFormat="false" ht="35.05" hidden="false" customHeight="false" outlineLevel="0" collapsed="false">
      <c r="A857" s="9" t="n">
        <v>856</v>
      </c>
      <c r="B857" s="9" t="s">
        <v>50</v>
      </c>
      <c r="C857" s="11" t="s">
        <v>75</v>
      </c>
      <c r="D857" s="9" t="s">
        <v>3536</v>
      </c>
      <c r="E857" s="9" t="s">
        <v>3537</v>
      </c>
      <c r="F857" s="9" t="s">
        <v>3538</v>
      </c>
      <c r="G857" s="9" t="s">
        <v>317</v>
      </c>
      <c r="H857" s="15" t="s">
        <v>23</v>
      </c>
      <c r="I857" s="9" t="s">
        <v>3539</v>
      </c>
      <c r="J857" s="13"/>
      <c r="K857" s="13"/>
    </row>
    <row r="858" customFormat="false" ht="1042.5" hidden="false" customHeight="false" outlineLevel="0" collapsed="false">
      <c r="A858" s="9" t="n">
        <v>857</v>
      </c>
      <c r="B858" s="9" t="s">
        <v>50</v>
      </c>
      <c r="C858" s="11" t="s">
        <v>75</v>
      </c>
      <c r="D858" s="9" t="s">
        <v>3540</v>
      </c>
      <c r="E858" s="9" t="s">
        <v>3541</v>
      </c>
      <c r="F858" s="9" t="s">
        <v>3542</v>
      </c>
      <c r="G858" s="9" t="s">
        <v>1370</v>
      </c>
      <c r="H858" s="12" t="s">
        <v>21</v>
      </c>
      <c r="I858" s="9" t="s">
        <v>3543</v>
      </c>
      <c r="J858" s="13"/>
      <c r="K858" s="13"/>
    </row>
    <row r="859" customFormat="false" ht="46.25" hidden="false" customHeight="false" outlineLevel="0" collapsed="false">
      <c r="A859" s="9" t="n">
        <v>858</v>
      </c>
      <c r="B859" s="9" t="s">
        <v>50</v>
      </c>
      <c r="C859" s="11" t="s">
        <v>75</v>
      </c>
      <c r="D859" s="9" t="s">
        <v>3544</v>
      </c>
      <c r="E859" s="9" t="s">
        <v>3545</v>
      </c>
      <c r="F859" s="9" t="s">
        <v>3546</v>
      </c>
      <c r="G859" s="9" t="s">
        <v>324</v>
      </c>
      <c r="H859" s="14" t="s">
        <v>22</v>
      </c>
      <c r="I859" s="9" t="s">
        <v>3547</v>
      </c>
      <c r="J859" s="13"/>
      <c r="K859" s="13"/>
    </row>
    <row r="860" customFormat="false" ht="46.25" hidden="false" customHeight="false" outlineLevel="0" collapsed="false">
      <c r="A860" s="9" t="n">
        <v>859</v>
      </c>
      <c r="B860" s="9" t="s">
        <v>50</v>
      </c>
      <c r="C860" s="11" t="s">
        <v>75</v>
      </c>
      <c r="D860" s="9" t="s">
        <v>3548</v>
      </c>
      <c r="E860" s="9" t="s">
        <v>3549</v>
      </c>
      <c r="F860" s="9" t="s">
        <v>3550</v>
      </c>
      <c r="G860" s="9" t="s">
        <v>317</v>
      </c>
      <c r="H860" s="15" t="s">
        <v>23</v>
      </c>
      <c r="I860" s="9" t="s">
        <v>3551</v>
      </c>
      <c r="J860" s="13"/>
      <c r="K860" s="13"/>
    </row>
    <row r="861" customFormat="false" ht="35.05" hidden="false" customHeight="false" outlineLevel="0" collapsed="false">
      <c r="A861" s="9" t="n">
        <v>860</v>
      </c>
      <c r="B861" s="9" t="s">
        <v>50</v>
      </c>
      <c r="C861" s="11" t="s">
        <v>75</v>
      </c>
      <c r="D861" s="9" t="s">
        <v>3552</v>
      </c>
      <c r="E861" s="9" t="s">
        <v>3553</v>
      </c>
      <c r="F861" s="9" t="s">
        <v>3554</v>
      </c>
      <c r="G861" s="9" t="s">
        <v>24</v>
      </c>
      <c r="H861" s="14" t="s">
        <v>22</v>
      </c>
      <c r="I861" s="9" t="s">
        <v>3555</v>
      </c>
      <c r="J861" s="13"/>
      <c r="K861" s="13"/>
    </row>
    <row r="862" customFormat="false" ht="46.25" hidden="false" customHeight="false" outlineLevel="0" collapsed="false">
      <c r="A862" s="9" t="n">
        <v>861</v>
      </c>
      <c r="B862" s="9" t="s">
        <v>50</v>
      </c>
      <c r="C862" s="11" t="s">
        <v>75</v>
      </c>
      <c r="D862" s="9" t="s">
        <v>3556</v>
      </c>
      <c r="E862" s="9" t="s">
        <v>3557</v>
      </c>
      <c r="F862" s="9" t="s">
        <v>3558</v>
      </c>
      <c r="G862" s="9" t="s">
        <v>24</v>
      </c>
      <c r="H862" s="14" t="s">
        <v>22</v>
      </c>
      <c r="I862" s="9" t="s">
        <v>3559</v>
      </c>
      <c r="J862" s="13"/>
      <c r="K862" s="13"/>
    </row>
    <row r="863" customFormat="false" ht="35.05" hidden="false" customHeight="false" outlineLevel="0" collapsed="false">
      <c r="A863" s="9" t="n">
        <v>862</v>
      </c>
      <c r="B863" s="9" t="s">
        <v>50</v>
      </c>
      <c r="C863" s="11" t="s">
        <v>75</v>
      </c>
      <c r="D863" s="9" t="s">
        <v>3560</v>
      </c>
      <c r="E863" s="9" t="s">
        <v>3561</v>
      </c>
      <c r="F863" s="9" t="s">
        <v>3562</v>
      </c>
      <c r="G863" s="9" t="s">
        <v>24</v>
      </c>
      <c r="H863" s="14" t="s">
        <v>22</v>
      </c>
      <c r="I863" s="9" t="s">
        <v>3563</v>
      </c>
      <c r="J863" s="13"/>
      <c r="K863" s="13"/>
    </row>
    <row r="864" customFormat="false" ht="23.85" hidden="false" customHeight="false" outlineLevel="0" collapsed="false">
      <c r="A864" s="9" t="n">
        <v>863</v>
      </c>
      <c r="B864" s="9" t="s">
        <v>50</v>
      </c>
      <c r="C864" s="11" t="s">
        <v>75</v>
      </c>
      <c r="D864" s="9" t="s">
        <v>3564</v>
      </c>
      <c r="E864" s="9" t="s">
        <v>3565</v>
      </c>
      <c r="F864" s="9" t="s">
        <v>3566</v>
      </c>
      <c r="G864" s="9" t="s">
        <v>24</v>
      </c>
      <c r="H864" s="14" t="s">
        <v>22</v>
      </c>
      <c r="I864" s="9" t="s">
        <v>3567</v>
      </c>
      <c r="J864" s="13"/>
      <c r="K864" s="13"/>
    </row>
    <row r="865" customFormat="false" ht="23.85" hidden="false" customHeight="false" outlineLevel="0" collapsed="false">
      <c r="A865" s="9" t="n">
        <v>864</v>
      </c>
      <c r="B865" s="9" t="s">
        <v>50</v>
      </c>
      <c r="C865" s="11" t="s">
        <v>75</v>
      </c>
      <c r="D865" s="9" t="s">
        <v>3568</v>
      </c>
      <c r="E865" s="9" t="s">
        <v>3569</v>
      </c>
      <c r="F865" s="9" t="s">
        <v>3570</v>
      </c>
      <c r="G865" s="9" t="s">
        <v>24</v>
      </c>
      <c r="H865" s="14" t="s">
        <v>22</v>
      </c>
      <c r="I865" s="9" t="s">
        <v>3571</v>
      </c>
      <c r="J865" s="13"/>
      <c r="K865" s="13"/>
    </row>
    <row r="866" customFormat="false" ht="23.85" hidden="false" customHeight="false" outlineLevel="0" collapsed="false">
      <c r="A866" s="9" t="n">
        <v>865</v>
      </c>
      <c r="B866" s="9" t="s">
        <v>50</v>
      </c>
      <c r="C866" s="11" t="s">
        <v>75</v>
      </c>
      <c r="D866" s="9" t="s">
        <v>3572</v>
      </c>
      <c r="E866" s="9" t="s">
        <v>3573</v>
      </c>
      <c r="F866" s="9" t="s">
        <v>3574</v>
      </c>
      <c r="G866" s="9" t="s">
        <v>24</v>
      </c>
      <c r="H866" s="14" t="s">
        <v>22</v>
      </c>
      <c r="I866" s="9" t="s">
        <v>3575</v>
      </c>
      <c r="J866" s="13"/>
      <c r="K866" s="13"/>
    </row>
    <row r="867" customFormat="false" ht="35.05" hidden="false" customHeight="false" outlineLevel="0" collapsed="false">
      <c r="A867" s="9" t="n">
        <v>866</v>
      </c>
      <c r="B867" s="9" t="s">
        <v>50</v>
      </c>
      <c r="C867" s="11" t="s">
        <v>75</v>
      </c>
      <c r="D867" s="9" t="s">
        <v>3576</v>
      </c>
      <c r="E867" s="9" t="s">
        <v>3577</v>
      </c>
      <c r="F867" s="9" t="s">
        <v>3578</v>
      </c>
      <c r="G867" s="9" t="s">
        <v>24</v>
      </c>
      <c r="H867" s="14" t="s">
        <v>22</v>
      </c>
      <c r="I867" s="9" t="s">
        <v>3579</v>
      </c>
      <c r="J867" s="13"/>
      <c r="K867" s="13"/>
    </row>
    <row r="868" customFormat="false" ht="23.85" hidden="false" customHeight="false" outlineLevel="0" collapsed="false">
      <c r="A868" s="9" t="n">
        <v>867</v>
      </c>
      <c r="B868" s="9" t="s">
        <v>50</v>
      </c>
      <c r="C868" s="11" t="s">
        <v>75</v>
      </c>
      <c r="D868" s="9" t="s">
        <v>3580</v>
      </c>
      <c r="E868" s="9" t="s">
        <v>358</v>
      </c>
      <c r="F868" s="9" t="s">
        <v>3581</v>
      </c>
      <c r="G868" s="9" t="s">
        <v>24</v>
      </c>
      <c r="H868" s="14" t="s">
        <v>22</v>
      </c>
      <c r="I868" s="9" t="s">
        <v>1985</v>
      </c>
      <c r="J868" s="13"/>
      <c r="K868" s="13"/>
    </row>
    <row r="869" customFormat="false" ht="15" hidden="false" customHeight="false" outlineLevel="0" collapsed="false">
      <c r="A869" s="9" t="n">
        <v>868</v>
      </c>
      <c r="B869" s="9" t="s">
        <v>50</v>
      </c>
      <c r="C869" s="11" t="s">
        <v>75</v>
      </c>
      <c r="D869" s="9" t="s">
        <v>3582</v>
      </c>
      <c r="E869" s="9" t="s">
        <v>362</v>
      </c>
      <c r="F869" s="9" t="s">
        <v>363</v>
      </c>
      <c r="G869" s="9" t="s">
        <v>24</v>
      </c>
      <c r="H869" s="14" t="s">
        <v>22</v>
      </c>
      <c r="I869" s="9" t="s">
        <v>364</v>
      </c>
      <c r="J869" s="13"/>
      <c r="K869" s="13"/>
    </row>
    <row r="870" customFormat="false" ht="15" hidden="false" customHeight="false" outlineLevel="0" collapsed="false">
      <c r="A870" s="9" t="n">
        <v>869</v>
      </c>
      <c r="B870" s="9" t="s">
        <v>50</v>
      </c>
      <c r="C870" s="11" t="s">
        <v>75</v>
      </c>
      <c r="D870" s="9" t="s">
        <v>3583</v>
      </c>
      <c r="E870" s="9" t="s">
        <v>3584</v>
      </c>
      <c r="F870" s="9" t="s">
        <v>3390</v>
      </c>
      <c r="G870" s="9" t="s">
        <v>24</v>
      </c>
      <c r="H870" s="14" t="s">
        <v>22</v>
      </c>
      <c r="I870" s="9" t="s">
        <v>2815</v>
      </c>
      <c r="J870" s="13"/>
      <c r="K870" s="13"/>
    </row>
    <row r="871" customFormat="false" ht="23.85" hidden="false" customHeight="false" outlineLevel="0" collapsed="false">
      <c r="A871" s="9" t="n">
        <v>870</v>
      </c>
      <c r="B871" s="9" t="s">
        <v>50</v>
      </c>
      <c r="C871" s="11" t="s">
        <v>75</v>
      </c>
      <c r="D871" s="9" t="s">
        <v>3585</v>
      </c>
      <c r="E871" s="9" t="s">
        <v>3586</v>
      </c>
      <c r="F871" s="9" t="s">
        <v>3587</v>
      </c>
      <c r="G871" s="9" t="s">
        <v>24</v>
      </c>
      <c r="H871" s="15" t="s">
        <v>23</v>
      </c>
      <c r="I871" s="9" t="s">
        <v>3588</v>
      </c>
      <c r="J871" s="13"/>
      <c r="K871" s="13"/>
    </row>
    <row r="872" customFormat="false" ht="15" hidden="false" customHeight="false" outlineLevel="0" collapsed="false">
      <c r="A872" s="9" t="n">
        <v>871</v>
      </c>
      <c r="B872" s="9" t="s">
        <v>50</v>
      </c>
      <c r="C872" s="11" t="s">
        <v>75</v>
      </c>
      <c r="D872" s="9" t="s">
        <v>3589</v>
      </c>
      <c r="E872" s="9" t="s">
        <v>3590</v>
      </c>
      <c r="F872" s="9" t="s">
        <v>3591</v>
      </c>
      <c r="G872" s="9" t="s">
        <v>24</v>
      </c>
      <c r="H872" s="15" t="s">
        <v>23</v>
      </c>
      <c r="I872" s="9" t="s">
        <v>3592</v>
      </c>
      <c r="J872" s="13"/>
      <c r="K872" s="13"/>
    </row>
    <row r="873" customFormat="false" ht="23.85" hidden="false" customHeight="false" outlineLevel="0" collapsed="false">
      <c r="A873" s="9" t="n">
        <v>872</v>
      </c>
      <c r="B873" s="9" t="s">
        <v>50</v>
      </c>
      <c r="C873" s="11" t="s">
        <v>75</v>
      </c>
      <c r="D873" s="9" t="s">
        <v>3593</v>
      </c>
      <c r="E873" s="9" t="s">
        <v>3594</v>
      </c>
      <c r="F873" s="9" t="s">
        <v>3595</v>
      </c>
      <c r="G873" s="9" t="s">
        <v>24</v>
      </c>
      <c r="H873" s="15" t="s">
        <v>23</v>
      </c>
      <c r="I873" s="9" t="s">
        <v>3596</v>
      </c>
      <c r="J873" s="13"/>
      <c r="K873" s="13"/>
    </row>
    <row r="874" customFormat="false" ht="15" hidden="false" customHeight="false" outlineLevel="0" collapsed="false">
      <c r="A874" s="9" t="n">
        <v>873</v>
      </c>
      <c r="B874" s="9" t="s">
        <v>50</v>
      </c>
      <c r="C874" s="11" t="s">
        <v>75</v>
      </c>
      <c r="D874" s="9" t="s">
        <v>3597</v>
      </c>
      <c r="E874" s="9" t="s">
        <v>2817</v>
      </c>
      <c r="F874" s="9" t="s">
        <v>3598</v>
      </c>
      <c r="G874" s="9" t="s">
        <v>24</v>
      </c>
      <c r="H874" s="15" t="s">
        <v>23</v>
      </c>
      <c r="I874" s="9" t="s">
        <v>3599</v>
      </c>
      <c r="J874" s="13"/>
      <c r="K874" s="13"/>
    </row>
    <row r="875" customFormat="false" ht="23.85" hidden="false" customHeight="false" outlineLevel="0" collapsed="false">
      <c r="A875" s="9" t="n">
        <v>874</v>
      </c>
      <c r="B875" s="9" t="s">
        <v>50</v>
      </c>
      <c r="C875" s="11" t="s">
        <v>75</v>
      </c>
      <c r="D875" s="9" t="s">
        <v>3600</v>
      </c>
      <c r="E875" s="9" t="s">
        <v>3601</v>
      </c>
      <c r="F875" s="9" t="s">
        <v>2842</v>
      </c>
      <c r="G875" s="9" t="s">
        <v>24</v>
      </c>
      <c r="H875" s="15" t="s">
        <v>23</v>
      </c>
      <c r="I875" s="9" t="s">
        <v>2843</v>
      </c>
      <c r="J875" s="13"/>
      <c r="K875" s="13"/>
    </row>
    <row r="876" customFormat="false" ht="23.85" hidden="false" customHeight="false" outlineLevel="0" collapsed="false">
      <c r="A876" s="9" t="n">
        <v>875</v>
      </c>
      <c r="B876" s="9" t="s">
        <v>50</v>
      </c>
      <c r="C876" s="11" t="s">
        <v>75</v>
      </c>
      <c r="D876" s="9" t="s">
        <v>3602</v>
      </c>
      <c r="E876" s="9" t="s">
        <v>3603</v>
      </c>
      <c r="F876" s="9" t="s">
        <v>2845</v>
      </c>
      <c r="G876" s="9" t="s">
        <v>24</v>
      </c>
      <c r="H876" s="15" t="s">
        <v>23</v>
      </c>
      <c r="I876" s="9" t="s">
        <v>2846</v>
      </c>
      <c r="J876" s="13"/>
      <c r="K876" s="13"/>
    </row>
    <row r="877" customFormat="false" ht="15" hidden="false" customHeight="false" outlineLevel="0" collapsed="false">
      <c r="A877" s="9" t="n">
        <v>876</v>
      </c>
      <c r="B877" s="9" t="s">
        <v>50</v>
      </c>
      <c r="C877" s="11" t="s">
        <v>75</v>
      </c>
      <c r="D877" s="9" t="s">
        <v>3604</v>
      </c>
      <c r="E877" s="9" t="s">
        <v>3605</v>
      </c>
      <c r="F877" s="9" t="s">
        <v>448</v>
      </c>
      <c r="G877" s="9" t="s">
        <v>24</v>
      </c>
      <c r="H877" s="15" t="s">
        <v>23</v>
      </c>
      <c r="I877" s="9" t="s">
        <v>2853</v>
      </c>
      <c r="J877" s="13"/>
      <c r="K877" s="13"/>
    </row>
    <row r="878" customFormat="false" ht="113.4" hidden="false" customHeight="false" outlineLevel="0" collapsed="false">
      <c r="A878" s="9" t="n">
        <v>877</v>
      </c>
      <c r="B878" s="9" t="s">
        <v>50</v>
      </c>
      <c r="C878" s="11" t="s">
        <v>77</v>
      </c>
      <c r="D878" s="9" t="s">
        <v>3606</v>
      </c>
      <c r="E878" s="9" t="s">
        <v>3607</v>
      </c>
      <c r="F878" s="9" t="s">
        <v>3608</v>
      </c>
      <c r="G878" s="9" t="s">
        <v>3279</v>
      </c>
      <c r="H878" s="12" t="s">
        <v>21</v>
      </c>
      <c r="I878" s="9" t="s">
        <v>3609</v>
      </c>
      <c r="J878" s="13"/>
      <c r="K878" s="13"/>
    </row>
    <row r="879" customFormat="false" ht="46.25" hidden="false" customHeight="false" outlineLevel="0" collapsed="false">
      <c r="A879" s="9" t="n">
        <v>878</v>
      </c>
      <c r="B879" s="9" t="s">
        <v>50</v>
      </c>
      <c r="C879" s="11" t="s">
        <v>77</v>
      </c>
      <c r="D879" s="9" t="s">
        <v>3610</v>
      </c>
      <c r="E879" s="9" t="s">
        <v>3611</v>
      </c>
      <c r="F879" s="9" t="s">
        <v>3612</v>
      </c>
      <c r="G879" s="9" t="s">
        <v>308</v>
      </c>
      <c r="H879" s="14" t="s">
        <v>22</v>
      </c>
      <c r="I879" s="9" t="s">
        <v>3613</v>
      </c>
      <c r="J879" s="13"/>
      <c r="K879" s="13"/>
    </row>
    <row r="880" customFormat="false" ht="46.25" hidden="false" customHeight="false" outlineLevel="0" collapsed="false">
      <c r="A880" s="9" t="n">
        <v>879</v>
      </c>
      <c r="B880" s="9" t="s">
        <v>50</v>
      </c>
      <c r="C880" s="11" t="s">
        <v>77</v>
      </c>
      <c r="D880" s="9" t="s">
        <v>3614</v>
      </c>
      <c r="E880" s="9" t="s">
        <v>3615</v>
      </c>
      <c r="F880" s="9" t="s">
        <v>3616</v>
      </c>
      <c r="G880" s="9" t="s">
        <v>1072</v>
      </c>
      <c r="H880" s="15" t="s">
        <v>23</v>
      </c>
      <c r="I880" s="9" t="s">
        <v>3617</v>
      </c>
      <c r="J880" s="13"/>
      <c r="K880" s="13"/>
    </row>
    <row r="881" customFormat="false" ht="91" hidden="false" customHeight="false" outlineLevel="0" collapsed="false">
      <c r="A881" s="9" t="n">
        <v>880</v>
      </c>
      <c r="B881" s="9" t="s">
        <v>50</v>
      </c>
      <c r="C881" s="11" t="s">
        <v>77</v>
      </c>
      <c r="D881" s="9" t="s">
        <v>3618</v>
      </c>
      <c r="E881" s="9" t="s">
        <v>3619</v>
      </c>
      <c r="F881" s="9" t="s">
        <v>3620</v>
      </c>
      <c r="G881" s="9" t="s">
        <v>3498</v>
      </c>
      <c r="H881" s="14" t="s">
        <v>22</v>
      </c>
      <c r="I881" s="9" t="s">
        <v>3621</v>
      </c>
      <c r="J881" s="13"/>
      <c r="K881" s="13"/>
    </row>
    <row r="882" customFormat="false" ht="79.85" hidden="false" customHeight="false" outlineLevel="0" collapsed="false">
      <c r="A882" s="9" t="n">
        <v>881</v>
      </c>
      <c r="B882" s="9" t="s">
        <v>50</v>
      </c>
      <c r="C882" s="11" t="s">
        <v>77</v>
      </c>
      <c r="D882" s="9" t="s">
        <v>3622</v>
      </c>
      <c r="E882" s="9" t="s">
        <v>3623</v>
      </c>
      <c r="F882" s="9" t="s">
        <v>3624</v>
      </c>
      <c r="G882" s="9" t="s">
        <v>317</v>
      </c>
      <c r="H882" s="12" t="s">
        <v>21</v>
      </c>
      <c r="I882" s="9" t="s">
        <v>3625</v>
      </c>
      <c r="J882" s="13"/>
      <c r="K882" s="13"/>
    </row>
    <row r="883" customFormat="false" ht="46.25" hidden="false" customHeight="false" outlineLevel="0" collapsed="false">
      <c r="A883" s="9" t="n">
        <v>882</v>
      </c>
      <c r="B883" s="9" t="s">
        <v>50</v>
      </c>
      <c r="C883" s="11" t="s">
        <v>77</v>
      </c>
      <c r="D883" s="9" t="s">
        <v>3626</v>
      </c>
      <c r="E883" s="9" t="s">
        <v>3627</v>
      </c>
      <c r="F883" s="9" t="s">
        <v>3628</v>
      </c>
      <c r="G883" s="9" t="s">
        <v>1072</v>
      </c>
      <c r="H883" s="14" t="s">
        <v>22</v>
      </c>
      <c r="I883" s="9" t="s">
        <v>3629</v>
      </c>
      <c r="J883" s="13"/>
      <c r="K883" s="13"/>
    </row>
    <row r="884" customFormat="false" ht="79.85" hidden="false" customHeight="false" outlineLevel="0" collapsed="false">
      <c r="A884" s="9" t="n">
        <v>883</v>
      </c>
      <c r="B884" s="9" t="s">
        <v>50</v>
      </c>
      <c r="C884" s="11" t="s">
        <v>77</v>
      </c>
      <c r="D884" s="9" t="s">
        <v>3630</v>
      </c>
      <c r="E884" s="9" t="s">
        <v>3631</v>
      </c>
      <c r="F884" s="9" t="s">
        <v>3632</v>
      </c>
      <c r="G884" s="9" t="s">
        <v>317</v>
      </c>
      <c r="H884" s="14" t="s">
        <v>22</v>
      </c>
      <c r="I884" s="9" t="s">
        <v>3633</v>
      </c>
      <c r="J884" s="13"/>
      <c r="K884" s="13"/>
    </row>
    <row r="885" customFormat="false" ht="68.65" hidden="false" customHeight="false" outlineLevel="0" collapsed="false">
      <c r="A885" s="9" t="n">
        <v>884</v>
      </c>
      <c r="B885" s="9" t="s">
        <v>50</v>
      </c>
      <c r="C885" s="11" t="s">
        <v>77</v>
      </c>
      <c r="D885" s="9" t="s">
        <v>3634</v>
      </c>
      <c r="E885" s="9" t="s">
        <v>3635</v>
      </c>
      <c r="F885" s="9" t="s">
        <v>3636</v>
      </c>
      <c r="G885" s="9" t="s">
        <v>312</v>
      </c>
      <c r="H885" s="14" t="s">
        <v>22</v>
      </c>
      <c r="I885" s="9" t="s">
        <v>3637</v>
      </c>
      <c r="J885" s="13"/>
      <c r="K885" s="13"/>
    </row>
    <row r="886" customFormat="false" ht="79.85" hidden="false" customHeight="false" outlineLevel="0" collapsed="false">
      <c r="A886" s="9" t="n">
        <v>885</v>
      </c>
      <c r="B886" s="9" t="s">
        <v>50</v>
      </c>
      <c r="C886" s="11" t="s">
        <v>77</v>
      </c>
      <c r="D886" s="9" t="s">
        <v>3638</v>
      </c>
      <c r="E886" s="9" t="s">
        <v>3639</v>
      </c>
      <c r="F886" s="9" t="s">
        <v>3640</v>
      </c>
      <c r="G886" s="9" t="s">
        <v>2044</v>
      </c>
      <c r="H886" s="12" t="s">
        <v>21</v>
      </c>
      <c r="I886" s="9" t="s">
        <v>3641</v>
      </c>
      <c r="J886" s="13"/>
      <c r="K886" s="13"/>
    </row>
    <row r="887" customFormat="false" ht="46.25" hidden="false" customHeight="false" outlineLevel="0" collapsed="false">
      <c r="A887" s="9" t="n">
        <v>886</v>
      </c>
      <c r="B887" s="9" t="s">
        <v>50</v>
      </c>
      <c r="C887" s="11" t="s">
        <v>77</v>
      </c>
      <c r="D887" s="9" t="s">
        <v>3642</v>
      </c>
      <c r="E887" s="9" t="s">
        <v>3643</v>
      </c>
      <c r="F887" s="9" t="s">
        <v>3644</v>
      </c>
      <c r="G887" s="9" t="s">
        <v>312</v>
      </c>
      <c r="H887" s="15" t="s">
        <v>23</v>
      </c>
      <c r="I887" s="9" t="s">
        <v>3645</v>
      </c>
      <c r="J887" s="13"/>
      <c r="K887" s="13"/>
    </row>
    <row r="888" customFormat="false" ht="23.85" hidden="false" customHeight="false" outlineLevel="0" collapsed="false">
      <c r="A888" s="9" t="n">
        <v>887</v>
      </c>
      <c r="B888" s="9" t="s">
        <v>50</v>
      </c>
      <c r="C888" s="11" t="s">
        <v>77</v>
      </c>
      <c r="D888" s="9" t="s">
        <v>3646</v>
      </c>
      <c r="E888" s="9" t="s">
        <v>3647</v>
      </c>
      <c r="F888" s="9" t="s">
        <v>3648</v>
      </c>
      <c r="G888" s="9" t="s">
        <v>312</v>
      </c>
      <c r="H888" s="15" t="s">
        <v>23</v>
      </c>
      <c r="I888" s="9" t="s">
        <v>3649</v>
      </c>
      <c r="J888" s="13"/>
      <c r="K888" s="13"/>
    </row>
    <row r="889" customFormat="false" ht="46.25" hidden="false" customHeight="false" outlineLevel="0" collapsed="false">
      <c r="A889" s="9" t="n">
        <v>888</v>
      </c>
      <c r="B889" s="9" t="s">
        <v>50</v>
      </c>
      <c r="C889" s="11" t="s">
        <v>77</v>
      </c>
      <c r="D889" s="9" t="s">
        <v>3650</v>
      </c>
      <c r="E889" s="9" t="s">
        <v>3651</v>
      </c>
      <c r="F889" s="9" t="s">
        <v>3652</v>
      </c>
      <c r="G889" s="9" t="s">
        <v>312</v>
      </c>
      <c r="H889" s="14" t="s">
        <v>22</v>
      </c>
      <c r="I889" s="9" t="s">
        <v>3653</v>
      </c>
      <c r="J889" s="13"/>
      <c r="K889" s="13"/>
    </row>
    <row r="890" customFormat="false" ht="57.45" hidden="false" customHeight="false" outlineLevel="0" collapsed="false">
      <c r="A890" s="9" t="n">
        <v>889</v>
      </c>
      <c r="B890" s="9" t="s">
        <v>50</v>
      </c>
      <c r="C890" s="11" t="s">
        <v>77</v>
      </c>
      <c r="D890" s="9" t="s">
        <v>3654</v>
      </c>
      <c r="E890" s="9" t="s">
        <v>3655</v>
      </c>
      <c r="F890" s="9" t="s">
        <v>3656</v>
      </c>
      <c r="G890" s="9" t="s">
        <v>312</v>
      </c>
      <c r="H890" s="14" t="s">
        <v>22</v>
      </c>
      <c r="I890" s="9" t="s">
        <v>3657</v>
      </c>
      <c r="J890" s="13"/>
      <c r="K890" s="13"/>
    </row>
    <row r="891" customFormat="false" ht="35.05" hidden="false" customHeight="false" outlineLevel="0" collapsed="false">
      <c r="A891" s="9" t="n">
        <v>890</v>
      </c>
      <c r="B891" s="9" t="s">
        <v>50</v>
      </c>
      <c r="C891" s="11" t="s">
        <v>77</v>
      </c>
      <c r="D891" s="9" t="s">
        <v>3658</v>
      </c>
      <c r="E891" s="9" t="s">
        <v>3659</v>
      </c>
      <c r="F891" s="9" t="s">
        <v>3660</v>
      </c>
      <c r="G891" s="9" t="s">
        <v>312</v>
      </c>
      <c r="H891" s="15" t="s">
        <v>23</v>
      </c>
      <c r="I891" s="9" t="s">
        <v>3661</v>
      </c>
      <c r="J891" s="13"/>
      <c r="K891" s="13"/>
    </row>
    <row r="892" customFormat="false" ht="57.45" hidden="false" customHeight="false" outlineLevel="0" collapsed="false">
      <c r="A892" s="9" t="n">
        <v>891</v>
      </c>
      <c r="B892" s="9" t="s">
        <v>50</v>
      </c>
      <c r="C892" s="11" t="s">
        <v>77</v>
      </c>
      <c r="D892" s="9" t="s">
        <v>3662</v>
      </c>
      <c r="E892" s="9" t="s">
        <v>3663</v>
      </c>
      <c r="F892" s="9" t="s">
        <v>3664</v>
      </c>
      <c r="G892" s="9" t="s">
        <v>1072</v>
      </c>
      <c r="H892" s="14" t="s">
        <v>22</v>
      </c>
      <c r="I892" s="9" t="s">
        <v>3665</v>
      </c>
      <c r="J892" s="13"/>
      <c r="K892" s="13"/>
    </row>
    <row r="893" customFormat="false" ht="57.45" hidden="false" customHeight="false" outlineLevel="0" collapsed="false">
      <c r="A893" s="9" t="n">
        <v>892</v>
      </c>
      <c r="B893" s="9" t="s">
        <v>50</v>
      </c>
      <c r="C893" s="11" t="s">
        <v>77</v>
      </c>
      <c r="D893" s="9" t="s">
        <v>3666</v>
      </c>
      <c r="E893" s="9" t="s">
        <v>3667</v>
      </c>
      <c r="F893" s="9" t="s">
        <v>3668</v>
      </c>
      <c r="G893" s="9" t="s">
        <v>312</v>
      </c>
      <c r="H893" s="14" t="s">
        <v>22</v>
      </c>
      <c r="I893" s="9" t="s">
        <v>3669</v>
      </c>
      <c r="J893" s="13"/>
      <c r="K893" s="13"/>
    </row>
    <row r="894" customFormat="false" ht="57.45" hidden="false" customHeight="false" outlineLevel="0" collapsed="false">
      <c r="A894" s="9" t="n">
        <v>893</v>
      </c>
      <c r="B894" s="9" t="s">
        <v>50</v>
      </c>
      <c r="C894" s="11" t="s">
        <v>77</v>
      </c>
      <c r="D894" s="9" t="s">
        <v>3670</v>
      </c>
      <c r="E894" s="9" t="s">
        <v>3671</v>
      </c>
      <c r="F894" s="9" t="s">
        <v>3672</v>
      </c>
      <c r="G894" s="9" t="s">
        <v>1638</v>
      </c>
      <c r="H894" s="12" t="s">
        <v>21</v>
      </c>
      <c r="I894" s="9" t="s">
        <v>3673</v>
      </c>
      <c r="J894" s="13"/>
      <c r="K894" s="13"/>
    </row>
    <row r="895" customFormat="false" ht="23.85" hidden="false" customHeight="false" outlineLevel="0" collapsed="false">
      <c r="A895" s="9" t="n">
        <v>894</v>
      </c>
      <c r="B895" s="9" t="s">
        <v>50</v>
      </c>
      <c r="C895" s="11" t="s">
        <v>77</v>
      </c>
      <c r="D895" s="9" t="s">
        <v>3674</v>
      </c>
      <c r="E895" s="9" t="s">
        <v>3675</v>
      </c>
      <c r="F895" s="9" t="s">
        <v>3676</v>
      </c>
      <c r="G895" s="9" t="s">
        <v>312</v>
      </c>
      <c r="H895" s="15" t="s">
        <v>23</v>
      </c>
      <c r="I895" s="9" t="s">
        <v>3677</v>
      </c>
      <c r="J895" s="13"/>
      <c r="K895" s="13"/>
    </row>
    <row r="896" customFormat="false" ht="91" hidden="false" customHeight="false" outlineLevel="0" collapsed="false">
      <c r="A896" s="9" t="n">
        <v>895</v>
      </c>
      <c r="B896" s="9" t="s">
        <v>50</v>
      </c>
      <c r="C896" s="11" t="s">
        <v>77</v>
      </c>
      <c r="D896" s="9" t="s">
        <v>3678</v>
      </c>
      <c r="E896" s="9" t="s">
        <v>3679</v>
      </c>
      <c r="F896" s="9" t="s">
        <v>3680</v>
      </c>
      <c r="G896" s="9" t="s">
        <v>2044</v>
      </c>
      <c r="H896" s="14" t="s">
        <v>22</v>
      </c>
      <c r="I896" s="9" t="s">
        <v>3681</v>
      </c>
      <c r="J896" s="13"/>
      <c r="K896" s="13"/>
    </row>
    <row r="897" customFormat="false" ht="46.25" hidden="false" customHeight="false" outlineLevel="0" collapsed="false">
      <c r="A897" s="9" t="n">
        <v>896</v>
      </c>
      <c r="B897" s="9" t="s">
        <v>50</v>
      </c>
      <c r="C897" s="11" t="s">
        <v>77</v>
      </c>
      <c r="D897" s="9" t="s">
        <v>3682</v>
      </c>
      <c r="E897" s="9" t="s">
        <v>3683</v>
      </c>
      <c r="F897" s="9" t="s">
        <v>3684</v>
      </c>
      <c r="G897" s="9" t="s">
        <v>312</v>
      </c>
      <c r="H897" s="14" t="s">
        <v>22</v>
      </c>
      <c r="I897" s="9" t="s">
        <v>3685</v>
      </c>
      <c r="J897" s="13"/>
      <c r="K897" s="13"/>
    </row>
    <row r="898" customFormat="false" ht="23.85" hidden="false" customHeight="false" outlineLevel="0" collapsed="false">
      <c r="A898" s="9" t="n">
        <v>897</v>
      </c>
      <c r="B898" s="9" t="s">
        <v>50</v>
      </c>
      <c r="C898" s="11" t="s">
        <v>77</v>
      </c>
      <c r="D898" s="9" t="s">
        <v>3686</v>
      </c>
      <c r="E898" s="9" t="s">
        <v>3687</v>
      </c>
      <c r="F898" s="9" t="s">
        <v>3688</v>
      </c>
      <c r="G898" s="9" t="s">
        <v>312</v>
      </c>
      <c r="H898" s="15" t="s">
        <v>23</v>
      </c>
      <c r="I898" s="9" t="s">
        <v>3689</v>
      </c>
      <c r="J898" s="13"/>
      <c r="K898" s="13"/>
    </row>
    <row r="899" customFormat="false" ht="46.25" hidden="false" customHeight="false" outlineLevel="0" collapsed="false">
      <c r="A899" s="9" t="n">
        <v>898</v>
      </c>
      <c r="B899" s="9" t="s">
        <v>50</v>
      </c>
      <c r="C899" s="11" t="s">
        <v>77</v>
      </c>
      <c r="D899" s="9" t="s">
        <v>3690</v>
      </c>
      <c r="E899" s="9" t="s">
        <v>3691</v>
      </c>
      <c r="F899" s="9" t="s">
        <v>3692</v>
      </c>
      <c r="G899" s="9" t="s">
        <v>1072</v>
      </c>
      <c r="H899" s="15" t="s">
        <v>23</v>
      </c>
      <c r="I899" s="9" t="s">
        <v>3693</v>
      </c>
      <c r="J899" s="13"/>
      <c r="K899" s="13"/>
    </row>
    <row r="900" customFormat="false" ht="23.85" hidden="false" customHeight="false" outlineLevel="0" collapsed="false">
      <c r="A900" s="9" t="n">
        <v>899</v>
      </c>
      <c r="B900" s="9" t="s">
        <v>50</v>
      </c>
      <c r="C900" s="11" t="s">
        <v>77</v>
      </c>
      <c r="D900" s="9" t="s">
        <v>3694</v>
      </c>
      <c r="E900" s="9" t="s">
        <v>3695</v>
      </c>
      <c r="F900" s="9" t="s">
        <v>3696</v>
      </c>
      <c r="G900" s="9" t="s">
        <v>312</v>
      </c>
      <c r="H900" s="15" t="s">
        <v>23</v>
      </c>
      <c r="I900" s="9" t="s">
        <v>3697</v>
      </c>
      <c r="J900" s="13"/>
      <c r="K900" s="13"/>
    </row>
    <row r="901" customFormat="false" ht="57.45" hidden="false" customHeight="false" outlineLevel="0" collapsed="false">
      <c r="A901" s="9" t="n">
        <v>900</v>
      </c>
      <c r="B901" s="9" t="s">
        <v>50</v>
      </c>
      <c r="C901" s="11" t="s">
        <v>77</v>
      </c>
      <c r="D901" s="9" t="s">
        <v>3698</v>
      </c>
      <c r="E901" s="9" t="s">
        <v>3699</v>
      </c>
      <c r="F901" s="9" t="s">
        <v>3700</v>
      </c>
      <c r="G901" s="9" t="s">
        <v>3701</v>
      </c>
      <c r="H901" s="14" t="s">
        <v>22</v>
      </c>
      <c r="I901" s="9" t="s">
        <v>3702</v>
      </c>
      <c r="J901" s="13"/>
      <c r="K901" s="13"/>
    </row>
    <row r="902" customFormat="false" ht="79.85" hidden="false" customHeight="false" outlineLevel="0" collapsed="false">
      <c r="A902" s="9" t="n">
        <v>901</v>
      </c>
      <c r="B902" s="9" t="s">
        <v>50</v>
      </c>
      <c r="C902" s="11" t="s">
        <v>77</v>
      </c>
      <c r="D902" s="9" t="s">
        <v>3703</v>
      </c>
      <c r="E902" s="9" t="s">
        <v>3704</v>
      </c>
      <c r="F902" s="9" t="s">
        <v>3705</v>
      </c>
      <c r="G902" s="9" t="s">
        <v>1072</v>
      </c>
      <c r="H902" s="14" t="s">
        <v>22</v>
      </c>
      <c r="I902" s="9" t="s">
        <v>3706</v>
      </c>
      <c r="J902" s="13"/>
      <c r="K902" s="13"/>
    </row>
    <row r="903" customFormat="false" ht="46.25" hidden="false" customHeight="false" outlineLevel="0" collapsed="false">
      <c r="A903" s="9" t="n">
        <v>902</v>
      </c>
      <c r="B903" s="9" t="s">
        <v>50</v>
      </c>
      <c r="C903" s="11" t="s">
        <v>77</v>
      </c>
      <c r="D903" s="9" t="s">
        <v>3707</v>
      </c>
      <c r="E903" s="9" t="s">
        <v>3708</v>
      </c>
      <c r="F903" s="9" t="s">
        <v>3709</v>
      </c>
      <c r="G903" s="9" t="s">
        <v>312</v>
      </c>
      <c r="H903" s="14" t="s">
        <v>22</v>
      </c>
      <c r="I903" s="9" t="s">
        <v>3710</v>
      </c>
      <c r="J903" s="13"/>
      <c r="K903" s="13"/>
    </row>
    <row r="904" customFormat="false" ht="68.65" hidden="false" customHeight="false" outlineLevel="0" collapsed="false">
      <c r="A904" s="9" t="n">
        <v>903</v>
      </c>
      <c r="B904" s="9" t="s">
        <v>50</v>
      </c>
      <c r="C904" s="11" t="s">
        <v>77</v>
      </c>
      <c r="D904" s="9" t="s">
        <v>3711</v>
      </c>
      <c r="E904" s="9" t="s">
        <v>3712</v>
      </c>
      <c r="F904" s="9" t="s">
        <v>3713</v>
      </c>
      <c r="G904" s="9" t="s">
        <v>317</v>
      </c>
      <c r="H904" s="14" t="s">
        <v>22</v>
      </c>
      <c r="I904" s="9" t="s">
        <v>3714</v>
      </c>
      <c r="J904" s="13"/>
      <c r="K904" s="13"/>
    </row>
    <row r="905" customFormat="false" ht="46.25" hidden="false" customHeight="false" outlineLevel="0" collapsed="false">
      <c r="A905" s="9" t="n">
        <v>904</v>
      </c>
      <c r="B905" s="9" t="s">
        <v>50</v>
      </c>
      <c r="C905" s="11" t="s">
        <v>77</v>
      </c>
      <c r="D905" s="9" t="s">
        <v>3715</v>
      </c>
      <c r="E905" s="9" t="s">
        <v>3716</v>
      </c>
      <c r="F905" s="9" t="s">
        <v>3717</v>
      </c>
      <c r="G905" s="9" t="s">
        <v>2044</v>
      </c>
      <c r="H905" s="14" t="s">
        <v>22</v>
      </c>
      <c r="I905" s="9" t="s">
        <v>3718</v>
      </c>
      <c r="J905" s="13"/>
      <c r="K905" s="13"/>
    </row>
    <row r="906" customFormat="false" ht="46.25" hidden="false" customHeight="false" outlineLevel="0" collapsed="false">
      <c r="A906" s="9" t="n">
        <v>905</v>
      </c>
      <c r="B906" s="9" t="s">
        <v>50</v>
      </c>
      <c r="C906" s="11" t="s">
        <v>77</v>
      </c>
      <c r="D906" s="9" t="s">
        <v>3719</v>
      </c>
      <c r="E906" s="9" t="s">
        <v>3720</v>
      </c>
      <c r="F906" s="9" t="s">
        <v>3721</v>
      </c>
      <c r="G906" s="9" t="s">
        <v>1421</v>
      </c>
      <c r="H906" s="15" t="s">
        <v>23</v>
      </c>
      <c r="I906" s="9" t="s">
        <v>3722</v>
      </c>
      <c r="J906" s="13"/>
      <c r="K906" s="13"/>
    </row>
    <row r="907" customFormat="false" ht="57.45" hidden="false" customHeight="false" outlineLevel="0" collapsed="false">
      <c r="A907" s="9" t="n">
        <v>906</v>
      </c>
      <c r="B907" s="9" t="s">
        <v>50</v>
      </c>
      <c r="C907" s="11" t="s">
        <v>77</v>
      </c>
      <c r="D907" s="9" t="s">
        <v>3723</v>
      </c>
      <c r="E907" s="9" t="s">
        <v>3724</v>
      </c>
      <c r="F907" s="9" t="s">
        <v>3725</v>
      </c>
      <c r="G907" s="9" t="s">
        <v>3726</v>
      </c>
      <c r="H907" s="14" t="s">
        <v>22</v>
      </c>
      <c r="I907" s="9" t="s">
        <v>3727</v>
      </c>
      <c r="J907" s="13"/>
      <c r="K907" s="13"/>
    </row>
    <row r="908" customFormat="false" ht="57.45" hidden="false" customHeight="false" outlineLevel="0" collapsed="false">
      <c r="A908" s="9" t="n">
        <v>907</v>
      </c>
      <c r="B908" s="9" t="s">
        <v>50</v>
      </c>
      <c r="C908" s="11" t="s">
        <v>77</v>
      </c>
      <c r="D908" s="9" t="s">
        <v>3728</v>
      </c>
      <c r="E908" s="9" t="s">
        <v>3729</v>
      </c>
      <c r="F908" s="9" t="s">
        <v>3730</v>
      </c>
      <c r="G908" s="9" t="s">
        <v>1072</v>
      </c>
      <c r="H908" s="14" t="s">
        <v>22</v>
      </c>
      <c r="I908" s="9" t="s">
        <v>3731</v>
      </c>
      <c r="J908" s="13"/>
      <c r="K908" s="13"/>
    </row>
    <row r="909" customFormat="false" ht="46.25" hidden="false" customHeight="false" outlineLevel="0" collapsed="false">
      <c r="A909" s="9" t="n">
        <v>908</v>
      </c>
      <c r="B909" s="9" t="s">
        <v>50</v>
      </c>
      <c r="C909" s="11" t="s">
        <v>77</v>
      </c>
      <c r="D909" s="9" t="s">
        <v>3732</v>
      </c>
      <c r="E909" s="9" t="s">
        <v>3733</v>
      </c>
      <c r="F909" s="9" t="s">
        <v>3734</v>
      </c>
      <c r="G909" s="9" t="s">
        <v>1072</v>
      </c>
      <c r="H909" s="15" t="s">
        <v>23</v>
      </c>
      <c r="I909" s="9" t="s">
        <v>3735</v>
      </c>
      <c r="J909" s="13"/>
      <c r="K909" s="13"/>
    </row>
    <row r="910" customFormat="false" ht="46.25" hidden="false" customHeight="false" outlineLevel="0" collapsed="false">
      <c r="A910" s="9" t="n">
        <v>909</v>
      </c>
      <c r="B910" s="9" t="s">
        <v>50</v>
      </c>
      <c r="C910" s="11" t="s">
        <v>77</v>
      </c>
      <c r="D910" s="9" t="s">
        <v>3736</v>
      </c>
      <c r="E910" s="9" t="s">
        <v>3737</v>
      </c>
      <c r="F910" s="9" t="s">
        <v>3738</v>
      </c>
      <c r="G910" s="9" t="s">
        <v>3352</v>
      </c>
      <c r="H910" s="14" t="s">
        <v>22</v>
      </c>
      <c r="I910" s="9" t="s">
        <v>3739</v>
      </c>
      <c r="J910" s="13"/>
      <c r="K910" s="13"/>
    </row>
    <row r="911" customFormat="false" ht="23.85" hidden="false" customHeight="false" outlineLevel="0" collapsed="false">
      <c r="A911" s="9" t="n">
        <v>910</v>
      </c>
      <c r="B911" s="9" t="s">
        <v>50</v>
      </c>
      <c r="C911" s="11" t="s">
        <v>77</v>
      </c>
      <c r="D911" s="9" t="s">
        <v>3740</v>
      </c>
      <c r="E911" s="9" t="s">
        <v>3741</v>
      </c>
      <c r="F911" s="9" t="s">
        <v>3742</v>
      </c>
      <c r="G911" s="9" t="s">
        <v>3338</v>
      </c>
      <c r="H911" s="15" t="s">
        <v>23</v>
      </c>
      <c r="I911" s="9" t="s">
        <v>3743</v>
      </c>
      <c r="J911" s="13"/>
      <c r="K911" s="13"/>
    </row>
    <row r="912" customFormat="false" ht="57.45" hidden="false" customHeight="false" outlineLevel="0" collapsed="false">
      <c r="A912" s="9" t="n">
        <v>911</v>
      </c>
      <c r="B912" s="9" t="s">
        <v>50</v>
      </c>
      <c r="C912" s="11" t="s">
        <v>77</v>
      </c>
      <c r="D912" s="9" t="s">
        <v>3744</v>
      </c>
      <c r="E912" s="9" t="s">
        <v>3745</v>
      </c>
      <c r="F912" s="9" t="s">
        <v>3534</v>
      </c>
      <c r="G912" s="9" t="s">
        <v>3338</v>
      </c>
      <c r="H912" s="15" t="s">
        <v>23</v>
      </c>
      <c r="I912" s="9" t="s">
        <v>3746</v>
      </c>
      <c r="J912" s="13"/>
      <c r="K912" s="13"/>
    </row>
    <row r="913" customFormat="false" ht="46.25" hidden="false" customHeight="false" outlineLevel="0" collapsed="false">
      <c r="A913" s="9" t="n">
        <v>912</v>
      </c>
      <c r="B913" s="9" t="s">
        <v>50</v>
      </c>
      <c r="C913" s="11" t="s">
        <v>77</v>
      </c>
      <c r="D913" s="9" t="s">
        <v>3747</v>
      </c>
      <c r="E913" s="9" t="s">
        <v>3748</v>
      </c>
      <c r="F913" s="9" t="s">
        <v>3749</v>
      </c>
      <c r="G913" s="9" t="s">
        <v>317</v>
      </c>
      <c r="H913" s="15" t="s">
        <v>23</v>
      </c>
      <c r="I913" s="9" t="s">
        <v>3750</v>
      </c>
      <c r="J913" s="13"/>
      <c r="K913" s="13"/>
    </row>
    <row r="914" customFormat="false" ht="46.25" hidden="false" customHeight="false" outlineLevel="0" collapsed="false">
      <c r="A914" s="9" t="n">
        <v>913</v>
      </c>
      <c r="B914" s="9" t="s">
        <v>50</v>
      </c>
      <c r="C914" s="11" t="s">
        <v>77</v>
      </c>
      <c r="D914" s="9" t="s">
        <v>3751</v>
      </c>
      <c r="E914" s="9" t="s">
        <v>3752</v>
      </c>
      <c r="F914" s="9" t="s">
        <v>3753</v>
      </c>
      <c r="G914" s="9" t="s">
        <v>324</v>
      </c>
      <c r="H914" s="14" t="s">
        <v>22</v>
      </c>
      <c r="I914" s="9" t="s">
        <v>3754</v>
      </c>
      <c r="J914" s="13"/>
      <c r="K914" s="13"/>
    </row>
    <row r="915" customFormat="false" ht="35.05" hidden="false" customHeight="false" outlineLevel="0" collapsed="false">
      <c r="A915" s="9" t="n">
        <v>914</v>
      </c>
      <c r="B915" s="9" t="s">
        <v>50</v>
      </c>
      <c r="C915" s="11" t="s">
        <v>77</v>
      </c>
      <c r="D915" s="9" t="s">
        <v>3755</v>
      </c>
      <c r="E915" s="9" t="s">
        <v>3756</v>
      </c>
      <c r="F915" s="9" t="s">
        <v>3757</v>
      </c>
      <c r="G915" s="9" t="s">
        <v>24</v>
      </c>
      <c r="H915" s="12" t="s">
        <v>21</v>
      </c>
      <c r="I915" s="9" t="s">
        <v>3758</v>
      </c>
      <c r="J915" s="13"/>
      <c r="K915" s="13"/>
    </row>
    <row r="916" customFormat="false" ht="23.85" hidden="false" customHeight="false" outlineLevel="0" collapsed="false">
      <c r="A916" s="9" t="n">
        <v>915</v>
      </c>
      <c r="B916" s="9" t="s">
        <v>50</v>
      </c>
      <c r="C916" s="11" t="s">
        <v>77</v>
      </c>
      <c r="D916" s="9" t="s">
        <v>3759</v>
      </c>
      <c r="E916" s="9" t="s">
        <v>3760</v>
      </c>
      <c r="F916" s="9" t="s">
        <v>3761</v>
      </c>
      <c r="G916" s="9" t="s">
        <v>24</v>
      </c>
      <c r="H916" s="14" t="s">
        <v>22</v>
      </c>
      <c r="I916" s="9" t="s">
        <v>3762</v>
      </c>
      <c r="J916" s="13"/>
      <c r="K916" s="13"/>
    </row>
    <row r="917" customFormat="false" ht="57.45" hidden="false" customHeight="false" outlineLevel="0" collapsed="false">
      <c r="A917" s="9" t="n">
        <v>916</v>
      </c>
      <c r="B917" s="9" t="s">
        <v>50</v>
      </c>
      <c r="C917" s="11" t="s">
        <v>77</v>
      </c>
      <c r="D917" s="9" t="s">
        <v>3763</v>
      </c>
      <c r="E917" s="9" t="s">
        <v>3764</v>
      </c>
      <c r="F917" s="9" t="s">
        <v>3765</v>
      </c>
      <c r="G917" s="9" t="s">
        <v>24</v>
      </c>
      <c r="H917" s="14" t="s">
        <v>22</v>
      </c>
      <c r="I917" s="9" t="s">
        <v>3766</v>
      </c>
      <c r="J917" s="13"/>
      <c r="K917" s="13"/>
    </row>
    <row r="918" customFormat="false" ht="23.85" hidden="false" customHeight="false" outlineLevel="0" collapsed="false">
      <c r="A918" s="9" t="n">
        <v>917</v>
      </c>
      <c r="B918" s="9" t="s">
        <v>50</v>
      </c>
      <c r="C918" s="11" t="s">
        <v>77</v>
      </c>
      <c r="D918" s="9" t="s">
        <v>3767</v>
      </c>
      <c r="E918" s="9" t="s">
        <v>3768</v>
      </c>
      <c r="F918" s="9" t="s">
        <v>3769</v>
      </c>
      <c r="G918" s="9" t="s">
        <v>24</v>
      </c>
      <c r="H918" s="14" t="s">
        <v>22</v>
      </c>
      <c r="I918" s="9" t="s">
        <v>3770</v>
      </c>
      <c r="J918" s="13"/>
      <c r="K918" s="13"/>
    </row>
    <row r="919" customFormat="false" ht="57.45" hidden="false" customHeight="false" outlineLevel="0" collapsed="false">
      <c r="A919" s="9" t="n">
        <v>918</v>
      </c>
      <c r="B919" s="9" t="s">
        <v>50</v>
      </c>
      <c r="C919" s="11" t="s">
        <v>77</v>
      </c>
      <c r="D919" s="9" t="s">
        <v>3771</v>
      </c>
      <c r="E919" s="9" t="s">
        <v>3772</v>
      </c>
      <c r="F919" s="9" t="s">
        <v>3773</v>
      </c>
      <c r="G919" s="9" t="s">
        <v>24</v>
      </c>
      <c r="H919" s="14" t="s">
        <v>22</v>
      </c>
      <c r="I919" s="9" t="s">
        <v>3774</v>
      </c>
      <c r="J919" s="13"/>
      <c r="K919" s="13"/>
    </row>
    <row r="920" customFormat="false" ht="35.05" hidden="false" customHeight="false" outlineLevel="0" collapsed="false">
      <c r="A920" s="9" t="n">
        <v>919</v>
      </c>
      <c r="B920" s="9" t="s">
        <v>50</v>
      </c>
      <c r="C920" s="11" t="s">
        <v>77</v>
      </c>
      <c r="D920" s="9" t="s">
        <v>3775</v>
      </c>
      <c r="E920" s="9" t="s">
        <v>3776</v>
      </c>
      <c r="F920" s="9" t="s">
        <v>3777</v>
      </c>
      <c r="G920" s="9" t="s">
        <v>24</v>
      </c>
      <c r="H920" s="14" t="s">
        <v>22</v>
      </c>
      <c r="I920" s="9" t="s">
        <v>3778</v>
      </c>
      <c r="J920" s="13"/>
      <c r="K920" s="13"/>
    </row>
    <row r="921" customFormat="false" ht="35.05" hidden="false" customHeight="false" outlineLevel="0" collapsed="false">
      <c r="A921" s="9" t="n">
        <v>920</v>
      </c>
      <c r="B921" s="9" t="s">
        <v>50</v>
      </c>
      <c r="C921" s="11" t="s">
        <v>77</v>
      </c>
      <c r="D921" s="9" t="s">
        <v>3779</v>
      </c>
      <c r="E921" s="9" t="s">
        <v>3780</v>
      </c>
      <c r="F921" s="9" t="s">
        <v>3781</v>
      </c>
      <c r="G921" s="9" t="s">
        <v>24</v>
      </c>
      <c r="H921" s="14" t="s">
        <v>22</v>
      </c>
      <c r="I921" s="9" t="s">
        <v>3782</v>
      </c>
      <c r="J921" s="13"/>
      <c r="K921" s="13"/>
    </row>
    <row r="922" customFormat="false" ht="46.25" hidden="false" customHeight="false" outlineLevel="0" collapsed="false">
      <c r="A922" s="9" t="n">
        <v>921</v>
      </c>
      <c r="B922" s="9" t="s">
        <v>50</v>
      </c>
      <c r="C922" s="11" t="s">
        <v>77</v>
      </c>
      <c r="D922" s="9" t="s">
        <v>3783</v>
      </c>
      <c r="E922" s="9" t="s">
        <v>358</v>
      </c>
      <c r="F922" s="9" t="s">
        <v>3784</v>
      </c>
      <c r="G922" s="9" t="s">
        <v>24</v>
      </c>
      <c r="H922" s="14" t="s">
        <v>22</v>
      </c>
      <c r="I922" s="9" t="s">
        <v>2150</v>
      </c>
      <c r="J922" s="13"/>
      <c r="K922" s="13"/>
    </row>
    <row r="923" customFormat="false" ht="15" hidden="false" customHeight="false" outlineLevel="0" collapsed="false">
      <c r="A923" s="9" t="n">
        <v>922</v>
      </c>
      <c r="B923" s="9" t="s">
        <v>50</v>
      </c>
      <c r="C923" s="11" t="s">
        <v>77</v>
      </c>
      <c r="D923" s="9" t="s">
        <v>3785</v>
      </c>
      <c r="E923" s="9" t="s">
        <v>362</v>
      </c>
      <c r="F923" s="9" t="s">
        <v>363</v>
      </c>
      <c r="G923" s="9" t="s">
        <v>24</v>
      </c>
      <c r="H923" s="14" t="s">
        <v>22</v>
      </c>
      <c r="I923" s="9" t="s">
        <v>364</v>
      </c>
      <c r="J923" s="13"/>
      <c r="K923" s="13"/>
    </row>
    <row r="924" customFormat="false" ht="46.25" hidden="false" customHeight="false" outlineLevel="0" collapsed="false">
      <c r="A924" s="9" t="n">
        <v>923</v>
      </c>
      <c r="B924" s="9" t="s">
        <v>50</v>
      </c>
      <c r="C924" s="11" t="s">
        <v>77</v>
      </c>
      <c r="D924" s="9" t="s">
        <v>3786</v>
      </c>
      <c r="E924" s="9" t="s">
        <v>3787</v>
      </c>
      <c r="F924" s="9" t="s">
        <v>3788</v>
      </c>
      <c r="G924" s="9" t="s">
        <v>24</v>
      </c>
      <c r="H924" s="14" t="s">
        <v>22</v>
      </c>
      <c r="I924" s="9" t="s">
        <v>3789</v>
      </c>
      <c r="J924" s="13"/>
      <c r="K924" s="13"/>
    </row>
    <row r="925" customFormat="false" ht="35.05" hidden="false" customHeight="false" outlineLevel="0" collapsed="false">
      <c r="A925" s="9" t="n">
        <v>924</v>
      </c>
      <c r="B925" s="9" t="s">
        <v>50</v>
      </c>
      <c r="C925" s="11" t="s">
        <v>77</v>
      </c>
      <c r="D925" s="9" t="s">
        <v>3790</v>
      </c>
      <c r="E925" s="9" t="s">
        <v>3791</v>
      </c>
      <c r="F925" s="9" t="s">
        <v>3792</v>
      </c>
      <c r="G925" s="9" t="s">
        <v>24</v>
      </c>
      <c r="H925" s="15" t="s">
        <v>23</v>
      </c>
      <c r="I925" s="9" t="s">
        <v>3793</v>
      </c>
      <c r="J925" s="13"/>
      <c r="K925" s="13"/>
    </row>
    <row r="926" customFormat="false" ht="23.85" hidden="false" customHeight="false" outlineLevel="0" collapsed="false">
      <c r="A926" s="9" t="n">
        <v>925</v>
      </c>
      <c r="B926" s="9" t="s">
        <v>50</v>
      </c>
      <c r="C926" s="11" t="s">
        <v>77</v>
      </c>
      <c r="D926" s="9" t="s">
        <v>3794</v>
      </c>
      <c r="E926" s="9" t="s">
        <v>3795</v>
      </c>
      <c r="F926" s="9" t="s">
        <v>3796</v>
      </c>
      <c r="G926" s="9" t="s">
        <v>24</v>
      </c>
      <c r="H926" s="15" t="s">
        <v>23</v>
      </c>
      <c r="I926" s="9" t="s">
        <v>3797</v>
      </c>
      <c r="J926" s="13"/>
      <c r="K926" s="13"/>
    </row>
    <row r="927" customFormat="false" ht="15" hidden="false" customHeight="false" outlineLevel="0" collapsed="false">
      <c r="A927" s="9" t="n">
        <v>926</v>
      </c>
      <c r="B927" s="9" t="s">
        <v>50</v>
      </c>
      <c r="C927" s="11" t="s">
        <v>77</v>
      </c>
      <c r="D927" s="9" t="s">
        <v>3798</v>
      </c>
      <c r="E927" s="9" t="s">
        <v>3799</v>
      </c>
      <c r="F927" s="9" t="s">
        <v>3800</v>
      </c>
      <c r="G927" s="9" t="s">
        <v>24</v>
      </c>
      <c r="H927" s="15" t="s">
        <v>23</v>
      </c>
      <c r="I927" s="9" t="s">
        <v>3801</v>
      </c>
      <c r="J927" s="13"/>
      <c r="K927" s="13"/>
    </row>
    <row r="928" customFormat="false" ht="23.85" hidden="false" customHeight="false" outlineLevel="0" collapsed="false">
      <c r="A928" s="9" t="n">
        <v>927</v>
      </c>
      <c r="B928" s="9" t="s">
        <v>50</v>
      </c>
      <c r="C928" s="11" t="s">
        <v>77</v>
      </c>
      <c r="D928" s="9" t="s">
        <v>3802</v>
      </c>
      <c r="E928" s="9" t="s">
        <v>3803</v>
      </c>
      <c r="F928" s="9" t="s">
        <v>3804</v>
      </c>
      <c r="G928" s="9" t="s">
        <v>24</v>
      </c>
      <c r="H928" s="15" t="s">
        <v>23</v>
      </c>
      <c r="I928" s="9" t="s">
        <v>3805</v>
      </c>
      <c r="J928" s="13"/>
      <c r="K928" s="13"/>
    </row>
    <row r="929" customFormat="false" ht="23.85" hidden="false" customHeight="false" outlineLevel="0" collapsed="false">
      <c r="A929" s="9" t="n">
        <v>928</v>
      </c>
      <c r="B929" s="9" t="s">
        <v>50</v>
      </c>
      <c r="C929" s="11" t="s">
        <v>77</v>
      </c>
      <c r="D929" s="9" t="s">
        <v>3806</v>
      </c>
      <c r="E929" s="9" t="s">
        <v>3807</v>
      </c>
      <c r="F929" s="9" t="s">
        <v>3808</v>
      </c>
      <c r="G929" s="9" t="s">
        <v>24</v>
      </c>
      <c r="H929" s="15" t="s">
        <v>23</v>
      </c>
      <c r="I929" s="9" t="s">
        <v>3809</v>
      </c>
      <c r="J929" s="13"/>
      <c r="K929" s="13"/>
    </row>
    <row r="930" customFormat="false" ht="23.85" hidden="false" customHeight="false" outlineLevel="0" collapsed="false">
      <c r="A930" s="9" t="n">
        <v>929</v>
      </c>
      <c r="B930" s="9" t="s">
        <v>50</v>
      </c>
      <c r="C930" s="11" t="s">
        <v>77</v>
      </c>
      <c r="D930" s="9" t="s">
        <v>3810</v>
      </c>
      <c r="E930" s="9" t="s">
        <v>3811</v>
      </c>
      <c r="F930" s="9" t="s">
        <v>3812</v>
      </c>
      <c r="G930" s="9" t="s">
        <v>24</v>
      </c>
      <c r="H930" s="15" t="s">
        <v>23</v>
      </c>
      <c r="I930" s="9" t="s">
        <v>3813</v>
      </c>
      <c r="J930" s="13"/>
      <c r="K930" s="13"/>
    </row>
    <row r="931" customFormat="false" ht="23.85" hidden="false" customHeight="false" outlineLevel="0" collapsed="false">
      <c r="A931" s="9" t="n">
        <v>930</v>
      </c>
      <c r="B931" s="9" t="s">
        <v>50</v>
      </c>
      <c r="C931" s="11" t="s">
        <v>77</v>
      </c>
      <c r="D931" s="9" t="s">
        <v>3814</v>
      </c>
      <c r="E931" s="9" t="s">
        <v>3815</v>
      </c>
      <c r="F931" s="9" t="s">
        <v>3816</v>
      </c>
      <c r="G931" s="9" t="s">
        <v>24</v>
      </c>
      <c r="H931" s="15" t="s">
        <v>23</v>
      </c>
      <c r="I931" s="9" t="s">
        <v>3817</v>
      </c>
      <c r="J931" s="13"/>
      <c r="K931" s="13"/>
    </row>
    <row r="932" customFormat="false" ht="23.85" hidden="false" customHeight="false" outlineLevel="0" collapsed="false">
      <c r="A932" s="9" t="n">
        <v>931</v>
      </c>
      <c r="B932" s="9" t="s">
        <v>50</v>
      </c>
      <c r="C932" s="11" t="s">
        <v>77</v>
      </c>
      <c r="D932" s="9" t="s">
        <v>3818</v>
      </c>
      <c r="E932" s="9" t="s">
        <v>3819</v>
      </c>
      <c r="F932" s="9" t="s">
        <v>3820</v>
      </c>
      <c r="G932" s="9" t="s">
        <v>24</v>
      </c>
      <c r="H932" s="15" t="s">
        <v>23</v>
      </c>
      <c r="I932" s="9" t="s">
        <v>3821</v>
      </c>
      <c r="J932" s="13"/>
      <c r="K932" s="13"/>
    </row>
    <row r="933" customFormat="false" ht="124.6" hidden="false" customHeight="false" outlineLevel="0" collapsed="false">
      <c r="A933" s="9" t="n">
        <v>932</v>
      </c>
      <c r="B933" s="9" t="s">
        <v>50</v>
      </c>
      <c r="C933" s="11" t="s">
        <v>79</v>
      </c>
      <c r="D933" s="9" t="s">
        <v>3822</v>
      </c>
      <c r="E933" s="9" t="s">
        <v>3823</v>
      </c>
      <c r="F933" s="9" t="s">
        <v>3824</v>
      </c>
      <c r="G933" s="9" t="s">
        <v>1404</v>
      </c>
      <c r="H933" s="12" t="s">
        <v>21</v>
      </c>
      <c r="I933" s="9" t="s">
        <v>3825</v>
      </c>
      <c r="J933" s="13"/>
      <c r="K933" s="13"/>
    </row>
    <row r="934" customFormat="false" ht="35.05" hidden="false" customHeight="false" outlineLevel="0" collapsed="false">
      <c r="A934" s="9" t="n">
        <v>933</v>
      </c>
      <c r="B934" s="9" t="s">
        <v>50</v>
      </c>
      <c r="C934" s="11" t="s">
        <v>79</v>
      </c>
      <c r="D934" s="9" t="s">
        <v>3826</v>
      </c>
      <c r="E934" s="9" t="s">
        <v>3827</v>
      </c>
      <c r="F934" s="9" t="s">
        <v>3828</v>
      </c>
      <c r="G934" s="9" t="s">
        <v>3352</v>
      </c>
      <c r="H934" s="15" t="s">
        <v>23</v>
      </c>
      <c r="I934" s="9" t="s">
        <v>3829</v>
      </c>
      <c r="J934" s="13"/>
      <c r="K934" s="13"/>
    </row>
    <row r="935" customFormat="false" ht="57.45" hidden="false" customHeight="false" outlineLevel="0" collapsed="false">
      <c r="A935" s="9" t="n">
        <v>934</v>
      </c>
      <c r="B935" s="9" t="s">
        <v>50</v>
      </c>
      <c r="C935" s="11" t="s">
        <v>79</v>
      </c>
      <c r="D935" s="9" t="s">
        <v>3830</v>
      </c>
      <c r="E935" s="9" t="s">
        <v>3831</v>
      </c>
      <c r="F935" s="9" t="s">
        <v>3832</v>
      </c>
      <c r="G935" s="9" t="s">
        <v>1072</v>
      </c>
      <c r="H935" s="14" t="s">
        <v>22</v>
      </c>
      <c r="I935" s="9" t="s">
        <v>3833</v>
      </c>
      <c r="J935" s="13"/>
      <c r="K935" s="13"/>
    </row>
    <row r="936" customFormat="false" ht="68.65" hidden="false" customHeight="false" outlineLevel="0" collapsed="false">
      <c r="A936" s="9" t="n">
        <v>935</v>
      </c>
      <c r="B936" s="9" t="s">
        <v>50</v>
      </c>
      <c r="C936" s="11" t="s">
        <v>79</v>
      </c>
      <c r="D936" s="9" t="s">
        <v>3834</v>
      </c>
      <c r="E936" s="9" t="s">
        <v>3835</v>
      </c>
      <c r="F936" s="9" t="s">
        <v>3836</v>
      </c>
      <c r="G936" s="9" t="s">
        <v>1852</v>
      </c>
      <c r="H936" s="14" t="s">
        <v>22</v>
      </c>
      <c r="I936" s="9" t="s">
        <v>3837</v>
      </c>
      <c r="J936" s="13"/>
      <c r="K936" s="13"/>
    </row>
    <row r="937" customFormat="false" ht="57.45" hidden="false" customHeight="false" outlineLevel="0" collapsed="false">
      <c r="A937" s="9" t="n">
        <v>936</v>
      </c>
      <c r="B937" s="9" t="s">
        <v>50</v>
      </c>
      <c r="C937" s="11" t="s">
        <v>79</v>
      </c>
      <c r="D937" s="9" t="s">
        <v>3838</v>
      </c>
      <c r="E937" s="9" t="s">
        <v>3839</v>
      </c>
      <c r="F937" s="9" t="s">
        <v>3840</v>
      </c>
      <c r="G937" s="9" t="s">
        <v>312</v>
      </c>
      <c r="H937" s="14" t="s">
        <v>22</v>
      </c>
      <c r="I937" s="9" t="s">
        <v>3841</v>
      </c>
      <c r="J937" s="13"/>
      <c r="K937" s="13"/>
    </row>
    <row r="938" customFormat="false" ht="46.25" hidden="false" customHeight="false" outlineLevel="0" collapsed="false">
      <c r="A938" s="9" t="n">
        <v>937</v>
      </c>
      <c r="B938" s="9" t="s">
        <v>50</v>
      </c>
      <c r="C938" s="11" t="s">
        <v>79</v>
      </c>
      <c r="D938" s="9" t="s">
        <v>3842</v>
      </c>
      <c r="E938" s="9" t="s">
        <v>3843</v>
      </c>
      <c r="F938" s="9" t="s">
        <v>3844</v>
      </c>
      <c r="G938" s="9" t="s">
        <v>312</v>
      </c>
      <c r="H938" s="15" t="s">
        <v>23</v>
      </c>
      <c r="I938" s="9" t="s">
        <v>3845</v>
      </c>
      <c r="J938" s="13"/>
      <c r="K938" s="13"/>
    </row>
    <row r="939" customFormat="false" ht="35.05" hidden="false" customHeight="false" outlineLevel="0" collapsed="false">
      <c r="A939" s="9" t="n">
        <v>938</v>
      </c>
      <c r="B939" s="9" t="s">
        <v>50</v>
      </c>
      <c r="C939" s="11" t="s">
        <v>79</v>
      </c>
      <c r="D939" s="9" t="s">
        <v>3846</v>
      </c>
      <c r="E939" s="9" t="s">
        <v>3847</v>
      </c>
      <c r="F939" s="9" t="s">
        <v>3848</v>
      </c>
      <c r="G939" s="9" t="s">
        <v>1072</v>
      </c>
      <c r="H939" s="14" t="s">
        <v>22</v>
      </c>
      <c r="I939" s="9" t="s">
        <v>3849</v>
      </c>
      <c r="J939" s="13"/>
      <c r="K939" s="13"/>
    </row>
    <row r="940" customFormat="false" ht="46.25" hidden="false" customHeight="false" outlineLevel="0" collapsed="false">
      <c r="A940" s="9" t="n">
        <v>939</v>
      </c>
      <c r="B940" s="9" t="s">
        <v>50</v>
      </c>
      <c r="C940" s="11" t="s">
        <v>79</v>
      </c>
      <c r="D940" s="9" t="s">
        <v>3850</v>
      </c>
      <c r="E940" s="9" t="s">
        <v>3851</v>
      </c>
      <c r="F940" s="9" t="s">
        <v>3852</v>
      </c>
      <c r="G940" s="9" t="s">
        <v>1638</v>
      </c>
      <c r="H940" s="14" t="s">
        <v>22</v>
      </c>
      <c r="I940" s="9" t="s">
        <v>3853</v>
      </c>
      <c r="J940" s="13"/>
      <c r="K940" s="13"/>
    </row>
    <row r="941" customFormat="false" ht="46.25" hidden="false" customHeight="false" outlineLevel="0" collapsed="false">
      <c r="A941" s="9" t="n">
        <v>940</v>
      </c>
      <c r="B941" s="9" t="s">
        <v>50</v>
      </c>
      <c r="C941" s="11" t="s">
        <v>79</v>
      </c>
      <c r="D941" s="9" t="s">
        <v>3854</v>
      </c>
      <c r="E941" s="9" t="s">
        <v>3855</v>
      </c>
      <c r="F941" s="9" t="s">
        <v>3856</v>
      </c>
      <c r="G941" s="9" t="s">
        <v>3857</v>
      </c>
      <c r="H941" s="15" t="s">
        <v>23</v>
      </c>
      <c r="I941" s="9" t="s">
        <v>3858</v>
      </c>
      <c r="J941" s="13"/>
      <c r="K941" s="13"/>
    </row>
    <row r="942" customFormat="false" ht="35.05" hidden="false" customHeight="false" outlineLevel="0" collapsed="false">
      <c r="A942" s="9" t="n">
        <v>941</v>
      </c>
      <c r="B942" s="9" t="s">
        <v>50</v>
      </c>
      <c r="C942" s="11" t="s">
        <v>79</v>
      </c>
      <c r="D942" s="9" t="s">
        <v>3859</v>
      </c>
      <c r="E942" s="9" t="s">
        <v>3860</v>
      </c>
      <c r="F942" s="9" t="s">
        <v>3861</v>
      </c>
      <c r="G942" s="9" t="s">
        <v>312</v>
      </c>
      <c r="H942" s="15" t="s">
        <v>23</v>
      </c>
      <c r="I942" s="9" t="s">
        <v>3862</v>
      </c>
      <c r="J942" s="13"/>
      <c r="K942" s="13"/>
    </row>
    <row r="943" customFormat="false" ht="46.25" hidden="false" customHeight="false" outlineLevel="0" collapsed="false">
      <c r="A943" s="9" t="n">
        <v>942</v>
      </c>
      <c r="B943" s="9" t="s">
        <v>50</v>
      </c>
      <c r="C943" s="11" t="s">
        <v>79</v>
      </c>
      <c r="D943" s="9" t="s">
        <v>3863</v>
      </c>
      <c r="E943" s="9" t="s">
        <v>3864</v>
      </c>
      <c r="F943" s="9" t="s">
        <v>3865</v>
      </c>
      <c r="G943" s="9" t="s">
        <v>317</v>
      </c>
      <c r="H943" s="15" t="s">
        <v>23</v>
      </c>
      <c r="I943" s="9" t="s">
        <v>3866</v>
      </c>
      <c r="J943" s="13"/>
      <c r="K943" s="13"/>
    </row>
    <row r="944" customFormat="false" ht="35.05" hidden="false" customHeight="false" outlineLevel="0" collapsed="false">
      <c r="A944" s="9" t="n">
        <v>943</v>
      </c>
      <c r="B944" s="9" t="s">
        <v>50</v>
      </c>
      <c r="C944" s="11" t="s">
        <v>79</v>
      </c>
      <c r="D944" s="9" t="s">
        <v>3867</v>
      </c>
      <c r="E944" s="9" t="s">
        <v>3868</v>
      </c>
      <c r="F944" s="9" t="s">
        <v>3869</v>
      </c>
      <c r="G944" s="9" t="s">
        <v>3338</v>
      </c>
      <c r="H944" s="15" t="s">
        <v>23</v>
      </c>
      <c r="I944" s="9" t="s">
        <v>3870</v>
      </c>
      <c r="J944" s="13"/>
      <c r="K944" s="13"/>
    </row>
    <row r="945" customFormat="false" ht="46.25" hidden="false" customHeight="false" outlineLevel="0" collapsed="false">
      <c r="A945" s="9" t="n">
        <v>944</v>
      </c>
      <c r="B945" s="9" t="s">
        <v>50</v>
      </c>
      <c r="C945" s="11" t="s">
        <v>79</v>
      </c>
      <c r="D945" s="9" t="s">
        <v>3871</v>
      </c>
      <c r="E945" s="9" t="s">
        <v>3872</v>
      </c>
      <c r="F945" s="9" t="s">
        <v>3873</v>
      </c>
      <c r="G945" s="9" t="s">
        <v>317</v>
      </c>
      <c r="H945" s="15" t="s">
        <v>23</v>
      </c>
      <c r="I945" s="9" t="s">
        <v>3874</v>
      </c>
      <c r="J945" s="13"/>
      <c r="K945" s="13"/>
    </row>
    <row r="946" customFormat="false" ht="46.25" hidden="false" customHeight="false" outlineLevel="0" collapsed="false">
      <c r="A946" s="9" t="n">
        <v>945</v>
      </c>
      <c r="B946" s="9" t="s">
        <v>50</v>
      </c>
      <c r="C946" s="11" t="s">
        <v>79</v>
      </c>
      <c r="D946" s="9" t="s">
        <v>3875</v>
      </c>
      <c r="E946" s="9" t="s">
        <v>3876</v>
      </c>
      <c r="F946" s="9" t="s">
        <v>3877</v>
      </c>
      <c r="G946" s="9" t="s">
        <v>1072</v>
      </c>
      <c r="H946" s="15" t="s">
        <v>23</v>
      </c>
      <c r="I946" s="9" t="s">
        <v>3878</v>
      </c>
      <c r="J946" s="13"/>
      <c r="K946" s="13"/>
    </row>
    <row r="947" customFormat="false" ht="46.25" hidden="false" customHeight="false" outlineLevel="0" collapsed="false">
      <c r="A947" s="9" t="n">
        <v>946</v>
      </c>
      <c r="B947" s="9" t="s">
        <v>50</v>
      </c>
      <c r="C947" s="11" t="s">
        <v>79</v>
      </c>
      <c r="D947" s="9" t="s">
        <v>3879</v>
      </c>
      <c r="E947" s="9" t="s">
        <v>3880</v>
      </c>
      <c r="F947" s="9" t="s">
        <v>3881</v>
      </c>
      <c r="G947" s="9" t="s">
        <v>3352</v>
      </c>
      <c r="H947" s="14" t="s">
        <v>22</v>
      </c>
      <c r="I947" s="9" t="s">
        <v>3882</v>
      </c>
      <c r="J947" s="13"/>
      <c r="K947" s="13"/>
    </row>
    <row r="948" customFormat="false" ht="35.05" hidden="false" customHeight="false" outlineLevel="0" collapsed="false">
      <c r="A948" s="9" t="n">
        <v>947</v>
      </c>
      <c r="B948" s="9" t="s">
        <v>50</v>
      </c>
      <c r="C948" s="11" t="s">
        <v>79</v>
      </c>
      <c r="D948" s="9" t="s">
        <v>3883</v>
      </c>
      <c r="E948" s="9" t="s">
        <v>3884</v>
      </c>
      <c r="F948" s="9" t="s">
        <v>3885</v>
      </c>
      <c r="G948" s="9" t="s">
        <v>308</v>
      </c>
      <c r="H948" s="15" t="s">
        <v>23</v>
      </c>
      <c r="I948" s="9" t="s">
        <v>3886</v>
      </c>
      <c r="J948" s="13"/>
      <c r="K948" s="13"/>
    </row>
    <row r="949" customFormat="false" ht="23.85" hidden="false" customHeight="false" outlineLevel="0" collapsed="false">
      <c r="A949" s="9" t="n">
        <v>948</v>
      </c>
      <c r="B949" s="9" t="s">
        <v>50</v>
      </c>
      <c r="C949" s="11" t="s">
        <v>79</v>
      </c>
      <c r="D949" s="9" t="s">
        <v>3887</v>
      </c>
      <c r="E949" s="9" t="s">
        <v>3888</v>
      </c>
      <c r="F949" s="9" t="s">
        <v>3889</v>
      </c>
      <c r="G949" s="9" t="s">
        <v>312</v>
      </c>
      <c r="H949" s="15" t="s">
        <v>23</v>
      </c>
      <c r="I949" s="9" t="s">
        <v>3890</v>
      </c>
      <c r="J949" s="13"/>
      <c r="K949" s="13"/>
    </row>
    <row r="950" customFormat="false" ht="23.85" hidden="false" customHeight="false" outlineLevel="0" collapsed="false">
      <c r="A950" s="9" t="n">
        <v>949</v>
      </c>
      <c r="B950" s="9" t="s">
        <v>50</v>
      </c>
      <c r="C950" s="11" t="s">
        <v>79</v>
      </c>
      <c r="D950" s="9" t="s">
        <v>3891</v>
      </c>
      <c r="E950" s="9" t="s">
        <v>3359</v>
      </c>
      <c r="F950" s="9" t="s">
        <v>2095</v>
      </c>
      <c r="G950" s="9" t="s">
        <v>3338</v>
      </c>
      <c r="H950" s="15" t="s">
        <v>23</v>
      </c>
      <c r="I950" s="9" t="s">
        <v>2298</v>
      </c>
      <c r="J950" s="13"/>
      <c r="K950" s="13"/>
    </row>
    <row r="951" customFormat="false" ht="35.05" hidden="false" customHeight="false" outlineLevel="0" collapsed="false">
      <c r="A951" s="9" t="n">
        <v>950</v>
      </c>
      <c r="B951" s="9" t="s">
        <v>50</v>
      </c>
      <c r="C951" s="11" t="s">
        <v>79</v>
      </c>
      <c r="D951" s="9" t="s">
        <v>3892</v>
      </c>
      <c r="E951" s="9" t="s">
        <v>3893</v>
      </c>
      <c r="F951" s="9" t="s">
        <v>3894</v>
      </c>
      <c r="G951" s="9" t="s">
        <v>312</v>
      </c>
      <c r="H951" s="15" t="s">
        <v>23</v>
      </c>
      <c r="I951" s="9" t="s">
        <v>3895</v>
      </c>
      <c r="J951" s="13"/>
      <c r="K951" s="13"/>
    </row>
    <row r="952" customFormat="false" ht="113.4" hidden="false" customHeight="false" outlineLevel="0" collapsed="false">
      <c r="A952" s="9" t="n">
        <v>951</v>
      </c>
      <c r="B952" s="9" t="s">
        <v>50</v>
      </c>
      <c r="C952" s="11" t="s">
        <v>79</v>
      </c>
      <c r="D952" s="9" t="s">
        <v>3896</v>
      </c>
      <c r="E952" s="9" t="s">
        <v>3897</v>
      </c>
      <c r="F952" s="9" t="s">
        <v>3898</v>
      </c>
      <c r="G952" s="9" t="s">
        <v>24</v>
      </c>
      <c r="H952" s="12" t="s">
        <v>21</v>
      </c>
      <c r="I952" s="9" t="s">
        <v>3899</v>
      </c>
      <c r="J952" s="13"/>
      <c r="K952" s="13"/>
    </row>
    <row r="953" customFormat="false" ht="68.65" hidden="false" customHeight="false" outlineLevel="0" collapsed="false">
      <c r="A953" s="9" t="n">
        <v>952</v>
      </c>
      <c r="B953" s="9" t="s">
        <v>50</v>
      </c>
      <c r="C953" s="11" t="s">
        <v>79</v>
      </c>
      <c r="D953" s="9" t="s">
        <v>3900</v>
      </c>
      <c r="E953" s="9" t="s">
        <v>3901</v>
      </c>
      <c r="F953" s="9" t="s">
        <v>3902</v>
      </c>
      <c r="G953" s="9" t="s">
        <v>24</v>
      </c>
      <c r="H953" s="12" t="s">
        <v>21</v>
      </c>
      <c r="I953" s="9" t="s">
        <v>3903</v>
      </c>
      <c r="J953" s="13"/>
      <c r="K953" s="13"/>
    </row>
    <row r="954" customFormat="false" ht="57.45" hidden="false" customHeight="false" outlineLevel="0" collapsed="false">
      <c r="A954" s="9" t="n">
        <v>953</v>
      </c>
      <c r="B954" s="9" t="s">
        <v>50</v>
      </c>
      <c r="C954" s="11" t="s">
        <v>79</v>
      </c>
      <c r="D954" s="9" t="s">
        <v>3904</v>
      </c>
      <c r="E954" s="9" t="s">
        <v>3905</v>
      </c>
      <c r="F954" s="9" t="s">
        <v>3906</v>
      </c>
      <c r="G954" s="9" t="s">
        <v>24</v>
      </c>
      <c r="H954" s="12" t="s">
        <v>21</v>
      </c>
      <c r="I954" s="9" t="s">
        <v>3907</v>
      </c>
      <c r="J954" s="13"/>
      <c r="K954" s="13"/>
    </row>
    <row r="955" customFormat="false" ht="35.05" hidden="false" customHeight="false" outlineLevel="0" collapsed="false">
      <c r="A955" s="9" t="n">
        <v>954</v>
      </c>
      <c r="B955" s="9" t="s">
        <v>50</v>
      </c>
      <c r="C955" s="11" t="s">
        <v>79</v>
      </c>
      <c r="D955" s="9" t="s">
        <v>3908</v>
      </c>
      <c r="E955" s="9" t="s">
        <v>3909</v>
      </c>
      <c r="F955" s="9" t="s">
        <v>3910</v>
      </c>
      <c r="G955" s="9" t="s">
        <v>24</v>
      </c>
      <c r="H955" s="14" t="s">
        <v>22</v>
      </c>
      <c r="I955" s="9" t="s">
        <v>3911</v>
      </c>
      <c r="J955" s="13"/>
      <c r="K955" s="13"/>
    </row>
    <row r="956" customFormat="false" ht="35.05" hidden="false" customHeight="false" outlineLevel="0" collapsed="false">
      <c r="A956" s="9" t="n">
        <v>955</v>
      </c>
      <c r="B956" s="9" t="s">
        <v>50</v>
      </c>
      <c r="C956" s="11" t="s">
        <v>79</v>
      </c>
      <c r="D956" s="9" t="s">
        <v>3912</v>
      </c>
      <c r="E956" s="9" t="s">
        <v>3913</v>
      </c>
      <c r="F956" s="9" t="s">
        <v>3914</v>
      </c>
      <c r="G956" s="9" t="s">
        <v>24</v>
      </c>
      <c r="H956" s="14" t="s">
        <v>22</v>
      </c>
      <c r="I956" s="9" t="s">
        <v>3915</v>
      </c>
      <c r="J956" s="13"/>
      <c r="K956" s="13"/>
    </row>
    <row r="957" customFormat="false" ht="23.85" hidden="false" customHeight="false" outlineLevel="0" collapsed="false">
      <c r="A957" s="9" t="n">
        <v>956</v>
      </c>
      <c r="B957" s="9" t="s">
        <v>50</v>
      </c>
      <c r="C957" s="11" t="s">
        <v>79</v>
      </c>
      <c r="D957" s="9" t="s">
        <v>3916</v>
      </c>
      <c r="E957" s="9" t="s">
        <v>3917</v>
      </c>
      <c r="F957" s="9" t="s">
        <v>3918</v>
      </c>
      <c r="G957" s="9" t="s">
        <v>24</v>
      </c>
      <c r="H957" s="14" t="s">
        <v>22</v>
      </c>
      <c r="I957" s="9" t="s">
        <v>3919</v>
      </c>
      <c r="J957" s="13"/>
      <c r="K957" s="13"/>
    </row>
    <row r="958" customFormat="false" ht="35.05" hidden="false" customHeight="false" outlineLevel="0" collapsed="false">
      <c r="A958" s="9" t="n">
        <v>957</v>
      </c>
      <c r="B958" s="9" t="s">
        <v>50</v>
      </c>
      <c r="C958" s="11" t="s">
        <v>79</v>
      </c>
      <c r="D958" s="9" t="s">
        <v>3920</v>
      </c>
      <c r="E958" s="9" t="s">
        <v>3921</v>
      </c>
      <c r="F958" s="9" t="s">
        <v>3922</v>
      </c>
      <c r="G958" s="9" t="s">
        <v>24</v>
      </c>
      <c r="H958" s="15" t="s">
        <v>23</v>
      </c>
      <c r="I958" s="9" t="s">
        <v>3923</v>
      </c>
      <c r="J958" s="13"/>
      <c r="K958" s="13"/>
    </row>
    <row r="959" customFormat="false" ht="35.05" hidden="false" customHeight="false" outlineLevel="0" collapsed="false">
      <c r="A959" s="9" t="n">
        <v>958</v>
      </c>
      <c r="B959" s="9" t="s">
        <v>50</v>
      </c>
      <c r="C959" s="11" t="s">
        <v>79</v>
      </c>
      <c r="D959" s="9" t="s">
        <v>3924</v>
      </c>
      <c r="E959" s="9" t="s">
        <v>3925</v>
      </c>
      <c r="F959" s="9" t="s">
        <v>3926</v>
      </c>
      <c r="G959" s="9" t="s">
        <v>24</v>
      </c>
      <c r="H959" s="14" t="s">
        <v>22</v>
      </c>
      <c r="I959" s="9" t="s">
        <v>3927</v>
      </c>
      <c r="J959" s="13"/>
      <c r="K959" s="13"/>
    </row>
    <row r="960" customFormat="false" ht="23.85" hidden="false" customHeight="false" outlineLevel="0" collapsed="false">
      <c r="A960" s="9" t="n">
        <v>959</v>
      </c>
      <c r="B960" s="9" t="s">
        <v>50</v>
      </c>
      <c r="C960" s="11" t="s">
        <v>79</v>
      </c>
      <c r="D960" s="9" t="s">
        <v>3928</v>
      </c>
      <c r="E960" s="9" t="s">
        <v>3929</v>
      </c>
      <c r="F960" s="9" t="s">
        <v>3930</v>
      </c>
      <c r="G960" s="9" t="s">
        <v>24</v>
      </c>
      <c r="H960" s="14" t="s">
        <v>22</v>
      </c>
      <c r="I960" s="9" t="s">
        <v>3931</v>
      </c>
      <c r="J960" s="13"/>
      <c r="K960" s="13"/>
    </row>
    <row r="961" customFormat="false" ht="23.85" hidden="false" customHeight="false" outlineLevel="0" collapsed="false">
      <c r="A961" s="9" t="n">
        <v>960</v>
      </c>
      <c r="B961" s="9" t="s">
        <v>50</v>
      </c>
      <c r="C961" s="11" t="s">
        <v>79</v>
      </c>
      <c r="D961" s="9" t="s">
        <v>3932</v>
      </c>
      <c r="E961" s="9" t="s">
        <v>3933</v>
      </c>
      <c r="F961" s="9" t="s">
        <v>3934</v>
      </c>
      <c r="G961" s="9" t="s">
        <v>24</v>
      </c>
      <c r="H961" s="14" t="s">
        <v>22</v>
      </c>
      <c r="I961" s="9" t="s">
        <v>3935</v>
      </c>
      <c r="J961" s="13"/>
      <c r="K961" s="13"/>
    </row>
    <row r="962" customFormat="false" ht="35.05" hidden="false" customHeight="false" outlineLevel="0" collapsed="false">
      <c r="A962" s="9" t="n">
        <v>961</v>
      </c>
      <c r="B962" s="9" t="s">
        <v>50</v>
      </c>
      <c r="C962" s="11" t="s">
        <v>79</v>
      </c>
      <c r="D962" s="9" t="s">
        <v>3936</v>
      </c>
      <c r="E962" s="9" t="s">
        <v>358</v>
      </c>
      <c r="F962" s="9" t="s">
        <v>3937</v>
      </c>
      <c r="G962" s="9" t="s">
        <v>24</v>
      </c>
      <c r="H962" s="14" t="s">
        <v>22</v>
      </c>
      <c r="I962" s="9" t="s">
        <v>3938</v>
      </c>
      <c r="J962" s="13"/>
      <c r="K962" s="13"/>
    </row>
    <row r="963" customFormat="false" ht="15" hidden="false" customHeight="false" outlineLevel="0" collapsed="false">
      <c r="A963" s="9" t="n">
        <v>962</v>
      </c>
      <c r="B963" s="9" t="s">
        <v>50</v>
      </c>
      <c r="C963" s="11" t="s">
        <v>79</v>
      </c>
      <c r="D963" s="9" t="s">
        <v>3939</v>
      </c>
      <c r="E963" s="9" t="s">
        <v>362</v>
      </c>
      <c r="F963" s="9" t="s">
        <v>363</v>
      </c>
      <c r="G963" s="9" t="s">
        <v>24</v>
      </c>
      <c r="H963" s="14" t="s">
        <v>22</v>
      </c>
      <c r="I963" s="9" t="s">
        <v>364</v>
      </c>
      <c r="J963" s="13"/>
      <c r="K963" s="13"/>
    </row>
    <row r="964" customFormat="false" ht="23.85" hidden="false" customHeight="false" outlineLevel="0" collapsed="false">
      <c r="A964" s="9" t="n">
        <v>963</v>
      </c>
      <c r="B964" s="9" t="s">
        <v>50</v>
      </c>
      <c r="C964" s="11" t="s">
        <v>79</v>
      </c>
      <c r="D964" s="9" t="s">
        <v>3940</v>
      </c>
      <c r="E964" s="9" t="s">
        <v>3941</v>
      </c>
      <c r="F964" s="9" t="s">
        <v>3942</v>
      </c>
      <c r="G964" s="9" t="s">
        <v>24</v>
      </c>
      <c r="H964" s="15" t="s">
        <v>23</v>
      </c>
      <c r="I964" s="9" t="s">
        <v>3943</v>
      </c>
      <c r="J964" s="13"/>
      <c r="K964" s="13"/>
    </row>
    <row r="965" customFormat="false" ht="23.85" hidden="false" customHeight="false" outlineLevel="0" collapsed="false">
      <c r="A965" s="9" t="n">
        <v>964</v>
      </c>
      <c r="B965" s="9" t="s">
        <v>50</v>
      </c>
      <c r="C965" s="11" t="s">
        <v>79</v>
      </c>
      <c r="D965" s="9" t="s">
        <v>3944</v>
      </c>
      <c r="E965" s="9" t="s">
        <v>3945</v>
      </c>
      <c r="F965" s="9" t="s">
        <v>3812</v>
      </c>
      <c r="G965" s="9" t="s">
        <v>24</v>
      </c>
      <c r="H965" s="15" t="s">
        <v>23</v>
      </c>
      <c r="I965" s="9" t="s">
        <v>2846</v>
      </c>
      <c r="J965" s="13"/>
      <c r="K965" s="13"/>
    </row>
    <row r="966" customFormat="false" ht="35.05" hidden="false" customHeight="false" outlineLevel="0" collapsed="false">
      <c r="A966" s="9" t="n">
        <v>965</v>
      </c>
      <c r="B966" s="9" t="s">
        <v>50</v>
      </c>
      <c r="C966" s="11" t="s">
        <v>79</v>
      </c>
      <c r="D966" s="9" t="s">
        <v>3946</v>
      </c>
      <c r="E966" s="9" t="s">
        <v>3947</v>
      </c>
      <c r="F966" s="9" t="s">
        <v>3948</v>
      </c>
      <c r="G966" s="9" t="s">
        <v>24</v>
      </c>
      <c r="H966" s="15" t="s">
        <v>23</v>
      </c>
      <c r="I966" s="9" t="s">
        <v>3797</v>
      </c>
      <c r="J966" s="13"/>
      <c r="K966" s="13"/>
    </row>
    <row r="967" customFormat="false" ht="23.85" hidden="false" customHeight="false" outlineLevel="0" collapsed="false">
      <c r="A967" s="9" t="n">
        <v>966</v>
      </c>
      <c r="B967" s="9" t="s">
        <v>50</v>
      </c>
      <c r="C967" s="11" t="s">
        <v>79</v>
      </c>
      <c r="D967" s="9" t="s">
        <v>3949</v>
      </c>
      <c r="E967" s="9" t="s">
        <v>3950</v>
      </c>
      <c r="F967" s="9" t="s">
        <v>3951</v>
      </c>
      <c r="G967" s="9" t="s">
        <v>24</v>
      </c>
      <c r="H967" s="15" t="s">
        <v>23</v>
      </c>
      <c r="I967" s="9" t="s">
        <v>3952</v>
      </c>
      <c r="J967" s="13"/>
      <c r="K967" s="13"/>
    </row>
    <row r="968" customFormat="false" ht="15" hidden="false" customHeight="false" outlineLevel="0" collapsed="false">
      <c r="A968" s="9" t="n">
        <v>967</v>
      </c>
      <c r="B968" s="9" t="s">
        <v>50</v>
      </c>
      <c r="C968" s="11" t="s">
        <v>79</v>
      </c>
      <c r="D968" s="9" t="s">
        <v>3953</v>
      </c>
      <c r="E968" s="9" t="s">
        <v>3954</v>
      </c>
      <c r="F968" s="9" t="s">
        <v>3955</v>
      </c>
      <c r="G968" s="9" t="s">
        <v>24</v>
      </c>
      <c r="H968" s="15" t="s">
        <v>23</v>
      </c>
      <c r="I968" s="9" t="s">
        <v>3956</v>
      </c>
      <c r="J968" s="13"/>
      <c r="K968" s="13"/>
    </row>
    <row r="969" customFormat="false" ht="169.4" hidden="false" customHeight="false" outlineLevel="0" collapsed="false">
      <c r="A969" s="9" t="n">
        <v>968</v>
      </c>
      <c r="B969" s="9" t="s">
        <v>50</v>
      </c>
      <c r="C969" s="11" t="s">
        <v>81</v>
      </c>
      <c r="D969" s="9" t="s">
        <v>3957</v>
      </c>
      <c r="E969" s="9" t="s">
        <v>3958</v>
      </c>
      <c r="F969" s="9" t="s">
        <v>3959</v>
      </c>
      <c r="G969" s="9" t="s">
        <v>312</v>
      </c>
      <c r="H969" s="12" t="s">
        <v>21</v>
      </c>
      <c r="I969" s="9" t="s">
        <v>3960</v>
      </c>
      <c r="J969" s="13"/>
      <c r="K969" s="13"/>
    </row>
    <row r="970" customFormat="false" ht="102.2" hidden="false" customHeight="false" outlineLevel="0" collapsed="false">
      <c r="A970" s="9" t="n">
        <v>969</v>
      </c>
      <c r="B970" s="9" t="s">
        <v>50</v>
      </c>
      <c r="C970" s="11" t="s">
        <v>81</v>
      </c>
      <c r="D970" s="9" t="s">
        <v>3961</v>
      </c>
      <c r="E970" s="9" t="s">
        <v>3962</v>
      </c>
      <c r="F970" s="9" t="s">
        <v>3963</v>
      </c>
      <c r="G970" s="9" t="s">
        <v>312</v>
      </c>
      <c r="H970" s="14" t="s">
        <v>22</v>
      </c>
      <c r="I970" s="9" t="s">
        <v>3964</v>
      </c>
      <c r="J970" s="13"/>
      <c r="K970" s="13"/>
    </row>
    <row r="971" customFormat="false" ht="124.6" hidden="false" customHeight="false" outlineLevel="0" collapsed="false">
      <c r="A971" s="9" t="n">
        <v>970</v>
      </c>
      <c r="B971" s="9" t="s">
        <v>50</v>
      </c>
      <c r="C971" s="11" t="s">
        <v>81</v>
      </c>
      <c r="D971" s="9" t="s">
        <v>3965</v>
      </c>
      <c r="E971" s="9" t="s">
        <v>3966</v>
      </c>
      <c r="F971" s="9" t="s">
        <v>3967</v>
      </c>
      <c r="G971" s="9" t="s">
        <v>312</v>
      </c>
      <c r="H971" s="12" t="s">
        <v>21</v>
      </c>
      <c r="I971" s="9" t="s">
        <v>3968</v>
      </c>
      <c r="J971" s="13"/>
      <c r="K971" s="13"/>
    </row>
    <row r="972" customFormat="false" ht="46.25" hidden="false" customHeight="false" outlineLevel="0" collapsed="false">
      <c r="A972" s="9" t="n">
        <v>971</v>
      </c>
      <c r="B972" s="9" t="s">
        <v>50</v>
      </c>
      <c r="C972" s="11" t="s">
        <v>81</v>
      </c>
      <c r="D972" s="9" t="s">
        <v>3969</v>
      </c>
      <c r="E972" s="9" t="s">
        <v>3970</v>
      </c>
      <c r="F972" s="9" t="s">
        <v>3971</v>
      </c>
      <c r="G972" s="9" t="s">
        <v>1370</v>
      </c>
      <c r="H972" s="14" t="s">
        <v>22</v>
      </c>
      <c r="I972" s="9" t="s">
        <v>3972</v>
      </c>
      <c r="J972" s="13"/>
      <c r="K972" s="13"/>
    </row>
    <row r="973" customFormat="false" ht="79.85" hidden="false" customHeight="false" outlineLevel="0" collapsed="false">
      <c r="A973" s="9" t="n">
        <v>972</v>
      </c>
      <c r="B973" s="9" t="s">
        <v>50</v>
      </c>
      <c r="C973" s="11" t="s">
        <v>81</v>
      </c>
      <c r="D973" s="9" t="s">
        <v>3973</v>
      </c>
      <c r="E973" s="9" t="s">
        <v>3974</v>
      </c>
      <c r="F973" s="9" t="s">
        <v>3975</v>
      </c>
      <c r="G973" s="9" t="s">
        <v>1843</v>
      </c>
      <c r="H973" s="14" t="s">
        <v>22</v>
      </c>
      <c r="I973" s="9" t="s">
        <v>3976</v>
      </c>
      <c r="J973" s="13"/>
      <c r="K973" s="13"/>
    </row>
    <row r="974" customFormat="false" ht="35.05" hidden="false" customHeight="false" outlineLevel="0" collapsed="false">
      <c r="A974" s="9" t="n">
        <v>973</v>
      </c>
      <c r="B974" s="9" t="s">
        <v>50</v>
      </c>
      <c r="C974" s="11" t="s">
        <v>81</v>
      </c>
      <c r="D974" s="9" t="s">
        <v>3977</v>
      </c>
      <c r="E974" s="9" t="s">
        <v>3978</v>
      </c>
      <c r="F974" s="9" t="s">
        <v>3979</v>
      </c>
      <c r="G974" s="9" t="s">
        <v>317</v>
      </c>
      <c r="H974" s="14" t="s">
        <v>22</v>
      </c>
      <c r="I974" s="9" t="s">
        <v>3980</v>
      </c>
      <c r="J974" s="13"/>
      <c r="K974" s="13"/>
    </row>
    <row r="975" customFormat="false" ht="68.65" hidden="false" customHeight="false" outlineLevel="0" collapsed="false">
      <c r="A975" s="9" t="n">
        <v>974</v>
      </c>
      <c r="B975" s="9" t="s">
        <v>50</v>
      </c>
      <c r="C975" s="11" t="s">
        <v>81</v>
      </c>
      <c r="D975" s="9" t="s">
        <v>3981</v>
      </c>
      <c r="E975" s="9" t="s">
        <v>3982</v>
      </c>
      <c r="F975" s="9" t="s">
        <v>3983</v>
      </c>
      <c r="G975" s="9" t="s">
        <v>1072</v>
      </c>
      <c r="H975" s="14" t="s">
        <v>22</v>
      </c>
      <c r="I975" s="9" t="s">
        <v>3984</v>
      </c>
      <c r="J975" s="13"/>
      <c r="K975" s="13"/>
    </row>
    <row r="976" customFormat="false" ht="68.65" hidden="false" customHeight="false" outlineLevel="0" collapsed="false">
      <c r="A976" s="9" t="n">
        <v>975</v>
      </c>
      <c r="B976" s="9" t="s">
        <v>50</v>
      </c>
      <c r="C976" s="11" t="s">
        <v>81</v>
      </c>
      <c r="D976" s="9" t="s">
        <v>3985</v>
      </c>
      <c r="E976" s="9" t="s">
        <v>3986</v>
      </c>
      <c r="F976" s="9" t="s">
        <v>3987</v>
      </c>
      <c r="G976" s="9" t="s">
        <v>317</v>
      </c>
      <c r="H976" s="14" t="s">
        <v>22</v>
      </c>
      <c r="I976" s="9" t="s">
        <v>3988</v>
      </c>
      <c r="J976" s="13"/>
      <c r="K976" s="13"/>
    </row>
    <row r="977" customFormat="false" ht="68.65" hidden="false" customHeight="false" outlineLevel="0" collapsed="false">
      <c r="A977" s="9" t="n">
        <v>976</v>
      </c>
      <c r="B977" s="9" t="s">
        <v>50</v>
      </c>
      <c r="C977" s="11" t="s">
        <v>81</v>
      </c>
      <c r="D977" s="9" t="s">
        <v>3989</v>
      </c>
      <c r="E977" s="9" t="s">
        <v>3990</v>
      </c>
      <c r="F977" s="9" t="s">
        <v>3991</v>
      </c>
      <c r="G977" s="9" t="s">
        <v>308</v>
      </c>
      <c r="H977" s="15" t="s">
        <v>23</v>
      </c>
      <c r="I977" s="9" t="s">
        <v>3992</v>
      </c>
      <c r="J977" s="13"/>
      <c r="K977" s="13"/>
    </row>
    <row r="978" customFormat="false" ht="68.65" hidden="false" customHeight="false" outlineLevel="0" collapsed="false">
      <c r="A978" s="9" t="n">
        <v>977</v>
      </c>
      <c r="B978" s="9" t="s">
        <v>50</v>
      </c>
      <c r="C978" s="11" t="s">
        <v>81</v>
      </c>
      <c r="D978" s="9" t="s">
        <v>3993</v>
      </c>
      <c r="E978" s="9" t="s">
        <v>3994</v>
      </c>
      <c r="F978" s="9" t="s">
        <v>3995</v>
      </c>
      <c r="G978" s="9" t="s">
        <v>312</v>
      </c>
      <c r="H978" s="15" t="s">
        <v>23</v>
      </c>
      <c r="I978" s="9" t="s">
        <v>3996</v>
      </c>
      <c r="J978" s="13"/>
      <c r="K978" s="13"/>
    </row>
    <row r="979" customFormat="false" ht="46.25" hidden="false" customHeight="false" outlineLevel="0" collapsed="false">
      <c r="A979" s="9" t="n">
        <v>978</v>
      </c>
      <c r="B979" s="9" t="s">
        <v>50</v>
      </c>
      <c r="C979" s="11" t="s">
        <v>81</v>
      </c>
      <c r="D979" s="9" t="s">
        <v>3997</v>
      </c>
      <c r="E979" s="9" t="s">
        <v>3998</v>
      </c>
      <c r="F979" s="9" t="s">
        <v>3999</v>
      </c>
      <c r="G979" s="9" t="s">
        <v>308</v>
      </c>
      <c r="H979" s="15" t="s">
        <v>23</v>
      </c>
      <c r="I979" s="9" t="s">
        <v>4000</v>
      </c>
      <c r="J979" s="13"/>
      <c r="K979" s="13"/>
    </row>
    <row r="980" customFormat="false" ht="35.05" hidden="false" customHeight="false" outlineLevel="0" collapsed="false">
      <c r="A980" s="9" t="n">
        <v>979</v>
      </c>
      <c r="B980" s="9" t="s">
        <v>50</v>
      </c>
      <c r="C980" s="11" t="s">
        <v>81</v>
      </c>
      <c r="D980" s="9" t="s">
        <v>4001</v>
      </c>
      <c r="E980" s="9" t="s">
        <v>4002</v>
      </c>
      <c r="F980" s="9" t="s">
        <v>4003</v>
      </c>
      <c r="G980" s="9" t="s">
        <v>312</v>
      </c>
      <c r="H980" s="15" t="s">
        <v>23</v>
      </c>
      <c r="I980" s="9" t="s">
        <v>4004</v>
      </c>
      <c r="J980" s="13"/>
      <c r="K980" s="13"/>
    </row>
    <row r="981" customFormat="false" ht="35.05" hidden="false" customHeight="false" outlineLevel="0" collapsed="false">
      <c r="A981" s="9" t="n">
        <v>980</v>
      </c>
      <c r="B981" s="9" t="s">
        <v>50</v>
      </c>
      <c r="C981" s="11" t="s">
        <v>81</v>
      </c>
      <c r="D981" s="9" t="s">
        <v>4005</v>
      </c>
      <c r="E981" s="9" t="s">
        <v>4006</v>
      </c>
      <c r="F981" s="9" t="s">
        <v>4007</v>
      </c>
      <c r="G981" s="9" t="s">
        <v>312</v>
      </c>
      <c r="H981" s="15" t="s">
        <v>23</v>
      </c>
      <c r="I981" s="9" t="s">
        <v>4008</v>
      </c>
      <c r="J981" s="13"/>
      <c r="K981" s="13"/>
    </row>
    <row r="982" customFormat="false" ht="46.25" hidden="false" customHeight="false" outlineLevel="0" collapsed="false">
      <c r="A982" s="9" t="n">
        <v>981</v>
      </c>
      <c r="B982" s="9" t="s">
        <v>50</v>
      </c>
      <c r="C982" s="11" t="s">
        <v>81</v>
      </c>
      <c r="D982" s="9" t="s">
        <v>4009</v>
      </c>
      <c r="E982" s="9" t="s">
        <v>4010</v>
      </c>
      <c r="F982" s="9" t="s">
        <v>4011</v>
      </c>
      <c r="G982" s="9" t="s">
        <v>312</v>
      </c>
      <c r="H982" s="15" t="s">
        <v>23</v>
      </c>
      <c r="I982" s="9" t="s">
        <v>4012</v>
      </c>
      <c r="J982" s="13"/>
      <c r="K982" s="13"/>
    </row>
    <row r="983" customFormat="false" ht="35.05" hidden="false" customHeight="false" outlineLevel="0" collapsed="false">
      <c r="A983" s="9" t="n">
        <v>982</v>
      </c>
      <c r="B983" s="9" t="s">
        <v>50</v>
      </c>
      <c r="C983" s="11" t="s">
        <v>81</v>
      </c>
      <c r="D983" s="9" t="s">
        <v>4013</v>
      </c>
      <c r="E983" s="9" t="s">
        <v>4014</v>
      </c>
      <c r="F983" s="9" t="s">
        <v>4015</v>
      </c>
      <c r="G983" s="9" t="s">
        <v>312</v>
      </c>
      <c r="H983" s="15" t="s">
        <v>23</v>
      </c>
      <c r="I983" s="9" t="s">
        <v>4016</v>
      </c>
      <c r="J983" s="13"/>
      <c r="K983" s="13"/>
    </row>
    <row r="984" customFormat="false" ht="35.05" hidden="false" customHeight="false" outlineLevel="0" collapsed="false">
      <c r="A984" s="9" t="n">
        <v>983</v>
      </c>
      <c r="B984" s="9" t="s">
        <v>50</v>
      </c>
      <c r="C984" s="11" t="s">
        <v>81</v>
      </c>
      <c r="D984" s="9" t="s">
        <v>4017</v>
      </c>
      <c r="E984" s="9" t="s">
        <v>4018</v>
      </c>
      <c r="F984" s="9" t="s">
        <v>4019</v>
      </c>
      <c r="G984" s="9" t="s">
        <v>328</v>
      </c>
      <c r="H984" s="15" t="s">
        <v>23</v>
      </c>
      <c r="I984" s="9" t="s">
        <v>4020</v>
      </c>
      <c r="J984" s="13"/>
      <c r="K984" s="13"/>
    </row>
    <row r="985" customFormat="false" ht="35.05" hidden="false" customHeight="false" outlineLevel="0" collapsed="false">
      <c r="A985" s="9" t="n">
        <v>984</v>
      </c>
      <c r="B985" s="9" t="s">
        <v>50</v>
      </c>
      <c r="C985" s="11" t="s">
        <v>81</v>
      </c>
      <c r="D985" s="9" t="s">
        <v>4021</v>
      </c>
      <c r="E985" s="9" t="s">
        <v>4022</v>
      </c>
      <c r="F985" s="9" t="s">
        <v>4023</v>
      </c>
      <c r="G985" s="9" t="s">
        <v>317</v>
      </c>
      <c r="H985" s="15" t="s">
        <v>23</v>
      </c>
      <c r="I985" s="9" t="s">
        <v>4024</v>
      </c>
      <c r="J985" s="13"/>
      <c r="K985" s="13"/>
    </row>
    <row r="986" customFormat="false" ht="35.05" hidden="false" customHeight="false" outlineLevel="0" collapsed="false">
      <c r="A986" s="9" t="n">
        <v>985</v>
      </c>
      <c r="B986" s="9" t="s">
        <v>50</v>
      </c>
      <c r="C986" s="11" t="s">
        <v>81</v>
      </c>
      <c r="D986" s="9" t="s">
        <v>4025</v>
      </c>
      <c r="E986" s="9" t="s">
        <v>4026</v>
      </c>
      <c r="F986" s="9" t="s">
        <v>4027</v>
      </c>
      <c r="G986" s="9" t="s">
        <v>312</v>
      </c>
      <c r="H986" s="15" t="s">
        <v>23</v>
      </c>
      <c r="I986" s="9" t="s">
        <v>4028</v>
      </c>
      <c r="J986" s="13"/>
      <c r="K986" s="13"/>
    </row>
    <row r="987" customFormat="false" ht="57.45" hidden="false" customHeight="false" outlineLevel="0" collapsed="false">
      <c r="A987" s="9" t="n">
        <v>986</v>
      </c>
      <c r="B987" s="9" t="s">
        <v>50</v>
      </c>
      <c r="C987" s="11" t="s">
        <v>81</v>
      </c>
      <c r="D987" s="9" t="s">
        <v>4029</v>
      </c>
      <c r="E987" s="9" t="s">
        <v>4030</v>
      </c>
      <c r="F987" s="9" t="s">
        <v>4031</v>
      </c>
      <c r="G987" s="9" t="s">
        <v>24</v>
      </c>
      <c r="H987" s="12" t="s">
        <v>21</v>
      </c>
      <c r="I987" s="9" t="s">
        <v>4032</v>
      </c>
      <c r="J987" s="13"/>
      <c r="K987" s="13"/>
    </row>
    <row r="988" customFormat="false" ht="35.05" hidden="false" customHeight="false" outlineLevel="0" collapsed="false">
      <c r="A988" s="9" t="n">
        <v>987</v>
      </c>
      <c r="B988" s="9" t="s">
        <v>50</v>
      </c>
      <c r="C988" s="11" t="s">
        <v>81</v>
      </c>
      <c r="D988" s="9" t="s">
        <v>4033</v>
      </c>
      <c r="E988" s="9" t="s">
        <v>4034</v>
      </c>
      <c r="F988" s="9" t="s">
        <v>4035</v>
      </c>
      <c r="G988" s="9" t="s">
        <v>24</v>
      </c>
      <c r="H988" s="12" t="s">
        <v>21</v>
      </c>
      <c r="I988" s="9" t="s">
        <v>4036</v>
      </c>
      <c r="J988" s="13"/>
      <c r="K988" s="13"/>
    </row>
    <row r="989" customFormat="false" ht="23.85" hidden="false" customHeight="false" outlineLevel="0" collapsed="false">
      <c r="A989" s="9" t="n">
        <v>988</v>
      </c>
      <c r="B989" s="9" t="s">
        <v>50</v>
      </c>
      <c r="C989" s="11" t="s">
        <v>81</v>
      </c>
      <c r="D989" s="9" t="s">
        <v>4037</v>
      </c>
      <c r="E989" s="9" t="s">
        <v>4038</v>
      </c>
      <c r="F989" s="9" t="s">
        <v>4039</v>
      </c>
      <c r="G989" s="9" t="s">
        <v>24</v>
      </c>
      <c r="H989" s="12" t="s">
        <v>21</v>
      </c>
      <c r="I989" s="9" t="s">
        <v>4040</v>
      </c>
      <c r="J989" s="13"/>
      <c r="K989" s="13"/>
    </row>
    <row r="990" customFormat="false" ht="23.85" hidden="false" customHeight="false" outlineLevel="0" collapsed="false">
      <c r="A990" s="9" t="n">
        <v>989</v>
      </c>
      <c r="B990" s="9" t="s">
        <v>50</v>
      </c>
      <c r="C990" s="11" t="s">
        <v>81</v>
      </c>
      <c r="D990" s="9" t="s">
        <v>4041</v>
      </c>
      <c r="E990" s="9" t="s">
        <v>4042</v>
      </c>
      <c r="F990" s="9" t="s">
        <v>4043</v>
      </c>
      <c r="G990" s="9" t="s">
        <v>24</v>
      </c>
      <c r="H990" s="12" t="s">
        <v>21</v>
      </c>
      <c r="I990" s="9" t="s">
        <v>4044</v>
      </c>
      <c r="J990" s="13"/>
      <c r="K990" s="13"/>
    </row>
    <row r="991" customFormat="false" ht="35.05" hidden="false" customHeight="false" outlineLevel="0" collapsed="false">
      <c r="A991" s="9" t="n">
        <v>990</v>
      </c>
      <c r="B991" s="9" t="s">
        <v>50</v>
      </c>
      <c r="C991" s="11" t="s">
        <v>81</v>
      </c>
      <c r="D991" s="9" t="s">
        <v>4045</v>
      </c>
      <c r="E991" s="9" t="s">
        <v>4046</v>
      </c>
      <c r="F991" s="9" t="s">
        <v>4047</v>
      </c>
      <c r="G991" s="9" t="s">
        <v>24</v>
      </c>
      <c r="H991" s="14" t="s">
        <v>22</v>
      </c>
      <c r="I991" s="9" t="s">
        <v>4048</v>
      </c>
      <c r="J991" s="13"/>
      <c r="K991" s="13"/>
    </row>
    <row r="992" customFormat="false" ht="46.25" hidden="false" customHeight="false" outlineLevel="0" collapsed="false">
      <c r="A992" s="9" t="n">
        <v>991</v>
      </c>
      <c r="B992" s="9" t="s">
        <v>50</v>
      </c>
      <c r="C992" s="11" t="s">
        <v>81</v>
      </c>
      <c r="D992" s="9" t="s">
        <v>4049</v>
      </c>
      <c r="E992" s="9" t="s">
        <v>4050</v>
      </c>
      <c r="F992" s="9" t="s">
        <v>4051</v>
      </c>
      <c r="G992" s="9" t="s">
        <v>24</v>
      </c>
      <c r="H992" s="14" t="s">
        <v>22</v>
      </c>
      <c r="I992" s="9" t="s">
        <v>4052</v>
      </c>
      <c r="J992" s="13"/>
      <c r="K992" s="13"/>
    </row>
    <row r="993" customFormat="false" ht="35.05" hidden="false" customHeight="false" outlineLevel="0" collapsed="false">
      <c r="A993" s="9" t="n">
        <v>992</v>
      </c>
      <c r="B993" s="9" t="s">
        <v>50</v>
      </c>
      <c r="C993" s="11" t="s">
        <v>81</v>
      </c>
      <c r="D993" s="9" t="s">
        <v>4053</v>
      </c>
      <c r="E993" s="9" t="s">
        <v>358</v>
      </c>
      <c r="F993" s="9" t="s">
        <v>4054</v>
      </c>
      <c r="G993" s="9" t="s">
        <v>24</v>
      </c>
      <c r="H993" s="14" t="s">
        <v>22</v>
      </c>
      <c r="I993" s="9" t="s">
        <v>4055</v>
      </c>
      <c r="J993" s="13"/>
      <c r="K993" s="13"/>
    </row>
    <row r="994" customFormat="false" ht="23.85" hidden="false" customHeight="false" outlineLevel="0" collapsed="false">
      <c r="A994" s="9" t="n">
        <v>993</v>
      </c>
      <c r="B994" s="9" t="s">
        <v>50</v>
      </c>
      <c r="C994" s="11" t="s">
        <v>81</v>
      </c>
      <c r="D994" s="9" t="s">
        <v>4056</v>
      </c>
      <c r="E994" s="9" t="s">
        <v>362</v>
      </c>
      <c r="F994" s="9" t="s">
        <v>4057</v>
      </c>
      <c r="G994" s="9" t="s">
        <v>24</v>
      </c>
      <c r="H994" s="14" t="s">
        <v>22</v>
      </c>
      <c r="I994" s="9" t="s">
        <v>4058</v>
      </c>
      <c r="J994" s="13"/>
      <c r="K994" s="13"/>
    </row>
    <row r="995" customFormat="false" ht="57.45" hidden="false" customHeight="false" outlineLevel="0" collapsed="false">
      <c r="A995" s="9" t="n">
        <v>994</v>
      </c>
      <c r="B995" s="9" t="s">
        <v>50</v>
      </c>
      <c r="C995" s="11" t="s">
        <v>81</v>
      </c>
      <c r="D995" s="9" t="s">
        <v>4059</v>
      </c>
      <c r="E995" s="9" t="s">
        <v>4060</v>
      </c>
      <c r="F995" s="9" t="s">
        <v>4061</v>
      </c>
      <c r="G995" s="9" t="s">
        <v>24</v>
      </c>
      <c r="H995" s="14" t="s">
        <v>22</v>
      </c>
      <c r="I995" s="9" t="s">
        <v>4062</v>
      </c>
      <c r="J995" s="13"/>
      <c r="K995" s="13"/>
    </row>
    <row r="996" customFormat="false" ht="35.05" hidden="false" customHeight="false" outlineLevel="0" collapsed="false">
      <c r="A996" s="9" t="n">
        <v>995</v>
      </c>
      <c r="B996" s="9" t="s">
        <v>50</v>
      </c>
      <c r="C996" s="11" t="s">
        <v>81</v>
      </c>
      <c r="D996" s="9" t="s">
        <v>4063</v>
      </c>
      <c r="E996" s="9" t="s">
        <v>4064</v>
      </c>
      <c r="F996" s="9" t="s">
        <v>4065</v>
      </c>
      <c r="G996" s="9" t="s">
        <v>24</v>
      </c>
      <c r="H996" s="14" t="s">
        <v>22</v>
      </c>
      <c r="I996" s="9" t="s">
        <v>4066</v>
      </c>
      <c r="J996" s="13"/>
      <c r="K996" s="13"/>
    </row>
    <row r="997" customFormat="false" ht="23.85" hidden="false" customHeight="false" outlineLevel="0" collapsed="false">
      <c r="A997" s="9" t="n">
        <v>996</v>
      </c>
      <c r="B997" s="9" t="s">
        <v>50</v>
      </c>
      <c r="C997" s="11" t="s">
        <v>81</v>
      </c>
      <c r="D997" s="9" t="s">
        <v>4067</v>
      </c>
      <c r="E997" s="9" t="s">
        <v>4068</v>
      </c>
      <c r="F997" s="9" t="s">
        <v>4069</v>
      </c>
      <c r="G997" s="9" t="s">
        <v>24</v>
      </c>
      <c r="H997" s="14" t="s">
        <v>22</v>
      </c>
      <c r="I997" s="9" t="s">
        <v>4070</v>
      </c>
      <c r="J997" s="13"/>
      <c r="K997" s="13"/>
    </row>
    <row r="998" customFormat="false" ht="23.85" hidden="false" customHeight="false" outlineLevel="0" collapsed="false">
      <c r="A998" s="9" t="n">
        <v>997</v>
      </c>
      <c r="B998" s="9" t="s">
        <v>50</v>
      </c>
      <c r="C998" s="11" t="s">
        <v>81</v>
      </c>
      <c r="D998" s="9" t="s">
        <v>4071</v>
      </c>
      <c r="E998" s="9" t="s">
        <v>4072</v>
      </c>
      <c r="F998" s="9" t="s">
        <v>4073</v>
      </c>
      <c r="G998" s="9" t="s">
        <v>24</v>
      </c>
      <c r="H998" s="15" t="s">
        <v>23</v>
      </c>
      <c r="I998" s="9" t="s">
        <v>4074</v>
      </c>
      <c r="J998" s="13"/>
      <c r="K998" s="13"/>
    </row>
    <row r="999" customFormat="false" ht="35.05" hidden="false" customHeight="false" outlineLevel="0" collapsed="false">
      <c r="A999" s="9" t="n">
        <v>998</v>
      </c>
      <c r="B999" s="9" t="s">
        <v>50</v>
      </c>
      <c r="C999" s="11" t="s">
        <v>81</v>
      </c>
      <c r="D999" s="9" t="s">
        <v>4075</v>
      </c>
      <c r="E999" s="9" t="s">
        <v>4076</v>
      </c>
      <c r="F999" s="9" t="s">
        <v>4077</v>
      </c>
      <c r="G999" s="9" t="s">
        <v>24</v>
      </c>
      <c r="H999" s="15" t="s">
        <v>23</v>
      </c>
      <c r="I999" s="9" t="s">
        <v>4078</v>
      </c>
      <c r="J999" s="13"/>
      <c r="K999" s="13"/>
    </row>
    <row r="1000" customFormat="false" ht="35.05" hidden="false" customHeight="false" outlineLevel="0" collapsed="false">
      <c r="A1000" s="9" t="n">
        <v>999</v>
      </c>
      <c r="B1000" s="9" t="s">
        <v>50</v>
      </c>
      <c r="C1000" s="11" t="s">
        <v>81</v>
      </c>
      <c r="D1000" s="9" t="s">
        <v>4079</v>
      </c>
      <c r="E1000" s="9" t="s">
        <v>4080</v>
      </c>
      <c r="F1000" s="9" t="s">
        <v>4081</v>
      </c>
      <c r="G1000" s="9" t="s">
        <v>24</v>
      </c>
      <c r="H1000" s="15" t="s">
        <v>23</v>
      </c>
      <c r="I1000" s="9" t="s">
        <v>4082</v>
      </c>
      <c r="J1000" s="13"/>
      <c r="K1000" s="13"/>
    </row>
    <row r="1001" customFormat="false" ht="23.85" hidden="false" customHeight="false" outlineLevel="0" collapsed="false">
      <c r="A1001" s="9" t="n">
        <v>1000</v>
      </c>
      <c r="B1001" s="9" t="s">
        <v>50</v>
      </c>
      <c r="C1001" s="11" t="s">
        <v>81</v>
      </c>
      <c r="D1001" s="9" t="s">
        <v>4083</v>
      </c>
      <c r="E1001" s="9" t="s">
        <v>4084</v>
      </c>
      <c r="F1001" s="9" t="s">
        <v>4085</v>
      </c>
      <c r="G1001" s="9" t="s">
        <v>24</v>
      </c>
      <c r="H1001" s="15" t="s">
        <v>23</v>
      </c>
      <c r="I1001" s="9" t="s">
        <v>4086</v>
      </c>
      <c r="J1001" s="13"/>
      <c r="K1001" s="13"/>
    </row>
    <row r="1002" customFormat="false" ht="23.85" hidden="false" customHeight="false" outlineLevel="0" collapsed="false">
      <c r="A1002" s="9" t="n">
        <v>1001</v>
      </c>
      <c r="B1002" s="9" t="s">
        <v>50</v>
      </c>
      <c r="C1002" s="11" t="s">
        <v>81</v>
      </c>
      <c r="D1002" s="9" t="s">
        <v>4087</v>
      </c>
      <c r="E1002" s="9" t="s">
        <v>4088</v>
      </c>
      <c r="F1002" s="9" t="s">
        <v>4089</v>
      </c>
      <c r="G1002" s="9" t="s">
        <v>24</v>
      </c>
      <c r="H1002" s="15" t="s">
        <v>23</v>
      </c>
      <c r="I1002" s="9" t="s">
        <v>4090</v>
      </c>
      <c r="J1002" s="13"/>
      <c r="K1002" s="13"/>
    </row>
    <row r="1003" customFormat="false" ht="15" hidden="false" customHeight="false" outlineLevel="0" collapsed="false">
      <c r="A1003" s="9" t="n">
        <v>1002</v>
      </c>
      <c r="B1003" s="9" t="s">
        <v>50</v>
      </c>
      <c r="C1003" s="11" t="s">
        <v>81</v>
      </c>
      <c r="D1003" s="9" t="s">
        <v>4091</v>
      </c>
      <c r="E1003" s="9" t="s">
        <v>4092</v>
      </c>
      <c r="F1003" s="9" t="s">
        <v>4093</v>
      </c>
      <c r="G1003" s="9" t="s">
        <v>24</v>
      </c>
      <c r="H1003" s="15" t="s">
        <v>23</v>
      </c>
      <c r="I1003" s="9" t="s">
        <v>4094</v>
      </c>
      <c r="J1003" s="13"/>
      <c r="K1003" s="13"/>
    </row>
    <row r="1004" customFormat="false" ht="35.05" hidden="false" customHeight="false" outlineLevel="0" collapsed="false">
      <c r="A1004" s="9" t="n">
        <v>1003</v>
      </c>
      <c r="B1004" s="9" t="s">
        <v>50</v>
      </c>
      <c r="C1004" s="11" t="s">
        <v>81</v>
      </c>
      <c r="D1004" s="9" t="s">
        <v>4095</v>
      </c>
      <c r="E1004" s="9" t="s">
        <v>3780</v>
      </c>
      <c r="F1004" s="9" t="s">
        <v>4096</v>
      </c>
      <c r="G1004" s="9" t="s">
        <v>24</v>
      </c>
      <c r="H1004" s="14" t="s">
        <v>22</v>
      </c>
      <c r="I1004" s="9" t="s">
        <v>4097</v>
      </c>
      <c r="J1004" s="13"/>
      <c r="K1004" s="13"/>
    </row>
    <row r="1005" customFormat="false" ht="23.85" hidden="false" customHeight="false" outlineLevel="0" collapsed="false">
      <c r="A1005" s="9" t="n">
        <v>1004</v>
      </c>
      <c r="B1005" s="9" t="s">
        <v>50</v>
      </c>
      <c r="C1005" s="11" t="s">
        <v>81</v>
      </c>
      <c r="D1005" s="9" t="s">
        <v>4098</v>
      </c>
      <c r="E1005" s="9" t="s">
        <v>4099</v>
      </c>
      <c r="F1005" s="9" t="s">
        <v>4100</v>
      </c>
      <c r="G1005" s="9" t="s">
        <v>24</v>
      </c>
      <c r="H1005" s="15" t="s">
        <v>23</v>
      </c>
      <c r="I1005" s="9" t="s">
        <v>4101</v>
      </c>
      <c r="J1005" s="13"/>
      <c r="K1005" s="13"/>
    </row>
    <row r="1006" customFormat="false" ht="68.65" hidden="false" customHeight="false" outlineLevel="0" collapsed="false">
      <c r="A1006" s="9" t="n">
        <v>1005</v>
      </c>
      <c r="B1006" s="9" t="s">
        <v>50</v>
      </c>
      <c r="C1006" s="11" t="s">
        <v>83</v>
      </c>
      <c r="D1006" s="9" t="s">
        <v>4102</v>
      </c>
      <c r="E1006" s="9" t="s">
        <v>4103</v>
      </c>
      <c r="F1006" s="9" t="s">
        <v>4104</v>
      </c>
      <c r="G1006" s="9" t="s">
        <v>303</v>
      </c>
      <c r="H1006" s="12" t="s">
        <v>21</v>
      </c>
      <c r="I1006" s="9" t="s">
        <v>4105</v>
      </c>
      <c r="J1006" s="13"/>
      <c r="K1006" s="13"/>
    </row>
    <row r="1007" customFormat="false" ht="124.6" hidden="false" customHeight="false" outlineLevel="0" collapsed="false">
      <c r="A1007" s="9" t="n">
        <v>1006</v>
      </c>
      <c r="B1007" s="9" t="s">
        <v>50</v>
      </c>
      <c r="C1007" s="11" t="s">
        <v>83</v>
      </c>
      <c r="D1007" s="9" t="s">
        <v>4106</v>
      </c>
      <c r="E1007" s="9" t="s">
        <v>4107</v>
      </c>
      <c r="F1007" s="9" t="s">
        <v>4108</v>
      </c>
      <c r="G1007" s="9" t="s">
        <v>3257</v>
      </c>
      <c r="H1007" s="12" t="s">
        <v>21</v>
      </c>
      <c r="I1007" s="9" t="s">
        <v>4109</v>
      </c>
      <c r="J1007" s="13"/>
      <c r="K1007" s="13"/>
    </row>
    <row r="1008" customFormat="false" ht="68.65" hidden="false" customHeight="false" outlineLevel="0" collapsed="false">
      <c r="A1008" s="9" t="n">
        <v>1007</v>
      </c>
      <c r="B1008" s="9" t="s">
        <v>50</v>
      </c>
      <c r="C1008" s="11" t="s">
        <v>83</v>
      </c>
      <c r="D1008" s="9" t="s">
        <v>4110</v>
      </c>
      <c r="E1008" s="9" t="s">
        <v>4111</v>
      </c>
      <c r="F1008" s="9" t="s">
        <v>4112</v>
      </c>
      <c r="G1008" s="9" t="s">
        <v>1063</v>
      </c>
      <c r="H1008" s="12" t="s">
        <v>21</v>
      </c>
      <c r="I1008" s="9" t="s">
        <v>4113</v>
      </c>
      <c r="J1008" s="13"/>
      <c r="K1008" s="13"/>
    </row>
    <row r="1009" customFormat="false" ht="46.25" hidden="false" customHeight="false" outlineLevel="0" collapsed="false">
      <c r="A1009" s="9" t="n">
        <v>1008</v>
      </c>
      <c r="B1009" s="9" t="s">
        <v>50</v>
      </c>
      <c r="C1009" s="11" t="s">
        <v>83</v>
      </c>
      <c r="D1009" s="9" t="s">
        <v>4114</v>
      </c>
      <c r="E1009" s="9" t="s">
        <v>4115</v>
      </c>
      <c r="F1009" s="9" t="s">
        <v>4116</v>
      </c>
      <c r="G1009" s="9" t="s">
        <v>1421</v>
      </c>
      <c r="H1009" s="12" t="s">
        <v>21</v>
      </c>
      <c r="I1009" s="9" t="s">
        <v>4117</v>
      </c>
      <c r="J1009" s="13"/>
      <c r="K1009" s="13"/>
    </row>
    <row r="1010" customFormat="false" ht="35.05" hidden="false" customHeight="false" outlineLevel="0" collapsed="false">
      <c r="A1010" s="9" t="n">
        <v>1009</v>
      </c>
      <c r="B1010" s="9" t="s">
        <v>50</v>
      </c>
      <c r="C1010" s="11" t="s">
        <v>83</v>
      </c>
      <c r="D1010" s="9" t="s">
        <v>4118</v>
      </c>
      <c r="E1010" s="9" t="s">
        <v>4119</v>
      </c>
      <c r="F1010" s="9" t="s">
        <v>4120</v>
      </c>
      <c r="G1010" s="9" t="s">
        <v>317</v>
      </c>
      <c r="H1010" s="14" t="s">
        <v>22</v>
      </c>
      <c r="I1010" s="9" t="s">
        <v>4121</v>
      </c>
      <c r="J1010" s="13"/>
      <c r="K1010" s="13"/>
    </row>
    <row r="1011" customFormat="false" ht="57.45" hidden="false" customHeight="false" outlineLevel="0" collapsed="false">
      <c r="A1011" s="9" t="n">
        <v>1010</v>
      </c>
      <c r="B1011" s="9" t="s">
        <v>50</v>
      </c>
      <c r="C1011" s="11" t="s">
        <v>83</v>
      </c>
      <c r="D1011" s="9" t="s">
        <v>4122</v>
      </c>
      <c r="E1011" s="9" t="s">
        <v>4123</v>
      </c>
      <c r="F1011" s="9" t="s">
        <v>4124</v>
      </c>
      <c r="G1011" s="9" t="s">
        <v>1058</v>
      </c>
      <c r="H1011" s="14" t="s">
        <v>22</v>
      </c>
      <c r="I1011" s="9" t="s">
        <v>4125</v>
      </c>
      <c r="J1011" s="13"/>
      <c r="K1011" s="13"/>
    </row>
    <row r="1012" customFormat="false" ht="57.45" hidden="false" customHeight="false" outlineLevel="0" collapsed="false">
      <c r="A1012" s="9" t="n">
        <v>1011</v>
      </c>
      <c r="B1012" s="9" t="s">
        <v>50</v>
      </c>
      <c r="C1012" s="11" t="s">
        <v>83</v>
      </c>
      <c r="D1012" s="9" t="s">
        <v>4126</v>
      </c>
      <c r="E1012" s="9" t="s">
        <v>4127</v>
      </c>
      <c r="F1012" s="9" t="s">
        <v>4128</v>
      </c>
      <c r="G1012" s="9" t="s">
        <v>3257</v>
      </c>
      <c r="H1012" s="12" t="s">
        <v>21</v>
      </c>
      <c r="I1012" s="9" t="s">
        <v>4129</v>
      </c>
      <c r="J1012" s="13"/>
      <c r="K1012" s="13"/>
    </row>
    <row r="1013" customFormat="false" ht="79.85" hidden="false" customHeight="false" outlineLevel="0" collapsed="false">
      <c r="A1013" s="9" t="n">
        <v>1012</v>
      </c>
      <c r="B1013" s="9" t="s">
        <v>50</v>
      </c>
      <c r="C1013" s="11" t="s">
        <v>83</v>
      </c>
      <c r="D1013" s="9" t="s">
        <v>4130</v>
      </c>
      <c r="E1013" s="9" t="s">
        <v>4131</v>
      </c>
      <c r="F1013" s="9" t="s">
        <v>4132</v>
      </c>
      <c r="G1013" s="9" t="s">
        <v>392</v>
      </c>
      <c r="H1013" s="12" t="s">
        <v>21</v>
      </c>
      <c r="I1013" s="9" t="s">
        <v>4133</v>
      </c>
      <c r="J1013" s="13"/>
      <c r="K1013" s="13"/>
    </row>
    <row r="1014" customFormat="false" ht="57.45" hidden="false" customHeight="false" outlineLevel="0" collapsed="false">
      <c r="A1014" s="9" t="n">
        <v>1013</v>
      </c>
      <c r="B1014" s="9" t="s">
        <v>50</v>
      </c>
      <c r="C1014" s="11" t="s">
        <v>83</v>
      </c>
      <c r="D1014" s="9" t="s">
        <v>4134</v>
      </c>
      <c r="E1014" s="9" t="s">
        <v>4135</v>
      </c>
      <c r="F1014" s="9" t="s">
        <v>4136</v>
      </c>
      <c r="G1014" s="9" t="s">
        <v>847</v>
      </c>
      <c r="H1014" s="14" t="s">
        <v>22</v>
      </c>
      <c r="I1014" s="9" t="s">
        <v>4137</v>
      </c>
      <c r="J1014" s="13"/>
      <c r="K1014" s="13"/>
    </row>
    <row r="1015" customFormat="false" ht="68.65" hidden="false" customHeight="false" outlineLevel="0" collapsed="false">
      <c r="A1015" s="9" t="n">
        <v>1014</v>
      </c>
      <c r="B1015" s="9" t="s">
        <v>50</v>
      </c>
      <c r="C1015" s="11" t="s">
        <v>83</v>
      </c>
      <c r="D1015" s="9" t="s">
        <v>4138</v>
      </c>
      <c r="E1015" s="9" t="s">
        <v>4139</v>
      </c>
      <c r="F1015" s="9" t="s">
        <v>4140</v>
      </c>
      <c r="G1015" s="9" t="s">
        <v>4141</v>
      </c>
      <c r="H1015" s="14" t="s">
        <v>22</v>
      </c>
      <c r="I1015" s="9" t="s">
        <v>4142</v>
      </c>
      <c r="J1015" s="13"/>
      <c r="K1015" s="13"/>
    </row>
    <row r="1016" customFormat="false" ht="57.45" hidden="false" customHeight="false" outlineLevel="0" collapsed="false">
      <c r="A1016" s="9" t="n">
        <v>1015</v>
      </c>
      <c r="B1016" s="9" t="s">
        <v>50</v>
      </c>
      <c r="C1016" s="11" t="s">
        <v>83</v>
      </c>
      <c r="D1016" s="9" t="s">
        <v>4143</v>
      </c>
      <c r="E1016" s="9" t="s">
        <v>4144</v>
      </c>
      <c r="F1016" s="9" t="s">
        <v>4145</v>
      </c>
      <c r="G1016" s="9" t="s">
        <v>4146</v>
      </c>
      <c r="H1016" s="15" t="s">
        <v>23</v>
      </c>
      <c r="I1016" s="9" t="s">
        <v>4147</v>
      </c>
      <c r="J1016" s="13"/>
      <c r="K1016" s="13"/>
    </row>
    <row r="1017" customFormat="false" ht="68.65" hidden="false" customHeight="false" outlineLevel="0" collapsed="false">
      <c r="A1017" s="9" t="n">
        <v>1016</v>
      </c>
      <c r="B1017" s="9" t="s">
        <v>50</v>
      </c>
      <c r="C1017" s="11" t="s">
        <v>83</v>
      </c>
      <c r="D1017" s="9" t="s">
        <v>4148</v>
      </c>
      <c r="E1017" s="9" t="s">
        <v>4149</v>
      </c>
      <c r="F1017" s="9" t="s">
        <v>4150</v>
      </c>
      <c r="G1017" s="9" t="s">
        <v>392</v>
      </c>
      <c r="H1017" s="12" t="s">
        <v>21</v>
      </c>
      <c r="I1017" s="9" t="s">
        <v>4151</v>
      </c>
      <c r="J1017" s="13"/>
      <c r="K1017" s="13"/>
    </row>
    <row r="1018" customFormat="false" ht="68.65" hidden="false" customHeight="false" outlineLevel="0" collapsed="false">
      <c r="A1018" s="9" t="n">
        <v>1017</v>
      </c>
      <c r="B1018" s="9" t="s">
        <v>50</v>
      </c>
      <c r="C1018" s="11" t="s">
        <v>83</v>
      </c>
      <c r="D1018" s="9" t="s">
        <v>4152</v>
      </c>
      <c r="E1018" s="9" t="s">
        <v>4153</v>
      </c>
      <c r="F1018" s="9" t="s">
        <v>4154</v>
      </c>
      <c r="G1018" s="9" t="s">
        <v>317</v>
      </c>
      <c r="H1018" s="14" t="s">
        <v>22</v>
      </c>
      <c r="I1018" s="9" t="s">
        <v>4155</v>
      </c>
      <c r="J1018" s="13"/>
      <c r="K1018" s="13"/>
    </row>
    <row r="1019" customFormat="false" ht="46.25" hidden="false" customHeight="false" outlineLevel="0" collapsed="false">
      <c r="A1019" s="9" t="n">
        <v>1018</v>
      </c>
      <c r="B1019" s="9" t="s">
        <v>50</v>
      </c>
      <c r="C1019" s="11" t="s">
        <v>83</v>
      </c>
      <c r="D1019" s="9" t="s">
        <v>4156</v>
      </c>
      <c r="E1019" s="9" t="s">
        <v>4157</v>
      </c>
      <c r="F1019" s="9" t="s">
        <v>4158</v>
      </c>
      <c r="G1019" s="9" t="s">
        <v>317</v>
      </c>
      <c r="H1019" s="14" t="s">
        <v>22</v>
      </c>
      <c r="I1019" s="9" t="s">
        <v>4159</v>
      </c>
      <c r="J1019" s="13"/>
      <c r="K1019" s="13"/>
    </row>
    <row r="1020" customFormat="false" ht="79.85" hidden="false" customHeight="false" outlineLevel="0" collapsed="false">
      <c r="A1020" s="9" t="n">
        <v>1019</v>
      </c>
      <c r="B1020" s="9" t="s">
        <v>50</v>
      </c>
      <c r="C1020" s="11" t="s">
        <v>83</v>
      </c>
      <c r="D1020" s="9" t="s">
        <v>4160</v>
      </c>
      <c r="E1020" s="9" t="s">
        <v>4161</v>
      </c>
      <c r="F1020" s="9" t="s">
        <v>4162</v>
      </c>
      <c r="G1020" s="9" t="s">
        <v>3266</v>
      </c>
      <c r="H1020" s="12" t="s">
        <v>21</v>
      </c>
      <c r="I1020" s="9" t="s">
        <v>4163</v>
      </c>
      <c r="J1020" s="13"/>
      <c r="K1020" s="13"/>
    </row>
    <row r="1021" customFormat="false" ht="46.25" hidden="false" customHeight="false" outlineLevel="0" collapsed="false">
      <c r="A1021" s="9" t="n">
        <v>1020</v>
      </c>
      <c r="B1021" s="9" t="s">
        <v>50</v>
      </c>
      <c r="C1021" s="11" t="s">
        <v>83</v>
      </c>
      <c r="D1021" s="9" t="s">
        <v>4164</v>
      </c>
      <c r="E1021" s="9" t="s">
        <v>4165</v>
      </c>
      <c r="F1021" s="9" t="s">
        <v>4166</v>
      </c>
      <c r="G1021" s="9" t="s">
        <v>1072</v>
      </c>
      <c r="H1021" s="12" t="s">
        <v>21</v>
      </c>
      <c r="I1021" s="9" t="s">
        <v>4167</v>
      </c>
      <c r="J1021" s="13"/>
      <c r="K1021" s="13"/>
    </row>
    <row r="1022" customFormat="false" ht="57.45" hidden="false" customHeight="false" outlineLevel="0" collapsed="false">
      <c r="A1022" s="9" t="n">
        <v>1021</v>
      </c>
      <c r="B1022" s="9" t="s">
        <v>50</v>
      </c>
      <c r="C1022" s="11" t="s">
        <v>83</v>
      </c>
      <c r="D1022" s="9" t="s">
        <v>4168</v>
      </c>
      <c r="E1022" s="9" t="s">
        <v>4169</v>
      </c>
      <c r="F1022" s="9" t="s">
        <v>4170</v>
      </c>
      <c r="G1022" s="9" t="s">
        <v>1063</v>
      </c>
      <c r="H1022" s="14" t="s">
        <v>22</v>
      </c>
      <c r="I1022" s="9" t="s">
        <v>4171</v>
      </c>
      <c r="J1022" s="13"/>
      <c r="K1022" s="13"/>
    </row>
    <row r="1023" customFormat="false" ht="68.65" hidden="false" customHeight="false" outlineLevel="0" collapsed="false">
      <c r="A1023" s="9" t="n">
        <v>1022</v>
      </c>
      <c r="B1023" s="9" t="s">
        <v>50</v>
      </c>
      <c r="C1023" s="11" t="s">
        <v>83</v>
      </c>
      <c r="D1023" s="9" t="s">
        <v>4172</v>
      </c>
      <c r="E1023" s="9" t="s">
        <v>4173</v>
      </c>
      <c r="F1023" s="9" t="s">
        <v>4174</v>
      </c>
      <c r="G1023" s="9" t="s">
        <v>1613</v>
      </c>
      <c r="H1023" s="12" t="s">
        <v>21</v>
      </c>
      <c r="I1023" s="9" t="s">
        <v>4175</v>
      </c>
      <c r="J1023" s="13"/>
      <c r="K1023" s="13"/>
    </row>
    <row r="1024" customFormat="false" ht="113.4" hidden="false" customHeight="false" outlineLevel="0" collapsed="false">
      <c r="A1024" s="9" t="n">
        <v>1023</v>
      </c>
      <c r="B1024" s="9" t="s">
        <v>50</v>
      </c>
      <c r="C1024" s="11" t="s">
        <v>83</v>
      </c>
      <c r="D1024" s="9" t="s">
        <v>4176</v>
      </c>
      <c r="E1024" s="9" t="s">
        <v>4177</v>
      </c>
      <c r="F1024" s="9" t="s">
        <v>4178</v>
      </c>
      <c r="G1024" s="9" t="s">
        <v>4179</v>
      </c>
      <c r="H1024" s="12" t="s">
        <v>21</v>
      </c>
      <c r="I1024" s="9" t="s">
        <v>4180</v>
      </c>
      <c r="J1024" s="13"/>
      <c r="K1024" s="13"/>
    </row>
    <row r="1025" customFormat="false" ht="57.45" hidden="false" customHeight="false" outlineLevel="0" collapsed="false">
      <c r="A1025" s="9" t="n">
        <v>1024</v>
      </c>
      <c r="B1025" s="9" t="s">
        <v>50</v>
      </c>
      <c r="C1025" s="11" t="s">
        <v>83</v>
      </c>
      <c r="D1025" s="9" t="s">
        <v>4181</v>
      </c>
      <c r="E1025" s="9" t="s">
        <v>4182</v>
      </c>
      <c r="F1025" s="9" t="s">
        <v>4183</v>
      </c>
      <c r="G1025" s="9" t="s">
        <v>1072</v>
      </c>
      <c r="H1025" s="14" t="s">
        <v>22</v>
      </c>
      <c r="I1025" s="9" t="s">
        <v>4184</v>
      </c>
      <c r="J1025" s="13"/>
      <c r="K1025" s="13"/>
    </row>
    <row r="1026" customFormat="false" ht="46.25" hidden="false" customHeight="false" outlineLevel="0" collapsed="false">
      <c r="A1026" s="9" t="n">
        <v>1025</v>
      </c>
      <c r="B1026" s="9" t="s">
        <v>50</v>
      </c>
      <c r="C1026" s="11" t="s">
        <v>83</v>
      </c>
      <c r="D1026" s="9" t="s">
        <v>4185</v>
      </c>
      <c r="E1026" s="9" t="s">
        <v>4186</v>
      </c>
      <c r="F1026" s="9" t="s">
        <v>4187</v>
      </c>
      <c r="G1026" s="9" t="s">
        <v>312</v>
      </c>
      <c r="H1026" s="15" t="s">
        <v>23</v>
      </c>
      <c r="I1026" s="9" t="s">
        <v>4188</v>
      </c>
      <c r="J1026" s="13"/>
      <c r="K1026" s="13"/>
    </row>
    <row r="1027" customFormat="false" ht="46.25" hidden="false" customHeight="false" outlineLevel="0" collapsed="false">
      <c r="A1027" s="9" t="n">
        <v>1026</v>
      </c>
      <c r="B1027" s="9" t="s">
        <v>50</v>
      </c>
      <c r="C1027" s="11" t="s">
        <v>83</v>
      </c>
      <c r="D1027" s="9" t="s">
        <v>4189</v>
      </c>
      <c r="E1027" s="9" t="s">
        <v>4190</v>
      </c>
      <c r="F1027" s="9" t="s">
        <v>4191</v>
      </c>
      <c r="G1027" s="9" t="s">
        <v>1072</v>
      </c>
      <c r="H1027" s="15" t="s">
        <v>23</v>
      </c>
      <c r="I1027" s="9" t="s">
        <v>4192</v>
      </c>
      <c r="J1027" s="13"/>
      <c r="K1027" s="13"/>
    </row>
    <row r="1028" customFormat="false" ht="91" hidden="false" customHeight="false" outlineLevel="0" collapsed="false">
      <c r="A1028" s="9" t="n">
        <v>1027</v>
      </c>
      <c r="B1028" s="9" t="s">
        <v>50</v>
      </c>
      <c r="C1028" s="11" t="s">
        <v>83</v>
      </c>
      <c r="D1028" s="9" t="s">
        <v>4193</v>
      </c>
      <c r="E1028" s="9" t="s">
        <v>4194</v>
      </c>
      <c r="F1028" s="9" t="s">
        <v>4195</v>
      </c>
      <c r="G1028" s="9" t="s">
        <v>3343</v>
      </c>
      <c r="H1028" s="12" t="s">
        <v>21</v>
      </c>
      <c r="I1028" s="9" t="s">
        <v>4196</v>
      </c>
      <c r="J1028" s="13"/>
      <c r="K1028" s="13"/>
    </row>
    <row r="1029" customFormat="false" ht="46.25" hidden="false" customHeight="false" outlineLevel="0" collapsed="false">
      <c r="A1029" s="9" t="n">
        <v>1028</v>
      </c>
      <c r="B1029" s="9" t="s">
        <v>50</v>
      </c>
      <c r="C1029" s="11" t="s">
        <v>83</v>
      </c>
      <c r="D1029" s="9" t="s">
        <v>4197</v>
      </c>
      <c r="E1029" s="9" t="s">
        <v>4198</v>
      </c>
      <c r="F1029" s="9" t="s">
        <v>4199</v>
      </c>
      <c r="G1029" s="9" t="s">
        <v>1072</v>
      </c>
      <c r="H1029" s="14" t="s">
        <v>22</v>
      </c>
      <c r="I1029" s="9" t="s">
        <v>4200</v>
      </c>
      <c r="J1029" s="13"/>
      <c r="K1029" s="13"/>
    </row>
    <row r="1030" customFormat="false" ht="35.05" hidden="false" customHeight="false" outlineLevel="0" collapsed="false">
      <c r="A1030" s="9" t="n">
        <v>1029</v>
      </c>
      <c r="B1030" s="9" t="s">
        <v>50</v>
      </c>
      <c r="C1030" s="11" t="s">
        <v>83</v>
      </c>
      <c r="D1030" s="9" t="s">
        <v>4201</v>
      </c>
      <c r="E1030" s="9" t="s">
        <v>4202</v>
      </c>
      <c r="F1030" s="9" t="s">
        <v>4203</v>
      </c>
      <c r="G1030" s="9" t="s">
        <v>312</v>
      </c>
      <c r="H1030" s="15" t="s">
        <v>23</v>
      </c>
      <c r="I1030" s="9" t="s">
        <v>4204</v>
      </c>
      <c r="J1030" s="13"/>
      <c r="K1030" s="13"/>
    </row>
    <row r="1031" customFormat="false" ht="79.85" hidden="false" customHeight="false" outlineLevel="0" collapsed="false">
      <c r="A1031" s="9" t="n">
        <v>1030</v>
      </c>
      <c r="B1031" s="9" t="s">
        <v>50</v>
      </c>
      <c r="C1031" s="11" t="s">
        <v>83</v>
      </c>
      <c r="D1031" s="9" t="s">
        <v>4205</v>
      </c>
      <c r="E1031" s="9" t="s">
        <v>4206</v>
      </c>
      <c r="F1031" s="9" t="s">
        <v>4207</v>
      </c>
      <c r="G1031" s="9" t="s">
        <v>312</v>
      </c>
      <c r="H1031" s="14" t="s">
        <v>22</v>
      </c>
      <c r="I1031" s="9" t="s">
        <v>4208</v>
      </c>
      <c r="J1031" s="13"/>
      <c r="K1031" s="13"/>
    </row>
    <row r="1032" customFormat="false" ht="35.05" hidden="false" customHeight="false" outlineLevel="0" collapsed="false">
      <c r="A1032" s="9" t="n">
        <v>1031</v>
      </c>
      <c r="B1032" s="9" t="s">
        <v>50</v>
      </c>
      <c r="C1032" s="11" t="s">
        <v>83</v>
      </c>
      <c r="D1032" s="9" t="s">
        <v>4209</v>
      </c>
      <c r="E1032" s="9" t="s">
        <v>4210</v>
      </c>
      <c r="F1032" s="9" t="s">
        <v>4211</v>
      </c>
      <c r="G1032" s="9" t="s">
        <v>312</v>
      </c>
      <c r="H1032" s="15" t="s">
        <v>23</v>
      </c>
      <c r="I1032" s="9" t="s">
        <v>4212</v>
      </c>
      <c r="J1032" s="13"/>
      <c r="K1032" s="13"/>
    </row>
    <row r="1033" customFormat="false" ht="46.25" hidden="false" customHeight="false" outlineLevel="0" collapsed="false">
      <c r="A1033" s="9" t="n">
        <v>1032</v>
      </c>
      <c r="B1033" s="9" t="s">
        <v>50</v>
      </c>
      <c r="C1033" s="11" t="s">
        <v>83</v>
      </c>
      <c r="D1033" s="9" t="s">
        <v>4213</v>
      </c>
      <c r="E1033" s="9" t="s">
        <v>4214</v>
      </c>
      <c r="F1033" s="9" t="s">
        <v>4215</v>
      </c>
      <c r="G1033" s="9" t="s">
        <v>312</v>
      </c>
      <c r="H1033" s="15" t="s">
        <v>23</v>
      </c>
      <c r="I1033" s="9" t="s">
        <v>4216</v>
      </c>
      <c r="J1033" s="13"/>
      <c r="K1033" s="13"/>
    </row>
    <row r="1034" customFormat="false" ht="57.45" hidden="false" customHeight="false" outlineLevel="0" collapsed="false">
      <c r="A1034" s="9" t="n">
        <v>1033</v>
      </c>
      <c r="B1034" s="9" t="s">
        <v>50</v>
      </c>
      <c r="C1034" s="11" t="s">
        <v>83</v>
      </c>
      <c r="D1034" s="9" t="s">
        <v>4217</v>
      </c>
      <c r="E1034" s="9" t="s">
        <v>4218</v>
      </c>
      <c r="F1034" s="9" t="s">
        <v>4219</v>
      </c>
      <c r="G1034" s="9" t="s">
        <v>328</v>
      </c>
      <c r="H1034" s="15" t="s">
        <v>23</v>
      </c>
      <c r="I1034" s="9" t="s">
        <v>4220</v>
      </c>
      <c r="J1034" s="13"/>
      <c r="K1034" s="13"/>
    </row>
    <row r="1035" customFormat="false" ht="46.25" hidden="false" customHeight="false" outlineLevel="0" collapsed="false">
      <c r="A1035" s="9" t="n">
        <v>1034</v>
      </c>
      <c r="B1035" s="9" t="s">
        <v>50</v>
      </c>
      <c r="C1035" s="11" t="s">
        <v>83</v>
      </c>
      <c r="D1035" s="9" t="s">
        <v>4221</v>
      </c>
      <c r="E1035" s="9" t="s">
        <v>4222</v>
      </c>
      <c r="F1035" s="9" t="s">
        <v>4223</v>
      </c>
      <c r="G1035" s="9" t="s">
        <v>317</v>
      </c>
      <c r="H1035" s="14" t="s">
        <v>22</v>
      </c>
      <c r="I1035" s="9" t="s">
        <v>4224</v>
      </c>
      <c r="J1035" s="13"/>
      <c r="K1035" s="13"/>
    </row>
    <row r="1036" customFormat="false" ht="46.25" hidden="false" customHeight="false" outlineLevel="0" collapsed="false">
      <c r="A1036" s="9" t="n">
        <v>1035</v>
      </c>
      <c r="B1036" s="9" t="s">
        <v>50</v>
      </c>
      <c r="C1036" s="11" t="s">
        <v>83</v>
      </c>
      <c r="D1036" s="9" t="s">
        <v>4225</v>
      </c>
      <c r="E1036" s="9" t="s">
        <v>4226</v>
      </c>
      <c r="F1036" s="9" t="s">
        <v>4227</v>
      </c>
      <c r="G1036" s="9" t="s">
        <v>317</v>
      </c>
      <c r="H1036" s="14" t="s">
        <v>22</v>
      </c>
      <c r="I1036" s="9" t="s">
        <v>4228</v>
      </c>
      <c r="J1036" s="13"/>
      <c r="K1036" s="13"/>
    </row>
    <row r="1037" customFormat="false" ht="68.65" hidden="false" customHeight="false" outlineLevel="0" collapsed="false">
      <c r="A1037" s="9" t="n">
        <v>1036</v>
      </c>
      <c r="B1037" s="9" t="s">
        <v>50</v>
      </c>
      <c r="C1037" s="11" t="s">
        <v>83</v>
      </c>
      <c r="D1037" s="9" t="s">
        <v>4229</v>
      </c>
      <c r="E1037" s="9" t="s">
        <v>4230</v>
      </c>
      <c r="F1037" s="9" t="s">
        <v>4231</v>
      </c>
      <c r="G1037" s="9" t="s">
        <v>4232</v>
      </c>
      <c r="H1037" s="15" t="s">
        <v>23</v>
      </c>
      <c r="I1037" s="9" t="s">
        <v>4233</v>
      </c>
      <c r="J1037" s="13"/>
      <c r="K1037" s="13"/>
    </row>
    <row r="1038" customFormat="false" ht="35.05" hidden="false" customHeight="false" outlineLevel="0" collapsed="false">
      <c r="A1038" s="9" t="n">
        <v>1037</v>
      </c>
      <c r="B1038" s="9" t="s">
        <v>50</v>
      </c>
      <c r="C1038" s="11" t="s">
        <v>83</v>
      </c>
      <c r="D1038" s="9" t="s">
        <v>4234</v>
      </c>
      <c r="E1038" s="9" t="s">
        <v>4235</v>
      </c>
      <c r="F1038" s="9" t="s">
        <v>4236</v>
      </c>
      <c r="G1038" s="9" t="s">
        <v>312</v>
      </c>
      <c r="H1038" s="15" t="s">
        <v>23</v>
      </c>
      <c r="I1038" s="9" t="s">
        <v>4237</v>
      </c>
      <c r="J1038" s="13"/>
      <c r="K1038" s="13"/>
    </row>
    <row r="1039" customFormat="false" ht="35.05" hidden="false" customHeight="false" outlineLevel="0" collapsed="false">
      <c r="A1039" s="9" t="n">
        <v>1038</v>
      </c>
      <c r="B1039" s="9" t="s">
        <v>50</v>
      </c>
      <c r="C1039" s="11" t="s">
        <v>83</v>
      </c>
      <c r="D1039" s="9" t="s">
        <v>4238</v>
      </c>
      <c r="E1039" s="9" t="s">
        <v>4239</v>
      </c>
      <c r="F1039" s="9" t="s">
        <v>4240</v>
      </c>
      <c r="G1039" s="9" t="s">
        <v>1072</v>
      </c>
      <c r="H1039" s="15" t="s">
        <v>23</v>
      </c>
      <c r="I1039" s="9" t="s">
        <v>4241</v>
      </c>
      <c r="J1039" s="13"/>
      <c r="K1039" s="13"/>
    </row>
    <row r="1040" customFormat="false" ht="57.45" hidden="false" customHeight="false" outlineLevel="0" collapsed="false">
      <c r="A1040" s="9" t="n">
        <v>1039</v>
      </c>
      <c r="B1040" s="9" t="s">
        <v>50</v>
      </c>
      <c r="C1040" s="11" t="s">
        <v>83</v>
      </c>
      <c r="D1040" s="9" t="s">
        <v>4242</v>
      </c>
      <c r="E1040" s="9" t="s">
        <v>4243</v>
      </c>
      <c r="F1040" s="9" t="s">
        <v>4244</v>
      </c>
      <c r="G1040" s="9" t="s">
        <v>1072</v>
      </c>
      <c r="H1040" s="15" t="s">
        <v>23</v>
      </c>
      <c r="I1040" s="9" t="s">
        <v>4245</v>
      </c>
      <c r="J1040" s="13"/>
      <c r="K1040" s="13"/>
    </row>
    <row r="1041" customFormat="false" ht="23.85" hidden="false" customHeight="false" outlineLevel="0" collapsed="false">
      <c r="A1041" s="9" t="n">
        <v>1040</v>
      </c>
      <c r="B1041" s="9" t="s">
        <v>50</v>
      </c>
      <c r="C1041" s="11" t="s">
        <v>83</v>
      </c>
      <c r="D1041" s="9" t="s">
        <v>4246</v>
      </c>
      <c r="E1041" s="9" t="s">
        <v>4247</v>
      </c>
      <c r="F1041" s="9" t="s">
        <v>4248</v>
      </c>
      <c r="G1041" s="9" t="s">
        <v>328</v>
      </c>
      <c r="H1041" s="15" t="s">
        <v>23</v>
      </c>
      <c r="I1041" s="9" t="s">
        <v>4249</v>
      </c>
      <c r="J1041" s="13"/>
      <c r="K1041" s="13"/>
    </row>
    <row r="1042" customFormat="false" ht="35.05" hidden="false" customHeight="false" outlineLevel="0" collapsed="false">
      <c r="A1042" s="9" t="n">
        <v>1041</v>
      </c>
      <c r="B1042" s="9" t="s">
        <v>50</v>
      </c>
      <c r="C1042" s="11" t="s">
        <v>83</v>
      </c>
      <c r="D1042" s="9" t="s">
        <v>4250</v>
      </c>
      <c r="E1042" s="9" t="s">
        <v>4251</v>
      </c>
      <c r="F1042" s="9" t="s">
        <v>4252</v>
      </c>
      <c r="G1042" s="9" t="s">
        <v>312</v>
      </c>
      <c r="H1042" s="15" t="s">
        <v>23</v>
      </c>
      <c r="I1042" s="9" t="s">
        <v>4253</v>
      </c>
      <c r="J1042" s="13"/>
      <c r="K1042" s="13"/>
    </row>
    <row r="1043" customFormat="false" ht="35.05" hidden="false" customHeight="false" outlineLevel="0" collapsed="false">
      <c r="A1043" s="9" t="n">
        <v>1042</v>
      </c>
      <c r="B1043" s="9" t="s">
        <v>50</v>
      </c>
      <c r="C1043" s="11" t="s">
        <v>83</v>
      </c>
      <c r="D1043" s="9" t="s">
        <v>4254</v>
      </c>
      <c r="E1043" s="9" t="s">
        <v>4255</v>
      </c>
      <c r="F1043" s="9" t="s">
        <v>4256</v>
      </c>
      <c r="G1043" s="9" t="s">
        <v>324</v>
      </c>
      <c r="H1043" s="14" t="s">
        <v>22</v>
      </c>
      <c r="I1043" s="9" t="s">
        <v>4257</v>
      </c>
      <c r="J1043" s="13"/>
      <c r="K1043" s="13"/>
    </row>
    <row r="1044" customFormat="false" ht="35.05" hidden="false" customHeight="false" outlineLevel="0" collapsed="false">
      <c r="A1044" s="9" t="n">
        <v>1043</v>
      </c>
      <c r="B1044" s="9" t="s">
        <v>50</v>
      </c>
      <c r="C1044" s="11" t="s">
        <v>83</v>
      </c>
      <c r="D1044" s="9" t="s">
        <v>4258</v>
      </c>
      <c r="E1044" s="9" t="s">
        <v>4259</v>
      </c>
      <c r="F1044" s="9" t="s">
        <v>4260</v>
      </c>
      <c r="G1044" s="9" t="s">
        <v>24</v>
      </c>
      <c r="H1044" s="12" t="s">
        <v>21</v>
      </c>
      <c r="I1044" s="9" t="s">
        <v>4261</v>
      </c>
      <c r="J1044" s="13"/>
      <c r="K1044" s="13"/>
    </row>
    <row r="1045" customFormat="false" ht="35.05" hidden="false" customHeight="false" outlineLevel="0" collapsed="false">
      <c r="A1045" s="9" t="n">
        <v>1044</v>
      </c>
      <c r="B1045" s="9" t="s">
        <v>50</v>
      </c>
      <c r="C1045" s="11" t="s">
        <v>83</v>
      </c>
      <c r="D1045" s="9" t="s">
        <v>4262</v>
      </c>
      <c r="E1045" s="9" t="s">
        <v>4263</v>
      </c>
      <c r="F1045" s="9" t="s">
        <v>4264</v>
      </c>
      <c r="G1045" s="9" t="s">
        <v>24</v>
      </c>
      <c r="H1045" s="12" t="s">
        <v>21</v>
      </c>
      <c r="I1045" s="9" t="s">
        <v>4265</v>
      </c>
      <c r="J1045" s="13"/>
      <c r="K1045" s="13"/>
    </row>
    <row r="1046" customFormat="false" ht="35.05" hidden="false" customHeight="false" outlineLevel="0" collapsed="false">
      <c r="A1046" s="9" t="n">
        <v>1045</v>
      </c>
      <c r="B1046" s="9" t="s">
        <v>50</v>
      </c>
      <c r="C1046" s="11" t="s">
        <v>83</v>
      </c>
      <c r="D1046" s="9" t="s">
        <v>4266</v>
      </c>
      <c r="E1046" s="9" t="s">
        <v>4267</v>
      </c>
      <c r="F1046" s="9" t="s">
        <v>4268</v>
      </c>
      <c r="G1046" s="9" t="s">
        <v>24</v>
      </c>
      <c r="H1046" s="14" t="s">
        <v>22</v>
      </c>
      <c r="I1046" s="9" t="s">
        <v>4269</v>
      </c>
      <c r="J1046" s="13"/>
      <c r="K1046" s="13"/>
    </row>
    <row r="1047" customFormat="false" ht="23.85" hidden="false" customHeight="false" outlineLevel="0" collapsed="false">
      <c r="A1047" s="9" t="n">
        <v>1046</v>
      </c>
      <c r="B1047" s="9" t="s">
        <v>50</v>
      </c>
      <c r="C1047" s="11" t="s">
        <v>83</v>
      </c>
      <c r="D1047" s="9" t="s">
        <v>4270</v>
      </c>
      <c r="E1047" s="9" t="s">
        <v>4271</v>
      </c>
      <c r="F1047" s="9" t="s">
        <v>4272</v>
      </c>
      <c r="G1047" s="9" t="s">
        <v>24</v>
      </c>
      <c r="H1047" s="14" t="s">
        <v>22</v>
      </c>
      <c r="I1047" s="9" t="s">
        <v>4273</v>
      </c>
      <c r="J1047" s="13"/>
      <c r="K1047" s="13"/>
    </row>
    <row r="1048" customFormat="false" ht="23.85" hidden="false" customHeight="false" outlineLevel="0" collapsed="false">
      <c r="A1048" s="9" t="n">
        <v>1047</v>
      </c>
      <c r="B1048" s="9" t="s">
        <v>50</v>
      </c>
      <c r="C1048" s="11" t="s">
        <v>83</v>
      </c>
      <c r="D1048" s="9" t="s">
        <v>4274</v>
      </c>
      <c r="E1048" s="9" t="s">
        <v>4275</v>
      </c>
      <c r="F1048" s="9" t="s">
        <v>4276</v>
      </c>
      <c r="G1048" s="9" t="s">
        <v>24</v>
      </c>
      <c r="H1048" s="14" t="s">
        <v>22</v>
      </c>
      <c r="I1048" s="9" t="s">
        <v>4277</v>
      </c>
      <c r="J1048" s="13"/>
      <c r="K1048" s="13"/>
    </row>
    <row r="1049" customFormat="false" ht="23.85" hidden="false" customHeight="false" outlineLevel="0" collapsed="false">
      <c r="A1049" s="9" t="n">
        <v>1048</v>
      </c>
      <c r="B1049" s="9" t="s">
        <v>50</v>
      </c>
      <c r="C1049" s="11" t="s">
        <v>83</v>
      </c>
      <c r="D1049" s="9" t="s">
        <v>4278</v>
      </c>
      <c r="E1049" s="9" t="s">
        <v>4279</v>
      </c>
      <c r="F1049" s="9" t="s">
        <v>4280</v>
      </c>
      <c r="G1049" s="9" t="s">
        <v>24</v>
      </c>
      <c r="H1049" s="14" t="s">
        <v>22</v>
      </c>
      <c r="I1049" s="9" t="s">
        <v>4281</v>
      </c>
      <c r="J1049" s="13"/>
      <c r="K1049" s="13"/>
    </row>
    <row r="1050" customFormat="false" ht="35.05" hidden="false" customHeight="false" outlineLevel="0" collapsed="false">
      <c r="A1050" s="9" t="n">
        <v>1049</v>
      </c>
      <c r="B1050" s="9" t="s">
        <v>50</v>
      </c>
      <c r="C1050" s="11" t="s">
        <v>83</v>
      </c>
      <c r="D1050" s="9" t="s">
        <v>4282</v>
      </c>
      <c r="E1050" s="9" t="s">
        <v>4283</v>
      </c>
      <c r="F1050" s="9" t="s">
        <v>4284</v>
      </c>
      <c r="G1050" s="9" t="s">
        <v>24</v>
      </c>
      <c r="H1050" s="14" t="s">
        <v>22</v>
      </c>
      <c r="I1050" s="9" t="s">
        <v>4285</v>
      </c>
      <c r="J1050" s="13"/>
      <c r="K1050" s="13"/>
    </row>
    <row r="1051" customFormat="false" ht="23.85" hidden="false" customHeight="false" outlineLevel="0" collapsed="false">
      <c r="A1051" s="9" t="n">
        <v>1050</v>
      </c>
      <c r="B1051" s="9" t="s">
        <v>50</v>
      </c>
      <c r="C1051" s="11" t="s">
        <v>83</v>
      </c>
      <c r="D1051" s="9" t="s">
        <v>4286</v>
      </c>
      <c r="E1051" s="9" t="s">
        <v>358</v>
      </c>
      <c r="F1051" s="9" t="s">
        <v>4287</v>
      </c>
      <c r="G1051" s="9" t="s">
        <v>24</v>
      </c>
      <c r="H1051" s="14" t="s">
        <v>22</v>
      </c>
      <c r="I1051" s="9" t="s">
        <v>4288</v>
      </c>
      <c r="J1051" s="13"/>
      <c r="K1051" s="13"/>
    </row>
    <row r="1052" customFormat="false" ht="15" hidden="false" customHeight="false" outlineLevel="0" collapsed="false">
      <c r="A1052" s="9" t="n">
        <v>1051</v>
      </c>
      <c r="B1052" s="9" t="s">
        <v>50</v>
      </c>
      <c r="C1052" s="11" t="s">
        <v>83</v>
      </c>
      <c r="D1052" s="9" t="s">
        <v>4289</v>
      </c>
      <c r="E1052" s="9" t="s">
        <v>362</v>
      </c>
      <c r="F1052" s="9" t="s">
        <v>363</v>
      </c>
      <c r="G1052" s="9" t="s">
        <v>24</v>
      </c>
      <c r="H1052" s="14" t="s">
        <v>22</v>
      </c>
      <c r="I1052" s="9" t="s">
        <v>4290</v>
      </c>
      <c r="J1052" s="13"/>
      <c r="K1052" s="13"/>
    </row>
    <row r="1053" customFormat="false" ht="46.25" hidden="false" customHeight="false" outlineLevel="0" collapsed="false">
      <c r="A1053" s="9" t="n">
        <v>1052</v>
      </c>
      <c r="B1053" s="9" t="s">
        <v>50</v>
      </c>
      <c r="C1053" s="11" t="s">
        <v>83</v>
      </c>
      <c r="D1053" s="9" t="s">
        <v>4291</v>
      </c>
      <c r="E1053" s="9" t="s">
        <v>4292</v>
      </c>
      <c r="F1053" s="9" t="s">
        <v>4293</v>
      </c>
      <c r="G1053" s="9" t="s">
        <v>24</v>
      </c>
      <c r="H1053" s="15" t="s">
        <v>23</v>
      </c>
      <c r="I1053" s="9" t="s">
        <v>4294</v>
      </c>
      <c r="J1053" s="13"/>
      <c r="K1053" s="13"/>
    </row>
    <row r="1054" customFormat="false" ht="23.85" hidden="false" customHeight="false" outlineLevel="0" collapsed="false">
      <c r="A1054" s="9" t="n">
        <v>1053</v>
      </c>
      <c r="B1054" s="9" t="s">
        <v>50</v>
      </c>
      <c r="C1054" s="11" t="s">
        <v>83</v>
      </c>
      <c r="D1054" s="9" t="s">
        <v>4295</v>
      </c>
      <c r="E1054" s="9" t="s">
        <v>4296</v>
      </c>
      <c r="F1054" s="9" t="s">
        <v>4297</v>
      </c>
      <c r="G1054" s="9" t="s">
        <v>24</v>
      </c>
      <c r="H1054" s="15" t="s">
        <v>23</v>
      </c>
      <c r="I1054" s="9" t="s">
        <v>4298</v>
      </c>
      <c r="J1054" s="13"/>
      <c r="K1054" s="13"/>
    </row>
    <row r="1055" customFormat="false" ht="23.85" hidden="false" customHeight="false" outlineLevel="0" collapsed="false">
      <c r="A1055" s="9" t="n">
        <v>1054</v>
      </c>
      <c r="B1055" s="9" t="s">
        <v>50</v>
      </c>
      <c r="C1055" s="11" t="s">
        <v>83</v>
      </c>
      <c r="D1055" s="9" t="s">
        <v>4299</v>
      </c>
      <c r="E1055" s="9" t="s">
        <v>4300</v>
      </c>
      <c r="F1055" s="9" t="s">
        <v>4301</v>
      </c>
      <c r="G1055" s="9" t="s">
        <v>24</v>
      </c>
      <c r="H1055" s="15" t="s">
        <v>23</v>
      </c>
      <c r="I1055" s="9" t="s">
        <v>4302</v>
      </c>
      <c r="J1055" s="13"/>
      <c r="K1055" s="13"/>
    </row>
    <row r="1056" customFormat="false" ht="15" hidden="false" customHeight="false" outlineLevel="0" collapsed="false">
      <c r="A1056" s="9" t="n">
        <v>1055</v>
      </c>
      <c r="B1056" s="9" t="s">
        <v>50</v>
      </c>
      <c r="C1056" s="11" t="s">
        <v>83</v>
      </c>
      <c r="D1056" s="9" t="s">
        <v>4303</v>
      </c>
      <c r="E1056" s="9" t="s">
        <v>4304</v>
      </c>
      <c r="F1056" s="9" t="s">
        <v>4305</v>
      </c>
      <c r="G1056" s="9" t="s">
        <v>24</v>
      </c>
      <c r="H1056" s="15" t="s">
        <v>23</v>
      </c>
      <c r="I1056" s="9" t="s">
        <v>4306</v>
      </c>
      <c r="J1056" s="13"/>
      <c r="K1056" s="13"/>
    </row>
    <row r="1057" customFormat="false" ht="23.85" hidden="false" customHeight="false" outlineLevel="0" collapsed="false">
      <c r="A1057" s="9" t="n">
        <v>1056</v>
      </c>
      <c r="B1057" s="9" t="s">
        <v>50</v>
      </c>
      <c r="C1057" s="11" t="s">
        <v>83</v>
      </c>
      <c r="D1057" s="9" t="s">
        <v>4307</v>
      </c>
      <c r="E1057" s="9" t="s">
        <v>4308</v>
      </c>
      <c r="F1057" s="9" t="s">
        <v>4309</v>
      </c>
      <c r="G1057" s="9" t="s">
        <v>24</v>
      </c>
      <c r="H1057" s="15" t="s">
        <v>23</v>
      </c>
      <c r="I1057" s="9" t="s">
        <v>4310</v>
      </c>
      <c r="J1057" s="13"/>
      <c r="K1057" s="13"/>
    </row>
    <row r="1058" customFormat="false" ht="23.85" hidden="false" customHeight="false" outlineLevel="0" collapsed="false">
      <c r="A1058" s="9" t="n">
        <v>1057</v>
      </c>
      <c r="B1058" s="9" t="s">
        <v>50</v>
      </c>
      <c r="C1058" s="11" t="s">
        <v>83</v>
      </c>
      <c r="D1058" s="9" t="s">
        <v>4311</v>
      </c>
      <c r="E1058" s="9" t="s">
        <v>4312</v>
      </c>
      <c r="F1058" s="9" t="s">
        <v>4313</v>
      </c>
      <c r="G1058" s="9" t="s">
        <v>24</v>
      </c>
      <c r="H1058" s="15" t="s">
        <v>23</v>
      </c>
      <c r="I1058" s="9" t="s">
        <v>4314</v>
      </c>
      <c r="J1058" s="13"/>
      <c r="K1058" s="13"/>
    </row>
    <row r="1059" customFormat="false" ht="15" hidden="false" customHeight="false" outlineLevel="0" collapsed="false">
      <c r="A1059" s="9" t="n">
        <v>1058</v>
      </c>
      <c r="B1059" s="9" t="s">
        <v>50</v>
      </c>
      <c r="C1059" s="11" t="s">
        <v>83</v>
      </c>
      <c r="D1059" s="9" t="s">
        <v>4315</v>
      </c>
      <c r="E1059" s="9" t="s">
        <v>4316</v>
      </c>
      <c r="F1059" s="9" t="s">
        <v>4317</v>
      </c>
      <c r="G1059" s="9" t="s">
        <v>24</v>
      </c>
      <c r="H1059" s="15" t="s">
        <v>23</v>
      </c>
      <c r="I1059" s="9" t="s">
        <v>4318</v>
      </c>
      <c r="J1059" s="13"/>
      <c r="K1059" s="13"/>
    </row>
    <row r="1060" customFormat="false" ht="15" hidden="false" customHeight="false" outlineLevel="0" collapsed="false">
      <c r="A1060" s="9" t="n">
        <v>1059</v>
      </c>
      <c r="B1060" s="9" t="s">
        <v>50</v>
      </c>
      <c r="C1060" s="11" t="s">
        <v>83</v>
      </c>
      <c r="D1060" s="9" t="s">
        <v>4319</v>
      </c>
      <c r="E1060" s="9" t="s">
        <v>4320</v>
      </c>
      <c r="F1060" s="9" t="s">
        <v>4321</v>
      </c>
      <c r="G1060" s="9" t="s">
        <v>24</v>
      </c>
      <c r="H1060" s="15" t="s">
        <v>23</v>
      </c>
      <c r="I1060" s="9" t="s">
        <v>4322</v>
      </c>
      <c r="J1060" s="13"/>
      <c r="K1060" s="13"/>
    </row>
    <row r="1061" customFormat="false" ht="23.85" hidden="false" customHeight="false" outlineLevel="0" collapsed="false">
      <c r="A1061" s="9" t="n">
        <v>1060</v>
      </c>
      <c r="B1061" s="9" t="s">
        <v>50</v>
      </c>
      <c r="C1061" s="11" t="s">
        <v>83</v>
      </c>
      <c r="D1061" s="9" t="s">
        <v>4323</v>
      </c>
      <c r="E1061" s="9" t="s">
        <v>4324</v>
      </c>
      <c r="F1061" s="9" t="s">
        <v>4325</v>
      </c>
      <c r="G1061" s="9" t="s">
        <v>24</v>
      </c>
      <c r="H1061" s="15" t="s">
        <v>23</v>
      </c>
      <c r="I1061" s="9" t="s">
        <v>4326</v>
      </c>
      <c r="J1061" s="13"/>
      <c r="K1061" s="13"/>
    </row>
    <row r="1062" customFormat="false" ht="23.85" hidden="false" customHeight="false" outlineLevel="0" collapsed="false">
      <c r="A1062" s="9" t="n">
        <v>1061</v>
      </c>
      <c r="B1062" s="9" t="s">
        <v>50</v>
      </c>
      <c r="C1062" s="11" t="s">
        <v>83</v>
      </c>
      <c r="D1062" s="9" t="s">
        <v>4327</v>
      </c>
      <c r="E1062" s="9" t="s">
        <v>4328</v>
      </c>
      <c r="F1062" s="9" t="s">
        <v>4329</v>
      </c>
      <c r="G1062" s="9" t="s">
        <v>24</v>
      </c>
      <c r="H1062" s="15" t="s">
        <v>23</v>
      </c>
      <c r="I1062" s="9" t="s">
        <v>4330</v>
      </c>
      <c r="J1062" s="13"/>
      <c r="K1062" s="13"/>
    </row>
    <row r="1063" customFormat="false" ht="79.85" hidden="false" customHeight="false" outlineLevel="0" collapsed="false">
      <c r="A1063" s="9" t="n">
        <v>1062</v>
      </c>
      <c r="B1063" s="9" t="s">
        <v>50</v>
      </c>
      <c r="C1063" s="11" t="s">
        <v>85</v>
      </c>
      <c r="D1063" s="9" t="s">
        <v>4331</v>
      </c>
      <c r="E1063" s="9" t="s">
        <v>4332</v>
      </c>
      <c r="F1063" s="9" t="s">
        <v>4333</v>
      </c>
      <c r="G1063" s="9" t="s">
        <v>303</v>
      </c>
      <c r="H1063" s="12" t="s">
        <v>21</v>
      </c>
      <c r="I1063" s="9" t="s">
        <v>4334</v>
      </c>
      <c r="J1063" s="13"/>
      <c r="K1063" s="13"/>
    </row>
    <row r="1064" customFormat="false" ht="113.4" hidden="false" customHeight="false" outlineLevel="0" collapsed="false">
      <c r="A1064" s="9" t="n">
        <v>1063</v>
      </c>
      <c r="B1064" s="9" t="s">
        <v>50</v>
      </c>
      <c r="C1064" s="11" t="s">
        <v>85</v>
      </c>
      <c r="D1064" s="9" t="s">
        <v>4335</v>
      </c>
      <c r="E1064" s="9" t="s">
        <v>4336</v>
      </c>
      <c r="F1064" s="9" t="s">
        <v>4337</v>
      </c>
      <c r="G1064" s="9" t="s">
        <v>1843</v>
      </c>
      <c r="H1064" s="14" t="s">
        <v>22</v>
      </c>
      <c r="I1064" s="9" t="s">
        <v>4338</v>
      </c>
      <c r="J1064" s="13"/>
      <c r="K1064" s="13"/>
    </row>
    <row r="1065" customFormat="false" ht="147" hidden="false" customHeight="false" outlineLevel="0" collapsed="false">
      <c r="A1065" s="9" t="n">
        <v>1064</v>
      </c>
      <c r="B1065" s="9" t="s">
        <v>50</v>
      </c>
      <c r="C1065" s="11" t="s">
        <v>85</v>
      </c>
      <c r="D1065" s="9" t="s">
        <v>4339</v>
      </c>
      <c r="E1065" s="9" t="s">
        <v>4340</v>
      </c>
      <c r="F1065" s="9" t="s">
        <v>4341</v>
      </c>
      <c r="G1065" s="9" t="s">
        <v>392</v>
      </c>
      <c r="H1065" s="12" t="s">
        <v>21</v>
      </c>
      <c r="I1065" s="9" t="s">
        <v>4342</v>
      </c>
      <c r="J1065" s="13"/>
      <c r="K1065" s="13"/>
    </row>
    <row r="1066" customFormat="false" ht="91" hidden="false" customHeight="false" outlineLevel="0" collapsed="false">
      <c r="A1066" s="9" t="n">
        <v>1065</v>
      </c>
      <c r="B1066" s="9" t="s">
        <v>50</v>
      </c>
      <c r="C1066" s="11" t="s">
        <v>85</v>
      </c>
      <c r="D1066" s="9" t="s">
        <v>4343</v>
      </c>
      <c r="E1066" s="9" t="s">
        <v>4344</v>
      </c>
      <c r="F1066" s="9" t="s">
        <v>4345</v>
      </c>
      <c r="G1066" s="9" t="s">
        <v>312</v>
      </c>
      <c r="H1066" s="12" t="s">
        <v>21</v>
      </c>
      <c r="I1066" s="9" t="s">
        <v>4346</v>
      </c>
      <c r="J1066" s="13"/>
      <c r="K1066" s="13"/>
    </row>
    <row r="1067" customFormat="false" ht="68.65" hidden="false" customHeight="false" outlineLevel="0" collapsed="false">
      <c r="A1067" s="9" t="n">
        <v>1066</v>
      </c>
      <c r="B1067" s="9" t="s">
        <v>50</v>
      </c>
      <c r="C1067" s="11" t="s">
        <v>85</v>
      </c>
      <c r="D1067" s="9" t="s">
        <v>4347</v>
      </c>
      <c r="E1067" s="9" t="s">
        <v>4348</v>
      </c>
      <c r="F1067" s="9" t="s">
        <v>4349</v>
      </c>
      <c r="G1067" s="9" t="s">
        <v>3343</v>
      </c>
      <c r="H1067" s="14" t="s">
        <v>22</v>
      </c>
      <c r="I1067" s="9" t="s">
        <v>4350</v>
      </c>
      <c r="J1067" s="13"/>
      <c r="K1067" s="13"/>
    </row>
    <row r="1068" customFormat="false" ht="57.45" hidden="false" customHeight="false" outlineLevel="0" collapsed="false">
      <c r="A1068" s="9" t="n">
        <v>1067</v>
      </c>
      <c r="B1068" s="9" t="s">
        <v>50</v>
      </c>
      <c r="C1068" s="11" t="s">
        <v>85</v>
      </c>
      <c r="D1068" s="9" t="s">
        <v>4351</v>
      </c>
      <c r="E1068" s="9" t="s">
        <v>4352</v>
      </c>
      <c r="F1068" s="9" t="s">
        <v>4353</v>
      </c>
      <c r="G1068" s="9" t="s">
        <v>392</v>
      </c>
      <c r="H1068" s="14" t="s">
        <v>22</v>
      </c>
      <c r="I1068" s="9" t="s">
        <v>4354</v>
      </c>
      <c r="J1068" s="13"/>
      <c r="K1068" s="13"/>
    </row>
    <row r="1069" customFormat="false" ht="191.75" hidden="false" customHeight="false" outlineLevel="0" collapsed="false">
      <c r="A1069" s="9" t="n">
        <v>1068</v>
      </c>
      <c r="B1069" s="9" t="s">
        <v>50</v>
      </c>
      <c r="C1069" s="11" t="s">
        <v>85</v>
      </c>
      <c r="D1069" s="9" t="s">
        <v>4355</v>
      </c>
      <c r="E1069" s="9" t="s">
        <v>4356</v>
      </c>
      <c r="F1069" s="9" t="s">
        <v>4357</v>
      </c>
      <c r="G1069" s="9" t="s">
        <v>4358</v>
      </c>
      <c r="H1069" s="14" t="s">
        <v>22</v>
      </c>
      <c r="I1069" s="9" t="s">
        <v>4359</v>
      </c>
      <c r="J1069" s="13"/>
      <c r="K1069" s="13"/>
    </row>
    <row r="1070" customFormat="false" ht="91" hidden="false" customHeight="false" outlineLevel="0" collapsed="false">
      <c r="A1070" s="9" t="n">
        <v>1069</v>
      </c>
      <c r="B1070" s="9" t="s">
        <v>50</v>
      </c>
      <c r="C1070" s="11" t="s">
        <v>85</v>
      </c>
      <c r="D1070" s="9" t="s">
        <v>4360</v>
      </c>
      <c r="E1070" s="9" t="s">
        <v>4361</v>
      </c>
      <c r="F1070" s="9" t="s">
        <v>4362</v>
      </c>
      <c r="G1070" s="9" t="s">
        <v>392</v>
      </c>
      <c r="H1070" s="14" t="s">
        <v>22</v>
      </c>
      <c r="I1070" s="9" t="s">
        <v>4363</v>
      </c>
      <c r="J1070" s="13"/>
      <c r="K1070" s="13"/>
    </row>
    <row r="1071" customFormat="false" ht="91" hidden="false" customHeight="false" outlineLevel="0" collapsed="false">
      <c r="A1071" s="9" t="n">
        <v>1070</v>
      </c>
      <c r="B1071" s="9" t="s">
        <v>50</v>
      </c>
      <c r="C1071" s="11" t="s">
        <v>85</v>
      </c>
      <c r="D1071" s="9" t="s">
        <v>4364</v>
      </c>
      <c r="E1071" s="9" t="s">
        <v>4365</v>
      </c>
      <c r="F1071" s="9" t="s">
        <v>4366</v>
      </c>
      <c r="G1071" s="9" t="s">
        <v>4367</v>
      </c>
      <c r="H1071" s="14" t="s">
        <v>22</v>
      </c>
      <c r="I1071" s="9" t="s">
        <v>4368</v>
      </c>
      <c r="J1071" s="13"/>
      <c r="K1071" s="13"/>
    </row>
    <row r="1072" customFormat="false" ht="46.25" hidden="false" customHeight="false" outlineLevel="0" collapsed="false">
      <c r="A1072" s="9" t="n">
        <v>1071</v>
      </c>
      <c r="B1072" s="9" t="s">
        <v>50</v>
      </c>
      <c r="C1072" s="11" t="s">
        <v>85</v>
      </c>
      <c r="D1072" s="9" t="s">
        <v>4369</v>
      </c>
      <c r="E1072" s="9" t="s">
        <v>4370</v>
      </c>
      <c r="F1072" s="9" t="s">
        <v>4371</v>
      </c>
      <c r="G1072" s="9" t="s">
        <v>1072</v>
      </c>
      <c r="H1072" s="14" t="s">
        <v>22</v>
      </c>
      <c r="I1072" s="9" t="s">
        <v>4372</v>
      </c>
      <c r="J1072" s="13"/>
      <c r="K1072" s="13"/>
    </row>
    <row r="1073" customFormat="false" ht="35.05" hidden="false" customHeight="false" outlineLevel="0" collapsed="false">
      <c r="A1073" s="9" t="n">
        <v>1072</v>
      </c>
      <c r="B1073" s="9" t="s">
        <v>50</v>
      </c>
      <c r="C1073" s="11" t="s">
        <v>85</v>
      </c>
      <c r="D1073" s="9" t="s">
        <v>4373</v>
      </c>
      <c r="E1073" s="9" t="s">
        <v>4374</v>
      </c>
      <c r="F1073" s="9" t="s">
        <v>4375</v>
      </c>
      <c r="G1073" s="9" t="s">
        <v>312</v>
      </c>
      <c r="H1073" s="15" t="s">
        <v>23</v>
      </c>
      <c r="I1073" s="9" t="s">
        <v>4376</v>
      </c>
      <c r="J1073" s="13"/>
      <c r="K1073" s="13"/>
    </row>
    <row r="1074" customFormat="false" ht="46.25" hidden="false" customHeight="false" outlineLevel="0" collapsed="false">
      <c r="A1074" s="9" t="n">
        <v>1073</v>
      </c>
      <c r="B1074" s="9" t="s">
        <v>50</v>
      </c>
      <c r="C1074" s="11" t="s">
        <v>85</v>
      </c>
      <c r="D1074" s="9" t="s">
        <v>4377</v>
      </c>
      <c r="E1074" s="9" t="s">
        <v>4378</v>
      </c>
      <c r="F1074" s="9" t="s">
        <v>4379</v>
      </c>
      <c r="G1074" s="9" t="s">
        <v>3343</v>
      </c>
      <c r="H1074" s="14" t="s">
        <v>22</v>
      </c>
      <c r="I1074" s="9" t="s">
        <v>4380</v>
      </c>
      <c r="J1074" s="13"/>
      <c r="K1074" s="13"/>
    </row>
    <row r="1075" customFormat="false" ht="46.25" hidden="false" customHeight="false" outlineLevel="0" collapsed="false">
      <c r="A1075" s="9" t="n">
        <v>1074</v>
      </c>
      <c r="B1075" s="9" t="s">
        <v>50</v>
      </c>
      <c r="C1075" s="11" t="s">
        <v>85</v>
      </c>
      <c r="D1075" s="9" t="s">
        <v>4381</v>
      </c>
      <c r="E1075" s="9" t="s">
        <v>4382</v>
      </c>
      <c r="F1075" s="9" t="s">
        <v>4383</v>
      </c>
      <c r="G1075" s="9" t="s">
        <v>392</v>
      </c>
      <c r="H1075" s="15" t="s">
        <v>23</v>
      </c>
      <c r="I1075" s="9" t="s">
        <v>4384</v>
      </c>
      <c r="J1075" s="13"/>
      <c r="K1075" s="13"/>
    </row>
    <row r="1076" customFormat="false" ht="35.05" hidden="false" customHeight="false" outlineLevel="0" collapsed="false">
      <c r="A1076" s="9" t="n">
        <v>1075</v>
      </c>
      <c r="B1076" s="9" t="s">
        <v>50</v>
      </c>
      <c r="C1076" s="11" t="s">
        <v>85</v>
      </c>
      <c r="D1076" s="9" t="s">
        <v>4385</v>
      </c>
      <c r="E1076" s="9" t="s">
        <v>4386</v>
      </c>
      <c r="F1076" s="9" t="s">
        <v>4387</v>
      </c>
      <c r="G1076" s="9" t="s">
        <v>1072</v>
      </c>
      <c r="H1076" s="15" t="s">
        <v>23</v>
      </c>
      <c r="I1076" s="9" t="s">
        <v>4388</v>
      </c>
      <c r="J1076" s="13"/>
      <c r="K1076" s="13"/>
    </row>
    <row r="1077" customFormat="false" ht="35.05" hidden="false" customHeight="false" outlineLevel="0" collapsed="false">
      <c r="A1077" s="9" t="n">
        <v>1076</v>
      </c>
      <c r="B1077" s="9" t="s">
        <v>50</v>
      </c>
      <c r="C1077" s="11" t="s">
        <v>85</v>
      </c>
      <c r="D1077" s="9" t="s">
        <v>4389</v>
      </c>
      <c r="E1077" s="9" t="s">
        <v>4390</v>
      </c>
      <c r="F1077" s="9" t="s">
        <v>4391</v>
      </c>
      <c r="G1077" s="9" t="s">
        <v>312</v>
      </c>
      <c r="H1077" s="15" t="s">
        <v>23</v>
      </c>
      <c r="I1077" s="9" t="s">
        <v>4392</v>
      </c>
      <c r="J1077" s="13"/>
      <c r="K1077" s="13"/>
    </row>
    <row r="1078" customFormat="false" ht="23.85" hidden="false" customHeight="false" outlineLevel="0" collapsed="false">
      <c r="A1078" s="9" t="n">
        <v>1077</v>
      </c>
      <c r="B1078" s="9" t="s">
        <v>50</v>
      </c>
      <c r="C1078" s="11" t="s">
        <v>85</v>
      </c>
      <c r="D1078" s="9" t="s">
        <v>4393</v>
      </c>
      <c r="E1078" s="9" t="s">
        <v>4394</v>
      </c>
      <c r="F1078" s="9" t="s">
        <v>4395</v>
      </c>
      <c r="G1078" s="9" t="s">
        <v>312</v>
      </c>
      <c r="H1078" s="15" t="s">
        <v>23</v>
      </c>
      <c r="I1078" s="9" t="s">
        <v>4396</v>
      </c>
      <c r="J1078" s="13"/>
      <c r="K1078" s="13"/>
    </row>
    <row r="1079" customFormat="false" ht="68.65" hidden="false" customHeight="false" outlineLevel="0" collapsed="false">
      <c r="A1079" s="9" t="n">
        <v>1078</v>
      </c>
      <c r="B1079" s="9" t="s">
        <v>50</v>
      </c>
      <c r="C1079" s="11" t="s">
        <v>85</v>
      </c>
      <c r="D1079" s="9" t="s">
        <v>4397</v>
      </c>
      <c r="E1079" s="9" t="s">
        <v>4398</v>
      </c>
      <c r="F1079" s="9" t="s">
        <v>4399</v>
      </c>
      <c r="G1079" s="9" t="s">
        <v>312</v>
      </c>
      <c r="H1079" s="15" t="s">
        <v>23</v>
      </c>
      <c r="I1079" s="9" t="s">
        <v>4400</v>
      </c>
      <c r="J1079" s="13"/>
      <c r="K1079" s="13"/>
    </row>
    <row r="1080" customFormat="false" ht="46.25" hidden="false" customHeight="false" outlineLevel="0" collapsed="false">
      <c r="A1080" s="9" t="n">
        <v>1079</v>
      </c>
      <c r="B1080" s="9" t="s">
        <v>50</v>
      </c>
      <c r="C1080" s="11" t="s">
        <v>85</v>
      </c>
      <c r="D1080" s="9" t="s">
        <v>4401</v>
      </c>
      <c r="E1080" s="9" t="s">
        <v>4402</v>
      </c>
      <c r="F1080" s="9" t="s">
        <v>4403</v>
      </c>
      <c r="G1080" s="9" t="s">
        <v>312</v>
      </c>
      <c r="H1080" s="15" t="s">
        <v>23</v>
      </c>
      <c r="I1080" s="9" t="s">
        <v>4404</v>
      </c>
      <c r="J1080" s="13"/>
      <c r="K1080" s="13"/>
    </row>
    <row r="1081" customFormat="false" ht="35.05" hidden="false" customHeight="false" outlineLevel="0" collapsed="false">
      <c r="A1081" s="9" t="n">
        <v>1080</v>
      </c>
      <c r="B1081" s="9" t="s">
        <v>50</v>
      </c>
      <c r="C1081" s="11" t="s">
        <v>85</v>
      </c>
      <c r="D1081" s="9" t="s">
        <v>4405</v>
      </c>
      <c r="E1081" s="9" t="s">
        <v>4406</v>
      </c>
      <c r="F1081" s="9" t="s">
        <v>4407</v>
      </c>
      <c r="G1081" s="9" t="s">
        <v>1072</v>
      </c>
      <c r="H1081" s="15" t="s">
        <v>23</v>
      </c>
      <c r="I1081" s="9" t="s">
        <v>4408</v>
      </c>
      <c r="J1081" s="13"/>
      <c r="K1081" s="13"/>
    </row>
    <row r="1082" customFormat="false" ht="35.05" hidden="false" customHeight="false" outlineLevel="0" collapsed="false">
      <c r="A1082" s="9" t="n">
        <v>1081</v>
      </c>
      <c r="B1082" s="9" t="s">
        <v>50</v>
      </c>
      <c r="C1082" s="11" t="s">
        <v>85</v>
      </c>
      <c r="D1082" s="9" t="s">
        <v>4409</v>
      </c>
      <c r="E1082" s="9" t="s">
        <v>4410</v>
      </c>
      <c r="F1082" s="9" t="s">
        <v>4411</v>
      </c>
      <c r="G1082" s="9" t="s">
        <v>328</v>
      </c>
      <c r="H1082" s="15" t="s">
        <v>23</v>
      </c>
      <c r="I1082" s="9" t="s">
        <v>4412</v>
      </c>
      <c r="J1082" s="13"/>
      <c r="K1082" s="13"/>
    </row>
    <row r="1083" customFormat="false" ht="23.85" hidden="false" customHeight="false" outlineLevel="0" collapsed="false">
      <c r="A1083" s="9" t="n">
        <v>1082</v>
      </c>
      <c r="B1083" s="9" t="s">
        <v>50</v>
      </c>
      <c r="C1083" s="11" t="s">
        <v>85</v>
      </c>
      <c r="D1083" s="9" t="s">
        <v>4413</v>
      </c>
      <c r="E1083" s="9" t="s">
        <v>4414</v>
      </c>
      <c r="F1083" s="9" t="s">
        <v>4415</v>
      </c>
      <c r="G1083" s="9" t="s">
        <v>312</v>
      </c>
      <c r="H1083" s="15" t="s">
        <v>23</v>
      </c>
      <c r="I1083" s="9" t="s">
        <v>4416</v>
      </c>
      <c r="J1083" s="13"/>
      <c r="K1083" s="13"/>
    </row>
    <row r="1084" customFormat="false" ht="35.05" hidden="false" customHeight="false" outlineLevel="0" collapsed="false">
      <c r="A1084" s="9" t="n">
        <v>1083</v>
      </c>
      <c r="B1084" s="9" t="s">
        <v>50</v>
      </c>
      <c r="C1084" s="11" t="s">
        <v>85</v>
      </c>
      <c r="D1084" s="9" t="s">
        <v>4417</v>
      </c>
      <c r="E1084" s="9" t="s">
        <v>4418</v>
      </c>
      <c r="F1084" s="9" t="s">
        <v>4419</v>
      </c>
      <c r="G1084" s="9" t="s">
        <v>1072</v>
      </c>
      <c r="H1084" s="15" t="s">
        <v>23</v>
      </c>
      <c r="I1084" s="9" t="s">
        <v>4420</v>
      </c>
      <c r="J1084" s="13"/>
      <c r="K1084" s="13"/>
    </row>
    <row r="1085" customFormat="false" ht="35.05" hidden="false" customHeight="false" outlineLevel="0" collapsed="false">
      <c r="A1085" s="9" t="n">
        <v>1084</v>
      </c>
      <c r="B1085" s="9" t="s">
        <v>50</v>
      </c>
      <c r="C1085" s="11" t="s">
        <v>85</v>
      </c>
      <c r="D1085" s="9" t="s">
        <v>4421</v>
      </c>
      <c r="E1085" s="9" t="s">
        <v>4422</v>
      </c>
      <c r="F1085" s="9" t="s">
        <v>4423</v>
      </c>
      <c r="G1085" s="9" t="s">
        <v>324</v>
      </c>
      <c r="H1085" s="14" t="s">
        <v>22</v>
      </c>
      <c r="I1085" s="9" t="s">
        <v>4424</v>
      </c>
      <c r="J1085" s="13"/>
      <c r="K1085" s="13"/>
    </row>
    <row r="1086" customFormat="false" ht="35.05" hidden="false" customHeight="false" outlineLevel="0" collapsed="false">
      <c r="A1086" s="9" t="n">
        <v>1085</v>
      </c>
      <c r="B1086" s="9" t="s">
        <v>50</v>
      </c>
      <c r="C1086" s="11" t="s">
        <v>85</v>
      </c>
      <c r="D1086" s="9" t="s">
        <v>4425</v>
      </c>
      <c r="E1086" s="9" t="s">
        <v>4426</v>
      </c>
      <c r="F1086" s="9" t="s">
        <v>4427</v>
      </c>
      <c r="G1086" s="9" t="s">
        <v>24</v>
      </c>
      <c r="H1086" s="12" t="s">
        <v>21</v>
      </c>
      <c r="I1086" s="9" t="s">
        <v>4428</v>
      </c>
      <c r="J1086" s="13"/>
      <c r="K1086" s="13"/>
    </row>
    <row r="1087" customFormat="false" ht="35.05" hidden="false" customHeight="false" outlineLevel="0" collapsed="false">
      <c r="A1087" s="9" t="n">
        <v>1086</v>
      </c>
      <c r="B1087" s="9" t="s">
        <v>50</v>
      </c>
      <c r="C1087" s="11" t="s">
        <v>85</v>
      </c>
      <c r="D1087" s="9" t="s">
        <v>4429</v>
      </c>
      <c r="E1087" s="9" t="s">
        <v>4430</v>
      </c>
      <c r="F1087" s="9" t="s">
        <v>4431</v>
      </c>
      <c r="G1087" s="9" t="s">
        <v>24</v>
      </c>
      <c r="H1087" s="12" t="s">
        <v>21</v>
      </c>
      <c r="I1087" s="9" t="s">
        <v>4432</v>
      </c>
      <c r="J1087" s="13"/>
      <c r="K1087" s="13"/>
    </row>
    <row r="1088" customFormat="false" ht="35.05" hidden="false" customHeight="false" outlineLevel="0" collapsed="false">
      <c r="A1088" s="9" t="n">
        <v>1087</v>
      </c>
      <c r="B1088" s="9" t="s">
        <v>50</v>
      </c>
      <c r="C1088" s="11" t="s">
        <v>85</v>
      </c>
      <c r="D1088" s="9" t="s">
        <v>4433</v>
      </c>
      <c r="E1088" s="9" t="s">
        <v>4434</v>
      </c>
      <c r="F1088" s="9" t="s">
        <v>4435</v>
      </c>
      <c r="G1088" s="9" t="s">
        <v>24</v>
      </c>
      <c r="H1088" s="12" t="s">
        <v>21</v>
      </c>
      <c r="I1088" s="9" t="s">
        <v>4436</v>
      </c>
      <c r="J1088" s="13"/>
      <c r="K1088" s="13"/>
    </row>
    <row r="1089" customFormat="false" ht="35.05" hidden="false" customHeight="false" outlineLevel="0" collapsed="false">
      <c r="A1089" s="9" t="n">
        <v>1088</v>
      </c>
      <c r="B1089" s="9" t="s">
        <v>50</v>
      </c>
      <c r="C1089" s="11" t="s">
        <v>85</v>
      </c>
      <c r="D1089" s="9" t="s">
        <v>4437</v>
      </c>
      <c r="E1089" s="9" t="s">
        <v>4438</v>
      </c>
      <c r="F1089" s="9" t="s">
        <v>4439</v>
      </c>
      <c r="G1089" s="9" t="s">
        <v>24</v>
      </c>
      <c r="H1089" s="14" t="s">
        <v>22</v>
      </c>
      <c r="I1089" s="9" t="s">
        <v>4440</v>
      </c>
      <c r="J1089" s="13"/>
      <c r="K1089" s="13"/>
    </row>
    <row r="1090" customFormat="false" ht="35.05" hidden="false" customHeight="false" outlineLevel="0" collapsed="false">
      <c r="A1090" s="9" t="n">
        <v>1089</v>
      </c>
      <c r="B1090" s="9" t="s">
        <v>50</v>
      </c>
      <c r="C1090" s="11" t="s">
        <v>85</v>
      </c>
      <c r="D1090" s="9" t="s">
        <v>4441</v>
      </c>
      <c r="E1090" s="9" t="s">
        <v>4442</v>
      </c>
      <c r="F1090" s="9" t="s">
        <v>4443</v>
      </c>
      <c r="G1090" s="9" t="s">
        <v>24</v>
      </c>
      <c r="H1090" s="14" t="s">
        <v>22</v>
      </c>
      <c r="I1090" s="9" t="s">
        <v>4444</v>
      </c>
      <c r="J1090" s="13"/>
      <c r="K1090" s="13"/>
    </row>
    <row r="1091" customFormat="false" ht="35.05" hidden="false" customHeight="false" outlineLevel="0" collapsed="false">
      <c r="A1091" s="9" t="n">
        <v>1090</v>
      </c>
      <c r="B1091" s="9" t="s">
        <v>50</v>
      </c>
      <c r="C1091" s="11" t="s">
        <v>85</v>
      </c>
      <c r="D1091" s="9" t="s">
        <v>4445</v>
      </c>
      <c r="E1091" s="9" t="s">
        <v>4446</v>
      </c>
      <c r="F1091" s="9" t="s">
        <v>4447</v>
      </c>
      <c r="G1091" s="9" t="s">
        <v>24</v>
      </c>
      <c r="H1091" s="14" t="s">
        <v>22</v>
      </c>
      <c r="I1091" s="9" t="s">
        <v>4448</v>
      </c>
      <c r="J1091" s="13"/>
      <c r="K1091" s="13"/>
    </row>
    <row r="1092" customFormat="false" ht="23.85" hidden="false" customHeight="false" outlineLevel="0" collapsed="false">
      <c r="A1092" s="9" t="n">
        <v>1091</v>
      </c>
      <c r="B1092" s="9" t="s">
        <v>50</v>
      </c>
      <c r="C1092" s="11" t="s">
        <v>85</v>
      </c>
      <c r="D1092" s="9" t="s">
        <v>4449</v>
      </c>
      <c r="E1092" s="9" t="s">
        <v>4450</v>
      </c>
      <c r="F1092" s="9" t="s">
        <v>4451</v>
      </c>
      <c r="G1092" s="9" t="s">
        <v>24</v>
      </c>
      <c r="H1092" s="14" t="s">
        <v>22</v>
      </c>
      <c r="I1092" s="9" t="s">
        <v>4452</v>
      </c>
      <c r="J1092" s="13"/>
      <c r="K1092" s="13"/>
    </row>
    <row r="1093" customFormat="false" ht="23.85" hidden="false" customHeight="false" outlineLevel="0" collapsed="false">
      <c r="A1093" s="9" t="n">
        <v>1092</v>
      </c>
      <c r="B1093" s="9" t="s">
        <v>50</v>
      </c>
      <c r="C1093" s="11" t="s">
        <v>85</v>
      </c>
      <c r="D1093" s="9" t="s">
        <v>4453</v>
      </c>
      <c r="E1093" s="9" t="s">
        <v>4454</v>
      </c>
      <c r="F1093" s="9" t="s">
        <v>4455</v>
      </c>
      <c r="G1093" s="9" t="s">
        <v>24</v>
      </c>
      <c r="H1093" s="14" t="s">
        <v>22</v>
      </c>
      <c r="I1093" s="9" t="s">
        <v>4456</v>
      </c>
      <c r="J1093" s="13"/>
      <c r="K1093" s="13"/>
    </row>
    <row r="1094" customFormat="false" ht="35.05" hidden="false" customHeight="false" outlineLevel="0" collapsed="false">
      <c r="A1094" s="9" t="n">
        <v>1093</v>
      </c>
      <c r="B1094" s="9" t="s">
        <v>50</v>
      </c>
      <c r="C1094" s="11" t="s">
        <v>85</v>
      </c>
      <c r="D1094" s="9" t="s">
        <v>4457</v>
      </c>
      <c r="E1094" s="9" t="s">
        <v>4458</v>
      </c>
      <c r="F1094" s="9" t="s">
        <v>4459</v>
      </c>
      <c r="G1094" s="9" t="s">
        <v>24</v>
      </c>
      <c r="H1094" s="14" t="s">
        <v>22</v>
      </c>
      <c r="I1094" s="9" t="s">
        <v>4460</v>
      </c>
      <c r="J1094" s="13"/>
      <c r="K1094" s="13"/>
    </row>
    <row r="1095" customFormat="false" ht="15" hidden="false" customHeight="false" outlineLevel="0" collapsed="false">
      <c r="A1095" s="9" t="n">
        <v>1094</v>
      </c>
      <c r="B1095" s="9" t="s">
        <v>50</v>
      </c>
      <c r="C1095" s="11" t="s">
        <v>85</v>
      </c>
      <c r="D1095" s="9" t="s">
        <v>4461</v>
      </c>
      <c r="E1095" s="9" t="s">
        <v>358</v>
      </c>
      <c r="F1095" s="9" t="s">
        <v>4462</v>
      </c>
      <c r="G1095" s="9" t="s">
        <v>24</v>
      </c>
      <c r="H1095" s="14" t="s">
        <v>22</v>
      </c>
      <c r="I1095" s="9" t="s">
        <v>4463</v>
      </c>
      <c r="J1095" s="13"/>
      <c r="K1095" s="13"/>
    </row>
    <row r="1096" customFormat="false" ht="15" hidden="false" customHeight="false" outlineLevel="0" collapsed="false">
      <c r="A1096" s="9" t="n">
        <v>1095</v>
      </c>
      <c r="B1096" s="9" t="s">
        <v>50</v>
      </c>
      <c r="C1096" s="11" t="s">
        <v>85</v>
      </c>
      <c r="D1096" s="9" t="s">
        <v>4464</v>
      </c>
      <c r="E1096" s="9" t="s">
        <v>362</v>
      </c>
      <c r="F1096" s="9" t="s">
        <v>363</v>
      </c>
      <c r="G1096" s="9" t="s">
        <v>24</v>
      </c>
      <c r="H1096" s="14" t="s">
        <v>22</v>
      </c>
      <c r="I1096" s="9" t="s">
        <v>364</v>
      </c>
      <c r="J1096" s="13"/>
      <c r="K1096" s="13"/>
    </row>
    <row r="1097" customFormat="false" ht="23.85" hidden="false" customHeight="false" outlineLevel="0" collapsed="false">
      <c r="A1097" s="9" t="n">
        <v>1096</v>
      </c>
      <c r="B1097" s="9" t="s">
        <v>50</v>
      </c>
      <c r="C1097" s="11" t="s">
        <v>85</v>
      </c>
      <c r="D1097" s="9" t="s">
        <v>4465</v>
      </c>
      <c r="E1097" s="9" t="s">
        <v>4466</v>
      </c>
      <c r="F1097" s="9" t="s">
        <v>4467</v>
      </c>
      <c r="G1097" s="9" t="s">
        <v>24</v>
      </c>
      <c r="H1097" s="15" t="s">
        <v>23</v>
      </c>
      <c r="I1097" s="9" t="s">
        <v>434</v>
      </c>
      <c r="J1097" s="13"/>
      <c r="K1097" s="13"/>
    </row>
    <row r="1098" customFormat="false" ht="23.85" hidden="false" customHeight="false" outlineLevel="0" collapsed="false">
      <c r="A1098" s="9" t="n">
        <v>1097</v>
      </c>
      <c r="B1098" s="9" t="s">
        <v>50</v>
      </c>
      <c r="C1098" s="11" t="s">
        <v>85</v>
      </c>
      <c r="D1098" s="9" t="s">
        <v>4468</v>
      </c>
      <c r="E1098" s="9" t="s">
        <v>4469</v>
      </c>
      <c r="F1098" s="9" t="s">
        <v>4470</v>
      </c>
      <c r="G1098" s="9" t="s">
        <v>24</v>
      </c>
      <c r="H1098" s="15" t="s">
        <v>23</v>
      </c>
      <c r="I1098" s="9" t="s">
        <v>4471</v>
      </c>
      <c r="J1098" s="13"/>
      <c r="K1098" s="13"/>
    </row>
    <row r="1099" customFormat="false" ht="23.85" hidden="false" customHeight="false" outlineLevel="0" collapsed="false">
      <c r="A1099" s="9" t="n">
        <v>1098</v>
      </c>
      <c r="B1099" s="9" t="s">
        <v>50</v>
      </c>
      <c r="C1099" s="11" t="s">
        <v>85</v>
      </c>
      <c r="D1099" s="9" t="s">
        <v>4472</v>
      </c>
      <c r="E1099" s="9" t="s">
        <v>4473</v>
      </c>
      <c r="F1099" s="9" t="s">
        <v>4474</v>
      </c>
      <c r="G1099" s="9" t="s">
        <v>24</v>
      </c>
      <c r="H1099" s="15" t="s">
        <v>23</v>
      </c>
      <c r="I1099" s="9" t="s">
        <v>4475</v>
      </c>
      <c r="J1099" s="13"/>
      <c r="K1099" s="13"/>
    </row>
    <row r="1100" customFormat="false" ht="35.05" hidden="false" customHeight="false" outlineLevel="0" collapsed="false">
      <c r="A1100" s="9" t="n">
        <v>1099</v>
      </c>
      <c r="B1100" s="9" t="s">
        <v>50</v>
      </c>
      <c r="C1100" s="11" t="s">
        <v>85</v>
      </c>
      <c r="D1100" s="9" t="s">
        <v>4476</v>
      </c>
      <c r="E1100" s="9" t="s">
        <v>4477</v>
      </c>
      <c r="F1100" s="9" t="s">
        <v>4478</v>
      </c>
      <c r="G1100" s="9" t="s">
        <v>24</v>
      </c>
      <c r="H1100" s="15" t="s">
        <v>23</v>
      </c>
      <c r="I1100" s="9" t="s">
        <v>4479</v>
      </c>
      <c r="J1100" s="13"/>
      <c r="K1100" s="13"/>
    </row>
    <row r="1101" customFormat="false" ht="15" hidden="false" customHeight="false" outlineLevel="0" collapsed="false">
      <c r="A1101" s="9" t="n">
        <v>1100</v>
      </c>
      <c r="B1101" s="9" t="s">
        <v>50</v>
      </c>
      <c r="C1101" s="11" t="s">
        <v>85</v>
      </c>
      <c r="D1101" s="9" t="s">
        <v>4480</v>
      </c>
      <c r="E1101" s="9" t="s">
        <v>4481</v>
      </c>
      <c r="F1101" s="9" t="s">
        <v>4482</v>
      </c>
      <c r="G1101" s="9" t="s">
        <v>24</v>
      </c>
      <c r="H1101" s="15" t="s">
        <v>23</v>
      </c>
      <c r="I1101" s="9" t="s">
        <v>380</v>
      </c>
      <c r="J1101" s="13"/>
      <c r="K1101" s="13"/>
    </row>
    <row r="1102" customFormat="false" ht="23.85" hidden="false" customHeight="false" outlineLevel="0" collapsed="false">
      <c r="A1102" s="9" t="n">
        <v>1101</v>
      </c>
      <c r="B1102" s="9" t="s">
        <v>50</v>
      </c>
      <c r="C1102" s="11" t="s">
        <v>85</v>
      </c>
      <c r="D1102" s="9" t="s">
        <v>4483</v>
      </c>
      <c r="E1102" s="9" t="s">
        <v>4484</v>
      </c>
      <c r="F1102" s="9" t="s">
        <v>4485</v>
      </c>
      <c r="G1102" s="9" t="s">
        <v>24</v>
      </c>
      <c r="H1102" s="14" t="s">
        <v>22</v>
      </c>
      <c r="I1102" s="9" t="s">
        <v>4486</v>
      </c>
      <c r="J1102" s="13"/>
      <c r="K1102" s="13"/>
    </row>
    <row r="1103" customFormat="false" ht="23.85" hidden="false" customHeight="false" outlineLevel="0" collapsed="false">
      <c r="A1103" s="9" t="n">
        <v>1102</v>
      </c>
      <c r="B1103" s="9" t="s">
        <v>50</v>
      </c>
      <c r="C1103" s="11" t="s">
        <v>85</v>
      </c>
      <c r="D1103" s="9" t="s">
        <v>4487</v>
      </c>
      <c r="E1103" s="9" t="s">
        <v>358</v>
      </c>
      <c r="F1103" s="9" t="s">
        <v>4488</v>
      </c>
      <c r="G1103" s="9" t="s">
        <v>24</v>
      </c>
      <c r="H1103" s="15" t="s">
        <v>23</v>
      </c>
      <c r="I1103" s="9" t="s">
        <v>4489</v>
      </c>
      <c r="J1103" s="13"/>
      <c r="K1103" s="13"/>
    </row>
    <row r="1104" customFormat="false" ht="258.95" hidden="false" customHeight="false" outlineLevel="0" collapsed="false">
      <c r="A1104" s="9" t="n">
        <v>1103</v>
      </c>
      <c r="B1104" s="9" t="s">
        <v>87</v>
      </c>
      <c r="C1104" s="11" t="s">
        <v>88</v>
      </c>
      <c r="D1104" s="9" t="s">
        <v>4490</v>
      </c>
      <c r="E1104" s="9" t="s">
        <v>4491</v>
      </c>
      <c r="F1104" s="9" t="s">
        <v>4492</v>
      </c>
      <c r="G1104" s="9" t="s">
        <v>1370</v>
      </c>
      <c r="H1104" s="12" t="s">
        <v>21</v>
      </c>
      <c r="I1104" s="9" t="s">
        <v>4493</v>
      </c>
      <c r="J1104" s="13"/>
      <c r="K1104" s="13"/>
    </row>
    <row r="1105" customFormat="false" ht="135.8" hidden="false" customHeight="false" outlineLevel="0" collapsed="false">
      <c r="A1105" s="9" t="n">
        <v>1104</v>
      </c>
      <c r="B1105" s="9" t="s">
        <v>87</v>
      </c>
      <c r="C1105" s="11" t="s">
        <v>88</v>
      </c>
      <c r="D1105" s="9" t="s">
        <v>4494</v>
      </c>
      <c r="E1105" s="9" t="s">
        <v>4495</v>
      </c>
      <c r="F1105" s="9" t="s">
        <v>4496</v>
      </c>
      <c r="G1105" s="9" t="s">
        <v>1852</v>
      </c>
      <c r="H1105" s="12" t="s">
        <v>21</v>
      </c>
      <c r="I1105" s="9" t="s">
        <v>4497</v>
      </c>
      <c r="J1105" s="13"/>
      <c r="K1105" s="13"/>
    </row>
    <row r="1106" customFormat="false" ht="169.4" hidden="false" customHeight="false" outlineLevel="0" collapsed="false">
      <c r="A1106" s="9" t="n">
        <v>1105</v>
      </c>
      <c r="B1106" s="9" t="s">
        <v>87</v>
      </c>
      <c r="C1106" s="11" t="s">
        <v>88</v>
      </c>
      <c r="D1106" s="9" t="s">
        <v>4498</v>
      </c>
      <c r="E1106" s="9" t="s">
        <v>4499</v>
      </c>
      <c r="F1106" s="9" t="s">
        <v>4500</v>
      </c>
      <c r="G1106" s="9" t="s">
        <v>1370</v>
      </c>
      <c r="H1106" s="12" t="s">
        <v>21</v>
      </c>
      <c r="I1106" s="9" t="s">
        <v>4501</v>
      </c>
      <c r="J1106" s="13"/>
      <c r="K1106" s="13"/>
    </row>
    <row r="1107" customFormat="false" ht="147" hidden="false" customHeight="false" outlineLevel="0" collapsed="false">
      <c r="A1107" s="9" t="n">
        <v>1106</v>
      </c>
      <c r="B1107" s="9" t="s">
        <v>87</v>
      </c>
      <c r="C1107" s="11" t="s">
        <v>88</v>
      </c>
      <c r="D1107" s="9" t="s">
        <v>4502</v>
      </c>
      <c r="E1107" s="9" t="s">
        <v>4503</v>
      </c>
      <c r="F1107" s="9" t="s">
        <v>4504</v>
      </c>
      <c r="G1107" s="9" t="s">
        <v>4505</v>
      </c>
      <c r="H1107" s="12" t="s">
        <v>21</v>
      </c>
      <c r="I1107" s="9" t="s">
        <v>4506</v>
      </c>
      <c r="J1107" s="13"/>
      <c r="K1107" s="13"/>
    </row>
    <row r="1108" customFormat="false" ht="113.4" hidden="false" customHeight="false" outlineLevel="0" collapsed="false">
      <c r="A1108" s="9" t="n">
        <v>1107</v>
      </c>
      <c r="B1108" s="9" t="s">
        <v>87</v>
      </c>
      <c r="C1108" s="11" t="s">
        <v>88</v>
      </c>
      <c r="D1108" s="9" t="s">
        <v>4507</v>
      </c>
      <c r="E1108" s="9" t="s">
        <v>4508</v>
      </c>
      <c r="F1108" s="9" t="s">
        <v>4509</v>
      </c>
      <c r="G1108" s="9" t="s">
        <v>1613</v>
      </c>
      <c r="H1108" s="12" t="s">
        <v>21</v>
      </c>
      <c r="I1108" s="9" t="s">
        <v>4510</v>
      </c>
      <c r="J1108" s="13"/>
      <c r="K1108" s="13"/>
    </row>
    <row r="1109" customFormat="false" ht="147" hidden="false" customHeight="false" outlineLevel="0" collapsed="false">
      <c r="A1109" s="9" t="n">
        <v>1108</v>
      </c>
      <c r="B1109" s="9" t="s">
        <v>87</v>
      </c>
      <c r="C1109" s="11" t="s">
        <v>88</v>
      </c>
      <c r="D1109" s="9" t="s">
        <v>4511</v>
      </c>
      <c r="E1109" s="9" t="s">
        <v>4512</v>
      </c>
      <c r="F1109" s="9" t="s">
        <v>4513</v>
      </c>
      <c r="G1109" s="9" t="s">
        <v>392</v>
      </c>
      <c r="H1109" s="12" t="s">
        <v>21</v>
      </c>
      <c r="I1109" s="9" t="s">
        <v>4514</v>
      </c>
      <c r="J1109" s="13"/>
      <c r="K1109" s="13"/>
    </row>
    <row r="1110" customFormat="false" ht="68.65" hidden="false" customHeight="false" outlineLevel="0" collapsed="false">
      <c r="A1110" s="9" t="n">
        <v>1109</v>
      </c>
      <c r="B1110" s="9" t="s">
        <v>87</v>
      </c>
      <c r="C1110" s="11" t="s">
        <v>88</v>
      </c>
      <c r="D1110" s="9" t="s">
        <v>4515</v>
      </c>
      <c r="E1110" s="9" t="s">
        <v>4516</v>
      </c>
      <c r="F1110" s="9" t="s">
        <v>4517</v>
      </c>
      <c r="G1110" s="9" t="s">
        <v>303</v>
      </c>
      <c r="H1110" s="14" t="s">
        <v>22</v>
      </c>
      <c r="I1110" s="9" t="s">
        <v>4518</v>
      </c>
      <c r="J1110" s="13"/>
      <c r="K1110" s="13"/>
    </row>
    <row r="1111" customFormat="false" ht="91" hidden="false" customHeight="false" outlineLevel="0" collapsed="false">
      <c r="A1111" s="9" t="n">
        <v>1110</v>
      </c>
      <c r="B1111" s="9" t="s">
        <v>87</v>
      </c>
      <c r="C1111" s="11" t="s">
        <v>88</v>
      </c>
      <c r="D1111" s="9" t="s">
        <v>4519</v>
      </c>
      <c r="E1111" s="9" t="s">
        <v>4520</v>
      </c>
      <c r="F1111" s="9" t="s">
        <v>4521</v>
      </c>
      <c r="G1111" s="9" t="s">
        <v>3257</v>
      </c>
      <c r="H1111" s="14" t="s">
        <v>22</v>
      </c>
      <c r="I1111" s="9" t="s">
        <v>4522</v>
      </c>
      <c r="J1111" s="13"/>
      <c r="K1111" s="13"/>
    </row>
    <row r="1112" customFormat="false" ht="91" hidden="false" customHeight="false" outlineLevel="0" collapsed="false">
      <c r="A1112" s="9" t="n">
        <v>1111</v>
      </c>
      <c r="B1112" s="9" t="s">
        <v>87</v>
      </c>
      <c r="C1112" s="11" t="s">
        <v>88</v>
      </c>
      <c r="D1112" s="9" t="s">
        <v>4523</v>
      </c>
      <c r="E1112" s="9" t="s">
        <v>4524</v>
      </c>
      <c r="F1112" s="9" t="s">
        <v>4525</v>
      </c>
      <c r="G1112" s="9" t="s">
        <v>3257</v>
      </c>
      <c r="H1112" s="14" t="s">
        <v>22</v>
      </c>
      <c r="I1112" s="9" t="s">
        <v>4526</v>
      </c>
      <c r="J1112" s="13"/>
      <c r="K1112" s="13"/>
    </row>
    <row r="1113" customFormat="false" ht="57.45" hidden="false" customHeight="false" outlineLevel="0" collapsed="false">
      <c r="A1113" s="9" t="n">
        <v>1112</v>
      </c>
      <c r="B1113" s="9" t="s">
        <v>87</v>
      </c>
      <c r="C1113" s="11" t="s">
        <v>88</v>
      </c>
      <c r="D1113" s="9" t="s">
        <v>4527</v>
      </c>
      <c r="E1113" s="9" t="s">
        <v>4528</v>
      </c>
      <c r="F1113" s="9" t="s">
        <v>4529</v>
      </c>
      <c r="G1113" s="9" t="s">
        <v>1284</v>
      </c>
      <c r="H1113" s="14" t="s">
        <v>22</v>
      </c>
      <c r="I1113" s="9" t="s">
        <v>4530</v>
      </c>
      <c r="J1113" s="13"/>
      <c r="K1113" s="13"/>
    </row>
    <row r="1114" customFormat="false" ht="68.65" hidden="false" customHeight="false" outlineLevel="0" collapsed="false">
      <c r="A1114" s="9" t="n">
        <v>1113</v>
      </c>
      <c r="B1114" s="9" t="s">
        <v>87</v>
      </c>
      <c r="C1114" s="11" t="s">
        <v>88</v>
      </c>
      <c r="D1114" s="9" t="s">
        <v>4531</v>
      </c>
      <c r="E1114" s="9" t="s">
        <v>4532</v>
      </c>
      <c r="F1114" s="9" t="s">
        <v>4533</v>
      </c>
      <c r="G1114" s="9" t="s">
        <v>392</v>
      </c>
      <c r="H1114" s="14" t="s">
        <v>22</v>
      </c>
      <c r="I1114" s="9" t="s">
        <v>4534</v>
      </c>
      <c r="J1114" s="13"/>
      <c r="K1114" s="13"/>
    </row>
    <row r="1115" customFormat="false" ht="46.25" hidden="false" customHeight="false" outlineLevel="0" collapsed="false">
      <c r="A1115" s="9" t="n">
        <v>1114</v>
      </c>
      <c r="B1115" s="9" t="s">
        <v>87</v>
      </c>
      <c r="C1115" s="11" t="s">
        <v>88</v>
      </c>
      <c r="D1115" s="9" t="s">
        <v>4535</v>
      </c>
      <c r="E1115" s="9" t="s">
        <v>4536</v>
      </c>
      <c r="F1115" s="9" t="s">
        <v>4537</v>
      </c>
      <c r="G1115" s="9" t="s">
        <v>303</v>
      </c>
      <c r="H1115" s="14" t="s">
        <v>22</v>
      </c>
      <c r="I1115" s="9" t="s">
        <v>4538</v>
      </c>
      <c r="J1115" s="13"/>
      <c r="K1115" s="13"/>
    </row>
    <row r="1116" customFormat="false" ht="113.4" hidden="false" customHeight="false" outlineLevel="0" collapsed="false">
      <c r="A1116" s="9" t="n">
        <v>1115</v>
      </c>
      <c r="B1116" s="9" t="s">
        <v>87</v>
      </c>
      <c r="C1116" s="11" t="s">
        <v>88</v>
      </c>
      <c r="D1116" s="9" t="s">
        <v>4539</v>
      </c>
      <c r="E1116" s="9" t="s">
        <v>4540</v>
      </c>
      <c r="F1116" s="9" t="s">
        <v>4541</v>
      </c>
      <c r="G1116" s="9" t="s">
        <v>861</v>
      </c>
      <c r="H1116" s="14" t="s">
        <v>22</v>
      </c>
      <c r="I1116" s="9" t="s">
        <v>4542</v>
      </c>
      <c r="J1116" s="13"/>
      <c r="K1116" s="13"/>
    </row>
    <row r="1117" customFormat="false" ht="57.45" hidden="false" customHeight="false" outlineLevel="0" collapsed="false">
      <c r="A1117" s="9" t="n">
        <v>1116</v>
      </c>
      <c r="B1117" s="9" t="s">
        <v>87</v>
      </c>
      <c r="C1117" s="11" t="s">
        <v>88</v>
      </c>
      <c r="D1117" s="9" t="s">
        <v>4543</v>
      </c>
      <c r="E1117" s="9" t="s">
        <v>4544</v>
      </c>
      <c r="F1117" s="9" t="s">
        <v>4545</v>
      </c>
      <c r="G1117" s="9" t="s">
        <v>392</v>
      </c>
      <c r="H1117" s="14" t="s">
        <v>22</v>
      </c>
      <c r="I1117" s="9" t="s">
        <v>4546</v>
      </c>
      <c r="J1117" s="13"/>
      <c r="K1117" s="13"/>
    </row>
    <row r="1118" customFormat="false" ht="57.45" hidden="false" customHeight="false" outlineLevel="0" collapsed="false">
      <c r="A1118" s="9" t="n">
        <v>1117</v>
      </c>
      <c r="B1118" s="9" t="s">
        <v>87</v>
      </c>
      <c r="C1118" s="11" t="s">
        <v>88</v>
      </c>
      <c r="D1118" s="9" t="s">
        <v>4547</v>
      </c>
      <c r="E1118" s="9" t="s">
        <v>4548</v>
      </c>
      <c r="F1118" s="9" t="s">
        <v>4549</v>
      </c>
      <c r="G1118" s="9" t="s">
        <v>902</v>
      </c>
      <c r="H1118" s="14" t="s">
        <v>22</v>
      </c>
      <c r="I1118" s="9" t="s">
        <v>4550</v>
      </c>
      <c r="J1118" s="13"/>
      <c r="K1118" s="13"/>
    </row>
    <row r="1119" customFormat="false" ht="68.65" hidden="false" customHeight="false" outlineLevel="0" collapsed="false">
      <c r="A1119" s="9" t="n">
        <v>1118</v>
      </c>
      <c r="B1119" s="9" t="s">
        <v>87</v>
      </c>
      <c r="C1119" s="11" t="s">
        <v>88</v>
      </c>
      <c r="D1119" s="9" t="s">
        <v>4551</v>
      </c>
      <c r="E1119" s="9" t="s">
        <v>4552</v>
      </c>
      <c r="F1119" s="9" t="s">
        <v>4553</v>
      </c>
      <c r="G1119" s="9" t="s">
        <v>1284</v>
      </c>
      <c r="H1119" s="14" t="s">
        <v>22</v>
      </c>
      <c r="I1119" s="9" t="s">
        <v>4554</v>
      </c>
      <c r="J1119" s="13"/>
      <c r="K1119" s="13"/>
    </row>
    <row r="1120" customFormat="false" ht="102.2" hidden="false" customHeight="false" outlineLevel="0" collapsed="false">
      <c r="A1120" s="9" t="n">
        <v>1119</v>
      </c>
      <c r="B1120" s="9" t="s">
        <v>87</v>
      </c>
      <c r="C1120" s="11" t="s">
        <v>88</v>
      </c>
      <c r="D1120" s="9" t="s">
        <v>4555</v>
      </c>
      <c r="E1120" s="9" t="s">
        <v>4556</v>
      </c>
      <c r="F1120" s="9" t="s">
        <v>4557</v>
      </c>
      <c r="G1120" s="9" t="s">
        <v>1058</v>
      </c>
      <c r="H1120" s="14" t="s">
        <v>22</v>
      </c>
      <c r="I1120" s="9" t="s">
        <v>4558</v>
      </c>
      <c r="J1120" s="13"/>
      <c r="K1120" s="13"/>
    </row>
    <row r="1121" customFormat="false" ht="35.05" hidden="false" customHeight="false" outlineLevel="0" collapsed="false">
      <c r="A1121" s="9" t="n">
        <v>1120</v>
      </c>
      <c r="B1121" s="9" t="s">
        <v>87</v>
      </c>
      <c r="C1121" s="11" t="s">
        <v>88</v>
      </c>
      <c r="D1121" s="9" t="s">
        <v>4559</v>
      </c>
      <c r="E1121" s="9" t="s">
        <v>4560</v>
      </c>
      <c r="F1121" s="9" t="s">
        <v>4561</v>
      </c>
      <c r="G1121" s="9" t="s">
        <v>392</v>
      </c>
      <c r="H1121" s="15" t="s">
        <v>23</v>
      </c>
      <c r="I1121" s="9" t="s">
        <v>4562</v>
      </c>
      <c r="J1121" s="13"/>
      <c r="K1121" s="13"/>
    </row>
    <row r="1122" customFormat="false" ht="46.25" hidden="false" customHeight="false" outlineLevel="0" collapsed="false">
      <c r="A1122" s="9" t="n">
        <v>1121</v>
      </c>
      <c r="B1122" s="9" t="s">
        <v>87</v>
      </c>
      <c r="C1122" s="11" t="s">
        <v>88</v>
      </c>
      <c r="D1122" s="9" t="s">
        <v>4563</v>
      </c>
      <c r="E1122" s="9" t="s">
        <v>4564</v>
      </c>
      <c r="F1122" s="9" t="s">
        <v>4565</v>
      </c>
      <c r="G1122" s="9" t="s">
        <v>312</v>
      </c>
      <c r="H1122" s="15" t="s">
        <v>23</v>
      </c>
      <c r="I1122" s="9" t="s">
        <v>4566</v>
      </c>
      <c r="J1122" s="13"/>
      <c r="K1122" s="13"/>
    </row>
    <row r="1123" customFormat="false" ht="46.25" hidden="false" customHeight="false" outlineLevel="0" collapsed="false">
      <c r="A1123" s="9" t="n">
        <v>1122</v>
      </c>
      <c r="B1123" s="9" t="s">
        <v>87</v>
      </c>
      <c r="C1123" s="11" t="s">
        <v>88</v>
      </c>
      <c r="D1123" s="9" t="s">
        <v>4567</v>
      </c>
      <c r="E1123" s="9" t="s">
        <v>4568</v>
      </c>
      <c r="F1123" s="9" t="s">
        <v>4569</v>
      </c>
      <c r="G1123" s="9" t="s">
        <v>392</v>
      </c>
      <c r="H1123" s="15" t="s">
        <v>23</v>
      </c>
      <c r="I1123" s="9" t="s">
        <v>4570</v>
      </c>
      <c r="J1123" s="13"/>
      <c r="K1123" s="13"/>
    </row>
    <row r="1124" customFormat="false" ht="57.45" hidden="false" customHeight="false" outlineLevel="0" collapsed="false">
      <c r="A1124" s="9" t="n">
        <v>1123</v>
      </c>
      <c r="B1124" s="9" t="s">
        <v>87</v>
      </c>
      <c r="C1124" s="11" t="s">
        <v>88</v>
      </c>
      <c r="D1124" s="9" t="s">
        <v>4571</v>
      </c>
      <c r="E1124" s="9" t="s">
        <v>4572</v>
      </c>
      <c r="F1124" s="9" t="s">
        <v>4573</v>
      </c>
      <c r="G1124" s="9" t="s">
        <v>317</v>
      </c>
      <c r="H1124" s="14" t="s">
        <v>22</v>
      </c>
      <c r="I1124" s="9" t="s">
        <v>4574</v>
      </c>
      <c r="J1124" s="13"/>
      <c r="K1124" s="13"/>
    </row>
    <row r="1125" customFormat="false" ht="57.45" hidden="false" customHeight="false" outlineLevel="0" collapsed="false">
      <c r="A1125" s="9" t="n">
        <v>1124</v>
      </c>
      <c r="B1125" s="9" t="s">
        <v>87</v>
      </c>
      <c r="C1125" s="11" t="s">
        <v>88</v>
      </c>
      <c r="D1125" s="9" t="s">
        <v>4575</v>
      </c>
      <c r="E1125" s="9" t="s">
        <v>4576</v>
      </c>
      <c r="F1125" s="9" t="s">
        <v>4577</v>
      </c>
      <c r="G1125" s="9" t="s">
        <v>3257</v>
      </c>
      <c r="H1125" s="14" t="s">
        <v>22</v>
      </c>
      <c r="I1125" s="9" t="s">
        <v>4578</v>
      </c>
      <c r="J1125" s="13"/>
      <c r="K1125" s="13"/>
    </row>
    <row r="1126" customFormat="false" ht="91" hidden="false" customHeight="false" outlineLevel="0" collapsed="false">
      <c r="A1126" s="9" t="n">
        <v>1125</v>
      </c>
      <c r="B1126" s="9" t="s">
        <v>87</v>
      </c>
      <c r="C1126" s="11" t="s">
        <v>88</v>
      </c>
      <c r="D1126" s="9" t="s">
        <v>4579</v>
      </c>
      <c r="E1126" s="9" t="s">
        <v>4580</v>
      </c>
      <c r="F1126" s="9" t="s">
        <v>4581</v>
      </c>
      <c r="G1126" s="9" t="s">
        <v>392</v>
      </c>
      <c r="H1126" s="14" t="s">
        <v>22</v>
      </c>
      <c r="I1126" s="9" t="s">
        <v>4582</v>
      </c>
      <c r="J1126" s="13"/>
      <c r="K1126" s="13"/>
    </row>
    <row r="1127" customFormat="false" ht="102.2" hidden="false" customHeight="false" outlineLevel="0" collapsed="false">
      <c r="A1127" s="9" t="n">
        <v>1126</v>
      </c>
      <c r="B1127" s="9" t="s">
        <v>87</v>
      </c>
      <c r="C1127" s="11" t="s">
        <v>88</v>
      </c>
      <c r="D1127" s="9" t="s">
        <v>4583</v>
      </c>
      <c r="E1127" s="9" t="s">
        <v>4584</v>
      </c>
      <c r="F1127" s="9" t="s">
        <v>4585</v>
      </c>
      <c r="G1127" s="9" t="s">
        <v>1638</v>
      </c>
      <c r="H1127" s="14" t="s">
        <v>22</v>
      </c>
      <c r="I1127" s="9" t="s">
        <v>4586</v>
      </c>
      <c r="J1127" s="13"/>
      <c r="K1127" s="13"/>
    </row>
    <row r="1128" customFormat="false" ht="46.25" hidden="false" customHeight="false" outlineLevel="0" collapsed="false">
      <c r="A1128" s="9" t="n">
        <v>1127</v>
      </c>
      <c r="B1128" s="9" t="s">
        <v>87</v>
      </c>
      <c r="C1128" s="11" t="s">
        <v>88</v>
      </c>
      <c r="D1128" s="9" t="s">
        <v>4587</v>
      </c>
      <c r="E1128" s="9" t="s">
        <v>4588</v>
      </c>
      <c r="F1128" s="9" t="s">
        <v>4589</v>
      </c>
      <c r="G1128" s="9" t="s">
        <v>1852</v>
      </c>
      <c r="H1128" s="14" t="s">
        <v>22</v>
      </c>
      <c r="I1128" s="9" t="s">
        <v>4590</v>
      </c>
      <c r="J1128" s="13"/>
      <c r="K1128" s="13"/>
    </row>
    <row r="1129" customFormat="false" ht="57.45" hidden="false" customHeight="false" outlineLevel="0" collapsed="false">
      <c r="A1129" s="9" t="n">
        <v>1128</v>
      </c>
      <c r="B1129" s="9" t="s">
        <v>87</v>
      </c>
      <c r="C1129" s="11" t="s">
        <v>88</v>
      </c>
      <c r="D1129" s="9" t="s">
        <v>4591</v>
      </c>
      <c r="E1129" s="9" t="s">
        <v>4592</v>
      </c>
      <c r="F1129" s="9" t="s">
        <v>4593</v>
      </c>
      <c r="G1129" s="9" t="s">
        <v>324</v>
      </c>
      <c r="H1129" s="14" t="s">
        <v>22</v>
      </c>
      <c r="I1129" s="9" t="s">
        <v>4594</v>
      </c>
      <c r="J1129" s="13"/>
      <c r="K1129" s="13"/>
    </row>
    <row r="1130" customFormat="false" ht="68.65" hidden="false" customHeight="false" outlineLevel="0" collapsed="false">
      <c r="A1130" s="9" t="n">
        <v>1129</v>
      </c>
      <c r="B1130" s="9" t="s">
        <v>87</v>
      </c>
      <c r="C1130" s="11" t="s">
        <v>88</v>
      </c>
      <c r="D1130" s="9" t="s">
        <v>4595</v>
      </c>
      <c r="E1130" s="9" t="s">
        <v>4596</v>
      </c>
      <c r="F1130" s="9" t="s">
        <v>4597</v>
      </c>
      <c r="G1130" s="9" t="s">
        <v>312</v>
      </c>
      <c r="H1130" s="15" t="s">
        <v>23</v>
      </c>
      <c r="I1130" s="9" t="s">
        <v>4598</v>
      </c>
      <c r="J1130" s="13"/>
      <c r="K1130" s="13"/>
    </row>
    <row r="1131" customFormat="false" ht="57.45" hidden="false" customHeight="false" outlineLevel="0" collapsed="false">
      <c r="A1131" s="9" t="n">
        <v>1130</v>
      </c>
      <c r="B1131" s="9" t="s">
        <v>87</v>
      </c>
      <c r="C1131" s="11" t="s">
        <v>88</v>
      </c>
      <c r="D1131" s="9" t="s">
        <v>4599</v>
      </c>
      <c r="E1131" s="9" t="s">
        <v>4600</v>
      </c>
      <c r="F1131" s="9" t="s">
        <v>4601</v>
      </c>
      <c r="G1131" s="9" t="s">
        <v>312</v>
      </c>
      <c r="H1131" s="15" t="s">
        <v>23</v>
      </c>
      <c r="I1131" s="9" t="s">
        <v>4602</v>
      </c>
      <c r="J1131" s="13"/>
      <c r="K1131" s="13"/>
    </row>
    <row r="1132" customFormat="false" ht="68.65" hidden="false" customHeight="false" outlineLevel="0" collapsed="false">
      <c r="A1132" s="9" t="n">
        <v>1131</v>
      </c>
      <c r="B1132" s="9" t="s">
        <v>87</v>
      </c>
      <c r="C1132" s="11" t="s">
        <v>88</v>
      </c>
      <c r="D1132" s="9" t="s">
        <v>4603</v>
      </c>
      <c r="E1132" s="9" t="s">
        <v>4604</v>
      </c>
      <c r="F1132" s="9" t="s">
        <v>4605</v>
      </c>
      <c r="G1132" s="9" t="s">
        <v>328</v>
      </c>
      <c r="H1132" s="15" t="s">
        <v>23</v>
      </c>
      <c r="I1132" s="9" t="s">
        <v>4606</v>
      </c>
      <c r="J1132" s="13"/>
      <c r="K1132" s="13"/>
    </row>
    <row r="1133" customFormat="false" ht="23.85" hidden="false" customHeight="false" outlineLevel="0" collapsed="false">
      <c r="A1133" s="9" t="n">
        <v>1132</v>
      </c>
      <c r="B1133" s="9" t="s">
        <v>87</v>
      </c>
      <c r="C1133" s="11" t="s">
        <v>88</v>
      </c>
      <c r="D1133" s="9" t="s">
        <v>4607</v>
      </c>
      <c r="E1133" s="9" t="s">
        <v>2094</v>
      </c>
      <c r="F1133" s="9" t="s">
        <v>4608</v>
      </c>
      <c r="G1133" s="9" t="s">
        <v>328</v>
      </c>
      <c r="H1133" s="15" t="s">
        <v>23</v>
      </c>
      <c r="I1133" s="9" t="s">
        <v>4609</v>
      </c>
      <c r="J1133" s="13"/>
      <c r="K1133" s="13"/>
    </row>
    <row r="1134" customFormat="false" ht="35.05" hidden="false" customHeight="false" outlineLevel="0" collapsed="false">
      <c r="A1134" s="9" t="n">
        <v>1133</v>
      </c>
      <c r="B1134" s="9" t="s">
        <v>87</v>
      </c>
      <c r="C1134" s="11" t="s">
        <v>88</v>
      </c>
      <c r="D1134" s="9" t="s">
        <v>4610</v>
      </c>
      <c r="E1134" s="9" t="s">
        <v>4611</v>
      </c>
      <c r="F1134" s="9" t="s">
        <v>4612</v>
      </c>
      <c r="G1134" s="9" t="s">
        <v>1918</v>
      </c>
      <c r="H1134" s="15" t="s">
        <v>23</v>
      </c>
      <c r="I1134" s="9" t="s">
        <v>4613</v>
      </c>
      <c r="J1134" s="13"/>
      <c r="K1134" s="13"/>
    </row>
    <row r="1135" customFormat="false" ht="23.85" hidden="false" customHeight="false" outlineLevel="0" collapsed="false">
      <c r="A1135" s="9" t="n">
        <v>1134</v>
      </c>
      <c r="B1135" s="9" t="s">
        <v>87</v>
      </c>
      <c r="C1135" s="11" t="s">
        <v>88</v>
      </c>
      <c r="D1135" s="9" t="s">
        <v>4614</v>
      </c>
      <c r="E1135" s="9" t="s">
        <v>4615</v>
      </c>
      <c r="F1135" s="9" t="s">
        <v>4616</v>
      </c>
      <c r="G1135" s="9" t="s">
        <v>1918</v>
      </c>
      <c r="H1135" s="15" t="s">
        <v>23</v>
      </c>
      <c r="I1135" s="9" t="s">
        <v>4617</v>
      </c>
      <c r="J1135" s="13"/>
      <c r="K1135" s="13"/>
    </row>
    <row r="1136" customFormat="false" ht="57.45" hidden="false" customHeight="false" outlineLevel="0" collapsed="false">
      <c r="A1136" s="9" t="n">
        <v>1135</v>
      </c>
      <c r="B1136" s="9" t="s">
        <v>87</v>
      </c>
      <c r="C1136" s="11" t="s">
        <v>88</v>
      </c>
      <c r="D1136" s="9" t="s">
        <v>4618</v>
      </c>
      <c r="E1136" s="9" t="s">
        <v>4619</v>
      </c>
      <c r="F1136" s="9" t="s">
        <v>4620</v>
      </c>
      <c r="G1136" s="9" t="s">
        <v>1072</v>
      </c>
      <c r="H1136" s="15" t="s">
        <v>23</v>
      </c>
      <c r="I1136" s="9" t="s">
        <v>4621</v>
      </c>
      <c r="J1136" s="13"/>
      <c r="K1136" s="13"/>
    </row>
    <row r="1137" customFormat="false" ht="23.85" hidden="false" customHeight="false" outlineLevel="0" collapsed="false">
      <c r="A1137" s="9" t="n">
        <v>1136</v>
      </c>
      <c r="B1137" s="9" t="s">
        <v>87</v>
      </c>
      <c r="C1137" s="11" t="s">
        <v>88</v>
      </c>
      <c r="D1137" s="9" t="s">
        <v>4622</v>
      </c>
      <c r="E1137" s="9" t="s">
        <v>4623</v>
      </c>
      <c r="F1137" s="9" t="s">
        <v>4624</v>
      </c>
      <c r="G1137" s="9" t="s">
        <v>312</v>
      </c>
      <c r="H1137" s="15" t="s">
        <v>23</v>
      </c>
      <c r="I1137" s="9" t="s">
        <v>4625</v>
      </c>
      <c r="J1137" s="13"/>
      <c r="K1137" s="13"/>
    </row>
    <row r="1138" customFormat="false" ht="46.25" hidden="false" customHeight="false" outlineLevel="0" collapsed="false">
      <c r="A1138" s="9" t="n">
        <v>1137</v>
      </c>
      <c r="B1138" s="9" t="s">
        <v>87</v>
      </c>
      <c r="C1138" s="11" t="s">
        <v>88</v>
      </c>
      <c r="D1138" s="9" t="s">
        <v>4626</v>
      </c>
      <c r="E1138" s="9" t="s">
        <v>4627</v>
      </c>
      <c r="F1138" s="9" t="s">
        <v>4628</v>
      </c>
      <c r="G1138" s="9" t="s">
        <v>317</v>
      </c>
      <c r="H1138" s="15" t="s">
        <v>23</v>
      </c>
      <c r="I1138" s="9" t="s">
        <v>4629</v>
      </c>
      <c r="J1138" s="13"/>
      <c r="K1138" s="13"/>
    </row>
    <row r="1139" customFormat="false" ht="57.45" hidden="false" customHeight="false" outlineLevel="0" collapsed="false">
      <c r="A1139" s="9" t="n">
        <v>1138</v>
      </c>
      <c r="B1139" s="9" t="s">
        <v>87</v>
      </c>
      <c r="C1139" s="11" t="s">
        <v>88</v>
      </c>
      <c r="D1139" s="9" t="s">
        <v>4630</v>
      </c>
      <c r="E1139" s="9" t="s">
        <v>4631</v>
      </c>
      <c r="F1139" s="9" t="s">
        <v>4632</v>
      </c>
      <c r="G1139" s="9" t="s">
        <v>312</v>
      </c>
      <c r="H1139" s="15" t="s">
        <v>23</v>
      </c>
      <c r="I1139" s="9" t="s">
        <v>4633</v>
      </c>
      <c r="J1139" s="13"/>
      <c r="K1139" s="13"/>
    </row>
    <row r="1140" customFormat="false" ht="46.25" hidden="false" customHeight="false" outlineLevel="0" collapsed="false">
      <c r="A1140" s="9" t="n">
        <v>1139</v>
      </c>
      <c r="B1140" s="9" t="s">
        <v>87</v>
      </c>
      <c r="C1140" s="11" t="s">
        <v>88</v>
      </c>
      <c r="D1140" s="9" t="s">
        <v>4634</v>
      </c>
      <c r="E1140" s="9" t="s">
        <v>4635</v>
      </c>
      <c r="F1140" s="9" t="s">
        <v>4636</v>
      </c>
      <c r="G1140" s="9" t="s">
        <v>1058</v>
      </c>
      <c r="H1140" s="15" t="s">
        <v>23</v>
      </c>
      <c r="I1140" s="9" t="s">
        <v>4637</v>
      </c>
      <c r="J1140" s="13"/>
      <c r="K1140" s="13"/>
    </row>
    <row r="1141" customFormat="false" ht="23.85" hidden="false" customHeight="false" outlineLevel="0" collapsed="false">
      <c r="A1141" s="9" t="n">
        <v>1140</v>
      </c>
      <c r="B1141" s="9" t="s">
        <v>87</v>
      </c>
      <c r="C1141" s="11" t="s">
        <v>88</v>
      </c>
      <c r="D1141" s="9" t="s">
        <v>4638</v>
      </c>
      <c r="E1141" s="9" t="s">
        <v>4639</v>
      </c>
      <c r="F1141" s="9" t="s">
        <v>4640</v>
      </c>
      <c r="G1141" s="9" t="s">
        <v>1072</v>
      </c>
      <c r="H1141" s="15" t="s">
        <v>23</v>
      </c>
      <c r="I1141" s="9" t="s">
        <v>4641</v>
      </c>
      <c r="J1141" s="13"/>
      <c r="K1141" s="13"/>
    </row>
    <row r="1142" customFormat="false" ht="23.85" hidden="false" customHeight="false" outlineLevel="0" collapsed="false">
      <c r="A1142" s="9" t="n">
        <v>1141</v>
      </c>
      <c r="B1142" s="9" t="s">
        <v>87</v>
      </c>
      <c r="C1142" s="11" t="s">
        <v>88</v>
      </c>
      <c r="D1142" s="9" t="s">
        <v>4642</v>
      </c>
      <c r="E1142" s="9" t="s">
        <v>4643</v>
      </c>
      <c r="F1142" s="9" t="s">
        <v>4644</v>
      </c>
      <c r="G1142" s="9" t="s">
        <v>1072</v>
      </c>
      <c r="H1142" s="15" t="s">
        <v>23</v>
      </c>
      <c r="I1142" s="9" t="s">
        <v>4645</v>
      </c>
      <c r="J1142" s="13"/>
      <c r="K1142" s="13"/>
    </row>
    <row r="1143" customFormat="false" ht="23.85" hidden="false" customHeight="false" outlineLevel="0" collapsed="false">
      <c r="A1143" s="9" t="n">
        <v>1142</v>
      </c>
      <c r="B1143" s="9" t="s">
        <v>87</v>
      </c>
      <c r="C1143" s="11" t="s">
        <v>88</v>
      </c>
      <c r="D1143" s="9" t="s">
        <v>4646</v>
      </c>
      <c r="E1143" s="9" t="s">
        <v>4647</v>
      </c>
      <c r="F1143" s="9" t="s">
        <v>4648</v>
      </c>
      <c r="G1143" s="9" t="s">
        <v>1072</v>
      </c>
      <c r="H1143" s="15" t="s">
        <v>23</v>
      </c>
      <c r="I1143" s="9" t="s">
        <v>4649</v>
      </c>
      <c r="J1143" s="13"/>
      <c r="K1143" s="13"/>
    </row>
    <row r="1144" customFormat="false" ht="35.05" hidden="false" customHeight="false" outlineLevel="0" collapsed="false">
      <c r="A1144" s="9" t="n">
        <v>1143</v>
      </c>
      <c r="B1144" s="9" t="s">
        <v>87</v>
      </c>
      <c r="C1144" s="11" t="s">
        <v>88</v>
      </c>
      <c r="D1144" s="9" t="s">
        <v>4650</v>
      </c>
      <c r="E1144" s="9" t="s">
        <v>4651</v>
      </c>
      <c r="F1144" s="9" t="s">
        <v>4652</v>
      </c>
      <c r="G1144" s="9" t="s">
        <v>317</v>
      </c>
      <c r="H1144" s="15" t="s">
        <v>23</v>
      </c>
      <c r="I1144" s="9" t="s">
        <v>4653</v>
      </c>
      <c r="J1144" s="13"/>
      <c r="K1144" s="13"/>
    </row>
    <row r="1145" customFormat="false" ht="35.05" hidden="false" customHeight="false" outlineLevel="0" collapsed="false">
      <c r="A1145" s="9" t="n">
        <v>1144</v>
      </c>
      <c r="B1145" s="9" t="s">
        <v>87</v>
      </c>
      <c r="C1145" s="11" t="s">
        <v>88</v>
      </c>
      <c r="D1145" s="9" t="s">
        <v>4654</v>
      </c>
      <c r="E1145" s="9" t="s">
        <v>4655</v>
      </c>
      <c r="F1145" s="9" t="s">
        <v>4656</v>
      </c>
      <c r="G1145" s="9" t="s">
        <v>392</v>
      </c>
      <c r="H1145" s="15" t="s">
        <v>23</v>
      </c>
      <c r="I1145" s="9" t="s">
        <v>4657</v>
      </c>
      <c r="J1145" s="13"/>
      <c r="K1145" s="13"/>
    </row>
    <row r="1146" customFormat="false" ht="46.25" hidden="false" customHeight="false" outlineLevel="0" collapsed="false">
      <c r="A1146" s="9" t="n">
        <v>1145</v>
      </c>
      <c r="B1146" s="9" t="s">
        <v>87</v>
      </c>
      <c r="C1146" s="11" t="s">
        <v>88</v>
      </c>
      <c r="D1146" s="9" t="s">
        <v>4658</v>
      </c>
      <c r="E1146" s="9" t="s">
        <v>4659</v>
      </c>
      <c r="F1146" s="9" t="s">
        <v>4660</v>
      </c>
      <c r="G1146" s="9" t="s">
        <v>24</v>
      </c>
      <c r="H1146" s="12" t="s">
        <v>21</v>
      </c>
      <c r="I1146" s="9" t="s">
        <v>4661</v>
      </c>
      <c r="J1146" s="13"/>
      <c r="K1146" s="13"/>
    </row>
    <row r="1147" customFormat="false" ht="68.65" hidden="false" customHeight="false" outlineLevel="0" collapsed="false">
      <c r="A1147" s="9" t="n">
        <v>1146</v>
      </c>
      <c r="B1147" s="9" t="s">
        <v>87</v>
      </c>
      <c r="C1147" s="11" t="s">
        <v>88</v>
      </c>
      <c r="D1147" s="9" t="s">
        <v>4662</v>
      </c>
      <c r="E1147" s="9" t="s">
        <v>4663</v>
      </c>
      <c r="F1147" s="9" t="s">
        <v>4664</v>
      </c>
      <c r="G1147" s="9" t="s">
        <v>24</v>
      </c>
      <c r="H1147" s="14" t="s">
        <v>22</v>
      </c>
      <c r="I1147" s="9" t="s">
        <v>4665</v>
      </c>
      <c r="J1147" s="13"/>
      <c r="K1147" s="13"/>
    </row>
    <row r="1148" customFormat="false" ht="35.05" hidden="false" customHeight="false" outlineLevel="0" collapsed="false">
      <c r="A1148" s="9" t="n">
        <v>1147</v>
      </c>
      <c r="B1148" s="9" t="s">
        <v>87</v>
      </c>
      <c r="C1148" s="11" t="s">
        <v>88</v>
      </c>
      <c r="D1148" s="9" t="s">
        <v>4666</v>
      </c>
      <c r="E1148" s="9" t="s">
        <v>4667</v>
      </c>
      <c r="F1148" s="9" t="s">
        <v>4668</v>
      </c>
      <c r="G1148" s="9" t="s">
        <v>24</v>
      </c>
      <c r="H1148" s="15" t="s">
        <v>23</v>
      </c>
      <c r="I1148" s="9" t="s">
        <v>4669</v>
      </c>
      <c r="J1148" s="13"/>
      <c r="K1148" s="13"/>
    </row>
    <row r="1149" customFormat="false" ht="35.05" hidden="false" customHeight="false" outlineLevel="0" collapsed="false">
      <c r="A1149" s="9" t="n">
        <v>1148</v>
      </c>
      <c r="B1149" s="9" t="s">
        <v>87</v>
      </c>
      <c r="C1149" s="11" t="s">
        <v>88</v>
      </c>
      <c r="D1149" s="9" t="s">
        <v>4670</v>
      </c>
      <c r="E1149" s="9" t="s">
        <v>4671</v>
      </c>
      <c r="F1149" s="9" t="s">
        <v>4672</v>
      </c>
      <c r="G1149" s="9" t="s">
        <v>24</v>
      </c>
      <c r="H1149" s="14" t="s">
        <v>22</v>
      </c>
      <c r="I1149" s="9" t="s">
        <v>4673</v>
      </c>
      <c r="J1149" s="13"/>
      <c r="K1149" s="13"/>
    </row>
    <row r="1150" customFormat="false" ht="46.25" hidden="false" customHeight="false" outlineLevel="0" collapsed="false">
      <c r="A1150" s="9" t="n">
        <v>1149</v>
      </c>
      <c r="B1150" s="9" t="s">
        <v>87</v>
      </c>
      <c r="C1150" s="11" t="s">
        <v>88</v>
      </c>
      <c r="D1150" s="9" t="s">
        <v>4674</v>
      </c>
      <c r="E1150" s="9" t="s">
        <v>4675</v>
      </c>
      <c r="F1150" s="9" t="s">
        <v>4676</v>
      </c>
      <c r="G1150" s="9" t="s">
        <v>24</v>
      </c>
      <c r="H1150" s="14" t="s">
        <v>22</v>
      </c>
      <c r="I1150" s="9" t="s">
        <v>4677</v>
      </c>
      <c r="J1150" s="13"/>
      <c r="K1150" s="13"/>
    </row>
    <row r="1151" customFormat="false" ht="46.25" hidden="false" customHeight="false" outlineLevel="0" collapsed="false">
      <c r="A1151" s="9" t="n">
        <v>1150</v>
      </c>
      <c r="B1151" s="9" t="s">
        <v>87</v>
      </c>
      <c r="C1151" s="11" t="s">
        <v>88</v>
      </c>
      <c r="D1151" s="9" t="s">
        <v>4678</v>
      </c>
      <c r="E1151" s="9" t="s">
        <v>4679</v>
      </c>
      <c r="F1151" s="9" t="s">
        <v>4680</v>
      </c>
      <c r="G1151" s="9" t="s">
        <v>24</v>
      </c>
      <c r="H1151" s="14" t="s">
        <v>22</v>
      </c>
      <c r="I1151" s="9" t="s">
        <v>4681</v>
      </c>
      <c r="J1151" s="13"/>
      <c r="K1151" s="13"/>
    </row>
    <row r="1152" customFormat="false" ht="46.25" hidden="false" customHeight="false" outlineLevel="0" collapsed="false">
      <c r="A1152" s="9" t="n">
        <v>1151</v>
      </c>
      <c r="B1152" s="9" t="s">
        <v>87</v>
      </c>
      <c r="C1152" s="11" t="s">
        <v>88</v>
      </c>
      <c r="D1152" s="9" t="s">
        <v>4682</v>
      </c>
      <c r="E1152" s="9" t="s">
        <v>4683</v>
      </c>
      <c r="F1152" s="9" t="s">
        <v>4684</v>
      </c>
      <c r="G1152" s="9" t="s">
        <v>24</v>
      </c>
      <c r="H1152" s="14" t="s">
        <v>22</v>
      </c>
      <c r="I1152" s="9" t="s">
        <v>4685</v>
      </c>
      <c r="J1152" s="13"/>
      <c r="K1152" s="13"/>
    </row>
    <row r="1153" customFormat="false" ht="35.05" hidden="false" customHeight="false" outlineLevel="0" collapsed="false">
      <c r="A1153" s="9" t="n">
        <v>1152</v>
      </c>
      <c r="B1153" s="9" t="s">
        <v>87</v>
      </c>
      <c r="C1153" s="11" t="s">
        <v>88</v>
      </c>
      <c r="D1153" s="9" t="s">
        <v>4686</v>
      </c>
      <c r="E1153" s="9" t="s">
        <v>4687</v>
      </c>
      <c r="F1153" s="9" t="s">
        <v>4688</v>
      </c>
      <c r="G1153" s="9" t="s">
        <v>24</v>
      </c>
      <c r="H1153" s="14" t="s">
        <v>22</v>
      </c>
      <c r="I1153" s="9" t="s">
        <v>434</v>
      </c>
      <c r="J1153" s="13"/>
      <c r="K1153" s="13"/>
    </row>
    <row r="1154" customFormat="false" ht="46.25" hidden="false" customHeight="false" outlineLevel="0" collapsed="false">
      <c r="A1154" s="9" t="n">
        <v>1153</v>
      </c>
      <c r="B1154" s="9" t="s">
        <v>87</v>
      </c>
      <c r="C1154" s="11" t="s">
        <v>88</v>
      </c>
      <c r="D1154" s="9" t="s">
        <v>4689</v>
      </c>
      <c r="E1154" s="9" t="s">
        <v>4690</v>
      </c>
      <c r="F1154" s="9" t="s">
        <v>4691</v>
      </c>
      <c r="G1154" s="9" t="s">
        <v>24</v>
      </c>
      <c r="H1154" s="14" t="s">
        <v>22</v>
      </c>
      <c r="I1154" s="9" t="s">
        <v>4692</v>
      </c>
      <c r="J1154" s="13"/>
      <c r="K1154" s="13"/>
    </row>
    <row r="1155" customFormat="false" ht="57.45" hidden="false" customHeight="false" outlineLevel="0" collapsed="false">
      <c r="A1155" s="9" t="n">
        <v>1154</v>
      </c>
      <c r="B1155" s="9" t="s">
        <v>87</v>
      </c>
      <c r="C1155" s="11" t="s">
        <v>88</v>
      </c>
      <c r="D1155" s="9" t="s">
        <v>4693</v>
      </c>
      <c r="E1155" s="9" t="s">
        <v>358</v>
      </c>
      <c r="F1155" s="9" t="s">
        <v>4694</v>
      </c>
      <c r="G1155" s="9" t="s">
        <v>24</v>
      </c>
      <c r="H1155" s="14" t="s">
        <v>22</v>
      </c>
      <c r="I1155" s="9" t="s">
        <v>4695</v>
      </c>
      <c r="J1155" s="13"/>
      <c r="K1155" s="13"/>
    </row>
    <row r="1156" customFormat="false" ht="15" hidden="false" customHeight="false" outlineLevel="0" collapsed="false">
      <c r="A1156" s="9" t="n">
        <v>1155</v>
      </c>
      <c r="B1156" s="9" t="s">
        <v>87</v>
      </c>
      <c r="C1156" s="11" t="s">
        <v>88</v>
      </c>
      <c r="D1156" s="9" t="s">
        <v>4696</v>
      </c>
      <c r="E1156" s="9" t="s">
        <v>362</v>
      </c>
      <c r="F1156" s="9" t="s">
        <v>4697</v>
      </c>
      <c r="G1156" s="9" t="s">
        <v>24</v>
      </c>
      <c r="H1156" s="14" t="s">
        <v>22</v>
      </c>
      <c r="I1156" s="9" t="s">
        <v>364</v>
      </c>
      <c r="J1156" s="13"/>
      <c r="K1156" s="13"/>
    </row>
    <row r="1157" customFormat="false" ht="23.85" hidden="false" customHeight="false" outlineLevel="0" collapsed="false">
      <c r="A1157" s="9" t="n">
        <v>1156</v>
      </c>
      <c r="B1157" s="9" t="s">
        <v>87</v>
      </c>
      <c r="C1157" s="11" t="s">
        <v>88</v>
      </c>
      <c r="D1157" s="9" t="s">
        <v>4698</v>
      </c>
      <c r="E1157" s="9" t="s">
        <v>4699</v>
      </c>
      <c r="F1157" s="9" t="s">
        <v>4700</v>
      </c>
      <c r="G1157" s="9" t="s">
        <v>24</v>
      </c>
      <c r="H1157" s="14" t="s">
        <v>22</v>
      </c>
      <c r="I1157" s="9" t="s">
        <v>4701</v>
      </c>
      <c r="J1157" s="13"/>
      <c r="K1157" s="13"/>
    </row>
    <row r="1158" customFormat="false" ht="23.85" hidden="false" customHeight="false" outlineLevel="0" collapsed="false">
      <c r="A1158" s="9" t="n">
        <v>1157</v>
      </c>
      <c r="B1158" s="9" t="s">
        <v>87</v>
      </c>
      <c r="C1158" s="11" t="s">
        <v>88</v>
      </c>
      <c r="D1158" s="9" t="s">
        <v>4702</v>
      </c>
      <c r="E1158" s="9" t="s">
        <v>4703</v>
      </c>
      <c r="F1158" s="9" t="s">
        <v>4704</v>
      </c>
      <c r="G1158" s="9" t="s">
        <v>24</v>
      </c>
      <c r="H1158" s="15" t="s">
        <v>23</v>
      </c>
      <c r="I1158" s="9" t="s">
        <v>4705</v>
      </c>
      <c r="J1158" s="13"/>
      <c r="K1158" s="13"/>
    </row>
    <row r="1159" customFormat="false" ht="23.85" hidden="false" customHeight="false" outlineLevel="0" collapsed="false">
      <c r="A1159" s="9" t="n">
        <v>1158</v>
      </c>
      <c r="B1159" s="9" t="s">
        <v>87</v>
      </c>
      <c r="C1159" s="11" t="s">
        <v>88</v>
      </c>
      <c r="D1159" s="9" t="s">
        <v>4706</v>
      </c>
      <c r="E1159" s="9" t="s">
        <v>4707</v>
      </c>
      <c r="F1159" s="9" t="s">
        <v>4708</v>
      </c>
      <c r="G1159" s="9" t="s">
        <v>24</v>
      </c>
      <c r="H1159" s="15" t="s">
        <v>23</v>
      </c>
      <c r="I1159" s="9" t="s">
        <v>1026</v>
      </c>
      <c r="J1159" s="13"/>
      <c r="K1159" s="13"/>
    </row>
    <row r="1160" customFormat="false" ht="35.05" hidden="false" customHeight="false" outlineLevel="0" collapsed="false">
      <c r="A1160" s="9" t="n">
        <v>1159</v>
      </c>
      <c r="B1160" s="9" t="s">
        <v>87</v>
      </c>
      <c r="C1160" s="11" t="s">
        <v>88</v>
      </c>
      <c r="D1160" s="9" t="s">
        <v>4709</v>
      </c>
      <c r="E1160" s="9" t="s">
        <v>4710</v>
      </c>
      <c r="F1160" s="9" t="s">
        <v>4711</v>
      </c>
      <c r="G1160" s="9" t="s">
        <v>24</v>
      </c>
      <c r="H1160" s="15" t="s">
        <v>23</v>
      </c>
      <c r="I1160" s="9" t="s">
        <v>3797</v>
      </c>
      <c r="J1160" s="13"/>
      <c r="K1160" s="13"/>
    </row>
    <row r="1161" customFormat="false" ht="35.05" hidden="false" customHeight="false" outlineLevel="0" collapsed="false">
      <c r="A1161" s="9" t="n">
        <v>1160</v>
      </c>
      <c r="B1161" s="9" t="s">
        <v>87</v>
      </c>
      <c r="C1161" s="11" t="s">
        <v>88</v>
      </c>
      <c r="D1161" s="9" t="s">
        <v>4712</v>
      </c>
      <c r="E1161" s="9" t="s">
        <v>4713</v>
      </c>
      <c r="F1161" s="9" t="s">
        <v>4714</v>
      </c>
      <c r="G1161" s="9" t="s">
        <v>24</v>
      </c>
      <c r="H1161" s="15" t="s">
        <v>23</v>
      </c>
      <c r="I1161" s="9" t="s">
        <v>4715</v>
      </c>
      <c r="J1161" s="13"/>
      <c r="K1161" s="13"/>
    </row>
    <row r="1162" customFormat="false" ht="23.85" hidden="false" customHeight="false" outlineLevel="0" collapsed="false">
      <c r="A1162" s="9" t="n">
        <v>1161</v>
      </c>
      <c r="B1162" s="9" t="s">
        <v>87</v>
      </c>
      <c r="C1162" s="11" t="s">
        <v>88</v>
      </c>
      <c r="D1162" s="9" t="s">
        <v>4716</v>
      </c>
      <c r="E1162" s="9" t="s">
        <v>4717</v>
      </c>
      <c r="F1162" s="9" t="s">
        <v>3812</v>
      </c>
      <c r="G1162" s="9" t="s">
        <v>24</v>
      </c>
      <c r="H1162" s="15" t="s">
        <v>23</v>
      </c>
      <c r="I1162" s="9" t="s">
        <v>2846</v>
      </c>
      <c r="J1162" s="13"/>
      <c r="K1162" s="13"/>
    </row>
    <row r="1163" customFormat="false" ht="15" hidden="false" customHeight="false" outlineLevel="0" collapsed="false">
      <c r="A1163" s="9" t="n">
        <v>1162</v>
      </c>
      <c r="B1163" s="9" t="s">
        <v>87</v>
      </c>
      <c r="C1163" s="11" t="s">
        <v>88</v>
      </c>
      <c r="D1163" s="9" t="s">
        <v>4718</v>
      </c>
      <c r="E1163" s="9" t="s">
        <v>4719</v>
      </c>
      <c r="F1163" s="9" t="s">
        <v>4720</v>
      </c>
      <c r="G1163" s="9" t="s">
        <v>24</v>
      </c>
      <c r="H1163" s="15" t="s">
        <v>23</v>
      </c>
      <c r="I1163" s="9" t="s">
        <v>4721</v>
      </c>
      <c r="J1163" s="13"/>
      <c r="K1163" s="13"/>
    </row>
    <row r="1164" customFormat="false" ht="23.85" hidden="false" customHeight="false" outlineLevel="0" collapsed="false">
      <c r="A1164" s="9" t="n">
        <v>1163</v>
      </c>
      <c r="B1164" s="9" t="s">
        <v>87</v>
      </c>
      <c r="C1164" s="11" t="s">
        <v>88</v>
      </c>
      <c r="D1164" s="9" t="s">
        <v>4722</v>
      </c>
      <c r="E1164" s="9" t="s">
        <v>4723</v>
      </c>
      <c r="F1164" s="9" t="s">
        <v>4724</v>
      </c>
      <c r="G1164" s="9" t="s">
        <v>24</v>
      </c>
      <c r="H1164" s="15" t="s">
        <v>23</v>
      </c>
      <c r="I1164" s="9" t="s">
        <v>4725</v>
      </c>
      <c r="J1164" s="13"/>
      <c r="K1164" s="13"/>
    </row>
    <row r="1165" customFormat="false" ht="91" hidden="false" customHeight="false" outlineLevel="0" collapsed="false">
      <c r="A1165" s="9" t="n">
        <v>1164</v>
      </c>
      <c r="B1165" s="9" t="s">
        <v>87</v>
      </c>
      <c r="C1165" s="11" t="s">
        <v>90</v>
      </c>
      <c r="D1165" s="9" t="s">
        <v>4726</v>
      </c>
      <c r="E1165" s="9" t="s">
        <v>4727</v>
      </c>
      <c r="F1165" s="9" t="s">
        <v>4728</v>
      </c>
      <c r="G1165" s="9" t="s">
        <v>303</v>
      </c>
      <c r="H1165" s="12" t="s">
        <v>21</v>
      </c>
      <c r="I1165" s="9" t="s">
        <v>4729</v>
      </c>
      <c r="J1165" s="13"/>
      <c r="K1165" s="13"/>
    </row>
    <row r="1166" customFormat="false" ht="135.8" hidden="false" customHeight="false" outlineLevel="0" collapsed="false">
      <c r="A1166" s="9" t="n">
        <v>1165</v>
      </c>
      <c r="B1166" s="9" t="s">
        <v>87</v>
      </c>
      <c r="C1166" s="11" t="s">
        <v>90</v>
      </c>
      <c r="D1166" s="9" t="s">
        <v>4730</v>
      </c>
      <c r="E1166" s="9" t="s">
        <v>4731</v>
      </c>
      <c r="F1166" s="9" t="s">
        <v>4732</v>
      </c>
      <c r="G1166" s="9" t="s">
        <v>1370</v>
      </c>
      <c r="H1166" s="14" t="s">
        <v>22</v>
      </c>
      <c r="I1166" s="9" t="s">
        <v>4733</v>
      </c>
      <c r="J1166" s="13"/>
      <c r="K1166" s="13"/>
    </row>
    <row r="1167" customFormat="false" ht="68.65" hidden="false" customHeight="false" outlineLevel="0" collapsed="false">
      <c r="A1167" s="9" t="n">
        <v>1166</v>
      </c>
      <c r="B1167" s="9" t="s">
        <v>87</v>
      </c>
      <c r="C1167" s="11" t="s">
        <v>90</v>
      </c>
      <c r="D1167" s="9" t="s">
        <v>4734</v>
      </c>
      <c r="E1167" s="9" t="s">
        <v>4735</v>
      </c>
      <c r="F1167" s="9" t="s">
        <v>4736</v>
      </c>
      <c r="G1167" s="9" t="s">
        <v>1421</v>
      </c>
      <c r="H1167" s="14" t="s">
        <v>22</v>
      </c>
      <c r="I1167" s="9" t="s">
        <v>4737</v>
      </c>
      <c r="J1167" s="13"/>
      <c r="K1167" s="13"/>
    </row>
    <row r="1168" customFormat="false" ht="169.4" hidden="false" customHeight="false" outlineLevel="0" collapsed="false">
      <c r="A1168" s="9" t="n">
        <v>1167</v>
      </c>
      <c r="B1168" s="9" t="s">
        <v>87</v>
      </c>
      <c r="C1168" s="11" t="s">
        <v>90</v>
      </c>
      <c r="D1168" s="9" t="s">
        <v>4738</v>
      </c>
      <c r="E1168" s="9" t="s">
        <v>4739</v>
      </c>
      <c r="F1168" s="9" t="s">
        <v>4740</v>
      </c>
      <c r="G1168" s="9" t="s">
        <v>1843</v>
      </c>
      <c r="H1168" s="12" t="s">
        <v>21</v>
      </c>
      <c r="I1168" s="9" t="s">
        <v>4741</v>
      </c>
      <c r="J1168" s="13"/>
      <c r="K1168" s="13"/>
    </row>
    <row r="1169" customFormat="false" ht="135.8" hidden="false" customHeight="false" outlineLevel="0" collapsed="false">
      <c r="A1169" s="9" t="n">
        <v>1168</v>
      </c>
      <c r="B1169" s="9" t="s">
        <v>87</v>
      </c>
      <c r="C1169" s="11" t="s">
        <v>90</v>
      </c>
      <c r="D1169" s="9" t="s">
        <v>4742</v>
      </c>
      <c r="E1169" s="9" t="s">
        <v>4743</v>
      </c>
      <c r="F1169" s="9" t="s">
        <v>4744</v>
      </c>
      <c r="G1169" s="9" t="s">
        <v>4745</v>
      </c>
      <c r="H1169" s="12" t="s">
        <v>21</v>
      </c>
      <c r="I1169" s="9" t="s">
        <v>4746</v>
      </c>
      <c r="J1169" s="13"/>
      <c r="K1169" s="13"/>
    </row>
    <row r="1170" customFormat="false" ht="102.2" hidden="false" customHeight="false" outlineLevel="0" collapsed="false">
      <c r="A1170" s="9" t="n">
        <v>1169</v>
      </c>
      <c r="B1170" s="9" t="s">
        <v>87</v>
      </c>
      <c r="C1170" s="11" t="s">
        <v>90</v>
      </c>
      <c r="D1170" s="9" t="s">
        <v>4747</v>
      </c>
      <c r="E1170" s="9" t="s">
        <v>4748</v>
      </c>
      <c r="F1170" s="9" t="s">
        <v>4749</v>
      </c>
      <c r="G1170" s="9" t="s">
        <v>834</v>
      </c>
      <c r="H1170" s="14" t="s">
        <v>22</v>
      </c>
      <c r="I1170" s="9" t="s">
        <v>4750</v>
      </c>
      <c r="J1170" s="13"/>
      <c r="K1170" s="13"/>
    </row>
    <row r="1171" customFormat="false" ht="35.05" hidden="false" customHeight="false" outlineLevel="0" collapsed="false">
      <c r="A1171" s="9" t="n">
        <v>1170</v>
      </c>
      <c r="B1171" s="9" t="s">
        <v>87</v>
      </c>
      <c r="C1171" s="11" t="s">
        <v>90</v>
      </c>
      <c r="D1171" s="9" t="s">
        <v>4751</v>
      </c>
      <c r="E1171" s="9" t="s">
        <v>4752</v>
      </c>
      <c r="F1171" s="9" t="s">
        <v>4753</v>
      </c>
      <c r="G1171" s="9" t="s">
        <v>317</v>
      </c>
      <c r="H1171" s="15" t="s">
        <v>23</v>
      </c>
      <c r="I1171" s="9" t="s">
        <v>4754</v>
      </c>
      <c r="J1171" s="13"/>
      <c r="K1171" s="13"/>
    </row>
    <row r="1172" customFormat="false" ht="124.6" hidden="false" customHeight="false" outlineLevel="0" collapsed="false">
      <c r="A1172" s="9" t="n">
        <v>1171</v>
      </c>
      <c r="B1172" s="9" t="s">
        <v>87</v>
      </c>
      <c r="C1172" s="11" t="s">
        <v>90</v>
      </c>
      <c r="D1172" s="9" t="s">
        <v>4755</v>
      </c>
      <c r="E1172" s="9" t="s">
        <v>4756</v>
      </c>
      <c r="F1172" s="9" t="s">
        <v>4757</v>
      </c>
      <c r="G1172" s="9" t="s">
        <v>1063</v>
      </c>
      <c r="H1172" s="14" t="s">
        <v>22</v>
      </c>
      <c r="I1172" s="9" t="s">
        <v>4758</v>
      </c>
      <c r="J1172" s="13"/>
      <c r="K1172" s="13"/>
    </row>
    <row r="1173" customFormat="false" ht="46.25" hidden="false" customHeight="false" outlineLevel="0" collapsed="false">
      <c r="A1173" s="9" t="n">
        <v>1172</v>
      </c>
      <c r="B1173" s="9" t="s">
        <v>87</v>
      </c>
      <c r="C1173" s="11" t="s">
        <v>90</v>
      </c>
      <c r="D1173" s="9" t="s">
        <v>4759</v>
      </c>
      <c r="E1173" s="9" t="s">
        <v>4760</v>
      </c>
      <c r="F1173" s="9" t="s">
        <v>4761</v>
      </c>
      <c r="G1173" s="9" t="s">
        <v>312</v>
      </c>
      <c r="H1173" s="15" t="s">
        <v>23</v>
      </c>
      <c r="I1173" s="9" t="s">
        <v>4762</v>
      </c>
      <c r="J1173" s="13"/>
      <c r="K1173" s="13"/>
    </row>
    <row r="1174" customFormat="false" ht="46.25" hidden="false" customHeight="false" outlineLevel="0" collapsed="false">
      <c r="A1174" s="9" t="n">
        <v>1173</v>
      </c>
      <c r="B1174" s="9" t="s">
        <v>87</v>
      </c>
      <c r="C1174" s="11" t="s">
        <v>90</v>
      </c>
      <c r="D1174" s="9" t="s">
        <v>4763</v>
      </c>
      <c r="E1174" s="9" t="s">
        <v>4764</v>
      </c>
      <c r="F1174" s="9" t="s">
        <v>4765</v>
      </c>
      <c r="G1174" s="9" t="s">
        <v>312</v>
      </c>
      <c r="H1174" s="15" t="s">
        <v>23</v>
      </c>
      <c r="I1174" s="9" t="s">
        <v>4766</v>
      </c>
      <c r="J1174" s="13"/>
      <c r="K1174" s="13"/>
    </row>
    <row r="1175" customFormat="false" ht="23.85" hidden="false" customHeight="false" outlineLevel="0" collapsed="false">
      <c r="A1175" s="9" t="n">
        <v>1174</v>
      </c>
      <c r="B1175" s="9" t="s">
        <v>87</v>
      </c>
      <c r="C1175" s="11" t="s">
        <v>90</v>
      </c>
      <c r="D1175" s="9" t="s">
        <v>4767</v>
      </c>
      <c r="E1175" s="9" t="s">
        <v>4768</v>
      </c>
      <c r="F1175" s="9" t="s">
        <v>4769</v>
      </c>
      <c r="G1175" s="9" t="s">
        <v>328</v>
      </c>
      <c r="H1175" s="15" t="s">
        <v>23</v>
      </c>
      <c r="I1175" s="9" t="s">
        <v>4770</v>
      </c>
      <c r="J1175" s="13"/>
      <c r="K1175" s="13"/>
    </row>
    <row r="1176" customFormat="false" ht="79.85" hidden="false" customHeight="false" outlineLevel="0" collapsed="false">
      <c r="A1176" s="9" t="n">
        <v>1175</v>
      </c>
      <c r="B1176" s="9" t="s">
        <v>87</v>
      </c>
      <c r="C1176" s="11" t="s">
        <v>90</v>
      </c>
      <c r="D1176" s="9" t="s">
        <v>4771</v>
      </c>
      <c r="E1176" s="9" t="s">
        <v>4772</v>
      </c>
      <c r="F1176" s="9" t="s">
        <v>4773</v>
      </c>
      <c r="G1176" s="9" t="s">
        <v>1613</v>
      </c>
      <c r="H1176" s="14" t="s">
        <v>22</v>
      </c>
      <c r="I1176" s="9" t="s">
        <v>4774</v>
      </c>
      <c r="J1176" s="13"/>
      <c r="K1176" s="13"/>
    </row>
    <row r="1177" customFormat="false" ht="79.85" hidden="false" customHeight="false" outlineLevel="0" collapsed="false">
      <c r="A1177" s="9" t="n">
        <v>1176</v>
      </c>
      <c r="B1177" s="9" t="s">
        <v>87</v>
      </c>
      <c r="C1177" s="11" t="s">
        <v>90</v>
      </c>
      <c r="D1177" s="9" t="s">
        <v>4775</v>
      </c>
      <c r="E1177" s="9" t="s">
        <v>4776</v>
      </c>
      <c r="F1177" s="9" t="s">
        <v>4777</v>
      </c>
      <c r="G1177" s="9" t="s">
        <v>1852</v>
      </c>
      <c r="H1177" s="14" t="s">
        <v>22</v>
      </c>
      <c r="I1177" s="9" t="s">
        <v>4778</v>
      </c>
      <c r="J1177" s="13"/>
      <c r="K1177" s="13"/>
    </row>
    <row r="1178" customFormat="false" ht="79.85" hidden="false" customHeight="false" outlineLevel="0" collapsed="false">
      <c r="A1178" s="9" t="n">
        <v>1177</v>
      </c>
      <c r="B1178" s="9" t="s">
        <v>87</v>
      </c>
      <c r="C1178" s="11" t="s">
        <v>90</v>
      </c>
      <c r="D1178" s="9" t="s">
        <v>4779</v>
      </c>
      <c r="E1178" s="9" t="s">
        <v>4780</v>
      </c>
      <c r="F1178" s="9" t="s">
        <v>4781</v>
      </c>
      <c r="G1178" s="9" t="s">
        <v>392</v>
      </c>
      <c r="H1178" s="14" t="s">
        <v>22</v>
      </c>
      <c r="I1178" s="9" t="s">
        <v>4782</v>
      </c>
      <c r="J1178" s="13"/>
      <c r="K1178" s="13"/>
    </row>
    <row r="1179" customFormat="false" ht="57.45" hidden="false" customHeight="false" outlineLevel="0" collapsed="false">
      <c r="A1179" s="9" t="n">
        <v>1178</v>
      </c>
      <c r="B1179" s="9" t="s">
        <v>87</v>
      </c>
      <c r="C1179" s="11" t="s">
        <v>90</v>
      </c>
      <c r="D1179" s="9" t="s">
        <v>4783</v>
      </c>
      <c r="E1179" s="9" t="s">
        <v>4784</v>
      </c>
      <c r="F1179" s="9" t="s">
        <v>4785</v>
      </c>
      <c r="G1179" s="9" t="s">
        <v>4786</v>
      </c>
      <c r="H1179" s="15" t="s">
        <v>23</v>
      </c>
      <c r="I1179" s="9" t="s">
        <v>4787</v>
      </c>
      <c r="J1179" s="13"/>
      <c r="K1179" s="13"/>
    </row>
    <row r="1180" customFormat="false" ht="79.85" hidden="false" customHeight="false" outlineLevel="0" collapsed="false">
      <c r="A1180" s="9" t="n">
        <v>1179</v>
      </c>
      <c r="B1180" s="9" t="s">
        <v>87</v>
      </c>
      <c r="C1180" s="11" t="s">
        <v>90</v>
      </c>
      <c r="D1180" s="9" t="s">
        <v>4788</v>
      </c>
      <c r="E1180" s="9" t="s">
        <v>4789</v>
      </c>
      <c r="F1180" s="9" t="s">
        <v>4790</v>
      </c>
      <c r="G1180" s="9" t="s">
        <v>1643</v>
      </c>
      <c r="H1180" s="14" t="s">
        <v>22</v>
      </c>
      <c r="I1180" s="9" t="s">
        <v>4791</v>
      </c>
      <c r="J1180" s="13"/>
      <c r="K1180" s="13"/>
    </row>
    <row r="1181" customFormat="false" ht="35.05" hidden="false" customHeight="false" outlineLevel="0" collapsed="false">
      <c r="A1181" s="9" t="n">
        <v>1180</v>
      </c>
      <c r="B1181" s="9" t="s">
        <v>87</v>
      </c>
      <c r="C1181" s="11" t="s">
        <v>90</v>
      </c>
      <c r="D1181" s="9" t="s">
        <v>4792</v>
      </c>
      <c r="E1181" s="9" t="s">
        <v>4793</v>
      </c>
      <c r="F1181" s="9" t="s">
        <v>4794</v>
      </c>
      <c r="G1181" s="9" t="s">
        <v>392</v>
      </c>
      <c r="H1181" s="15" t="s">
        <v>23</v>
      </c>
      <c r="I1181" s="9" t="s">
        <v>4795</v>
      </c>
      <c r="J1181" s="13"/>
      <c r="K1181" s="13"/>
    </row>
    <row r="1182" customFormat="false" ht="191.75" hidden="false" customHeight="false" outlineLevel="0" collapsed="false">
      <c r="A1182" s="9" t="n">
        <v>1181</v>
      </c>
      <c r="B1182" s="9" t="s">
        <v>87</v>
      </c>
      <c r="C1182" s="11" t="s">
        <v>90</v>
      </c>
      <c r="D1182" s="9" t="s">
        <v>4796</v>
      </c>
      <c r="E1182" s="9" t="s">
        <v>4797</v>
      </c>
      <c r="F1182" s="9" t="s">
        <v>4798</v>
      </c>
      <c r="G1182" s="9" t="s">
        <v>4799</v>
      </c>
      <c r="H1182" s="12" t="s">
        <v>21</v>
      </c>
      <c r="I1182" s="9" t="s">
        <v>4800</v>
      </c>
      <c r="J1182" s="13"/>
      <c r="K1182" s="13"/>
    </row>
    <row r="1183" customFormat="false" ht="79.85" hidden="false" customHeight="false" outlineLevel="0" collapsed="false">
      <c r="A1183" s="9" t="n">
        <v>1182</v>
      </c>
      <c r="B1183" s="9" t="s">
        <v>87</v>
      </c>
      <c r="C1183" s="11" t="s">
        <v>90</v>
      </c>
      <c r="D1183" s="9" t="s">
        <v>4801</v>
      </c>
      <c r="E1183" s="9" t="s">
        <v>4802</v>
      </c>
      <c r="F1183" s="9" t="s">
        <v>4803</v>
      </c>
      <c r="G1183" s="9" t="s">
        <v>1063</v>
      </c>
      <c r="H1183" s="14" t="s">
        <v>22</v>
      </c>
      <c r="I1183" s="9" t="s">
        <v>4804</v>
      </c>
      <c r="J1183" s="13"/>
      <c r="K1183" s="13"/>
    </row>
    <row r="1184" customFormat="false" ht="79.85" hidden="false" customHeight="false" outlineLevel="0" collapsed="false">
      <c r="A1184" s="9" t="n">
        <v>1183</v>
      </c>
      <c r="B1184" s="9" t="s">
        <v>87</v>
      </c>
      <c r="C1184" s="11" t="s">
        <v>90</v>
      </c>
      <c r="D1184" s="9" t="s">
        <v>4805</v>
      </c>
      <c r="E1184" s="9" t="s">
        <v>4806</v>
      </c>
      <c r="F1184" s="9" t="s">
        <v>4807</v>
      </c>
      <c r="G1184" s="9" t="s">
        <v>1604</v>
      </c>
      <c r="H1184" s="14" t="s">
        <v>22</v>
      </c>
      <c r="I1184" s="9" t="s">
        <v>4808</v>
      </c>
      <c r="J1184" s="13"/>
      <c r="K1184" s="13"/>
    </row>
    <row r="1185" customFormat="false" ht="57.45" hidden="false" customHeight="false" outlineLevel="0" collapsed="false">
      <c r="A1185" s="9" t="n">
        <v>1184</v>
      </c>
      <c r="B1185" s="9" t="s">
        <v>87</v>
      </c>
      <c r="C1185" s="11" t="s">
        <v>90</v>
      </c>
      <c r="D1185" s="9" t="s">
        <v>4809</v>
      </c>
      <c r="E1185" s="9" t="s">
        <v>4810</v>
      </c>
      <c r="F1185" s="9" t="s">
        <v>4811</v>
      </c>
      <c r="G1185" s="9" t="s">
        <v>317</v>
      </c>
      <c r="H1185" s="15" t="s">
        <v>23</v>
      </c>
      <c r="I1185" s="9" t="s">
        <v>4812</v>
      </c>
      <c r="J1185" s="13"/>
      <c r="K1185" s="13"/>
    </row>
    <row r="1186" customFormat="false" ht="35.05" hidden="false" customHeight="false" outlineLevel="0" collapsed="false">
      <c r="A1186" s="9" t="n">
        <v>1185</v>
      </c>
      <c r="B1186" s="9" t="s">
        <v>87</v>
      </c>
      <c r="C1186" s="11" t="s">
        <v>90</v>
      </c>
      <c r="D1186" s="9" t="s">
        <v>4813</v>
      </c>
      <c r="E1186" s="9" t="s">
        <v>4814</v>
      </c>
      <c r="F1186" s="9" t="s">
        <v>4815</v>
      </c>
      <c r="G1186" s="9" t="s">
        <v>317</v>
      </c>
      <c r="H1186" s="15" t="s">
        <v>23</v>
      </c>
      <c r="I1186" s="9" t="s">
        <v>4816</v>
      </c>
      <c r="J1186" s="13"/>
      <c r="K1186" s="13"/>
    </row>
    <row r="1187" customFormat="false" ht="68.65" hidden="false" customHeight="false" outlineLevel="0" collapsed="false">
      <c r="A1187" s="9" t="n">
        <v>1186</v>
      </c>
      <c r="B1187" s="9" t="s">
        <v>87</v>
      </c>
      <c r="C1187" s="11" t="s">
        <v>90</v>
      </c>
      <c r="D1187" s="9" t="s">
        <v>4817</v>
      </c>
      <c r="E1187" s="9" t="s">
        <v>4818</v>
      </c>
      <c r="F1187" s="9" t="s">
        <v>4819</v>
      </c>
      <c r="G1187" s="9" t="s">
        <v>1072</v>
      </c>
      <c r="H1187" s="14" t="s">
        <v>22</v>
      </c>
      <c r="I1187" s="9" t="s">
        <v>4820</v>
      </c>
      <c r="J1187" s="13"/>
      <c r="K1187" s="13"/>
    </row>
    <row r="1188" customFormat="false" ht="57.45" hidden="false" customHeight="false" outlineLevel="0" collapsed="false">
      <c r="A1188" s="9" t="n">
        <v>1187</v>
      </c>
      <c r="B1188" s="9" t="s">
        <v>87</v>
      </c>
      <c r="C1188" s="11" t="s">
        <v>90</v>
      </c>
      <c r="D1188" s="9" t="s">
        <v>4821</v>
      </c>
      <c r="E1188" s="9" t="s">
        <v>4822</v>
      </c>
      <c r="F1188" s="9" t="s">
        <v>4823</v>
      </c>
      <c r="G1188" s="9" t="s">
        <v>312</v>
      </c>
      <c r="H1188" s="15" t="s">
        <v>23</v>
      </c>
      <c r="I1188" s="9" t="s">
        <v>4824</v>
      </c>
      <c r="J1188" s="13"/>
      <c r="K1188" s="13"/>
    </row>
    <row r="1189" customFormat="false" ht="91" hidden="false" customHeight="false" outlineLevel="0" collapsed="false">
      <c r="A1189" s="9" t="n">
        <v>1188</v>
      </c>
      <c r="B1189" s="9" t="s">
        <v>87</v>
      </c>
      <c r="C1189" s="11" t="s">
        <v>90</v>
      </c>
      <c r="D1189" s="9" t="s">
        <v>4825</v>
      </c>
      <c r="E1189" s="9" t="s">
        <v>4826</v>
      </c>
      <c r="F1189" s="9" t="s">
        <v>4827</v>
      </c>
      <c r="G1189" s="9" t="s">
        <v>392</v>
      </c>
      <c r="H1189" s="14" t="s">
        <v>22</v>
      </c>
      <c r="I1189" s="9" t="s">
        <v>4828</v>
      </c>
      <c r="J1189" s="13"/>
      <c r="K1189" s="13"/>
    </row>
    <row r="1190" customFormat="false" ht="147" hidden="false" customHeight="false" outlineLevel="0" collapsed="false">
      <c r="A1190" s="9" t="n">
        <v>1189</v>
      </c>
      <c r="B1190" s="9" t="s">
        <v>87</v>
      </c>
      <c r="C1190" s="11" t="s">
        <v>90</v>
      </c>
      <c r="D1190" s="9" t="s">
        <v>4829</v>
      </c>
      <c r="E1190" s="9" t="s">
        <v>4830</v>
      </c>
      <c r="F1190" s="9" t="s">
        <v>4831</v>
      </c>
      <c r="G1190" s="9" t="s">
        <v>1063</v>
      </c>
      <c r="H1190" s="12" t="s">
        <v>21</v>
      </c>
      <c r="I1190" s="9" t="s">
        <v>4832</v>
      </c>
      <c r="J1190" s="13"/>
      <c r="K1190" s="13"/>
    </row>
    <row r="1191" customFormat="false" ht="57.45" hidden="false" customHeight="false" outlineLevel="0" collapsed="false">
      <c r="A1191" s="9" t="n">
        <v>1190</v>
      </c>
      <c r="B1191" s="9" t="s">
        <v>87</v>
      </c>
      <c r="C1191" s="11" t="s">
        <v>90</v>
      </c>
      <c r="D1191" s="9" t="s">
        <v>4833</v>
      </c>
      <c r="E1191" s="9" t="s">
        <v>4834</v>
      </c>
      <c r="F1191" s="9" t="s">
        <v>4835</v>
      </c>
      <c r="G1191" s="9" t="s">
        <v>317</v>
      </c>
      <c r="H1191" s="15" t="s">
        <v>23</v>
      </c>
      <c r="I1191" s="9" t="s">
        <v>4836</v>
      </c>
      <c r="J1191" s="13"/>
      <c r="K1191" s="13"/>
    </row>
    <row r="1192" customFormat="false" ht="57.45" hidden="false" customHeight="false" outlineLevel="0" collapsed="false">
      <c r="A1192" s="9" t="n">
        <v>1191</v>
      </c>
      <c r="B1192" s="9" t="s">
        <v>87</v>
      </c>
      <c r="C1192" s="11" t="s">
        <v>90</v>
      </c>
      <c r="D1192" s="9" t="s">
        <v>4837</v>
      </c>
      <c r="E1192" s="9" t="s">
        <v>4838</v>
      </c>
      <c r="F1192" s="9" t="s">
        <v>4839</v>
      </c>
      <c r="G1192" s="9" t="s">
        <v>4840</v>
      </c>
      <c r="H1192" s="14" t="s">
        <v>22</v>
      </c>
      <c r="I1192" s="9" t="s">
        <v>4841</v>
      </c>
      <c r="J1192" s="13"/>
      <c r="K1192" s="13"/>
    </row>
    <row r="1193" customFormat="false" ht="35.05" hidden="false" customHeight="false" outlineLevel="0" collapsed="false">
      <c r="A1193" s="9" t="n">
        <v>1192</v>
      </c>
      <c r="B1193" s="9" t="s">
        <v>87</v>
      </c>
      <c r="C1193" s="11" t="s">
        <v>90</v>
      </c>
      <c r="D1193" s="9" t="s">
        <v>4842</v>
      </c>
      <c r="E1193" s="9" t="s">
        <v>4843</v>
      </c>
      <c r="F1193" s="9" t="s">
        <v>4844</v>
      </c>
      <c r="G1193" s="9" t="s">
        <v>308</v>
      </c>
      <c r="H1193" s="15" t="s">
        <v>23</v>
      </c>
      <c r="I1193" s="9" t="s">
        <v>4845</v>
      </c>
      <c r="J1193" s="13"/>
      <c r="K1193" s="13"/>
    </row>
    <row r="1194" customFormat="false" ht="46.25" hidden="false" customHeight="false" outlineLevel="0" collapsed="false">
      <c r="A1194" s="9" t="n">
        <v>1193</v>
      </c>
      <c r="B1194" s="9" t="s">
        <v>87</v>
      </c>
      <c r="C1194" s="11" t="s">
        <v>90</v>
      </c>
      <c r="D1194" s="9" t="s">
        <v>4846</v>
      </c>
      <c r="E1194" s="9" t="s">
        <v>4847</v>
      </c>
      <c r="F1194" s="9" t="s">
        <v>4848</v>
      </c>
      <c r="G1194" s="9" t="s">
        <v>328</v>
      </c>
      <c r="H1194" s="15" t="s">
        <v>23</v>
      </c>
      <c r="I1194" s="9" t="s">
        <v>4849</v>
      </c>
      <c r="J1194" s="13"/>
      <c r="K1194" s="13"/>
    </row>
    <row r="1195" customFormat="false" ht="57.45" hidden="false" customHeight="false" outlineLevel="0" collapsed="false">
      <c r="A1195" s="9" t="n">
        <v>1194</v>
      </c>
      <c r="B1195" s="9" t="s">
        <v>87</v>
      </c>
      <c r="C1195" s="11" t="s">
        <v>90</v>
      </c>
      <c r="D1195" s="9" t="s">
        <v>4850</v>
      </c>
      <c r="E1195" s="9" t="s">
        <v>4851</v>
      </c>
      <c r="F1195" s="9" t="s">
        <v>4852</v>
      </c>
      <c r="G1195" s="9" t="s">
        <v>312</v>
      </c>
      <c r="H1195" s="15" t="s">
        <v>23</v>
      </c>
      <c r="I1195" s="9" t="s">
        <v>4853</v>
      </c>
      <c r="J1195" s="13"/>
      <c r="K1195" s="13"/>
    </row>
    <row r="1196" customFormat="false" ht="68.65" hidden="false" customHeight="false" outlineLevel="0" collapsed="false">
      <c r="A1196" s="9" t="n">
        <v>1195</v>
      </c>
      <c r="B1196" s="9" t="s">
        <v>87</v>
      </c>
      <c r="C1196" s="11" t="s">
        <v>90</v>
      </c>
      <c r="D1196" s="9" t="s">
        <v>4854</v>
      </c>
      <c r="E1196" s="9" t="s">
        <v>4855</v>
      </c>
      <c r="F1196" s="9" t="s">
        <v>4856</v>
      </c>
      <c r="G1196" s="9" t="s">
        <v>392</v>
      </c>
      <c r="H1196" s="15" t="s">
        <v>23</v>
      </c>
      <c r="I1196" s="9" t="s">
        <v>4857</v>
      </c>
      <c r="J1196" s="13"/>
      <c r="K1196" s="13"/>
    </row>
    <row r="1197" customFormat="false" ht="57.45" hidden="false" customHeight="false" outlineLevel="0" collapsed="false">
      <c r="A1197" s="9" t="n">
        <v>1196</v>
      </c>
      <c r="B1197" s="9" t="s">
        <v>87</v>
      </c>
      <c r="C1197" s="11" t="s">
        <v>90</v>
      </c>
      <c r="D1197" s="9" t="s">
        <v>4858</v>
      </c>
      <c r="E1197" s="9" t="s">
        <v>4859</v>
      </c>
      <c r="F1197" s="9" t="s">
        <v>4860</v>
      </c>
      <c r="G1197" s="9" t="s">
        <v>324</v>
      </c>
      <c r="H1197" s="14" t="s">
        <v>22</v>
      </c>
      <c r="I1197" s="9" t="s">
        <v>4861</v>
      </c>
      <c r="J1197" s="13"/>
      <c r="K1197" s="13"/>
    </row>
    <row r="1198" customFormat="false" ht="35.05" hidden="false" customHeight="false" outlineLevel="0" collapsed="false">
      <c r="A1198" s="9" t="n">
        <v>1197</v>
      </c>
      <c r="B1198" s="9" t="s">
        <v>87</v>
      </c>
      <c r="C1198" s="11" t="s">
        <v>90</v>
      </c>
      <c r="D1198" s="9" t="s">
        <v>4862</v>
      </c>
      <c r="E1198" s="9" t="s">
        <v>4863</v>
      </c>
      <c r="F1198" s="9" t="s">
        <v>4864</v>
      </c>
      <c r="G1198" s="9" t="s">
        <v>317</v>
      </c>
      <c r="H1198" s="15" t="s">
        <v>23</v>
      </c>
      <c r="I1198" s="9" t="s">
        <v>4865</v>
      </c>
      <c r="J1198" s="13"/>
      <c r="K1198" s="13"/>
    </row>
    <row r="1199" customFormat="false" ht="57.45" hidden="false" customHeight="false" outlineLevel="0" collapsed="false">
      <c r="A1199" s="9" t="n">
        <v>1198</v>
      </c>
      <c r="B1199" s="9" t="s">
        <v>87</v>
      </c>
      <c r="C1199" s="11" t="s">
        <v>90</v>
      </c>
      <c r="D1199" s="9" t="s">
        <v>4866</v>
      </c>
      <c r="E1199" s="9" t="s">
        <v>4867</v>
      </c>
      <c r="F1199" s="9" t="s">
        <v>4868</v>
      </c>
      <c r="G1199" s="9" t="s">
        <v>392</v>
      </c>
      <c r="H1199" s="15" t="s">
        <v>23</v>
      </c>
      <c r="I1199" s="9" t="s">
        <v>4869</v>
      </c>
      <c r="J1199" s="13"/>
      <c r="K1199" s="13"/>
    </row>
    <row r="1200" customFormat="false" ht="35.05" hidden="false" customHeight="false" outlineLevel="0" collapsed="false">
      <c r="A1200" s="9" t="n">
        <v>1199</v>
      </c>
      <c r="B1200" s="9" t="s">
        <v>87</v>
      </c>
      <c r="C1200" s="11" t="s">
        <v>90</v>
      </c>
      <c r="D1200" s="9" t="s">
        <v>4870</v>
      </c>
      <c r="E1200" s="9" t="s">
        <v>4871</v>
      </c>
      <c r="F1200" s="9" t="s">
        <v>4872</v>
      </c>
      <c r="G1200" s="9" t="s">
        <v>328</v>
      </c>
      <c r="H1200" s="15" t="s">
        <v>23</v>
      </c>
      <c r="I1200" s="9" t="s">
        <v>4873</v>
      </c>
      <c r="J1200" s="13"/>
      <c r="K1200" s="13"/>
    </row>
    <row r="1201" customFormat="false" ht="23.85" hidden="false" customHeight="false" outlineLevel="0" collapsed="false">
      <c r="A1201" s="9" t="n">
        <v>1200</v>
      </c>
      <c r="B1201" s="9" t="s">
        <v>87</v>
      </c>
      <c r="C1201" s="11" t="s">
        <v>90</v>
      </c>
      <c r="D1201" s="9" t="s">
        <v>4874</v>
      </c>
      <c r="E1201" s="9" t="s">
        <v>4875</v>
      </c>
      <c r="F1201" s="9" t="s">
        <v>4876</v>
      </c>
      <c r="G1201" s="9" t="s">
        <v>328</v>
      </c>
      <c r="H1201" s="15" t="s">
        <v>23</v>
      </c>
      <c r="I1201" s="9" t="s">
        <v>4877</v>
      </c>
      <c r="J1201" s="13"/>
      <c r="K1201" s="13"/>
    </row>
    <row r="1202" customFormat="false" ht="23.85" hidden="false" customHeight="false" outlineLevel="0" collapsed="false">
      <c r="A1202" s="9" t="n">
        <v>1201</v>
      </c>
      <c r="B1202" s="9" t="s">
        <v>87</v>
      </c>
      <c r="C1202" s="11" t="s">
        <v>90</v>
      </c>
      <c r="D1202" s="9" t="s">
        <v>4878</v>
      </c>
      <c r="E1202" s="9" t="s">
        <v>4879</v>
      </c>
      <c r="F1202" s="9" t="s">
        <v>4880</v>
      </c>
      <c r="G1202" s="9" t="s">
        <v>24</v>
      </c>
      <c r="H1202" s="14" t="s">
        <v>22</v>
      </c>
      <c r="I1202" s="9" t="s">
        <v>4881</v>
      </c>
      <c r="J1202" s="13"/>
      <c r="K1202" s="13"/>
    </row>
    <row r="1203" customFormat="false" ht="35.05" hidden="false" customHeight="false" outlineLevel="0" collapsed="false">
      <c r="A1203" s="9" t="n">
        <v>1202</v>
      </c>
      <c r="B1203" s="9" t="s">
        <v>87</v>
      </c>
      <c r="C1203" s="11" t="s">
        <v>90</v>
      </c>
      <c r="D1203" s="9" t="s">
        <v>4882</v>
      </c>
      <c r="E1203" s="9" t="s">
        <v>4883</v>
      </c>
      <c r="F1203" s="9" t="s">
        <v>4884</v>
      </c>
      <c r="G1203" s="9" t="s">
        <v>24</v>
      </c>
      <c r="H1203" s="14" t="s">
        <v>22</v>
      </c>
      <c r="I1203" s="9" t="s">
        <v>4885</v>
      </c>
      <c r="J1203" s="13"/>
      <c r="K1203" s="13"/>
    </row>
    <row r="1204" customFormat="false" ht="46.25" hidden="false" customHeight="false" outlineLevel="0" collapsed="false">
      <c r="A1204" s="9" t="n">
        <v>1203</v>
      </c>
      <c r="B1204" s="9" t="s">
        <v>87</v>
      </c>
      <c r="C1204" s="11" t="s">
        <v>90</v>
      </c>
      <c r="D1204" s="9" t="s">
        <v>4886</v>
      </c>
      <c r="E1204" s="9" t="s">
        <v>4887</v>
      </c>
      <c r="F1204" s="9" t="s">
        <v>4888</v>
      </c>
      <c r="G1204" s="9" t="s">
        <v>24</v>
      </c>
      <c r="H1204" s="14" t="s">
        <v>22</v>
      </c>
      <c r="I1204" s="9" t="s">
        <v>4889</v>
      </c>
      <c r="J1204" s="13"/>
      <c r="K1204" s="13"/>
    </row>
    <row r="1205" customFormat="false" ht="68.65" hidden="false" customHeight="false" outlineLevel="0" collapsed="false">
      <c r="A1205" s="9" t="n">
        <v>1204</v>
      </c>
      <c r="B1205" s="9" t="s">
        <v>87</v>
      </c>
      <c r="C1205" s="11" t="s">
        <v>90</v>
      </c>
      <c r="D1205" s="9" t="s">
        <v>4890</v>
      </c>
      <c r="E1205" s="9" t="s">
        <v>4891</v>
      </c>
      <c r="F1205" s="9" t="s">
        <v>4892</v>
      </c>
      <c r="G1205" s="9" t="s">
        <v>24</v>
      </c>
      <c r="H1205" s="14" t="s">
        <v>22</v>
      </c>
      <c r="I1205" s="9" t="s">
        <v>4893</v>
      </c>
      <c r="J1205" s="13"/>
      <c r="K1205" s="13"/>
    </row>
    <row r="1206" customFormat="false" ht="46.25" hidden="false" customHeight="false" outlineLevel="0" collapsed="false">
      <c r="A1206" s="9" t="n">
        <v>1205</v>
      </c>
      <c r="B1206" s="9" t="s">
        <v>87</v>
      </c>
      <c r="C1206" s="11" t="s">
        <v>90</v>
      </c>
      <c r="D1206" s="9" t="s">
        <v>4894</v>
      </c>
      <c r="E1206" s="9" t="s">
        <v>4895</v>
      </c>
      <c r="F1206" s="9" t="s">
        <v>4896</v>
      </c>
      <c r="G1206" s="9" t="s">
        <v>24</v>
      </c>
      <c r="H1206" s="14" t="s">
        <v>22</v>
      </c>
      <c r="I1206" s="9" t="s">
        <v>4897</v>
      </c>
      <c r="J1206" s="13"/>
      <c r="K1206" s="13"/>
    </row>
    <row r="1207" customFormat="false" ht="46.25" hidden="false" customHeight="false" outlineLevel="0" collapsed="false">
      <c r="A1207" s="9" t="n">
        <v>1206</v>
      </c>
      <c r="B1207" s="9" t="s">
        <v>87</v>
      </c>
      <c r="C1207" s="11" t="s">
        <v>90</v>
      </c>
      <c r="D1207" s="9" t="s">
        <v>4898</v>
      </c>
      <c r="E1207" s="9" t="s">
        <v>4899</v>
      </c>
      <c r="F1207" s="9" t="s">
        <v>4900</v>
      </c>
      <c r="G1207" s="9" t="s">
        <v>24</v>
      </c>
      <c r="H1207" s="14" t="s">
        <v>22</v>
      </c>
      <c r="I1207" s="9" t="s">
        <v>434</v>
      </c>
      <c r="J1207" s="13"/>
      <c r="K1207" s="13"/>
    </row>
    <row r="1208" customFormat="false" ht="23.85" hidden="false" customHeight="false" outlineLevel="0" collapsed="false">
      <c r="A1208" s="9" t="n">
        <v>1207</v>
      </c>
      <c r="B1208" s="9" t="s">
        <v>87</v>
      </c>
      <c r="C1208" s="11" t="s">
        <v>90</v>
      </c>
      <c r="D1208" s="9" t="s">
        <v>4901</v>
      </c>
      <c r="E1208" s="9" t="s">
        <v>4902</v>
      </c>
      <c r="F1208" s="9" t="s">
        <v>4903</v>
      </c>
      <c r="G1208" s="9" t="s">
        <v>24</v>
      </c>
      <c r="H1208" s="14" t="s">
        <v>22</v>
      </c>
      <c r="I1208" s="9" t="s">
        <v>3935</v>
      </c>
      <c r="J1208" s="13"/>
      <c r="K1208" s="13"/>
    </row>
    <row r="1209" customFormat="false" ht="46.25" hidden="false" customHeight="false" outlineLevel="0" collapsed="false">
      <c r="A1209" s="9" t="n">
        <v>1208</v>
      </c>
      <c r="B1209" s="9" t="s">
        <v>87</v>
      </c>
      <c r="C1209" s="11" t="s">
        <v>90</v>
      </c>
      <c r="D1209" s="9" t="s">
        <v>4904</v>
      </c>
      <c r="E1209" s="9" t="s">
        <v>358</v>
      </c>
      <c r="F1209" s="9" t="s">
        <v>4905</v>
      </c>
      <c r="G1209" s="9" t="s">
        <v>24</v>
      </c>
      <c r="H1209" s="14" t="s">
        <v>22</v>
      </c>
      <c r="I1209" s="9" t="s">
        <v>4906</v>
      </c>
      <c r="J1209" s="13"/>
      <c r="K1209" s="13"/>
    </row>
    <row r="1210" customFormat="false" ht="15" hidden="false" customHeight="false" outlineLevel="0" collapsed="false">
      <c r="A1210" s="9" t="n">
        <v>1209</v>
      </c>
      <c r="B1210" s="9" t="s">
        <v>87</v>
      </c>
      <c r="C1210" s="11" t="s">
        <v>90</v>
      </c>
      <c r="D1210" s="9" t="s">
        <v>4907</v>
      </c>
      <c r="E1210" s="9" t="s">
        <v>362</v>
      </c>
      <c r="F1210" s="9" t="s">
        <v>363</v>
      </c>
      <c r="G1210" s="9" t="s">
        <v>24</v>
      </c>
      <c r="H1210" s="14" t="s">
        <v>22</v>
      </c>
      <c r="I1210" s="9" t="s">
        <v>364</v>
      </c>
      <c r="J1210" s="13"/>
      <c r="K1210" s="13"/>
    </row>
    <row r="1211" customFormat="false" ht="23.85" hidden="false" customHeight="false" outlineLevel="0" collapsed="false">
      <c r="A1211" s="9" t="n">
        <v>1210</v>
      </c>
      <c r="B1211" s="9" t="s">
        <v>87</v>
      </c>
      <c r="C1211" s="11" t="s">
        <v>90</v>
      </c>
      <c r="D1211" s="9" t="s">
        <v>4908</v>
      </c>
      <c r="E1211" s="9" t="s">
        <v>4909</v>
      </c>
      <c r="F1211" s="9" t="s">
        <v>4910</v>
      </c>
      <c r="G1211" s="9" t="s">
        <v>24</v>
      </c>
      <c r="H1211" s="14" t="s">
        <v>22</v>
      </c>
      <c r="I1211" s="9" t="s">
        <v>4701</v>
      </c>
      <c r="J1211" s="13"/>
      <c r="K1211" s="13"/>
    </row>
    <row r="1212" customFormat="false" ht="23.85" hidden="false" customHeight="false" outlineLevel="0" collapsed="false">
      <c r="A1212" s="9" t="n">
        <v>1211</v>
      </c>
      <c r="B1212" s="9" t="s">
        <v>87</v>
      </c>
      <c r="C1212" s="11" t="s">
        <v>90</v>
      </c>
      <c r="D1212" s="9" t="s">
        <v>4911</v>
      </c>
      <c r="E1212" s="9" t="s">
        <v>4912</v>
      </c>
      <c r="F1212" s="9" t="s">
        <v>4913</v>
      </c>
      <c r="G1212" s="9" t="s">
        <v>24</v>
      </c>
      <c r="H1212" s="15" t="s">
        <v>23</v>
      </c>
      <c r="I1212" s="9" t="s">
        <v>4914</v>
      </c>
      <c r="J1212" s="13"/>
      <c r="K1212" s="13"/>
    </row>
    <row r="1213" customFormat="false" ht="35.05" hidden="false" customHeight="false" outlineLevel="0" collapsed="false">
      <c r="A1213" s="9" t="n">
        <v>1212</v>
      </c>
      <c r="B1213" s="9" t="s">
        <v>87</v>
      </c>
      <c r="C1213" s="11" t="s">
        <v>90</v>
      </c>
      <c r="D1213" s="9" t="s">
        <v>4915</v>
      </c>
      <c r="E1213" s="9" t="s">
        <v>4916</v>
      </c>
      <c r="F1213" s="9" t="s">
        <v>4917</v>
      </c>
      <c r="G1213" s="9" t="s">
        <v>24</v>
      </c>
      <c r="H1213" s="15" t="s">
        <v>23</v>
      </c>
      <c r="I1213" s="9" t="s">
        <v>4918</v>
      </c>
      <c r="J1213" s="13"/>
      <c r="K1213" s="13"/>
    </row>
    <row r="1214" customFormat="false" ht="35.05" hidden="false" customHeight="false" outlineLevel="0" collapsed="false">
      <c r="A1214" s="9" t="n">
        <v>1213</v>
      </c>
      <c r="B1214" s="9" t="s">
        <v>87</v>
      </c>
      <c r="C1214" s="11" t="s">
        <v>90</v>
      </c>
      <c r="D1214" s="9" t="s">
        <v>4919</v>
      </c>
      <c r="E1214" s="9" t="s">
        <v>4920</v>
      </c>
      <c r="F1214" s="9" t="s">
        <v>4921</v>
      </c>
      <c r="G1214" s="9" t="s">
        <v>24</v>
      </c>
      <c r="H1214" s="15" t="s">
        <v>23</v>
      </c>
      <c r="I1214" s="9" t="s">
        <v>4922</v>
      </c>
      <c r="J1214" s="13"/>
      <c r="K1214" s="13"/>
    </row>
    <row r="1215" customFormat="false" ht="35.05" hidden="false" customHeight="false" outlineLevel="0" collapsed="false">
      <c r="A1215" s="9" t="n">
        <v>1214</v>
      </c>
      <c r="B1215" s="9" t="s">
        <v>87</v>
      </c>
      <c r="C1215" s="11" t="s">
        <v>90</v>
      </c>
      <c r="D1215" s="9" t="s">
        <v>4923</v>
      </c>
      <c r="E1215" s="9" t="s">
        <v>4924</v>
      </c>
      <c r="F1215" s="9" t="s">
        <v>4925</v>
      </c>
      <c r="G1215" s="9" t="s">
        <v>24</v>
      </c>
      <c r="H1215" s="15" t="s">
        <v>23</v>
      </c>
      <c r="I1215" s="9" t="s">
        <v>4926</v>
      </c>
      <c r="J1215" s="13"/>
      <c r="K1215" s="13"/>
    </row>
    <row r="1216" customFormat="false" ht="23.85" hidden="false" customHeight="false" outlineLevel="0" collapsed="false">
      <c r="A1216" s="9" t="n">
        <v>1215</v>
      </c>
      <c r="B1216" s="9" t="s">
        <v>87</v>
      </c>
      <c r="C1216" s="11" t="s">
        <v>90</v>
      </c>
      <c r="D1216" s="9" t="s">
        <v>4927</v>
      </c>
      <c r="E1216" s="9" t="s">
        <v>4928</v>
      </c>
      <c r="F1216" s="9" t="s">
        <v>4929</v>
      </c>
      <c r="G1216" s="9" t="s">
        <v>24</v>
      </c>
      <c r="H1216" s="15" t="s">
        <v>23</v>
      </c>
      <c r="I1216" s="9" t="s">
        <v>4930</v>
      </c>
      <c r="J1216" s="13"/>
      <c r="K1216" s="13"/>
    </row>
    <row r="1217" customFormat="false" ht="23.85" hidden="false" customHeight="false" outlineLevel="0" collapsed="false">
      <c r="A1217" s="9" t="n">
        <v>1216</v>
      </c>
      <c r="B1217" s="9" t="s">
        <v>87</v>
      </c>
      <c r="C1217" s="11" t="s">
        <v>90</v>
      </c>
      <c r="D1217" s="9" t="s">
        <v>4931</v>
      </c>
      <c r="E1217" s="9" t="s">
        <v>4932</v>
      </c>
      <c r="F1217" s="9" t="s">
        <v>3812</v>
      </c>
      <c r="G1217" s="9" t="s">
        <v>24</v>
      </c>
      <c r="H1217" s="15" t="s">
        <v>23</v>
      </c>
      <c r="I1217" s="9" t="s">
        <v>2846</v>
      </c>
      <c r="J1217" s="13"/>
      <c r="K1217" s="13"/>
    </row>
    <row r="1218" customFormat="false" ht="23.85" hidden="false" customHeight="false" outlineLevel="0" collapsed="false">
      <c r="A1218" s="9" t="n">
        <v>1217</v>
      </c>
      <c r="B1218" s="9" t="s">
        <v>87</v>
      </c>
      <c r="C1218" s="11" t="s">
        <v>90</v>
      </c>
      <c r="D1218" s="9" t="s">
        <v>4933</v>
      </c>
      <c r="E1218" s="9" t="s">
        <v>4934</v>
      </c>
      <c r="F1218" s="9" t="s">
        <v>4935</v>
      </c>
      <c r="G1218" s="9" t="s">
        <v>24</v>
      </c>
      <c r="H1218" s="15" t="s">
        <v>23</v>
      </c>
      <c r="I1218" s="9" t="s">
        <v>4936</v>
      </c>
      <c r="J1218" s="13"/>
      <c r="K1218" s="13"/>
    </row>
    <row r="1219" customFormat="false" ht="68.65" hidden="false" customHeight="false" outlineLevel="0" collapsed="false">
      <c r="A1219" s="9" t="n">
        <v>1218</v>
      </c>
      <c r="B1219" s="9" t="s">
        <v>87</v>
      </c>
      <c r="C1219" s="11" t="s">
        <v>92</v>
      </c>
      <c r="D1219" s="9" t="s">
        <v>4937</v>
      </c>
      <c r="E1219" s="9" t="s">
        <v>4938</v>
      </c>
      <c r="F1219" s="9" t="s">
        <v>4939</v>
      </c>
      <c r="G1219" s="9" t="s">
        <v>4940</v>
      </c>
      <c r="H1219" s="12" t="s">
        <v>21</v>
      </c>
      <c r="I1219" s="9" t="s">
        <v>4941</v>
      </c>
      <c r="J1219" s="13"/>
      <c r="K1219" s="13"/>
    </row>
    <row r="1220" customFormat="false" ht="180.55" hidden="false" customHeight="false" outlineLevel="0" collapsed="false">
      <c r="A1220" s="9" t="n">
        <v>1219</v>
      </c>
      <c r="B1220" s="9" t="s">
        <v>87</v>
      </c>
      <c r="C1220" s="11" t="s">
        <v>92</v>
      </c>
      <c r="D1220" s="9" t="s">
        <v>4942</v>
      </c>
      <c r="E1220" s="9" t="s">
        <v>4943</v>
      </c>
      <c r="F1220" s="9" t="s">
        <v>4944</v>
      </c>
      <c r="G1220" s="9" t="s">
        <v>1063</v>
      </c>
      <c r="H1220" s="12" t="s">
        <v>21</v>
      </c>
      <c r="I1220" s="9" t="s">
        <v>4945</v>
      </c>
      <c r="J1220" s="13"/>
      <c r="K1220" s="13"/>
    </row>
    <row r="1221" customFormat="false" ht="147" hidden="false" customHeight="false" outlineLevel="0" collapsed="false">
      <c r="A1221" s="9" t="n">
        <v>1220</v>
      </c>
      <c r="B1221" s="9" t="s">
        <v>87</v>
      </c>
      <c r="C1221" s="11" t="s">
        <v>92</v>
      </c>
      <c r="D1221" s="9" t="s">
        <v>4946</v>
      </c>
      <c r="E1221" s="9" t="s">
        <v>4947</v>
      </c>
      <c r="F1221" s="9" t="s">
        <v>4948</v>
      </c>
      <c r="G1221" s="9" t="s">
        <v>1613</v>
      </c>
      <c r="H1221" s="12" t="s">
        <v>21</v>
      </c>
      <c r="I1221" s="9" t="s">
        <v>4949</v>
      </c>
      <c r="J1221" s="13"/>
      <c r="K1221" s="13"/>
    </row>
    <row r="1222" customFormat="false" ht="57.45" hidden="false" customHeight="false" outlineLevel="0" collapsed="false">
      <c r="A1222" s="9" t="n">
        <v>1221</v>
      </c>
      <c r="B1222" s="9" t="s">
        <v>87</v>
      </c>
      <c r="C1222" s="11" t="s">
        <v>92</v>
      </c>
      <c r="D1222" s="9" t="s">
        <v>4950</v>
      </c>
      <c r="E1222" s="9" t="s">
        <v>4951</v>
      </c>
      <c r="F1222" s="9" t="s">
        <v>4952</v>
      </c>
      <c r="G1222" s="9" t="s">
        <v>1852</v>
      </c>
      <c r="H1222" s="15" t="s">
        <v>23</v>
      </c>
      <c r="I1222" s="9" t="s">
        <v>4953</v>
      </c>
      <c r="J1222" s="13"/>
      <c r="K1222" s="13"/>
    </row>
    <row r="1223" customFormat="false" ht="46.25" hidden="false" customHeight="false" outlineLevel="0" collapsed="false">
      <c r="A1223" s="9" t="n">
        <v>1222</v>
      </c>
      <c r="B1223" s="9" t="s">
        <v>87</v>
      </c>
      <c r="C1223" s="11" t="s">
        <v>92</v>
      </c>
      <c r="D1223" s="9" t="s">
        <v>4954</v>
      </c>
      <c r="E1223" s="9" t="s">
        <v>4955</v>
      </c>
      <c r="F1223" s="9" t="s">
        <v>4956</v>
      </c>
      <c r="G1223" s="9" t="s">
        <v>3352</v>
      </c>
      <c r="H1223" s="14" t="s">
        <v>22</v>
      </c>
      <c r="I1223" s="9" t="s">
        <v>4957</v>
      </c>
      <c r="J1223" s="13"/>
      <c r="K1223" s="13"/>
    </row>
    <row r="1224" customFormat="false" ht="102.2" hidden="false" customHeight="false" outlineLevel="0" collapsed="false">
      <c r="A1224" s="9" t="n">
        <v>1223</v>
      </c>
      <c r="B1224" s="9" t="s">
        <v>87</v>
      </c>
      <c r="C1224" s="11" t="s">
        <v>92</v>
      </c>
      <c r="D1224" s="9" t="s">
        <v>4958</v>
      </c>
      <c r="E1224" s="9" t="s">
        <v>4959</v>
      </c>
      <c r="F1224" s="9" t="s">
        <v>4960</v>
      </c>
      <c r="G1224" s="9" t="s">
        <v>4961</v>
      </c>
      <c r="H1224" s="14" t="s">
        <v>22</v>
      </c>
      <c r="I1224" s="9" t="s">
        <v>4962</v>
      </c>
      <c r="J1224" s="13"/>
      <c r="K1224" s="13"/>
    </row>
    <row r="1225" customFormat="false" ht="79.85" hidden="false" customHeight="false" outlineLevel="0" collapsed="false">
      <c r="A1225" s="9" t="n">
        <v>1224</v>
      </c>
      <c r="B1225" s="9" t="s">
        <v>87</v>
      </c>
      <c r="C1225" s="11" t="s">
        <v>92</v>
      </c>
      <c r="D1225" s="9" t="s">
        <v>4963</v>
      </c>
      <c r="E1225" s="9" t="s">
        <v>4964</v>
      </c>
      <c r="F1225" s="9" t="s">
        <v>4965</v>
      </c>
      <c r="G1225" s="9" t="s">
        <v>3343</v>
      </c>
      <c r="H1225" s="14" t="s">
        <v>22</v>
      </c>
      <c r="I1225" s="9" t="s">
        <v>4966</v>
      </c>
      <c r="J1225" s="13"/>
      <c r="K1225" s="13"/>
    </row>
    <row r="1226" customFormat="false" ht="46.25" hidden="false" customHeight="false" outlineLevel="0" collapsed="false">
      <c r="A1226" s="9" t="n">
        <v>1225</v>
      </c>
      <c r="B1226" s="9" t="s">
        <v>87</v>
      </c>
      <c r="C1226" s="11" t="s">
        <v>92</v>
      </c>
      <c r="D1226" s="9" t="s">
        <v>4967</v>
      </c>
      <c r="E1226" s="9" t="s">
        <v>4968</v>
      </c>
      <c r="F1226" s="9" t="s">
        <v>4969</v>
      </c>
      <c r="G1226" s="9" t="s">
        <v>312</v>
      </c>
      <c r="H1226" s="14" t="s">
        <v>22</v>
      </c>
      <c r="I1226" s="9" t="s">
        <v>4970</v>
      </c>
      <c r="J1226" s="13"/>
      <c r="K1226" s="13"/>
    </row>
    <row r="1227" customFormat="false" ht="57.45" hidden="false" customHeight="false" outlineLevel="0" collapsed="false">
      <c r="A1227" s="9" t="n">
        <v>1226</v>
      </c>
      <c r="B1227" s="9" t="s">
        <v>87</v>
      </c>
      <c r="C1227" s="11" t="s">
        <v>92</v>
      </c>
      <c r="D1227" s="9" t="s">
        <v>4971</v>
      </c>
      <c r="E1227" s="9" t="s">
        <v>4972</v>
      </c>
      <c r="F1227" s="9" t="s">
        <v>4973</v>
      </c>
      <c r="G1227" s="9" t="s">
        <v>3220</v>
      </c>
      <c r="H1227" s="14" t="s">
        <v>22</v>
      </c>
      <c r="I1227" s="9" t="s">
        <v>4974</v>
      </c>
      <c r="J1227" s="13"/>
      <c r="K1227" s="13"/>
    </row>
    <row r="1228" customFormat="false" ht="68.65" hidden="false" customHeight="false" outlineLevel="0" collapsed="false">
      <c r="A1228" s="9" t="n">
        <v>1227</v>
      </c>
      <c r="B1228" s="9" t="s">
        <v>87</v>
      </c>
      <c r="C1228" s="11" t="s">
        <v>92</v>
      </c>
      <c r="D1228" s="9" t="s">
        <v>4975</v>
      </c>
      <c r="E1228" s="9" t="s">
        <v>4976</v>
      </c>
      <c r="F1228" s="9" t="s">
        <v>4977</v>
      </c>
      <c r="G1228" s="9" t="s">
        <v>1643</v>
      </c>
      <c r="H1228" s="14" t="s">
        <v>22</v>
      </c>
      <c r="I1228" s="9" t="s">
        <v>4978</v>
      </c>
      <c r="J1228" s="13"/>
      <c r="K1228" s="13"/>
    </row>
    <row r="1229" customFormat="false" ht="35.05" hidden="false" customHeight="false" outlineLevel="0" collapsed="false">
      <c r="A1229" s="9" t="n">
        <v>1228</v>
      </c>
      <c r="B1229" s="9" t="s">
        <v>87</v>
      </c>
      <c r="C1229" s="11" t="s">
        <v>92</v>
      </c>
      <c r="D1229" s="9" t="s">
        <v>4979</v>
      </c>
      <c r="E1229" s="9" t="s">
        <v>4980</v>
      </c>
      <c r="F1229" s="9" t="s">
        <v>4981</v>
      </c>
      <c r="G1229" s="9" t="s">
        <v>312</v>
      </c>
      <c r="H1229" s="15" t="s">
        <v>23</v>
      </c>
      <c r="I1229" s="9" t="s">
        <v>4982</v>
      </c>
      <c r="J1229" s="13"/>
      <c r="K1229" s="13"/>
    </row>
    <row r="1230" customFormat="false" ht="46.25" hidden="false" customHeight="false" outlineLevel="0" collapsed="false">
      <c r="A1230" s="9" t="n">
        <v>1229</v>
      </c>
      <c r="B1230" s="9" t="s">
        <v>87</v>
      </c>
      <c r="C1230" s="11" t="s">
        <v>92</v>
      </c>
      <c r="D1230" s="9" t="s">
        <v>4983</v>
      </c>
      <c r="E1230" s="9" t="s">
        <v>4984</v>
      </c>
      <c r="F1230" s="9" t="s">
        <v>4985</v>
      </c>
      <c r="G1230" s="9" t="s">
        <v>392</v>
      </c>
      <c r="H1230" s="15" t="s">
        <v>23</v>
      </c>
      <c r="I1230" s="9" t="s">
        <v>4986</v>
      </c>
      <c r="J1230" s="13"/>
      <c r="K1230" s="13"/>
    </row>
    <row r="1231" customFormat="false" ht="46.25" hidden="false" customHeight="false" outlineLevel="0" collapsed="false">
      <c r="A1231" s="9" t="n">
        <v>1230</v>
      </c>
      <c r="B1231" s="9" t="s">
        <v>87</v>
      </c>
      <c r="C1231" s="11" t="s">
        <v>92</v>
      </c>
      <c r="D1231" s="9" t="s">
        <v>4987</v>
      </c>
      <c r="E1231" s="9" t="s">
        <v>4988</v>
      </c>
      <c r="F1231" s="9" t="s">
        <v>4989</v>
      </c>
      <c r="G1231" s="9" t="s">
        <v>317</v>
      </c>
      <c r="H1231" s="15" t="s">
        <v>23</v>
      </c>
      <c r="I1231" s="9" t="s">
        <v>4990</v>
      </c>
      <c r="J1231" s="13"/>
      <c r="K1231" s="13"/>
    </row>
    <row r="1232" customFormat="false" ht="57.45" hidden="false" customHeight="false" outlineLevel="0" collapsed="false">
      <c r="A1232" s="9" t="n">
        <v>1231</v>
      </c>
      <c r="B1232" s="9" t="s">
        <v>87</v>
      </c>
      <c r="C1232" s="11" t="s">
        <v>92</v>
      </c>
      <c r="D1232" s="9" t="s">
        <v>4991</v>
      </c>
      <c r="E1232" s="9" t="s">
        <v>4992</v>
      </c>
      <c r="F1232" s="9" t="s">
        <v>4993</v>
      </c>
      <c r="G1232" s="9" t="s">
        <v>312</v>
      </c>
      <c r="H1232" s="15" t="s">
        <v>23</v>
      </c>
      <c r="I1232" s="9" t="s">
        <v>4994</v>
      </c>
      <c r="J1232" s="13"/>
      <c r="K1232" s="13"/>
    </row>
    <row r="1233" customFormat="false" ht="35.05" hidden="false" customHeight="false" outlineLevel="0" collapsed="false">
      <c r="A1233" s="9" t="n">
        <v>1232</v>
      </c>
      <c r="B1233" s="9" t="s">
        <v>87</v>
      </c>
      <c r="C1233" s="11" t="s">
        <v>92</v>
      </c>
      <c r="D1233" s="9" t="s">
        <v>4995</v>
      </c>
      <c r="E1233" s="9" t="s">
        <v>4996</v>
      </c>
      <c r="F1233" s="9" t="s">
        <v>4997</v>
      </c>
      <c r="G1233" s="9" t="s">
        <v>4998</v>
      </c>
      <c r="H1233" s="15" t="s">
        <v>23</v>
      </c>
      <c r="I1233" s="9" t="s">
        <v>4999</v>
      </c>
      <c r="J1233" s="13"/>
      <c r="K1233" s="13"/>
    </row>
    <row r="1234" customFormat="false" ht="68.65" hidden="false" customHeight="false" outlineLevel="0" collapsed="false">
      <c r="A1234" s="9" t="n">
        <v>1233</v>
      </c>
      <c r="B1234" s="9" t="s">
        <v>87</v>
      </c>
      <c r="C1234" s="11" t="s">
        <v>92</v>
      </c>
      <c r="D1234" s="9" t="s">
        <v>5000</v>
      </c>
      <c r="E1234" s="9" t="s">
        <v>5001</v>
      </c>
      <c r="F1234" s="9" t="s">
        <v>5002</v>
      </c>
      <c r="G1234" s="9" t="s">
        <v>5003</v>
      </c>
      <c r="H1234" s="15" t="s">
        <v>23</v>
      </c>
      <c r="I1234" s="9" t="s">
        <v>5004</v>
      </c>
      <c r="J1234" s="13"/>
      <c r="K1234" s="13"/>
    </row>
    <row r="1235" customFormat="false" ht="68.65" hidden="false" customHeight="false" outlineLevel="0" collapsed="false">
      <c r="A1235" s="9" t="n">
        <v>1234</v>
      </c>
      <c r="B1235" s="9" t="s">
        <v>87</v>
      </c>
      <c r="C1235" s="11" t="s">
        <v>92</v>
      </c>
      <c r="D1235" s="9" t="s">
        <v>5005</v>
      </c>
      <c r="E1235" s="9" t="s">
        <v>5006</v>
      </c>
      <c r="F1235" s="9" t="s">
        <v>5007</v>
      </c>
      <c r="G1235" s="9" t="s">
        <v>1058</v>
      </c>
      <c r="H1235" s="15" t="s">
        <v>23</v>
      </c>
      <c r="I1235" s="9" t="s">
        <v>5008</v>
      </c>
      <c r="J1235" s="13"/>
      <c r="K1235" s="13"/>
    </row>
    <row r="1236" customFormat="false" ht="68.65" hidden="false" customHeight="false" outlineLevel="0" collapsed="false">
      <c r="A1236" s="9" t="n">
        <v>1235</v>
      </c>
      <c r="B1236" s="9" t="s">
        <v>87</v>
      </c>
      <c r="C1236" s="11" t="s">
        <v>92</v>
      </c>
      <c r="D1236" s="9" t="s">
        <v>5009</v>
      </c>
      <c r="E1236" s="9" t="s">
        <v>5010</v>
      </c>
      <c r="F1236" s="9" t="s">
        <v>5011</v>
      </c>
      <c r="G1236" s="9" t="s">
        <v>392</v>
      </c>
      <c r="H1236" s="14" t="s">
        <v>22</v>
      </c>
      <c r="I1236" s="9" t="s">
        <v>5012</v>
      </c>
      <c r="J1236" s="13"/>
      <c r="K1236" s="13"/>
    </row>
    <row r="1237" customFormat="false" ht="102.2" hidden="false" customHeight="false" outlineLevel="0" collapsed="false">
      <c r="A1237" s="9" t="n">
        <v>1236</v>
      </c>
      <c r="B1237" s="9" t="s">
        <v>87</v>
      </c>
      <c r="C1237" s="11" t="s">
        <v>92</v>
      </c>
      <c r="D1237" s="9" t="s">
        <v>5013</v>
      </c>
      <c r="E1237" s="9" t="s">
        <v>5014</v>
      </c>
      <c r="F1237" s="9" t="s">
        <v>5015</v>
      </c>
      <c r="G1237" s="9" t="s">
        <v>5016</v>
      </c>
      <c r="H1237" s="14" t="s">
        <v>22</v>
      </c>
      <c r="I1237" s="9" t="s">
        <v>5017</v>
      </c>
      <c r="J1237" s="13"/>
      <c r="K1237" s="13"/>
    </row>
    <row r="1238" customFormat="false" ht="46.25" hidden="false" customHeight="false" outlineLevel="0" collapsed="false">
      <c r="A1238" s="9" t="n">
        <v>1237</v>
      </c>
      <c r="B1238" s="9" t="s">
        <v>87</v>
      </c>
      <c r="C1238" s="11" t="s">
        <v>92</v>
      </c>
      <c r="D1238" s="9" t="s">
        <v>5018</v>
      </c>
      <c r="E1238" s="9" t="s">
        <v>5019</v>
      </c>
      <c r="F1238" s="9" t="s">
        <v>5020</v>
      </c>
      <c r="G1238" s="9" t="s">
        <v>317</v>
      </c>
      <c r="H1238" s="15" t="s">
        <v>23</v>
      </c>
      <c r="I1238" s="9" t="s">
        <v>5021</v>
      </c>
      <c r="J1238" s="13"/>
      <c r="K1238" s="13"/>
    </row>
    <row r="1239" customFormat="false" ht="91" hidden="false" customHeight="false" outlineLevel="0" collapsed="false">
      <c r="A1239" s="9" t="n">
        <v>1238</v>
      </c>
      <c r="B1239" s="9" t="s">
        <v>87</v>
      </c>
      <c r="C1239" s="11" t="s">
        <v>92</v>
      </c>
      <c r="D1239" s="9" t="s">
        <v>5022</v>
      </c>
      <c r="E1239" s="9" t="s">
        <v>5023</v>
      </c>
      <c r="F1239" s="9" t="s">
        <v>5024</v>
      </c>
      <c r="G1239" s="9" t="s">
        <v>1613</v>
      </c>
      <c r="H1239" s="14" t="s">
        <v>22</v>
      </c>
      <c r="I1239" s="9" t="s">
        <v>5025</v>
      </c>
      <c r="J1239" s="13"/>
      <c r="K1239" s="13"/>
    </row>
    <row r="1240" customFormat="false" ht="57.45" hidden="false" customHeight="false" outlineLevel="0" collapsed="false">
      <c r="A1240" s="9" t="n">
        <v>1239</v>
      </c>
      <c r="B1240" s="9" t="s">
        <v>87</v>
      </c>
      <c r="C1240" s="11" t="s">
        <v>92</v>
      </c>
      <c r="D1240" s="9" t="s">
        <v>5026</v>
      </c>
      <c r="E1240" s="9" t="s">
        <v>5027</v>
      </c>
      <c r="F1240" s="9" t="s">
        <v>5028</v>
      </c>
      <c r="G1240" s="9" t="s">
        <v>312</v>
      </c>
      <c r="H1240" s="15" t="s">
        <v>23</v>
      </c>
      <c r="I1240" s="9" t="s">
        <v>5029</v>
      </c>
      <c r="J1240" s="13"/>
      <c r="K1240" s="13"/>
    </row>
    <row r="1241" customFormat="false" ht="35.05" hidden="false" customHeight="false" outlineLevel="0" collapsed="false">
      <c r="A1241" s="9" t="n">
        <v>1240</v>
      </c>
      <c r="B1241" s="9" t="s">
        <v>87</v>
      </c>
      <c r="C1241" s="11" t="s">
        <v>92</v>
      </c>
      <c r="D1241" s="9" t="s">
        <v>5030</v>
      </c>
      <c r="E1241" s="9" t="s">
        <v>5031</v>
      </c>
      <c r="F1241" s="9" t="s">
        <v>5032</v>
      </c>
      <c r="G1241" s="9" t="s">
        <v>1072</v>
      </c>
      <c r="H1241" s="15" t="s">
        <v>23</v>
      </c>
      <c r="I1241" s="9" t="s">
        <v>5033</v>
      </c>
      <c r="J1241" s="13"/>
      <c r="K1241" s="13"/>
    </row>
    <row r="1242" customFormat="false" ht="46.25" hidden="false" customHeight="false" outlineLevel="0" collapsed="false">
      <c r="A1242" s="9" t="n">
        <v>1241</v>
      </c>
      <c r="B1242" s="9" t="s">
        <v>87</v>
      </c>
      <c r="C1242" s="11" t="s">
        <v>92</v>
      </c>
      <c r="D1242" s="9" t="s">
        <v>5034</v>
      </c>
      <c r="E1242" s="9" t="s">
        <v>5035</v>
      </c>
      <c r="F1242" s="9" t="s">
        <v>5036</v>
      </c>
      <c r="G1242" s="9" t="s">
        <v>1613</v>
      </c>
      <c r="H1242" s="14" t="s">
        <v>22</v>
      </c>
      <c r="I1242" s="9" t="s">
        <v>5037</v>
      </c>
      <c r="J1242" s="13"/>
      <c r="K1242" s="13"/>
    </row>
    <row r="1243" customFormat="false" ht="57.45" hidden="false" customHeight="false" outlineLevel="0" collapsed="false">
      <c r="A1243" s="9" t="n">
        <v>1242</v>
      </c>
      <c r="B1243" s="9" t="s">
        <v>87</v>
      </c>
      <c r="C1243" s="11" t="s">
        <v>92</v>
      </c>
      <c r="D1243" s="9" t="s">
        <v>5038</v>
      </c>
      <c r="E1243" s="9" t="s">
        <v>5039</v>
      </c>
      <c r="F1243" s="9" t="s">
        <v>5040</v>
      </c>
      <c r="G1243" s="9" t="s">
        <v>861</v>
      </c>
      <c r="H1243" s="14" t="s">
        <v>22</v>
      </c>
      <c r="I1243" s="9" t="s">
        <v>5041</v>
      </c>
      <c r="J1243" s="13"/>
      <c r="K1243" s="13"/>
    </row>
    <row r="1244" customFormat="false" ht="46.25" hidden="false" customHeight="false" outlineLevel="0" collapsed="false">
      <c r="A1244" s="9" t="n">
        <v>1243</v>
      </c>
      <c r="B1244" s="9" t="s">
        <v>87</v>
      </c>
      <c r="C1244" s="11" t="s">
        <v>92</v>
      </c>
      <c r="D1244" s="9" t="s">
        <v>5042</v>
      </c>
      <c r="E1244" s="9" t="s">
        <v>5043</v>
      </c>
      <c r="F1244" s="9" t="s">
        <v>5044</v>
      </c>
      <c r="G1244" s="9" t="s">
        <v>1072</v>
      </c>
      <c r="H1244" s="14" t="s">
        <v>22</v>
      </c>
      <c r="I1244" s="9" t="s">
        <v>5045</v>
      </c>
      <c r="J1244" s="13"/>
      <c r="K1244" s="13"/>
    </row>
    <row r="1245" customFormat="false" ht="35.05" hidden="false" customHeight="false" outlineLevel="0" collapsed="false">
      <c r="A1245" s="9" t="n">
        <v>1244</v>
      </c>
      <c r="B1245" s="9" t="s">
        <v>87</v>
      </c>
      <c r="C1245" s="11" t="s">
        <v>92</v>
      </c>
      <c r="D1245" s="9" t="s">
        <v>5046</v>
      </c>
      <c r="E1245" s="9" t="s">
        <v>5047</v>
      </c>
      <c r="F1245" s="9" t="s">
        <v>5048</v>
      </c>
      <c r="G1245" s="9" t="s">
        <v>1072</v>
      </c>
      <c r="H1245" s="12" t="s">
        <v>21</v>
      </c>
      <c r="I1245" s="9" t="s">
        <v>5049</v>
      </c>
      <c r="J1245" s="13"/>
      <c r="K1245" s="13"/>
    </row>
    <row r="1246" customFormat="false" ht="46.25" hidden="false" customHeight="false" outlineLevel="0" collapsed="false">
      <c r="A1246" s="9" t="n">
        <v>1245</v>
      </c>
      <c r="B1246" s="9" t="s">
        <v>87</v>
      </c>
      <c r="C1246" s="11" t="s">
        <v>92</v>
      </c>
      <c r="D1246" s="9" t="s">
        <v>5050</v>
      </c>
      <c r="E1246" s="9" t="s">
        <v>5051</v>
      </c>
      <c r="F1246" s="9" t="s">
        <v>5052</v>
      </c>
      <c r="G1246" s="9" t="s">
        <v>902</v>
      </c>
      <c r="H1246" s="14" t="s">
        <v>22</v>
      </c>
      <c r="I1246" s="9" t="s">
        <v>5053</v>
      </c>
      <c r="J1246" s="13"/>
      <c r="K1246" s="13"/>
    </row>
    <row r="1247" customFormat="false" ht="57.45" hidden="false" customHeight="false" outlineLevel="0" collapsed="false">
      <c r="A1247" s="9" t="n">
        <v>1246</v>
      </c>
      <c r="B1247" s="9" t="s">
        <v>87</v>
      </c>
      <c r="C1247" s="11" t="s">
        <v>92</v>
      </c>
      <c r="D1247" s="9" t="s">
        <v>5054</v>
      </c>
      <c r="E1247" s="9" t="s">
        <v>5055</v>
      </c>
      <c r="F1247" s="9" t="s">
        <v>5056</v>
      </c>
      <c r="G1247" s="9" t="s">
        <v>1638</v>
      </c>
      <c r="H1247" s="14" t="s">
        <v>22</v>
      </c>
      <c r="I1247" s="9" t="s">
        <v>5057</v>
      </c>
      <c r="J1247" s="13"/>
      <c r="K1247" s="13"/>
    </row>
    <row r="1248" customFormat="false" ht="46.25" hidden="false" customHeight="false" outlineLevel="0" collapsed="false">
      <c r="A1248" s="9" t="n">
        <v>1247</v>
      </c>
      <c r="B1248" s="9" t="s">
        <v>87</v>
      </c>
      <c r="C1248" s="11" t="s">
        <v>92</v>
      </c>
      <c r="D1248" s="9" t="s">
        <v>5058</v>
      </c>
      <c r="E1248" s="9" t="s">
        <v>5059</v>
      </c>
      <c r="F1248" s="9" t="s">
        <v>5060</v>
      </c>
      <c r="G1248" s="9" t="s">
        <v>312</v>
      </c>
      <c r="H1248" s="15" t="s">
        <v>23</v>
      </c>
      <c r="I1248" s="9" t="s">
        <v>5061</v>
      </c>
      <c r="J1248" s="13"/>
      <c r="K1248" s="13"/>
    </row>
    <row r="1249" customFormat="false" ht="35.05" hidden="false" customHeight="false" outlineLevel="0" collapsed="false">
      <c r="A1249" s="9" t="n">
        <v>1248</v>
      </c>
      <c r="B1249" s="9" t="s">
        <v>87</v>
      </c>
      <c r="C1249" s="11" t="s">
        <v>92</v>
      </c>
      <c r="D1249" s="9" t="s">
        <v>5062</v>
      </c>
      <c r="E1249" s="9" t="s">
        <v>5063</v>
      </c>
      <c r="F1249" s="9" t="s">
        <v>5064</v>
      </c>
      <c r="G1249" s="9" t="s">
        <v>1072</v>
      </c>
      <c r="H1249" s="15" t="s">
        <v>23</v>
      </c>
      <c r="I1249" s="9" t="s">
        <v>5065</v>
      </c>
      <c r="J1249" s="13"/>
      <c r="K1249" s="13"/>
    </row>
    <row r="1250" customFormat="false" ht="46.25" hidden="false" customHeight="false" outlineLevel="0" collapsed="false">
      <c r="A1250" s="9" t="n">
        <v>1249</v>
      </c>
      <c r="B1250" s="9" t="s">
        <v>87</v>
      </c>
      <c r="C1250" s="11" t="s">
        <v>92</v>
      </c>
      <c r="D1250" s="9" t="s">
        <v>5066</v>
      </c>
      <c r="E1250" s="9" t="s">
        <v>5067</v>
      </c>
      <c r="F1250" s="9" t="s">
        <v>5068</v>
      </c>
      <c r="G1250" s="9" t="s">
        <v>1072</v>
      </c>
      <c r="H1250" s="15" t="s">
        <v>23</v>
      </c>
      <c r="I1250" s="9" t="s">
        <v>5069</v>
      </c>
      <c r="J1250" s="13"/>
      <c r="K1250" s="13"/>
    </row>
    <row r="1251" customFormat="false" ht="46.25" hidden="false" customHeight="false" outlineLevel="0" collapsed="false">
      <c r="A1251" s="9" t="n">
        <v>1250</v>
      </c>
      <c r="B1251" s="9" t="s">
        <v>87</v>
      </c>
      <c r="C1251" s="11" t="s">
        <v>92</v>
      </c>
      <c r="D1251" s="9" t="s">
        <v>5070</v>
      </c>
      <c r="E1251" s="9" t="s">
        <v>5071</v>
      </c>
      <c r="F1251" s="9" t="s">
        <v>5072</v>
      </c>
      <c r="G1251" s="9" t="s">
        <v>3352</v>
      </c>
      <c r="H1251" s="14" t="s">
        <v>22</v>
      </c>
      <c r="I1251" s="9" t="s">
        <v>5073</v>
      </c>
      <c r="J1251" s="13"/>
      <c r="K1251" s="13"/>
    </row>
    <row r="1252" customFormat="false" ht="46.25" hidden="false" customHeight="false" outlineLevel="0" collapsed="false">
      <c r="A1252" s="9" t="n">
        <v>1251</v>
      </c>
      <c r="B1252" s="9" t="s">
        <v>87</v>
      </c>
      <c r="C1252" s="11" t="s">
        <v>92</v>
      </c>
      <c r="D1252" s="9" t="s">
        <v>5074</v>
      </c>
      <c r="E1252" s="9" t="s">
        <v>5075</v>
      </c>
      <c r="F1252" s="9" t="s">
        <v>5076</v>
      </c>
      <c r="G1252" s="9" t="s">
        <v>392</v>
      </c>
      <c r="H1252" s="15" t="s">
        <v>23</v>
      </c>
      <c r="I1252" s="9" t="s">
        <v>5077</v>
      </c>
      <c r="J1252" s="13"/>
      <c r="K1252" s="13"/>
    </row>
    <row r="1253" customFormat="false" ht="35.05" hidden="false" customHeight="false" outlineLevel="0" collapsed="false">
      <c r="A1253" s="9" t="n">
        <v>1252</v>
      </c>
      <c r="B1253" s="9" t="s">
        <v>87</v>
      </c>
      <c r="C1253" s="11" t="s">
        <v>92</v>
      </c>
      <c r="D1253" s="9" t="s">
        <v>5078</v>
      </c>
      <c r="E1253" s="9" t="s">
        <v>5079</v>
      </c>
      <c r="F1253" s="9" t="s">
        <v>5080</v>
      </c>
      <c r="G1253" s="9" t="s">
        <v>4358</v>
      </c>
      <c r="H1253" s="15" t="s">
        <v>23</v>
      </c>
      <c r="I1253" s="9" t="s">
        <v>5081</v>
      </c>
      <c r="J1253" s="13"/>
      <c r="K1253" s="13"/>
    </row>
    <row r="1254" customFormat="false" ht="35.05" hidden="false" customHeight="false" outlineLevel="0" collapsed="false">
      <c r="A1254" s="9" t="n">
        <v>1253</v>
      </c>
      <c r="B1254" s="9" t="s">
        <v>87</v>
      </c>
      <c r="C1254" s="11" t="s">
        <v>92</v>
      </c>
      <c r="D1254" s="9" t="s">
        <v>5082</v>
      </c>
      <c r="E1254" s="9" t="s">
        <v>5083</v>
      </c>
      <c r="F1254" s="9" t="s">
        <v>5084</v>
      </c>
      <c r="G1254" s="9" t="s">
        <v>392</v>
      </c>
      <c r="H1254" s="15" t="s">
        <v>23</v>
      </c>
      <c r="I1254" s="9" t="s">
        <v>5085</v>
      </c>
      <c r="J1254" s="13"/>
      <c r="K1254" s="13"/>
    </row>
    <row r="1255" customFormat="false" ht="35.05" hidden="false" customHeight="false" outlineLevel="0" collapsed="false">
      <c r="A1255" s="9" t="n">
        <v>1254</v>
      </c>
      <c r="B1255" s="9" t="s">
        <v>87</v>
      </c>
      <c r="C1255" s="11" t="s">
        <v>92</v>
      </c>
      <c r="D1255" s="9" t="s">
        <v>5086</v>
      </c>
      <c r="E1255" s="9" t="s">
        <v>5087</v>
      </c>
      <c r="F1255" s="9" t="s">
        <v>5088</v>
      </c>
      <c r="G1255" s="9" t="s">
        <v>1072</v>
      </c>
      <c r="H1255" s="15" t="s">
        <v>23</v>
      </c>
      <c r="I1255" s="9" t="s">
        <v>5089</v>
      </c>
      <c r="J1255" s="13"/>
      <c r="K1255" s="13"/>
    </row>
    <row r="1256" customFormat="false" ht="35.05" hidden="false" customHeight="false" outlineLevel="0" collapsed="false">
      <c r="A1256" s="9" t="n">
        <v>1255</v>
      </c>
      <c r="B1256" s="9" t="s">
        <v>87</v>
      </c>
      <c r="C1256" s="11" t="s">
        <v>92</v>
      </c>
      <c r="D1256" s="9" t="s">
        <v>5090</v>
      </c>
      <c r="E1256" s="9" t="s">
        <v>5091</v>
      </c>
      <c r="F1256" s="9" t="s">
        <v>5092</v>
      </c>
      <c r="G1256" s="9" t="s">
        <v>902</v>
      </c>
      <c r="H1256" s="15" t="s">
        <v>23</v>
      </c>
      <c r="I1256" s="9" t="s">
        <v>5093</v>
      </c>
      <c r="J1256" s="13"/>
      <c r="K1256" s="13"/>
    </row>
    <row r="1257" customFormat="false" ht="46.25" hidden="false" customHeight="false" outlineLevel="0" collapsed="false">
      <c r="A1257" s="9" t="n">
        <v>1256</v>
      </c>
      <c r="B1257" s="9" t="s">
        <v>87</v>
      </c>
      <c r="C1257" s="11" t="s">
        <v>92</v>
      </c>
      <c r="D1257" s="9" t="s">
        <v>5094</v>
      </c>
      <c r="E1257" s="9" t="s">
        <v>5095</v>
      </c>
      <c r="F1257" s="9" t="s">
        <v>5096</v>
      </c>
      <c r="G1257" s="9" t="s">
        <v>328</v>
      </c>
      <c r="H1257" s="15" t="s">
        <v>23</v>
      </c>
      <c r="I1257" s="9" t="s">
        <v>5097</v>
      </c>
      <c r="J1257" s="13"/>
      <c r="K1257" s="13"/>
    </row>
    <row r="1258" customFormat="false" ht="79.85" hidden="false" customHeight="false" outlineLevel="0" collapsed="false">
      <c r="A1258" s="9" t="n">
        <v>1257</v>
      </c>
      <c r="B1258" s="9" t="s">
        <v>87</v>
      </c>
      <c r="C1258" s="11" t="s">
        <v>92</v>
      </c>
      <c r="D1258" s="9" t="s">
        <v>5098</v>
      </c>
      <c r="E1258" s="9" t="s">
        <v>5099</v>
      </c>
      <c r="F1258" s="9" t="s">
        <v>5100</v>
      </c>
      <c r="G1258" s="9" t="s">
        <v>324</v>
      </c>
      <c r="H1258" s="14" t="s">
        <v>22</v>
      </c>
      <c r="I1258" s="9" t="s">
        <v>5101</v>
      </c>
      <c r="J1258" s="13"/>
      <c r="K1258" s="13"/>
    </row>
    <row r="1259" customFormat="false" ht="46.25" hidden="false" customHeight="false" outlineLevel="0" collapsed="false">
      <c r="A1259" s="9" t="n">
        <v>1258</v>
      </c>
      <c r="B1259" s="9" t="s">
        <v>87</v>
      </c>
      <c r="C1259" s="11" t="s">
        <v>92</v>
      </c>
      <c r="D1259" s="9" t="s">
        <v>5102</v>
      </c>
      <c r="E1259" s="9" t="s">
        <v>5103</v>
      </c>
      <c r="F1259" s="9" t="s">
        <v>5104</v>
      </c>
      <c r="G1259" s="9" t="s">
        <v>308</v>
      </c>
      <c r="H1259" s="15" t="s">
        <v>23</v>
      </c>
      <c r="I1259" s="9" t="s">
        <v>5105</v>
      </c>
      <c r="J1259" s="13"/>
      <c r="K1259" s="13"/>
    </row>
    <row r="1260" customFormat="false" ht="46.25" hidden="false" customHeight="false" outlineLevel="0" collapsed="false">
      <c r="A1260" s="9" t="n">
        <v>1259</v>
      </c>
      <c r="B1260" s="9" t="s">
        <v>87</v>
      </c>
      <c r="C1260" s="11" t="s">
        <v>92</v>
      </c>
      <c r="D1260" s="9" t="s">
        <v>5106</v>
      </c>
      <c r="E1260" s="9" t="s">
        <v>5107</v>
      </c>
      <c r="F1260" s="9" t="s">
        <v>5108</v>
      </c>
      <c r="G1260" s="9" t="s">
        <v>392</v>
      </c>
      <c r="H1260" s="15" t="s">
        <v>23</v>
      </c>
      <c r="I1260" s="9" t="s">
        <v>5109</v>
      </c>
      <c r="J1260" s="13"/>
      <c r="K1260" s="13"/>
    </row>
    <row r="1261" customFormat="false" ht="35.05" hidden="false" customHeight="false" outlineLevel="0" collapsed="false">
      <c r="A1261" s="9" t="n">
        <v>1260</v>
      </c>
      <c r="B1261" s="9" t="s">
        <v>87</v>
      </c>
      <c r="C1261" s="11" t="s">
        <v>92</v>
      </c>
      <c r="D1261" s="9" t="s">
        <v>5110</v>
      </c>
      <c r="E1261" s="9" t="s">
        <v>5111</v>
      </c>
      <c r="F1261" s="9" t="s">
        <v>5112</v>
      </c>
      <c r="G1261" s="9" t="s">
        <v>328</v>
      </c>
      <c r="H1261" s="15" t="s">
        <v>23</v>
      </c>
      <c r="I1261" s="9" t="s">
        <v>5113</v>
      </c>
      <c r="J1261" s="13"/>
      <c r="K1261" s="13"/>
    </row>
    <row r="1262" customFormat="false" ht="35.05" hidden="false" customHeight="false" outlineLevel="0" collapsed="false">
      <c r="A1262" s="9" t="n">
        <v>1261</v>
      </c>
      <c r="B1262" s="9" t="s">
        <v>87</v>
      </c>
      <c r="C1262" s="11" t="s">
        <v>92</v>
      </c>
      <c r="D1262" s="9" t="s">
        <v>5114</v>
      </c>
      <c r="E1262" s="9" t="s">
        <v>5115</v>
      </c>
      <c r="F1262" s="9" t="s">
        <v>5116</v>
      </c>
      <c r="G1262" s="9" t="s">
        <v>328</v>
      </c>
      <c r="H1262" s="15" t="s">
        <v>23</v>
      </c>
      <c r="I1262" s="9" t="s">
        <v>5117</v>
      </c>
      <c r="J1262" s="13"/>
      <c r="K1262" s="13"/>
    </row>
    <row r="1263" customFormat="false" ht="68.65" hidden="false" customHeight="false" outlineLevel="0" collapsed="false">
      <c r="A1263" s="9" t="n">
        <v>1262</v>
      </c>
      <c r="B1263" s="9" t="s">
        <v>87</v>
      </c>
      <c r="C1263" s="11" t="s">
        <v>92</v>
      </c>
      <c r="D1263" s="9" t="s">
        <v>5118</v>
      </c>
      <c r="E1263" s="9" t="s">
        <v>5119</v>
      </c>
      <c r="F1263" s="9" t="s">
        <v>5120</v>
      </c>
      <c r="G1263" s="9" t="s">
        <v>24</v>
      </c>
      <c r="H1263" s="12" t="s">
        <v>21</v>
      </c>
      <c r="I1263" s="9" t="s">
        <v>5121</v>
      </c>
      <c r="J1263" s="13"/>
      <c r="K1263" s="13"/>
    </row>
    <row r="1264" customFormat="false" ht="23.85" hidden="false" customHeight="false" outlineLevel="0" collapsed="false">
      <c r="A1264" s="9" t="n">
        <v>1263</v>
      </c>
      <c r="B1264" s="9" t="s">
        <v>87</v>
      </c>
      <c r="C1264" s="11" t="s">
        <v>92</v>
      </c>
      <c r="D1264" s="9" t="s">
        <v>5122</v>
      </c>
      <c r="E1264" s="9" t="s">
        <v>5123</v>
      </c>
      <c r="F1264" s="9" t="s">
        <v>5124</v>
      </c>
      <c r="G1264" s="9" t="s">
        <v>24</v>
      </c>
      <c r="H1264" s="12" t="s">
        <v>21</v>
      </c>
      <c r="I1264" s="9" t="s">
        <v>5125</v>
      </c>
      <c r="J1264" s="13"/>
      <c r="K1264" s="13"/>
    </row>
    <row r="1265" customFormat="false" ht="35.05" hidden="false" customHeight="false" outlineLevel="0" collapsed="false">
      <c r="A1265" s="9" t="n">
        <v>1264</v>
      </c>
      <c r="B1265" s="9" t="s">
        <v>87</v>
      </c>
      <c r="C1265" s="11" t="s">
        <v>92</v>
      </c>
      <c r="D1265" s="9" t="s">
        <v>5126</v>
      </c>
      <c r="E1265" s="9" t="s">
        <v>5127</v>
      </c>
      <c r="F1265" s="9" t="s">
        <v>5128</v>
      </c>
      <c r="G1265" s="9" t="s">
        <v>24</v>
      </c>
      <c r="H1265" s="14" t="s">
        <v>22</v>
      </c>
      <c r="I1265" s="9" t="s">
        <v>5129</v>
      </c>
      <c r="J1265" s="13"/>
      <c r="K1265" s="13"/>
    </row>
    <row r="1266" customFormat="false" ht="35.05" hidden="false" customHeight="false" outlineLevel="0" collapsed="false">
      <c r="A1266" s="9" t="n">
        <v>1265</v>
      </c>
      <c r="B1266" s="9" t="s">
        <v>87</v>
      </c>
      <c r="C1266" s="11" t="s">
        <v>92</v>
      </c>
      <c r="D1266" s="9" t="s">
        <v>5130</v>
      </c>
      <c r="E1266" s="9" t="s">
        <v>5131</v>
      </c>
      <c r="F1266" s="9" t="s">
        <v>5132</v>
      </c>
      <c r="G1266" s="9" t="s">
        <v>24</v>
      </c>
      <c r="H1266" s="14" t="s">
        <v>22</v>
      </c>
      <c r="I1266" s="9" t="s">
        <v>5133</v>
      </c>
      <c r="J1266" s="13"/>
      <c r="K1266" s="13"/>
    </row>
    <row r="1267" customFormat="false" ht="23.85" hidden="false" customHeight="false" outlineLevel="0" collapsed="false">
      <c r="A1267" s="9" t="n">
        <v>1266</v>
      </c>
      <c r="B1267" s="9" t="s">
        <v>87</v>
      </c>
      <c r="C1267" s="11" t="s">
        <v>92</v>
      </c>
      <c r="D1267" s="9" t="s">
        <v>5134</v>
      </c>
      <c r="E1267" s="9" t="s">
        <v>5135</v>
      </c>
      <c r="F1267" s="9" t="s">
        <v>5136</v>
      </c>
      <c r="G1267" s="9" t="s">
        <v>24</v>
      </c>
      <c r="H1267" s="14" t="s">
        <v>22</v>
      </c>
      <c r="I1267" s="9" t="s">
        <v>5137</v>
      </c>
      <c r="J1267" s="13"/>
      <c r="K1267" s="13"/>
    </row>
    <row r="1268" customFormat="false" ht="15" hidden="false" customHeight="false" outlineLevel="0" collapsed="false">
      <c r="A1268" s="9" t="n">
        <v>1267</v>
      </c>
      <c r="B1268" s="9" t="s">
        <v>87</v>
      </c>
      <c r="C1268" s="11" t="s">
        <v>92</v>
      </c>
      <c r="D1268" s="9" t="s">
        <v>5138</v>
      </c>
      <c r="E1268" s="9" t="s">
        <v>5139</v>
      </c>
      <c r="F1268" s="9" t="s">
        <v>5140</v>
      </c>
      <c r="G1268" s="9" t="s">
        <v>24</v>
      </c>
      <c r="H1268" s="14" t="s">
        <v>22</v>
      </c>
      <c r="I1268" s="9" t="s">
        <v>5141</v>
      </c>
      <c r="J1268" s="13"/>
      <c r="K1268" s="13"/>
    </row>
    <row r="1269" customFormat="false" ht="35.05" hidden="false" customHeight="false" outlineLevel="0" collapsed="false">
      <c r="A1269" s="9" t="n">
        <v>1268</v>
      </c>
      <c r="B1269" s="9" t="s">
        <v>87</v>
      </c>
      <c r="C1269" s="11" t="s">
        <v>92</v>
      </c>
      <c r="D1269" s="9" t="s">
        <v>5142</v>
      </c>
      <c r="E1269" s="9" t="s">
        <v>5143</v>
      </c>
      <c r="F1269" s="9" t="s">
        <v>5144</v>
      </c>
      <c r="G1269" s="9" t="s">
        <v>24</v>
      </c>
      <c r="H1269" s="15" t="s">
        <v>23</v>
      </c>
      <c r="I1269" s="9" t="s">
        <v>5145</v>
      </c>
      <c r="J1269" s="13"/>
      <c r="K1269" s="13"/>
    </row>
    <row r="1270" customFormat="false" ht="15" hidden="false" customHeight="false" outlineLevel="0" collapsed="false">
      <c r="A1270" s="9" t="n">
        <v>1269</v>
      </c>
      <c r="B1270" s="9" t="s">
        <v>87</v>
      </c>
      <c r="C1270" s="11" t="s">
        <v>92</v>
      </c>
      <c r="D1270" s="9" t="s">
        <v>5146</v>
      </c>
      <c r="E1270" s="9" t="s">
        <v>5147</v>
      </c>
      <c r="F1270" s="9" t="s">
        <v>5148</v>
      </c>
      <c r="G1270" s="9" t="s">
        <v>24</v>
      </c>
      <c r="H1270" s="14" t="s">
        <v>22</v>
      </c>
      <c r="I1270" s="9" t="s">
        <v>5149</v>
      </c>
      <c r="J1270" s="13"/>
      <c r="K1270" s="13"/>
    </row>
    <row r="1271" customFormat="false" ht="23.85" hidden="false" customHeight="false" outlineLevel="0" collapsed="false">
      <c r="A1271" s="9" t="n">
        <v>1270</v>
      </c>
      <c r="B1271" s="9" t="s">
        <v>87</v>
      </c>
      <c r="C1271" s="11" t="s">
        <v>92</v>
      </c>
      <c r="D1271" s="9" t="s">
        <v>5150</v>
      </c>
      <c r="E1271" s="9" t="s">
        <v>5151</v>
      </c>
      <c r="F1271" s="9" t="s">
        <v>5152</v>
      </c>
      <c r="G1271" s="9" t="s">
        <v>24</v>
      </c>
      <c r="H1271" s="15" t="s">
        <v>23</v>
      </c>
      <c r="I1271" s="9" t="s">
        <v>5153</v>
      </c>
      <c r="J1271" s="13"/>
      <c r="K1271" s="13"/>
    </row>
    <row r="1272" customFormat="false" ht="46.25" hidden="false" customHeight="false" outlineLevel="0" collapsed="false">
      <c r="A1272" s="9" t="n">
        <v>1271</v>
      </c>
      <c r="B1272" s="9" t="s">
        <v>87</v>
      </c>
      <c r="C1272" s="11" t="s">
        <v>92</v>
      </c>
      <c r="D1272" s="9" t="s">
        <v>5154</v>
      </c>
      <c r="E1272" s="9" t="s">
        <v>358</v>
      </c>
      <c r="F1272" s="9" t="s">
        <v>5155</v>
      </c>
      <c r="G1272" s="9" t="s">
        <v>24</v>
      </c>
      <c r="H1272" s="14" t="s">
        <v>22</v>
      </c>
      <c r="I1272" s="9" t="s">
        <v>5156</v>
      </c>
      <c r="J1272" s="13"/>
      <c r="K1272" s="13"/>
    </row>
    <row r="1273" customFormat="false" ht="15" hidden="false" customHeight="false" outlineLevel="0" collapsed="false">
      <c r="A1273" s="9" t="n">
        <v>1272</v>
      </c>
      <c r="B1273" s="9" t="s">
        <v>87</v>
      </c>
      <c r="C1273" s="11" t="s">
        <v>92</v>
      </c>
      <c r="D1273" s="9" t="s">
        <v>5157</v>
      </c>
      <c r="E1273" s="9" t="s">
        <v>362</v>
      </c>
      <c r="F1273" s="9" t="s">
        <v>363</v>
      </c>
      <c r="G1273" s="9" t="s">
        <v>24</v>
      </c>
      <c r="H1273" s="14" t="s">
        <v>22</v>
      </c>
      <c r="I1273" s="9" t="s">
        <v>364</v>
      </c>
      <c r="J1273" s="13"/>
      <c r="K1273" s="13"/>
    </row>
    <row r="1274" customFormat="false" ht="35.05" hidden="false" customHeight="false" outlineLevel="0" collapsed="false">
      <c r="A1274" s="9" t="n">
        <v>1273</v>
      </c>
      <c r="B1274" s="9" t="s">
        <v>87</v>
      </c>
      <c r="C1274" s="11" t="s">
        <v>92</v>
      </c>
      <c r="D1274" s="9" t="s">
        <v>5158</v>
      </c>
      <c r="E1274" s="9" t="s">
        <v>5159</v>
      </c>
      <c r="F1274" s="9" t="s">
        <v>5160</v>
      </c>
      <c r="G1274" s="9" t="s">
        <v>24</v>
      </c>
      <c r="H1274" s="15" t="s">
        <v>23</v>
      </c>
      <c r="I1274" s="9" t="s">
        <v>5161</v>
      </c>
      <c r="J1274" s="13"/>
      <c r="K1274" s="13"/>
    </row>
    <row r="1275" customFormat="false" ht="15" hidden="false" customHeight="false" outlineLevel="0" collapsed="false">
      <c r="A1275" s="9" t="n">
        <v>1274</v>
      </c>
      <c r="B1275" s="9" t="s">
        <v>87</v>
      </c>
      <c r="C1275" s="11" t="s">
        <v>92</v>
      </c>
      <c r="D1275" s="9" t="s">
        <v>5162</v>
      </c>
      <c r="E1275" s="9" t="s">
        <v>5163</v>
      </c>
      <c r="F1275" s="9" t="s">
        <v>5164</v>
      </c>
      <c r="G1275" s="9" t="s">
        <v>24</v>
      </c>
      <c r="H1275" s="15" t="s">
        <v>23</v>
      </c>
      <c r="I1275" s="9" t="s">
        <v>5165</v>
      </c>
      <c r="J1275" s="13"/>
      <c r="K1275" s="13"/>
    </row>
    <row r="1276" customFormat="false" ht="23.85" hidden="false" customHeight="false" outlineLevel="0" collapsed="false">
      <c r="A1276" s="9" t="n">
        <v>1275</v>
      </c>
      <c r="B1276" s="9" t="s">
        <v>87</v>
      </c>
      <c r="C1276" s="11" t="s">
        <v>92</v>
      </c>
      <c r="D1276" s="9" t="s">
        <v>5166</v>
      </c>
      <c r="E1276" s="9" t="s">
        <v>5167</v>
      </c>
      <c r="F1276" s="9" t="s">
        <v>5168</v>
      </c>
      <c r="G1276" s="9" t="s">
        <v>24</v>
      </c>
      <c r="H1276" s="15" t="s">
        <v>23</v>
      </c>
      <c r="I1276" s="9" t="s">
        <v>5169</v>
      </c>
      <c r="J1276" s="13"/>
      <c r="K1276" s="13"/>
    </row>
    <row r="1277" customFormat="false" ht="23.85" hidden="false" customHeight="false" outlineLevel="0" collapsed="false">
      <c r="A1277" s="9" t="n">
        <v>1276</v>
      </c>
      <c r="B1277" s="9" t="s">
        <v>87</v>
      </c>
      <c r="C1277" s="11" t="s">
        <v>92</v>
      </c>
      <c r="D1277" s="9" t="s">
        <v>5170</v>
      </c>
      <c r="E1277" s="9" t="s">
        <v>5171</v>
      </c>
      <c r="F1277" s="9" t="s">
        <v>5172</v>
      </c>
      <c r="G1277" s="9" t="s">
        <v>24</v>
      </c>
      <c r="H1277" s="15" t="s">
        <v>23</v>
      </c>
      <c r="I1277" s="9" t="s">
        <v>5173</v>
      </c>
      <c r="J1277" s="13"/>
      <c r="K1277" s="13"/>
    </row>
    <row r="1278" customFormat="false" ht="57.45" hidden="false" customHeight="false" outlineLevel="0" collapsed="false">
      <c r="A1278" s="9" t="n">
        <v>1277</v>
      </c>
      <c r="B1278" s="9" t="s">
        <v>87</v>
      </c>
      <c r="C1278" s="11" t="s">
        <v>94</v>
      </c>
      <c r="D1278" s="9" t="s">
        <v>5174</v>
      </c>
      <c r="E1278" s="9" t="s">
        <v>5175</v>
      </c>
      <c r="F1278" s="9" t="s">
        <v>5176</v>
      </c>
      <c r="G1278" s="9" t="s">
        <v>303</v>
      </c>
      <c r="H1278" s="12" t="s">
        <v>21</v>
      </c>
      <c r="I1278" s="9" t="s">
        <v>5177</v>
      </c>
      <c r="J1278" s="13"/>
      <c r="K1278" s="13"/>
    </row>
    <row r="1279" customFormat="false" ht="102.2" hidden="false" customHeight="false" outlineLevel="0" collapsed="false">
      <c r="A1279" s="9" t="n">
        <v>1278</v>
      </c>
      <c r="B1279" s="9" t="s">
        <v>87</v>
      </c>
      <c r="C1279" s="11" t="s">
        <v>94</v>
      </c>
      <c r="D1279" s="9" t="s">
        <v>5178</v>
      </c>
      <c r="E1279" s="9" t="s">
        <v>5179</v>
      </c>
      <c r="F1279" s="9" t="s">
        <v>5180</v>
      </c>
      <c r="G1279" s="9" t="s">
        <v>1843</v>
      </c>
      <c r="H1279" s="12" t="s">
        <v>21</v>
      </c>
      <c r="I1279" s="9" t="s">
        <v>5181</v>
      </c>
      <c r="J1279" s="13"/>
      <c r="K1279" s="13"/>
    </row>
    <row r="1280" customFormat="false" ht="91" hidden="false" customHeight="false" outlineLevel="0" collapsed="false">
      <c r="A1280" s="9" t="n">
        <v>1279</v>
      </c>
      <c r="B1280" s="9" t="s">
        <v>87</v>
      </c>
      <c r="C1280" s="11" t="s">
        <v>94</v>
      </c>
      <c r="D1280" s="9" t="s">
        <v>5182</v>
      </c>
      <c r="E1280" s="9" t="s">
        <v>5183</v>
      </c>
      <c r="F1280" s="9" t="s">
        <v>5184</v>
      </c>
      <c r="G1280" s="9" t="s">
        <v>1063</v>
      </c>
      <c r="H1280" s="12" t="s">
        <v>21</v>
      </c>
      <c r="I1280" s="9" t="s">
        <v>5185</v>
      </c>
      <c r="J1280" s="13"/>
      <c r="K1280" s="13"/>
    </row>
    <row r="1281" customFormat="false" ht="124.6" hidden="false" customHeight="false" outlineLevel="0" collapsed="false">
      <c r="A1281" s="9" t="n">
        <v>1280</v>
      </c>
      <c r="B1281" s="9" t="s">
        <v>87</v>
      </c>
      <c r="C1281" s="11" t="s">
        <v>94</v>
      </c>
      <c r="D1281" s="9" t="s">
        <v>5186</v>
      </c>
      <c r="E1281" s="9" t="s">
        <v>5187</v>
      </c>
      <c r="F1281" s="9" t="s">
        <v>5188</v>
      </c>
      <c r="G1281" s="9" t="s">
        <v>1613</v>
      </c>
      <c r="H1281" s="12" t="s">
        <v>21</v>
      </c>
      <c r="I1281" s="9" t="s">
        <v>5189</v>
      </c>
      <c r="J1281" s="13"/>
      <c r="K1281" s="13"/>
    </row>
    <row r="1282" customFormat="false" ht="91" hidden="false" customHeight="false" outlineLevel="0" collapsed="false">
      <c r="A1282" s="9" t="n">
        <v>1281</v>
      </c>
      <c r="B1282" s="9" t="s">
        <v>87</v>
      </c>
      <c r="C1282" s="11" t="s">
        <v>94</v>
      </c>
      <c r="D1282" s="9" t="s">
        <v>5190</v>
      </c>
      <c r="E1282" s="9" t="s">
        <v>5191</v>
      </c>
      <c r="F1282" s="9" t="s">
        <v>5192</v>
      </c>
      <c r="G1282" s="9" t="s">
        <v>3343</v>
      </c>
      <c r="H1282" s="14" t="s">
        <v>22</v>
      </c>
      <c r="I1282" s="9" t="s">
        <v>5193</v>
      </c>
      <c r="J1282" s="13"/>
      <c r="K1282" s="13"/>
    </row>
    <row r="1283" customFormat="false" ht="91" hidden="false" customHeight="false" outlineLevel="0" collapsed="false">
      <c r="A1283" s="9" t="n">
        <v>1282</v>
      </c>
      <c r="B1283" s="9" t="s">
        <v>87</v>
      </c>
      <c r="C1283" s="11" t="s">
        <v>94</v>
      </c>
      <c r="D1283" s="9" t="s">
        <v>5194</v>
      </c>
      <c r="E1283" s="9" t="s">
        <v>5195</v>
      </c>
      <c r="F1283" s="9" t="s">
        <v>5196</v>
      </c>
      <c r="G1283" s="9" t="s">
        <v>1638</v>
      </c>
      <c r="H1283" s="14" t="s">
        <v>22</v>
      </c>
      <c r="I1283" s="9" t="s">
        <v>5197</v>
      </c>
      <c r="J1283" s="13"/>
      <c r="K1283" s="13"/>
    </row>
    <row r="1284" customFormat="false" ht="35.05" hidden="false" customHeight="false" outlineLevel="0" collapsed="false">
      <c r="A1284" s="9" t="n">
        <v>1283</v>
      </c>
      <c r="B1284" s="9" t="s">
        <v>87</v>
      </c>
      <c r="C1284" s="11" t="s">
        <v>94</v>
      </c>
      <c r="D1284" s="9" t="s">
        <v>5198</v>
      </c>
      <c r="E1284" s="9" t="s">
        <v>5199</v>
      </c>
      <c r="F1284" s="9" t="s">
        <v>5200</v>
      </c>
      <c r="G1284" s="9" t="s">
        <v>1072</v>
      </c>
      <c r="H1284" s="15" t="s">
        <v>23</v>
      </c>
      <c r="I1284" s="9" t="s">
        <v>5201</v>
      </c>
      <c r="J1284" s="13"/>
      <c r="K1284" s="13"/>
    </row>
    <row r="1285" customFormat="false" ht="57.45" hidden="false" customHeight="false" outlineLevel="0" collapsed="false">
      <c r="A1285" s="9" t="n">
        <v>1284</v>
      </c>
      <c r="B1285" s="9" t="s">
        <v>87</v>
      </c>
      <c r="C1285" s="11" t="s">
        <v>94</v>
      </c>
      <c r="D1285" s="9" t="s">
        <v>5202</v>
      </c>
      <c r="E1285" s="9" t="s">
        <v>5203</v>
      </c>
      <c r="F1285" s="9" t="s">
        <v>5204</v>
      </c>
      <c r="G1285" s="9" t="s">
        <v>392</v>
      </c>
      <c r="H1285" s="14" t="s">
        <v>22</v>
      </c>
      <c r="I1285" s="9" t="s">
        <v>5205</v>
      </c>
      <c r="J1285" s="13"/>
      <c r="K1285" s="13"/>
    </row>
    <row r="1286" customFormat="false" ht="102.2" hidden="false" customHeight="false" outlineLevel="0" collapsed="false">
      <c r="A1286" s="9" t="n">
        <v>1285</v>
      </c>
      <c r="B1286" s="9" t="s">
        <v>87</v>
      </c>
      <c r="C1286" s="11" t="s">
        <v>94</v>
      </c>
      <c r="D1286" s="9" t="s">
        <v>5206</v>
      </c>
      <c r="E1286" s="9" t="s">
        <v>5207</v>
      </c>
      <c r="F1286" s="9" t="s">
        <v>5208</v>
      </c>
      <c r="G1286" s="9" t="s">
        <v>317</v>
      </c>
      <c r="H1286" s="14" t="s">
        <v>22</v>
      </c>
      <c r="I1286" s="9" t="s">
        <v>5209</v>
      </c>
      <c r="J1286" s="13"/>
      <c r="K1286" s="13"/>
    </row>
    <row r="1287" customFormat="false" ht="57.45" hidden="false" customHeight="false" outlineLevel="0" collapsed="false">
      <c r="A1287" s="9" t="n">
        <v>1286</v>
      </c>
      <c r="B1287" s="9" t="s">
        <v>87</v>
      </c>
      <c r="C1287" s="11" t="s">
        <v>94</v>
      </c>
      <c r="D1287" s="9" t="s">
        <v>5210</v>
      </c>
      <c r="E1287" s="9" t="s">
        <v>5211</v>
      </c>
      <c r="F1287" s="9" t="s">
        <v>5212</v>
      </c>
      <c r="G1287" s="9" t="s">
        <v>312</v>
      </c>
      <c r="H1287" s="15" t="s">
        <v>23</v>
      </c>
      <c r="I1287" s="9" t="s">
        <v>5213</v>
      </c>
      <c r="J1287" s="13"/>
      <c r="K1287" s="13"/>
    </row>
    <row r="1288" customFormat="false" ht="57.45" hidden="false" customHeight="false" outlineLevel="0" collapsed="false">
      <c r="A1288" s="9" t="n">
        <v>1287</v>
      </c>
      <c r="B1288" s="9" t="s">
        <v>87</v>
      </c>
      <c r="C1288" s="11" t="s">
        <v>94</v>
      </c>
      <c r="D1288" s="9" t="s">
        <v>5214</v>
      </c>
      <c r="E1288" s="9" t="s">
        <v>5215</v>
      </c>
      <c r="F1288" s="9" t="s">
        <v>5216</v>
      </c>
      <c r="G1288" s="9" t="s">
        <v>1852</v>
      </c>
      <c r="H1288" s="14" t="s">
        <v>22</v>
      </c>
      <c r="I1288" s="9" t="s">
        <v>5217</v>
      </c>
      <c r="J1288" s="13"/>
      <c r="K1288" s="13"/>
    </row>
    <row r="1289" customFormat="false" ht="91" hidden="false" customHeight="false" outlineLevel="0" collapsed="false">
      <c r="A1289" s="9" t="n">
        <v>1288</v>
      </c>
      <c r="B1289" s="9" t="s">
        <v>87</v>
      </c>
      <c r="C1289" s="11" t="s">
        <v>94</v>
      </c>
      <c r="D1289" s="9" t="s">
        <v>5218</v>
      </c>
      <c r="E1289" s="9" t="s">
        <v>5219</v>
      </c>
      <c r="F1289" s="9" t="s">
        <v>5220</v>
      </c>
      <c r="G1289" s="9" t="s">
        <v>1843</v>
      </c>
      <c r="H1289" s="12" t="s">
        <v>21</v>
      </c>
      <c r="I1289" s="9" t="s">
        <v>5221</v>
      </c>
      <c r="J1289" s="13"/>
      <c r="K1289" s="13"/>
    </row>
    <row r="1290" customFormat="false" ht="102.2" hidden="false" customHeight="false" outlineLevel="0" collapsed="false">
      <c r="A1290" s="9" t="n">
        <v>1289</v>
      </c>
      <c r="B1290" s="9" t="s">
        <v>87</v>
      </c>
      <c r="C1290" s="11" t="s">
        <v>94</v>
      </c>
      <c r="D1290" s="9" t="s">
        <v>5222</v>
      </c>
      <c r="E1290" s="9" t="s">
        <v>5223</v>
      </c>
      <c r="F1290" s="9" t="s">
        <v>5224</v>
      </c>
      <c r="G1290" s="9" t="s">
        <v>392</v>
      </c>
      <c r="H1290" s="12" t="s">
        <v>21</v>
      </c>
      <c r="I1290" s="9" t="s">
        <v>5225</v>
      </c>
      <c r="J1290" s="13"/>
      <c r="K1290" s="13"/>
    </row>
    <row r="1291" customFormat="false" ht="68.65" hidden="false" customHeight="false" outlineLevel="0" collapsed="false">
      <c r="A1291" s="9" t="n">
        <v>1290</v>
      </c>
      <c r="B1291" s="9" t="s">
        <v>87</v>
      </c>
      <c r="C1291" s="11" t="s">
        <v>94</v>
      </c>
      <c r="D1291" s="9" t="s">
        <v>5226</v>
      </c>
      <c r="E1291" s="9" t="s">
        <v>5227</v>
      </c>
      <c r="F1291" s="9" t="s">
        <v>5228</v>
      </c>
      <c r="G1291" s="9" t="s">
        <v>1638</v>
      </c>
      <c r="H1291" s="14" t="s">
        <v>22</v>
      </c>
      <c r="I1291" s="9" t="s">
        <v>5229</v>
      </c>
      <c r="J1291" s="13"/>
      <c r="K1291" s="13"/>
    </row>
    <row r="1292" customFormat="false" ht="57.45" hidden="false" customHeight="false" outlineLevel="0" collapsed="false">
      <c r="A1292" s="9" t="n">
        <v>1291</v>
      </c>
      <c r="B1292" s="9" t="s">
        <v>87</v>
      </c>
      <c r="C1292" s="11" t="s">
        <v>94</v>
      </c>
      <c r="D1292" s="9" t="s">
        <v>5230</v>
      </c>
      <c r="E1292" s="9" t="s">
        <v>5231</v>
      </c>
      <c r="F1292" s="9" t="s">
        <v>5232</v>
      </c>
      <c r="G1292" s="9" t="s">
        <v>317</v>
      </c>
      <c r="H1292" s="14" t="s">
        <v>22</v>
      </c>
      <c r="I1292" s="9" t="s">
        <v>5233</v>
      </c>
      <c r="J1292" s="13"/>
      <c r="K1292" s="13"/>
    </row>
    <row r="1293" customFormat="false" ht="35.05" hidden="false" customHeight="false" outlineLevel="0" collapsed="false">
      <c r="A1293" s="9" t="n">
        <v>1292</v>
      </c>
      <c r="B1293" s="9" t="s">
        <v>87</v>
      </c>
      <c r="C1293" s="11" t="s">
        <v>94</v>
      </c>
      <c r="D1293" s="9" t="s">
        <v>5234</v>
      </c>
      <c r="E1293" s="9" t="s">
        <v>5235</v>
      </c>
      <c r="F1293" s="9" t="s">
        <v>5236</v>
      </c>
      <c r="G1293" s="9" t="s">
        <v>392</v>
      </c>
      <c r="H1293" s="15" t="s">
        <v>23</v>
      </c>
      <c r="I1293" s="9" t="s">
        <v>5237</v>
      </c>
      <c r="J1293" s="13"/>
      <c r="K1293" s="13"/>
    </row>
    <row r="1294" customFormat="false" ht="57.45" hidden="false" customHeight="false" outlineLevel="0" collapsed="false">
      <c r="A1294" s="9" t="n">
        <v>1293</v>
      </c>
      <c r="B1294" s="9" t="s">
        <v>87</v>
      </c>
      <c r="C1294" s="11" t="s">
        <v>94</v>
      </c>
      <c r="D1294" s="9" t="s">
        <v>5238</v>
      </c>
      <c r="E1294" s="9" t="s">
        <v>5239</v>
      </c>
      <c r="F1294" s="9" t="s">
        <v>5240</v>
      </c>
      <c r="G1294" s="9" t="s">
        <v>1643</v>
      </c>
      <c r="H1294" s="14" t="s">
        <v>22</v>
      </c>
      <c r="I1294" s="9" t="s">
        <v>5241</v>
      </c>
      <c r="J1294" s="13"/>
      <c r="K1294" s="13"/>
    </row>
    <row r="1295" customFormat="false" ht="79.85" hidden="false" customHeight="false" outlineLevel="0" collapsed="false">
      <c r="A1295" s="9" t="n">
        <v>1294</v>
      </c>
      <c r="B1295" s="9" t="s">
        <v>87</v>
      </c>
      <c r="C1295" s="11" t="s">
        <v>94</v>
      </c>
      <c r="D1295" s="9" t="s">
        <v>5242</v>
      </c>
      <c r="E1295" s="9" t="s">
        <v>5243</v>
      </c>
      <c r="F1295" s="9" t="s">
        <v>5244</v>
      </c>
      <c r="G1295" s="9" t="s">
        <v>1613</v>
      </c>
      <c r="H1295" s="14" t="s">
        <v>22</v>
      </c>
      <c r="I1295" s="9" t="s">
        <v>5245</v>
      </c>
      <c r="J1295" s="13"/>
      <c r="K1295" s="13"/>
    </row>
    <row r="1296" customFormat="false" ht="57.45" hidden="false" customHeight="false" outlineLevel="0" collapsed="false">
      <c r="A1296" s="9" t="n">
        <v>1295</v>
      </c>
      <c r="B1296" s="9" t="s">
        <v>87</v>
      </c>
      <c r="C1296" s="11" t="s">
        <v>94</v>
      </c>
      <c r="D1296" s="9" t="s">
        <v>5246</v>
      </c>
      <c r="E1296" s="9" t="s">
        <v>5247</v>
      </c>
      <c r="F1296" s="9" t="s">
        <v>5248</v>
      </c>
      <c r="G1296" s="9" t="s">
        <v>4141</v>
      </c>
      <c r="H1296" s="15" t="s">
        <v>23</v>
      </c>
      <c r="I1296" s="9" t="s">
        <v>5249</v>
      </c>
      <c r="J1296" s="13"/>
      <c r="K1296" s="13"/>
    </row>
    <row r="1297" customFormat="false" ht="46.25" hidden="false" customHeight="false" outlineLevel="0" collapsed="false">
      <c r="A1297" s="9" t="n">
        <v>1296</v>
      </c>
      <c r="B1297" s="9" t="s">
        <v>87</v>
      </c>
      <c r="C1297" s="11" t="s">
        <v>94</v>
      </c>
      <c r="D1297" s="9" t="s">
        <v>5250</v>
      </c>
      <c r="E1297" s="9" t="s">
        <v>5251</v>
      </c>
      <c r="F1297" s="9" t="s">
        <v>5252</v>
      </c>
      <c r="G1297" s="9" t="s">
        <v>3352</v>
      </c>
      <c r="H1297" s="14" t="s">
        <v>22</v>
      </c>
      <c r="I1297" s="9" t="s">
        <v>5253</v>
      </c>
      <c r="J1297" s="13"/>
      <c r="K1297" s="13"/>
    </row>
    <row r="1298" customFormat="false" ht="124.6" hidden="false" customHeight="false" outlineLevel="0" collapsed="false">
      <c r="A1298" s="9" t="n">
        <v>1297</v>
      </c>
      <c r="B1298" s="9" t="s">
        <v>87</v>
      </c>
      <c r="C1298" s="11" t="s">
        <v>94</v>
      </c>
      <c r="D1298" s="9" t="s">
        <v>5254</v>
      </c>
      <c r="E1298" s="9" t="s">
        <v>5255</v>
      </c>
      <c r="F1298" s="9" t="s">
        <v>5256</v>
      </c>
      <c r="G1298" s="9" t="s">
        <v>847</v>
      </c>
      <c r="H1298" s="12" t="s">
        <v>21</v>
      </c>
      <c r="I1298" s="9" t="s">
        <v>5257</v>
      </c>
      <c r="J1298" s="13"/>
      <c r="K1298" s="13"/>
    </row>
    <row r="1299" customFormat="false" ht="23.85" hidden="false" customHeight="false" outlineLevel="0" collapsed="false">
      <c r="A1299" s="9" t="n">
        <v>1298</v>
      </c>
      <c r="B1299" s="9" t="s">
        <v>87</v>
      </c>
      <c r="C1299" s="11" t="s">
        <v>94</v>
      </c>
      <c r="D1299" s="9" t="s">
        <v>5258</v>
      </c>
      <c r="E1299" s="9" t="s">
        <v>5259</v>
      </c>
      <c r="F1299" s="9" t="s">
        <v>5260</v>
      </c>
      <c r="G1299" s="9" t="s">
        <v>3338</v>
      </c>
      <c r="H1299" s="15" t="s">
        <v>23</v>
      </c>
      <c r="I1299" s="9" t="s">
        <v>5261</v>
      </c>
      <c r="J1299" s="13"/>
      <c r="K1299" s="13"/>
    </row>
    <row r="1300" customFormat="false" ht="23.85" hidden="false" customHeight="false" outlineLevel="0" collapsed="false">
      <c r="A1300" s="9" t="n">
        <v>1299</v>
      </c>
      <c r="B1300" s="9" t="s">
        <v>87</v>
      </c>
      <c r="C1300" s="11" t="s">
        <v>94</v>
      </c>
      <c r="D1300" s="9" t="s">
        <v>5262</v>
      </c>
      <c r="E1300" s="9" t="s">
        <v>5263</v>
      </c>
      <c r="F1300" s="9" t="s">
        <v>5264</v>
      </c>
      <c r="G1300" s="9" t="s">
        <v>1072</v>
      </c>
      <c r="H1300" s="15" t="s">
        <v>23</v>
      </c>
      <c r="I1300" s="9" t="s">
        <v>5265</v>
      </c>
      <c r="J1300" s="13"/>
      <c r="K1300" s="13"/>
    </row>
    <row r="1301" customFormat="false" ht="46.25" hidden="false" customHeight="false" outlineLevel="0" collapsed="false">
      <c r="A1301" s="9" t="n">
        <v>1300</v>
      </c>
      <c r="B1301" s="9" t="s">
        <v>87</v>
      </c>
      <c r="C1301" s="11" t="s">
        <v>94</v>
      </c>
      <c r="D1301" s="9" t="s">
        <v>5266</v>
      </c>
      <c r="E1301" s="9" t="s">
        <v>5267</v>
      </c>
      <c r="F1301" s="9" t="s">
        <v>5268</v>
      </c>
      <c r="G1301" s="9" t="s">
        <v>1072</v>
      </c>
      <c r="H1301" s="15" t="s">
        <v>23</v>
      </c>
      <c r="I1301" s="9" t="s">
        <v>5269</v>
      </c>
      <c r="J1301" s="13"/>
      <c r="K1301" s="13"/>
    </row>
    <row r="1302" customFormat="false" ht="46.25" hidden="false" customHeight="false" outlineLevel="0" collapsed="false">
      <c r="A1302" s="9" t="n">
        <v>1301</v>
      </c>
      <c r="B1302" s="9" t="s">
        <v>87</v>
      </c>
      <c r="C1302" s="11" t="s">
        <v>94</v>
      </c>
      <c r="D1302" s="9" t="s">
        <v>5270</v>
      </c>
      <c r="E1302" s="9" t="s">
        <v>5271</v>
      </c>
      <c r="F1302" s="9" t="s">
        <v>5272</v>
      </c>
      <c r="G1302" s="9" t="s">
        <v>1852</v>
      </c>
      <c r="H1302" s="14" t="s">
        <v>22</v>
      </c>
      <c r="I1302" s="9" t="s">
        <v>5273</v>
      </c>
      <c r="J1302" s="13"/>
      <c r="K1302" s="13"/>
    </row>
    <row r="1303" customFormat="false" ht="102.2" hidden="false" customHeight="false" outlineLevel="0" collapsed="false">
      <c r="A1303" s="9" t="n">
        <v>1302</v>
      </c>
      <c r="B1303" s="9" t="s">
        <v>87</v>
      </c>
      <c r="C1303" s="11" t="s">
        <v>94</v>
      </c>
      <c r="D1303" s="9" t="s">
        <v>5274</v>
      </c>
      <c r="E1303" s="9" t="s">
        <v>5275</v>
      </c>
      <c r="F1303" s="9" t="s">
        <v>5276</v>
      </c>
      <c r="G1303" s="9" t="s">
        <v>1072</v>
      </c>
      <c r="H1303" s="14" t="s">
        <v>22</v>
      </c>
      <c r="I1303" s="9" t="s">
        <v>5277</v>
      </c>
      <c r="J1303" s="13"/>
      <c r="K1303" s="13"/>
    </row>
    <row r="1304" customFormat="false" ht="46.25" hidden="false" customHeight="false" outlineLevel="0" collapsed="false">
      <c r="A1304" s="9" t="n">
        <v>1303</v>
      </c>
      <c r="B1304" s="9" t="s">
        <v>87</v>
      </c>
      <c r="C1304" s="11" t="s">
        <v>94</v>
      </c>
      <c r="D1304" s="9" t="s">
        <v>5278</v>
      </c>
      <c r="E1304" s="9" t="s">
        <v>5279</v>
      </c>
      <c r="F1304" s="9" t="s">
        <v>5280</v>
      </c>
      <c r="G1304" s="9" t="s">
        <v>312</v>
      </c>
      <c r="H1304" s="14" t="s">
        <v>22</v>
      </c>
      <c r="I1304" s="9" t="s">
        <v>5281</v>
      </c>
      <c r="J1304" s="13"/>
      <c r="K1304" s="13"/>
    </row>
    <row r="1305" customFormat="false" ht="57.45" hidden="false" customHeight="false" outlineLevel="0" collapsed="false">
      <c r="A1305" s="9" t="n">
        <v>1304</v>
      </c>
      <c r="B1305" s="9" t="s">
        <v>87</v>
      </c>
      <c r="C1305" s="11" t="s">
        <v>94</v>
      </c>
      <c r="D1305" s="9" t="s">
        <v>5282</v>
      </c>
      <c r="E1305" s="9" t="s">
        <v>5283</v>
      </c>
      <c r="F1305" s="9" t="s">
        <v>5284</v>
      </c>
      <c r="G1305" s="9" t="s">
        <v>1072</v>
      </c>
      <c r="H1305" s="14" t="s">
        <v>22</v>
      </c>
      <c r="I1305" s="9" t="s">
        <v>5285</v>
      </c>
      <c r="J1305" s="13"/>
      <c r="K1305" s="13"/>
    </row>
    <row r="1306" customFormat="false" ht="57.45" hidden="false" customHeight="false" outlineLevel="0" collapsed="false">
      <c r="A1306" s="9" t="n">
        <v>1305</v>
      </c>
      <c r="B1306" s="9" t="s">
        <v>87</v>
      </c>
      <c r="C1306" s="11" t="s">
        <v>94</v>
      </c>
      <c r="D1306" s="9" t="s">
        <v>5286</v>
      </c>
      <c r="E1306" s="9" t="s">
        <v>5287</v>
      </c>
      <c r="F1306" s="9" t="s">
        <v>5288</v>
      </c>
      <c r="G1306" s="9" t="s">
        <v>5289</v>
      </c>
      <c r="H1306" s="14" t="s">
        <v>22</v>
      </c>
      <c r="I1306" s="9" t="s">
        <v>5290</v>
      </c>
      <c r="J1306" s="13"/>
      <c r="K1306" s="13"/>
    </row>
    <row r="1307" customFormat="false" ht="35.05" hidden="false" customHeight="false" outlineLevel="0" collapsed="false">
      <c r="A1307" s="9" t="n">
        <v>1306</v>
      </c>
      <c r="B1307" s="9" t="s">
        <v>87</v>
      </c>
      <c r="C1307" s="11" t="s">
        <v>94</v>
      </c>
      <c r="D1307" s="9" t="s">
        <v>5291</v>
      </c>
      <c r="E1307" s="9" t="s">
        <v>5292</v>
      </c>
      <c r="F1307" s="9" t="s">
        <v>5293</v>
      </c>
      <c r="G1307" s="9" t="s">
        <v>5294</v>
      </c>
      <c r="H1307" s="15" t="s">
        <v>23</v>
      </c>
      <c r="I1307" s="9" t="s">
        <v>5295</v>
      </c>
      <c r="J1307" s="13"/>
      <c r="K1307" s="13"/>
    </row>
    <row r="1308" customFormat="false" ht="46.25" hidden="false" customHeight="false" outlineLevel="0" collapsed="false">
      <c r="A1308" s="9" t="n">
        <v>1307</v>
      </c>
      <c r="B1308" s="9" t="s">
        <v>87</v>
      </c>
      <c r="C1308" s="11" t="s">
        <v>94</v>
      </c>
      <c r="D1308" s="9" t="s">
        <v>5296</v>
      </c>
      <c r="E1308" s="9" t="s">
        <v>5297</v>
      </c>
      <c r="F1308" s="9" t="s">
        <v>5298</v>
      </c>
      <c r="G1308" s="9" t="s">
        <v>317</v>
      </c>
      <c r="H1308" s="15" t="s">
        <v>23</v>
      </c>
      <c r="I1308" s="9" t="s">
        <v>5299</v>
      </c>
      <c r="J1308" s="13"/>
      <c r="K1308" s="13"/>
    </row>
    <row r="1309" customFormat="false" ht="57.45" hidden="false" customHeight="false" outlineLevel="0" collapsed="false">
      <c r="A1309" s="9" t="n">
        <v>1308</v>
      </c>
      <c r="B1309" s="9" t="s">
        <v>87</v>
      </c>
      <c r="C1309" s="11" t="s">
        <v>94</v>
      </c>
      <c r="D1309" s="9" t="s">
        <v>5300</v>
      </c>
      <c r="E1309" s="9" t="s">
        <v>5301</v>
      </c>
      <c r="F1309" s="9" t="s">
        <v>5302</v>
      </c>
      <c r="G1309" s="9" t="s">
        <v>1072</v>
      </c>
      <c r="H1309" s="15" t="s">
        <v>23</v>
      </c>
      <c r="I1309" s="9" t="s">
        <v>5303</v>
      </c>
      <c r="J1309" s="13"/>
      <c r="K1309" s="13"/>
    </row>
    <row r="1310" customFormat="false" ht="46.25" hidden="false" customHeight="false" outlineLevel="0" collapsed="false">
      <c r="A1310" s="9" t="n">
        <v>1309</v>
      </c>
      <c r="B1310" s="9" t="s">
        <v>87</v>
      </c>
      <c r="C1310" s="11" t="s">
        <v>94</v>
      </c>
      <c r="D1310" s="9" t="s">
        <v>5304</v>
      </c>
      <c r="E1310" s="9" t="s">
        <v>5305</v>
      </c>
      <c r="F1310" s="9" t="s">
        <v>5306</v>
      </c>
      <c r="G1310" s="9" t="s">
        <v>3338</v>
      </c>
      <c r="H1310" s="15" t="s">
        <v>23</v>
      </c>
      <c r="I1310" s="9" t="s">
        <v>5307</v>
      </c>
      <c r="J1310" s="13"/>
      <c r="K1310" s="13"/>
    </row>
    <row r="1311" customFormat="false" ht="46.25" hidden="false" customHeight="false" outlineLevel="0" collapsed="false">
      <c r="A1311" s="9" t="n">
        <v>1310</v>
      </c>
      <c r="B1311" s="9" t="s">
        <v>87</v>
      </c>
      <c r="C1311" s="11" t="s">
        <v>94</v>
      </c>
      <c r="D1311" s="9" t="s">
        <v>5308</v>
      </c>
      <c r="E1311" s="9" t="s">
        <v>5309</v>
      </c>
      <c r="F1311" s="9" t="s">
        <v>5310</v>
      </c>
      <c r="G1311" s="9" t="s">
        <v>4232</v>
      </c>
      <c r="H1311" s="15" t="s">
        <v>23</v>
      </c>
      <c r="I1311" s="9" t="s">
        <v>5311</v>
      </c>
      <c r="J1311" s="13"/>
      <c r="K1311" s="13"/>
    </row>
    <row r="1312" customFormat="false" ht="35.05" hidden="false" customHeight="false" outlineLevel="0" collapsed="false">
      <c r="A1312" s="9" t="n">
        <v>1311</v>
      </c>
      <c r="B1312" s="9" t="s">
        <v>87</v>
      </c>
      <c r="C1312" s="11" t="s">
        <v>94</v>
      </c>
      <c r="D1312" s="9" t="s">
        <v>5312</v>
      </c>
      <c r="E1312" s="9" t="s">
        <v>5313</v>
      </c>
      <c r="F1312" s="9" t="s">
        <v>5314</v>
      </c>
      <c r="G1312" s="9" t="s">
        <v>392</v>
      </c>
      <c r="H1312" s="15" t="s">
        <v>23</v>
      </c>
      <c r="I1312" s="9" t="s">
        <v>5315</v>
      </c>
      <c r="J1312" s="13"/>
      <c r="K1312" s="13"/>
    </row>
    <row r="1313" customFormat="false" ht="57.45" hidden="false" customHeight="false" outlineLevel="0" collapsed="false">
      <c r="A1313" s="9" t="n">
        <v>1312</v>
      </c>
      <c r="B1313" s="9" t="s">
        <v>87</v>
      </c>
      <c r="C1313" s="11" t="s">
        <v>94</v>
      </c>
      <c r="D1313" s="9" t="s">
        <v>5316</v>
      </c>
      <c r="E1313" s="9" t="s">
        <v>5317</v>
      </c>
      <c r="F1313" s="9" t="s">
        <v>5318</v>
      </c>
      <c r="G1313" s="9" t="s">
        <v>324</v>
      </c>
      <c r="H1313" s="14" t="s">
        <v>22</v>
      </c>
      <c r="I1313" s="9" t="s">
        <v>5319</v>
      </c>
      <c r="J1313" s="13"/>
      <c r="K1313" s="13"/>
    </row>
    <row r="1314" customFormat="false" ht="46.25" hidden="false" customHeight="false" outlineLevel="0" collapsed="false">
      <c r="A1314" s="9" t="n">
        <v>1313</v>
      </c>
      <c r="B1314" s="9" t="s">
        <v>87</v>
      </c>
      <c r="C1314" s="11" t="s">
        <v>94</v>
      </c>
      <c r="D1314" s="9" t="s">
        <v>5320</v>
      </c>
      <c r="E1314" s="9" t="s">
        <v>5321</v>
      </c>
      <c r="F1314" s="9" t="s">
        <v>5322</v>
      </c>
      <c r="G1314" s="9" t="s">
        <v>317</v>
      </c>
      <c r="H1314" s="15" t="s">
        <v>23</v>
      </c>
      <c r="I1314" s="9" t="s">
        <v>5323</v>
      </c>
      <c r="J1314" s="13"/>
      <c r="K1314" s="13"/>
    </row>
    <row r="1315" customFormat="false" ht="35.05" hidden="false" customHeight="false" outlineLevel="0" collapsed="false">
      <c r="A1315" s="9" t="n">
        <v>1314</v>
      </c>
      <c r="B1315" s="9" t="s">
        <v>87</v>
      </c>
      <c r="C1315" s="11" t="s">
        <v>94</v>
      </c>
      <c r="D1315" s="9" t="s">
        <v>5324</v>
      </c>
      <c r="E1315" s="9" t="s">
        <v>5325</v>
      </c>
      <c r="F1315" s="9" t="s">
        <v>5326</v>
      </c>
      <c r="G1315" s="9" t="s">
        <v>24</v>
      </c>
      <c r="H1315" s="14" t="s">
        <v>22</v>
      </c>
      <c r="I1315" s="9" t="s">
        <v>5327</v>
      </c>
      <c r="J1315" s="13"/>
      <c r="K1315" s="13"/>
    </row>
    <row r="1316" customFormat="false" ht="35.05" hidden="false" customHeight="false" outlineLevel="0" collapsed="false">
      <c r="A1316" s="9" t="n">
        <v>1315</v>
      </c>
      <c r="B1316" s="9" t="s">
        <v>87</v>
      </c>
      <c r="C1316" s="11" t="s">
        <v>94</v>
      </c>
      <c r="D1316" s="9" t="s">
        <v>5328</v>
      </c>
      <c r="E1316" s="9" t="s">
        <v>5329</v>
      </c>
      <c r="F1316" s="9" t="s">
        <v>5330</v>
      </c>
      <c r="G1316" s="9" t="s">
        <v>24</v>
      </c>
      <c r="H1316" s="12" t="s">
        <v>21</v>
      </c>
      <c r="I1316" s="9" t="s">
        <v>5331</v>
      </c>
      <c r="J1316" s="13"/>
      <c r="K1316" s="13"/>
    </row>
    <row r="1317" customFormat="false" ht="23.85" hidden="false" customHeight="false" outlineLevel="0" collapsed="false">
      <c r="A1317" s="9" t="n">
        <v>1316</v>
      </c>
      <c r="B1317" s="9" t="s">
        <v>87</v>
      </c>
      <c r="C1317" s="11" t="s">
        <v>94</v>
      </c>
      <c r="D1317" s="9" t="s">
        <v>5332</v>
      </c>
      <c r="E1317" s="9" t="s">
        <v>5333</v>
      </c>
      <c r="F1317" s="9" t="s">
        <v>5334</v>
      </c>
      <c r="G1317" s="9" t="s">
        <v>24</v>
      </c>
      <c r="H1317" s="14" t="s">
        <v>22</v>
      </c>
      <c r="I1317" s="9" t="s">
        <v>5335</v>
      </c>
      <c r="J1317" s="13"/>
      <c r="K1317" s="13"/>
    </row>
    <row r="1318" customFormat="false" ht="15" hidden="false" customHeight="false" outlineLevel="0" collapsed="false">
      <c r="A1318" s="9" t="n">
        <v>1317</v>
      </c>
      <c r="B1318" s="9" t="s">
        <v>87</v>
      </c>
      <c r="C1318" s="11" t="s">
        <v>94</v>
      </c>
      <c r="D1318" s="9" t="s">
        <v>5336</v>
      </c>
      <c r="E1318" s="9" t="s">
        <v>5337</v>
      </c>
      <c r="F1318" s="9" t="s">
        <v>5338</v>
      </c>
      <c r="G1318" s="9" t="s">
        <v>24</v>
      </c>
      <c r="H1318" s="14" t="s">
        <v>22</v>
      </c>
      <c r="I1318" s="9" t="s">
        <v>5339</v>
      </c>
      <c r="J1318" s="13"/>
      <c r="K1318" s="13"/>
    </row>
    <row r="1319" customFormat="false" ht="23.85" hidden="false" customHeight="false" outlineLevel="0" collapsed="false">
      <c r="A1319" s="9" t="n">
        <v>1318</v>
      </c>
      <c r="B1319" s="9" t="s">
        <v>87</v>
      </c>
      <c r="C1319" s="11" t="s">
        <v>94</v>
      </c>
      <c r="D1319" s="9" t="s">
        <v>5340</v>
      </c>
      <c r="E1319" s="9" t="s">
        <v>5341</v>
      </c>
      <c r="F1319" s="9" t="s">
        <v>5342</v>
      </c>
      <c r="G1319" s="9" t="s">
        <v>24</v>
      </c>
      <c r="H1319" s="14" t="s">
        <v>22</v>
      </c>
      <c r="I1319" s="9" t="s">
        <v>5343</v>
      </c>
      <c r="J1319" s="13"/>
      <c r="K1319" s="13"/>
    </row>
    <row r="1320" customFormat="false" ht="15" hidden="false" customHeight="false" outlineLevel="0" collapsed="false">
      <c r="A1320" s="9" t="n">
        <v>1319</v>
      </c>
      <c r="B1320" s="9" t="s">
        <v>87</v>
      </c>
      <c r="C1320" s="11" t="s">
        <v>94</v>
      </c>
      <c r="D1320" s="9" t="s">
        <v>5344</v>
      </c>
      <c r="E1320" s="9" t="s">
        <v>5345</v>
      </c>
      <c r="F1320" s="9" t="s">
        <v>5346</v>
      </c>
      <c r="G1320" s="9" t="s">
        <v>24</v>
      </c>
      <c r="H1320" s="15" t="s">
        <v>23</v>
      </c>
      <c r="I1320" s="9" t="s">
        <v>5347</v>
      </c>
      <c r="J1320" s="13"/>
      <c r="K1320" s="13"/>
    </row>
    <row r="1321" customFormat="false" ht="23.85" hidden="false" customHeight="false" outlineLevel="0" collapsed="false">
      <c r="A1321" s="9" t="n">
        <v>1320</v>
      </c>
      <c r="B1321" s="9" t="s">
        <v>87</v>
      </c>
      <c r="C1321" s="11" t="s">
        <v>94</v>
      </c>
      <c r="D1321" s="9" t="s">
        <v>5348</v>
      </c>
      <c r="E1321" s="9" t="s">
        <v>5349</v>
      </c>
      <c r="F1321" s="9" t="s">
        <v>5350</v>
      </c>
      <c r="G1321" s="9" t="s">
        <v>24</v>
      </c>
      <c r="H1321" s="15" t="s">
        <v>23</v>
      </c>
      <c r="I1321" s="9" t="s">
        <v>5351</v>
      </c>
      <c r="J1321" s="13"/>
      <c r="K1321" s="13"/>
    </row>
    <row r="1322" customFormat="false" ht="15" hidden="false" customHeight="false" outlineLevel="0" collapsed="false">
      <c r="A1322" s="9" t="n">
        <v>1321</v>
      </c>
      <c r="B1322" s="9" t="s">
        <v>87</v>
      </c>
      <c r="C1322" s="11" t="s">
        <v>94</v>
      </c>
      <c r="D1322" s="9" t="s">
        <v>5352</v>
      </c>
      <c r="E1322" s="9" t="s">
        <v>5353</v>
      </c>
      <c r="F1322" s="9" t="s">
        <v>5354</v>
      </c>
      <c r="G1322" s="9" t="s">
        <v>24</v>
      </c>
      <c r="H1322" s="14" t="s">
        <v>22</v>
      </c>
      <c r="I1322" s="9" t="s">
        <v>434</v>
      </c>
      <c r="J1322" s="13"/>
      <c r="K1322" s="13"/>
    </row>
    <row r="1323" customFormat="false" ht="35.05" hidden="false" customHeight="false" outlineLevel="0" collapsed="false">
      <c r="A1323" s="9" t="n">
        <v>1322</v>
      </c>
      <c r="B1323" s="9" t="s">
        <v>87</v>
      </c>
      <c r="C1323" s="11" t="s">
        <v>94</v>
      </c>
      <c r="D1323" s="9" t="s">
        <v>5355</v>
      </c>
      <c r="E1323" s="9" t="s">
        <v>358</v>
      </c>
      <c r="F1323" s="9" t="s">
        <v>5356</v>
      </c>
      <c r="G1323" s="9" t="s">
        <v>24</v>
      </c>
      <c r="H1323" s="14" t="s">
        <v>22</v>
      </c>
      <c r="I1323" s="9" t="s">
        <v>5357</v>
      </c>
      <c r="J1323" s="13"/>
      <c r="K1323" s="13"/>
    </row>
    <row r="1324" customFormat="false" ht="15" hidden="false" customHeight="false" outlineLevel="0" collapsed="false">
      <c r="A1324" s="9" t="n">
        <v>1323</v>
      </c>
      <c r="B1324" s="9" t="s">
        <v>87</v>
      </c>
      <c r="C1324" s="11" t="s">
        <v>94</v>
      </c>
      <c r="D1324" s="9" t="s">
        <v>5358</v>
      </c>
      <c r="E1324" s="9" t="s">
        <v>362</v>
      </c>
      <c r="F1324" s="9" t="s">
        <v>363</v>
      </c>
      <c r="G1324" s="9" t="s">
        <v>24</v>
      </c>
      <c r="H1324" s="14" t="s">
        <v>22</v>
      </c>
      <c r="I1324" s="9" t="s">
        <v>364</v>
      </c>
      <c r="J1324" s="13"/>
      <c r="K1324" s="13"/>
    </row>
    <row r="1325" customFormat="false" ht="35.05" hidden="false" customHeight="false" outlineLevel="0" collapsed="false">
      <c r="A1325" s="9" t="n">
        <v>1324</v>
      </c>
      <c r="B1325" s="9" t="s">
        <v>87</v>
      </c>
      <c r="C1325" s="11" t="s">
        <v>94</v>
      </c>
      <c r="D1325" s="9" t="s">
        <v>5359</v>
      </c>
      <c r="E1325" s="9" t="s">
        <v>5360</v>
      </c>
      <c r="F1325" s="9" t="s">
        <v>5361</v>
      </c>
      <c r="G1325" s="9" t="s">
        <v>24</v>
      </c>
      <c r="H1325" s="15" t="s">
        <v>23</v>
      </c>
      <c r="I1325" s="9" t="s">
        <v>5362</v>
      </c>
      <c r="J1325" s="13"/>
      <c r="K1325" s="13"/>
    </row>
    <row r="1326" customFormat="false" ht="23.85" hidden="false" customHeight="false" outlineLevel="0" collapsed="false">
      <c r="A1326" s="9" t="n">
        <v>1325</v>
      </c>
      <c r="B1326" s="9" t="s">
        <v>87</v>
      </c>
      <c r="C1326" s="11" t="s">
        <v>94</v>
      </c>
      <c r="D1326" s="9" t="s">
        <v>5363</v>
      </c>
      <c r="E1326" s="9" t="s">
        <v>5364</v>
      </c>
      <c r="F1326" s="9" t="s">
        <v>5365</v>
      </c>
      <c r="G1326" s="9" t="s">
        <v>24</v>
      </c>
      <c r="H1326" s="15" t="s">
        <v>23</v>
      </c>
      <c r="I1326" s="9" t="s">
        <v>2843</v>
      </c>
      <c r="J1326" s="13"/>
      <c r="K1326" s="13"/>
    </row>
    <row r="1327" customFormat="false" ht="23.85" hidden="false" customHeight="false" outlineLevel="0" collapsed="false">
      <c r="A1327" s="9" t="n">
        <v>1326</v>
      </c>
      <c r="B1327" s="9" t="s">
        <v>87</v>
      </c>
      <c r="C1327" s="11" t="s">
        <v>94</v>
      </c>
      <c r="D1327" s="9" t="s">
        <v>5366</v>
      </c>
      <c r="E1327" s="9" t="s">
        <v>5367</v>
      </c>
      <c r="F1327" s="9" t="s">
        <v>5368</v>
      </c>
      <c r="G1327" s="9" t="s">
        <v>24</v>
      </c>
      <c r="H1327" s="15" t="s">
        <v>23</v>
      </c>
      <c r="I1327" s="9" t="s">
        <v>5369</v>
      </c>
      <c r="J1327" s="13"/>
      <c r="K1327" s="13"/>
    </row>
    <row r="1328" customFormat="false" ht="124.6" hidden="false" customHeight="false" outlineLevel="0" collapsed="false">
      <c r="A1328" s="9" t="n">
        <v>1327</v>
      </c>
      <c r="B1328" s="9" t="s">
        <v>87</v>
      </c>
      <c r="C1328" s="11" t="s">
        <v>96</v>
      </c>
      <c r="D1328" s="9" t="s">
        <v>5370</v>
      </c>
      <c r="E1328" s="9" t="s">
        <v>5371</v>
      </c>
      <c r="F1328" s="9" t="s">
        <v>5372</v>
      </c>
      <c r="G1328" s="9" t="s">
        <v>303</v>
      </c>
      <c r="H1328" s="12" t="s">
        <v>21</v>
      </c>
      <c r="I1328" s="9" t="s">
        <v>5373</v>
      </c>
      <c r="J1328" s="13"/>
      <c r="K1328" s="13"/>
    </row>
    <row r="1329" customFormat="false" ht="35.05" hidden="false" customHeight="false" outlineLevel="0" collapsed="false">
      <c r="A1329" s="9" t="n">
        <v>1328</v>
      </c>
      <c r="B1329" s="9" t="s">
        <v>87</v>
      </c>
      <c r="C1329" s="11" t="s">
        <v>96</v>
      </c>
      <c r="D1329" s="9" t="s">
        <v>5374</v>
      </c>
      <c r="E1329" s="9" t="s">
        <v>5375</v>
      </c>
      <c r="F1329" s="9" t="s">
        <v>5376</v>
      </c>
      <c r="G1329" s="9" t="s">
        <v>5377</v>
      </c>
      <c r="H1329" s="15" t="s">
        <v>23</v>
      </c>
      <c r="I1329" s="9" t="s">
        <v>5378</v>
      </c>
      <c r="J1329" s="13"/>
      <c r="K1329" s="13"/>
    </row>
    <row r="1330" customFormat="false" ht="79.85" hidden="false" customHeight="false" outlineLevel="0" collapsed="false">
      <c r="A1330" s="9" t="n">
        <v>1329</v>
      </c>
      <c r="B1330" s="9" t="s">
        <v>87</v>
      </c>
      <c r="C1330" s="11" t="s">
        <v>96</v>
      </c>
      <c r="D1330" s="9" t="s">
        <v>5379</v>
      </c>
      <c r="E1330" s="9" t="s">
        <v>5380</v>
      </c>
      <c r="F1330" s="9" t="s">
        <v>5381</v>
      </c>
      <c r="G1330" s="9" t="s">
        <v>861</v>
      </c>
      <c r="H1330" s="12" t="s">
        <v>21</v>
      </c>
      <c r="I1330" s="9" t="s">
        <v>5382</v>
      </c>
      <c r="J1330" s="13"/>
      <c r="K1330" s="13"/>
    </row>
    <row r="1331" customFormat="false" ht="91" hidden="false" customHeight="false" outlineLevel="0" collapsed="false">
      <c r="A1331" s="9" t="n">
        <v>1330</v>
      </c>
      <c r="B1331" s="9" t="s">
        <v>87</v>
      </c>
      <c r="C1331" s="11" t="s">
        <v>96</v>
      </c>
      <c r="D1331" s="9" t="s">
        <v>5383</v>
      </c>
      <c r="E1331" s="9" t="s">
        <v>5384</v>
      </c>
      <c r="F1331" s="9" t="s">
        <v>5385</v>
      </c>
      <c r="G1331" s="9" t="s">
        <v>1370</v>
      </c>
      <c r="H1331" s="12" t="s">
        <v>21</v>
      </c>
      <c r="I1331" s="9" t="s">
        <v>5386</v>
      </c>
      <c r="J1331" s="13"/>
      <c r="K1331" s="13"/>
    </row>
    <row r="1332" customFormat="false" ht="91" hidden="false" customHeight="false" outlineLevel="0" collapsed="false">
      <c r="A1332" s="9" t="n">
        <v>1331</v>
      </c>
      <c r="B1332" s="9" t="s">
        <v>87</v>
      </c>
      <c r="C1332" s="11" t="s">
        <v>96</v>
      </c>
      <c r="D1332" s="9" t="s">
        <v>5387</v>
      </c>
      <c r="E1332" s="9" t="s">
        <v>5388</v>
      </c>
      <c r="F1332" s="9" t="s">
        <v>5389</v>
      </c>
      <c r="G1332" s="9" t="s">
        <v>1613</v>
      </c>
      <c r="H1332" s="12" t="s">
        <v>21</v>
      </c>
      <c r="I1332" s="9" t="s">
        <v>5390</v>
      </c>
      <c r="J1332" s="13"/>
      <c r="K1332" s="13"/>
    </row>
    <row r="1333" customFormat="false" ht="68.65" hidden="false" customHeight="false" outlineLevel="0" collapsed="false">
      <c r="A1333" s="9" t="n">
        <v>1332</v>
      </c>
      <c r="B1333" s="9" t="s">
        <v>87</v>
      </c>
      <c r="C1333" s="11" t="s">
        <v>96</v>
      </c>
      <c r="D1333" s="9" t="s">
        <v>5391</v>
      </c>
      <c r="E1333" s="9" t="s">
        <v>5392</v>
      </c>
      <c r="F1333" s="9" t="s">
        <v>5393</v>
      </c>
      <c r="G1333" s="9" t="s">
        <v>1613</v>
      </c>
      <c r="H1333" s="14" t="s">
        <v>22</v>
      </c>
      <c r="I1333" s="9" t="s">
        <v>5394</v>
      </c>
      <c r="J1333" s="13"/>
      <c r="K1333" s="13"/>
    </row>
    <row r="1334" customFormat="false" ht="79.85" hidden="false" customHeight="false" outlineLevel="0" collapsed="false">
      <c r="A1334" s="9" t="n">
        <v>1333</v>
      </c>
      <c r="B1334" s="9" t="s">
        <v>87</v>
      </c>
      <c r="C1334" s="11" t="s">
        <v>96</v>
      </c>
      <c r="D1334" s="9" t="s">
        <v>5395</v>
      </c>
      <c r="E1334" s="9" t="s">
        <v>5396</v>
      </c>
      <c r="F1334" s="9" t="s">
        <v>5397</v>
      </c>
      <c r="G1334" s="9" t="s">
        <v>317</v>
      </c>
      <c r="H1334" s="14" t="s">
        <v>22</v>
      </c>
      <c r="I1334" s="9" t="s">
        <v>5398</v>
      </c>
      <c r="J1334" s="13"/>
      <c r="K1334" s="13"/>
    </row>
    <row r="1335" customFormat="false" ht="68.65" hidden="false" customHeight="false" outlineLevel="0" collapsed="false">
      <c r="A1335" s="9" t="n">
        <v>1334</v>
      </c>
      <c r="B1335" s="9" t="s">
        <v>87</v>
      </c>
      <c r="C1335" s="11" t="s">
        <v>96</v>
      </c>
      <c r="D1335" s="9" t="s">
        <v>5399</v>
      </c>
      <c r="E1335" s="9" t="s">
        <v>5400</v>
      </c>
      <c r="F1335" s="9" t="s">
        <v>5401</v>
      </c>
      <c r="G1335" s="9" t="s">
        <v>1421</v>
      </c>
      <c r="H1335" s="12" t="s">
        <v>21</v>
      </c>
      <c r="I1335" s="9" t="s">
        <v>5402</v>
      </c>
      <c r="J1335" s="13"/>
      <c r="K1335" s="13"/>
    </row>
    <row r="1336" customFormat="false" ht="91" hidden="false" customHeight="false" outlineLevel="0" collapsed="false">
      <c r="A1336" s="9" t="n">
        <v>1335</v>
      </c>
      <c r="B1336" s="9" t="s">
        <v>87</v>
      </c>
      <c r="C1336" s="11" t="s">
        <v>96</v>
      </c>
      <c r="D1336" s="9" t="s">
        <v>5403</v>
      </c>
      <c r="E1336" s="9" t="s">
        <v>5404</v>
      </c>
      <c r="F1336" s="9" t="s">
        <v>5405</v>
      </c>
      <c r="G1336" s="9" t="s">
        <v>1284</v>
      </c>
      <c r="H1336" s="12" t="s">
        <v>21</v>
      </c>
      <c r="I1336" s="9" t="s">
        <v>5406</v>
      </c>
      <c r="J1336" s="13"/>
      <c r="K1336" s="13"/>
    </row>
    <row r="1337" customFormat="false" ht="35.05" hidden="false" customHeight="false" outlineLevel="0" collapsed="false">
      <c r="A1337" s="9" t="n">
        <v>1336</v>
      </c>
      <c r="B1337" s="9" t="s">
        <v>87</v>
      </c>
      <c r="C1337" s="11" t="s">
        <v>96</v>
      </c>
      <c r="D1337" s="9" t="s">
        <v>5407</v>
      </c>
      <c r="E1337" s="9" t="s">
        <v>5408</v>
      </c>
      <c r="F1337" s="9" t="s">
        <v>5409</v>
      </c>
      <c r="G1337" s="9" t="s">
        <v>312</v>
      </c>
      <c r="H1337" s="14" t="s">
        <v>22</v>
      </c>
      <c r="I1337" s="9" t="s">
        <v>5410</v>
      </c>
      <c r="J1337" s="13"/>
      <c r="K1337" s="13"/>
    </row>
    <row r="1338" customFormat="false" ht="35.05" hidden="false" customHeight="false" outlineLevel="0" collapsed="false">
      <c r="A1338" s="9" t="n">
        <v>1337</v>
      </c>
      <c r="B1338" s="9" t="s">
        <v>87</v>
      </c>
      <c r="C1338" s="11" t="s">
        <v>96</v>
      </c>
      <c r="D1338" s="9" t="s">
        <v>5411</v>
      </c>
      <c r="E1338" s="9" t="s">
        <v>5412</v>
      </c>
      <c r="F1338" s="9" t="s">
        <v>5413</v>
      </c>
      <c r="G1338" s="9" t="s">
        <v>312</v>
      </c>
      <c r="H1338" s="15" t="s">
        <v>23</v>
      </c>
      <c r="I1338" s="9" t="s">
        <v>5414</v>
      </c>
      <c r="J1338" s="13"/>
      <c r="K1338" s="13"/>
    </row>
    <row r="1339" customFormat="false" ht="57.45" hidden="false" customHeight="false" outlineLevel="0" collapsed="false">
      <c r="A1339" s="9" t="n">
        <v>1338</v>
      </c>
      <c r="B1339" s="9" t="s">
        <v>87</v>
      </c>
      <c r="C1339" s="11" t="s">
        <v>96</v>
      </c>
      <c r="D1339" s="9" t="s">
        <v>5415</v>
      </c>
      <c r="E1339" s="9" t="s">
        <v>5416</v>
      </c>
      <c r="F1339" s="9" t="s">
        <v>5417</v>
      </c>
      <c r="G1339" s="9" t="s">
        <v>312</v>
      </c>
      <c r="H1339" s="14" t="s">
        <v>22</v>
      </c>
      <c r="I1339" s="9" t="s">
        <v>5418</v>
      </c>
      <c r="J1339" s="13"/>
      <c r="K1339" s="13"/>
    </row>
    <row r="1340" customFormat="false" ht="79.85" hidden="false" customHeight="false" outlineLevel="0" collapsed="false">
      <c r="A1340" s="9" t="n">
        <v>1339</v>
      </c>
      <c r="B1340" s="9" t="s">
        <v>87</v>
      </c>
      <c r="C1340" s="11" t="s">
        <v>96</v>
      </c>
      <c r="D1340" s="9" t="s">
        <v>5419</v>
      </c>
      <c r="E1340" s="9" t="s">
        <v>5420</v>
      </c>
      <c r="F1340" s="9" t="s">
        <v>5421</v>
      </c>
      <c r="G1340" s="9" t="s">
        <v>312</v>
      </c>
      <c r="H1340" s="14" t="s">
        <v>22</v>
      </c>
      <c r="I1340" s="9" t="s">
        <v>5422</v>
      </c>
      <c r="J1340" s="13"/>
      <c r="K1340" s="13"/>
    </row>
    <row r="1341" customFormat="false" ht="57.45" hidden="false" customHeight="false" outlineLevel="0" collapsed="false">
      <c r="A1341" s="9" t="n">
        <v>1340</v>
      </c>
      <c r="B1341" s="9" t="s">
        <v>87</v>
      </c>
      <c r="C1341" s="11" t="s">
        <v>96</v>
      </c>
      <c r="D1341" s="9" t="s">
        <v>5423</v>
      </c>
      <c r="E1341" s="9" t="s">
        <v>5424</v>
      </c>
      <c r="F1341" s="9" t="s">
        <v>5425</v>
      </c>
      <c r="G1341" s="9" t="s">
        <v>1094</v>
      </c>
      <c r="H1341" s="15" t="s">
        <v>23</v>
      </c>
      <c r="I1341" s="9" t="s">
        <v>5426</v>
      </c>
      <c r="J1341" s="13"/>
      <c r="K1341" s="13"/>
    </row>
    <row r="1342" customFormat="false" ht="35.05" hidden="false" customHeight="false" outlineLevel="0" collapsed="false">
      <c r="A1342" s="9" t="n">
        <v>1341</v>
      </c>
      <c r="B1342" s="9" t="s">
        <v>87</v>
      </c>
      <c r="C1342" s="11" t="s">
        <v>96</v>
      </c>
      <c r="D1342" s="9" t="s">
        <v>5427</v>
      </c>
      <c r="E1342" s="9" t="s">
        <v>5428</v>
      </c>
      <c r="F1342" s="9" t="s">
        <v>5429</v>
      </c>
      <c r="G1342" s="9" t="s">
        <v>392</v>
      </c>
      <c r="H1342" s="15" t="s">
        <v>23</v>
      </c>
      <c r="I1342" s="9" t="s">
        <v>5430</v>
      </c>
      <c r="J1342" s="13"/>
      <c r="K1342" s="13"/>
    </row>
    <row r="1343" customFormat="false" ht="79.85" hidden="false" customHeight="false" outlineLevel="0" collapsed="false">
      <c r="A1343" s="9" t="n">
        <v>1342</v>
      </c>
      <c r="B1343" s="9" t="s">
        <v>87</v>
      </c>
      <c r="C1343" s="11" t="s">
        <v>96</v>
      </c>
      <c r="D1343" s="9" t="s">
        <v>5431</v>
      </c>
      <c r="E1343" s="9" t="s">
        <v>5432</v>
      </c>
      <c r="F1343" s="9" t="s">
        <v>5433</v>
      </c>
      <c r="G1343" s="9" t="s">
        <v>1058</v>
      </c>
      <c r="H1343" s="14" t="s">
        <v>22</v>
      </c>
      <c r="I1343" s="9" t="s">
        <v>5434</v>
      </c>
      <c r="J1343" s="13"/>
      <c r="K1343" s="13"/>
    </row>
    <row r="1344" customFormat="false" ht="79.85" hidden="false" customHeight="false" outlineLevel="0" collapsed="false">
      <c r="A1344" s="9" t="n">
        <v>1343</v>
      </c>
      <c r="B1344" s="9" t="s">
        <v>87</v>
      </c>
      <c r="C1344" s="11" t="s">
        <v>96</v>
      </c>
      <c r="D1344" s="9" t="s">
        <v>5435</v>
      </c>
      <c r="E1344" s="9" t="s">
        <v>5436</v>
      </c>
      <c r="F1344" s="9" t="s">
        <v>5437</v>
      </c>
      <c r="G1344" s="9" t="s">
        <v>5294</v>
      </c>
      <c r="H1344" s="15" t="s">
        <v>23</v>
      </c>
      <c r="I1344" s="9" t="s">
        <v>5438</v>
      </c>
      <c r="J1344" s="13"/>
      <c r="K1344" s="13"/>
    </row>
    <row r="1345" customFormat="false" ht="46.25" hidden="false" customHeight="false" outlineLevel="0" collapsed="false">
      <c r="A1345" s="9" t="n">
        <v>1344</v>
      </c>
      <c r="B1345" s="9" t="s">
        <v>87</v>
      </c>
      <c r="C1345" s="11" t="s">
        <v>96</v>
      </c>
      <c r="D1345" s="9" t="s">
        <v>5439</v>
      </c>
      <c r="E1345" s="9" t="s">
        <v>5440</v>
      </c>
      <c r="F1345" s="9" t="s">
        <v>5441</v>
      </c>
      <c r="G1345" s="9" t="s">
        <v>317</v>
      </c>
      <c r="H1345" s="14" t="s">
        <v>22</v>
      </c>
      <c r="I1345" s="9" t="s">
        <v>5442</v>
      </c>
      <c r="J1345" s="13"/>
      <c r="K1345" s="13"/>
    </row>
    <row r="1346" customFormat="false" ht="57.45" hidden="false" customHeight="false" outlineLevel="0" collapsed="false">
      <c r="A1346" s="9" t="n">
        <v>1345</v>
      </c>
      <c r="B1346" s="9" t="s">
        <v>87</v>
      </c>
      <c r="C1346" s="11" t="s">
        <v>96</v>
      </c>
      <c r="D1346" s="9" t="s">
        <v>5443</v>
      </c>
      <c r="E1346" s="9" t="s">
        <v>5444</v>
      </c>
      <c r="F1346" s="9" t="s">
        <v>5445</v>
      </c>
      <c r="G1346" s="9" t="s">
        <v>3343</v>
      </c>
      <c r="H1346" s="15" t="s">
        <v>23</v>
      </c>
      <c r="I1346" s="9" t="s">
        <v>5446</v>
      </c>
      <c r="J1346" s="13"/>
      <c r="K1346" s="13"/>
    </row>
    <row r="1347" customFormat="false" ht="79.85" hidden="false" customHeight="false" outlineLevel="0" collapsed="false">
      <c r="A1347" s="9" t="n">
        <v>1346</v>
      </c>
      <c r="B1347" s="9" t="s">
        <v>87</v>
      </c>
      <c r="C1347" s="11" t="s">
        <v>96</v>
      </c>
      <c r="D1347" s="9" t="s">
        <v>5447</v>
      </c>
      <c r="E1347" s="9" t="s">
        <v>5448</v>
      </c>
      <c r="F1347" s="9" t="s">
        <v>5449</v>
      </c>
      <c r="G1347" s="9" t="s">
        <v>392</v>
      </c>
      <c r="H1347" s="14" t="s">
        <v>22</v>
      </c>
      <c r="I1347" s="9" t="s">
        <v>5450</v>
      </c>
      <c r="J1347" s="13"/>
      <c r="K1347" s="13"/>
    </row>
    <row r="1348" customFormat="false" ht="23.85" hidden="false" customHeight="false" outlineLevel="0" collapsed="false">
      <c r="A1348" s="9" t="n">
        <v>1347</v>
      </c>
      <c r="B1348" s="9" t="s">
        <v>87</v>
      </c>
      <c r="C1348" s="11" t="s">
        <v>96</v>
      </c>
      <c r="D1348" s="9" t="s">
        <v>5451</v>
      </c>
      <c r="E1348" s="9" t="s">
        <v>5452</v>
      </c>
      <c r="F1348" s="9" t="s">
        <v>5453</v>
      </c>
      <c r="G1348" s="9" t="s">
        <v>1072</v>
      </c>
      <c r="H1348" s="15" t="s">
        <v>23</v>
      </c>
      <c r="I1348" s="9" t="s">
        <v>5454</v>
      </c>
      <c r="J1348" s="13"/>
      <c r="K1348" s="13"/>
    </row>
    <row r="1349" customFormat="false" ht="68.65" hidden="false" customHeight="false" outlineLevel="0" collapsed="false">
      <c r="A1349" s="9" t="n">
        <v>1348</v>
      </c>
      <c r="B1349" s="9" t="s">
        <v>87</v>
      </c>
      <c r="C1349" s="11" t="s">
        <v>96</v>
      </c>
      <c r="D1349" s="9" t="s">
        <v>5455</v>
      </c>
      <c r="E1349" s="9" t="s">
        <v>5456</v>
      </c>
      <c r="F1349" s="9" t="s">
        <v>5457</v>
      </c>
      <c r="G1349" s="9" t="s">
        <v>5016</v>
      </c>
      <c r="H1349" s="15" t="s">
        <v>23</v>
      </c>
      <c r="I1349" s="9" t="s">
        <v>5458</v>
      </c>
      <c r="J1349" s="13"/>
      <c r="K1349" s="13"/>
    </row>
    <row r="1350" customFormat="false" ht="35.05" hidden="false" customHeight="false" outlineLevel="0" collapsed="false">
      <c r="A1350" s="9" t="n">
        <v>1349</v>
      </c>
      <c r="B1350" s="9" t="s">
        <v>87</v>
      </c>
      <c r="C1350" s="11" t="s">
        <v>96</v>
      </c>
      <c r="D1350" s="9" t="s">
        <v>5459</v>
      </c>
      <c r="E1350" s="9" t="s">
        <v>5460</v>
      </c>
      <c r="F1350" s="9" t="s">
        <v>5461</v>
      </c>
      <c r="G1350" s="9" t="s">
        <v>1072</v>
      </c>
      <c r="H1350" s="12" t="s">
        <v>21</v>
      </c>
      <c r="I1350" s="9" t="s">
        <v>5462</v>
      </c>
      <c r="J1350" s="13"/>
      <c r="K1350" s="13"/>
    </row>
    <row r="1351" customFormat="false" ht="79.85" hidden="false" customHeight="false" outlineLevel="0" collapsed="false">
      <c r="A1351" s="9" t="n">
        <v>1350</v>
      </c>
      <c r="B1351" s="9" t="s">
        <v>87</v>
      </c>
      <c r="C1351" s="11" t="s">
        <v>96</v>
      </c>
      <c r="D1351" s="9" t="s">
        <v>5463</v>
      </c>
      <c r="E1351" s="9" t="s">
        <v>5464</v>
      </c>
      <c r="F1351" s="9" t="s">
        <v>5465</v>
      </c>
      <c r="G1351" s="9" t="s">
        <v>1643</v>
      </c>
      <c r="H1351" s="12" t="s">
        <v>21</v>
      </c>
      <c r="I1351" s="9" t="s">
        <v>5466</v>
      </c>
      <c r="J1351" s="13"/>
      <c r="K1351" s="13"/>
    </row>
    <row r="1352" customFormat="false" ht="91" hidden="false" customHeight="false" outlineLevel="0" collapsed="false">
      <c r="A1352" s="9" t="n">
        <v>1351</v>
      </c>
      <c r="B1352" s="9" t="s">
        <v>87</v>
      </c>
      <c r="C1352" s="11" t="s">
        <v>96</v>
      </c>
      <c r="D1352" s="9" t="s">
        <v>5467</v>
      </c>
      <c r="E1352" s="9" t="s">
        <v>5468</v>
      </c>
      <c r="F1352" s="9" t="s">
        <v>5469</v>
      </c>
      <c r="G1352" s="9" t="s">
        <v>1613</v>
      </c>
      <c r="H1352" s="14" t="s">
        <v>22</v>
      </c>
      <c r="I1352" s="9" t="s">
        <v>5470</v>
      </c>
      <c r="J1352" s="13"/>
      <c r="K1352" s="13"/>
    </row>
    <row r="1353" customFormat="false" ht="46.25" hidden="false" customHeight="false" outlineLevel="0" collapsed="false">
      <c r="A1353" s="9" t="n">
        <v>1352</v>
      </c>
      <c r="B1353" s="9" t="s">
        <v>87</v>
      </c>
      <c r="C1353" s="11" t="s">
        <v>96</v>
      </c>
      <c r="D1353" s="9" t="s">
        <v>5471</v>
      </c>
      <c r="E1353" s="9" t="s">
        <v>5472</v>
      </c>
      <c r="F1353" s="9" t="s">
        <v>5473</v>
      </c>
      <c r="G1353" s="9" t="s">
        <v>847</v>
      </c>
      <c r="H1353" s="15" t="s">
        <v>23</v>
      </c>
      <c r="I1353" s="9" t="s">
        <v>5474</v>
      </c>
      <c r="J1353" s="13"/>
      <c r="K1353" s="13"/>
    </row>
    <row r="1354" customFormat="false" ht="15" hidden="false" customHeight="false" outlineLevel="0" collapsed="false">
      <c r="A1354" s="9" t="n">
        <v>1353</v>
      </c>
      <c r="B1354" s="9" t="s">
        <v>87</v>
      </c>
      <c r="C1354" s="11" t="s">
        <v>96</v>
      </c>
      <c r="D1354" s="9" t="s">
        <v>5475</v>
      </c>
      <c r="E1354" s="9" t="s">
        <v>5476</v>
      </c>
      <c r="F1354" s="9" t="s">
        <v>5477</v>
      </c>
      <c r="G1354" s="9" t="s">
        <v>328</v>
      </c>
      <c r="H1354" s="15" t="s">
        <v>23</v>
      </c>
      <c r="I1354" s="9" t="s">
        <v>5478</v>
      </c>
      <c r="J1354" s="13"/>
      <c r="K1354" s="13"/>
    </row>
    <row r="1355" customFormat="false" ht="35.05" hidden="false" customHeight="false" outlineLevel="0" collapsed="false">
      <c r="A1355" s="9" t="n">
        <v>1354</v>
      </c>
      <c r="B1355" s="9" t="s">
        <v>87</v>
      </c>
      <c r="C1355" s="11" t="s">
        <v>96</v>
      </c>
      <c r="D1355" s="9" t="s">
        <v>5479</v>
      </c>
      <c r="E1355" s="9" t="s">
        <v>5480</v>
      </c>
      <c r="F1355" s="9" t="s">
        <v>5481</v>
      </c>
      <c r="G1355" s="9" t="s">
        <v>312</v>
      </c>
      <c r="H1355" s="15" t="s">
        <v>23</v>
      </c>
      <c r="I1355" s="9" t="s">
        <v>5482</v>
      </c>
      <c r="J1355" s="13"/>
      <c r="K1355" s="13"/>
    </row>
    <row r="1356" customFormat="false" ht="57.45" hidden="false" customHeight="false" outlineLevel="0" collapsed="false">
      <c r="A1356" s="9" t="n">
        <v>1355</v>
      </c>
      <c r="B1356" s="9" t="s">
        <v>87</v>
      </c>
      <c r="C1356" s="11" t="s">
        <v>96</v>
      </c>
      <c r="D1356" s="9" t="s">
        <v>5483</v>
      </c>
      <c r="E1356" s="9" t="s">
        <v>5484</v>
      </c>
      <c r="F1356" s="9" t="s">
        <v>5485</v>
      </c>
      <c r="G1356" s="9" t="s">
        <v>1072</v>
      </c>
      <c r="H1356" s="14" t="s">
        <v>22</v>
      </c>
      <c r="I1356" s="9" t="s">
        <v>5486</v>
      </c>
      <c r="J1356" s="13"/>
      <c r="K1356" s="13"/>
    </row>
    <row r="1357" customFormat="false" ht="35.05" hidden="false" customHeight="false" outlineLevel="0" collapsed="false">
      <c r="A1357" s="9" t="n">
        <v>1356</v>
      </c>
      <c r="B1357" s="9" t="s">
        <v>87</v>
      </c>
      <c r="C1357" s="11" t="s">
        <v>96</v>
      </c>
      <c r="D1357" s="9" t="s">
        <v>5487</v>
      </c>
      <c r="E1357" s="9" t="s">
        <v>5488</v>
      </c>
      <c r="F1357" s="9" t="s">
        <v>5489</v>
      </c>
      <c r="G1357" s="9" t="s">
        <v>312</v>
      </c>
      <c r="H1357" s="15" t="s">
        <v>23</v>
      </c>
      <c r="I1357" s="9" t="s">
        <v>5490</v>
      </c>
      <c r="J1357" s="13"/>
      <c r="K1357" s="13"/>
    </row>
    <row r="1358" customFormat="false" ht="35.05" hidden="false" customHeight="false" outlineLevel="0" collapsed="false">
      <c r="A1358" s="9" t="n">
        <v>1357</v>
      </c>
      <c r="B1358" s="9" t="s">
        <v>87</v>
      </c>
      <c r="C1358" s="11" t="s">
        <v>96</v>
      </c>
      <c r="D1358" s="9" t="s">
        <v>5491</v>
      </c>
      <c r="E1358" s="9" t="s">
        <v>5492</v>
      </c>
      <c r="F1358" s="9" t="s">
        <v>5493</v>
      </c>
      <c r="G1358" s="9" t="s">
        <v>312</v>
      </c>
      <c r="H1358" s="15" t="s">
        <v>23</v>
      </c>
      <c r="I1358" s="9" t="s">
        <v>5494</v>
      </c>
      <c r="J1358" s="13"/>
      <c r="K1358" s="13"/>
    </row>
    <row r="1359" customFormat="false" ht="35.05" hidden="false" customHeight="false" outlineLevel="0" collapsed="false">
      <c r="A1359" s="9" t="n">
        <v>1358</v>
      </c>
      <c r="B1359" s="9" t="s">
        <v>87</v>
      </c>
      <c r="C1359" s="11" t="s">
        <v>96</v>
      </c>
      <c r="D1359" s="9" t="s">
        <v>5495</v>
      </c>
      <c r="E1359" s="9" t="s">
        <v>5496</v>
      </c>
      <c r="F1359" s="9" t="s">
        <v>5497</v>
      </c>
      <c r="G1359" s="9" t="s">
        <v>312</v>
      </c>
      <c r="H1359" s="15" t="s">
        <v>23</v>
      </c>
      <c r="I1359" s="9" t="s">
        <v>5498</v>
      </c>
      <c r="J1359" s="13"/>
      <c r="K1359" s="13"/>
    </row>
    <row r="1360" customFormat="false" ht="23.85" hidden="false" customHeight="false" outlineLevel="0" collapsed="false">
      <c r="A1360" s="9" t="n">
        <v>1359</v>
      </c>
      <c r="B1360" s="9" t="s">
        <v>87</v>
      </c>
      <c r="C1360" s="11" t="s">
        <v>96</v>
      </c>
      <c r="D1360" s="9" t="s">
        <v>5499</v>
      </c>
      <c r="E1360" s="9" t="s">
        <v>5500</v>
      </c>
      <c r="F1360" s="9" t="s">
        <v>5501</v>
      </c>
      <c r="G1360" s="9" t="s">
        <v>328</v>
      </c>
      <c r="H1360" s="15" t="s">
        <v>23</v>
      </c>
      <c r="I1360" s="9" t="s">
        <v>5502</v>
      </c>
      <c r="J1360" s="13"/>
      <c r="K1360" s="13"/>
    </row>
    <row r="1361" customFormat="false" ht="23.85" hidden="false" customHeight="false" outlineLevel="0" collapsed="false">
      <c r="A1361" s="9" t="n">
        <v>1360</v>
      </c>
      <c r="B1361" s="9" t="s">
        <v>87</v>
      </c>
      <c r="C1361" s="11" t="s">
        <v>96</v>
      </c>
      <c r="D1361" s="9" t="s">
        <v>5503</v>
      </c>
      <c r="E1361" s="9" t="s">
        <v>5504</v>
      </c>
      <c r="F1361" s="9" t="s">
        <v>5505</v>
      </c>
      <c r="G1361" s="9" t="s">
        <v>1072</v>
      </c>
      <c r="H1361" s="15" t="s">
        <v>23</v>
      </c>
      <c r="I1361" s="9" t="s">
        <v>5506</v>
      </c>
      <c r="J1361" s="13"/>
      <c r="K1361" s="13"/>
    </row>
    <row r="1362" customFormat="false" ht="23.85" hidden="false" customHeight="false" outlineLevel="0" collapsed="false">
      <c r="A1362" s="9" t="n">
        <v>1361</v>
      </c>
      <c r="B1362" s="9" t="s">
        <v>87</v>
      </c>
      <c r="C1362" s="11" t="s">
        <v>96</v>
      </c>
      <c r="D1362" s="9" t="s">
        <v>5507</v>
      </c>
      <c r="E1362" s="9" t="s">
        <v>1702</v>
      </c>
      <c r="F1362" s="9" t="s">
        <v>5508</v>
      </c>
      <c r="G1362" s="9" t="s">
        <v>328</v>
      </c>
      <c r="H1362" s="15" t="s">
        <v>23</v>
      </c>
      <c r="I1362" s="9" t="s">
        <v>2298</v>
      </c>
      <c r="J1362" s="13"/>
      <c r="K1362" s="13"/>
    </row>
    <row r="1363" customFormat="false" ht="46.25" hidden="false" customHeight="false" outlineLevel="0" collapsed="false">
      <c r="A1363" s="9" t="n">
        <v>1362</v>
      </c>
      <c r="B1363" s="9" t="s">
        <v>87</v>
      </c>
      <c r="C1363" s="11" t="s">
        <v>96</v>
      </c>
      <c r="D1363" s="9" t="s">
        <v>5509</v>
      </c>
      <c r="E1363" s="9" t="s">
        <v>5510</v>
      </c>
      <c r="F1363" s="9" t="s">
        <v>5511</v>
      </c>
      <c r="G1363" s="9" t="s">
        <v>324</v>
      </c>
      <c r="H1363" s="14" t="s">
        <v>22</v>
      </c>
      <c r="I1363" s="9" t="s">
        <v>5512</v>
      </c>
      <c r="J1363" s="13"/>
      <c r="K1363" s="13"/>
    </row>
    <row r="1364" customFormat="false" ht="46.25" hidden="false" customHeight="false" outlineLevel="0" collapsed="false">
      <c r="A1364" s="9" t="n">
        <v>1363</v>
      </c>
      <c r="B1364" s="9" t="s">
        <v>87</v>
      </c>
      <c r="C1364" s="11" t="s">
        <v>96</v>
      </c>
      <c r="D1364" s="9" t="s">
        <v>5513</v>
      </c>
      <c r="E1364" s="9" t="s">
        <v>5514</v>
      </c>
      <c r="F1364" s="9" t="s">
        <v>5515</v>
      </c>
      <c r="G1364" s="9" t="s">
        <v>317</v>
      </c>
      <c r="H1364" s="15" t="s">
        <v>23</v>
      </c>
      <c r="I1364" s="9" t="s">
        <v>5516</v>
      </c>
      <c r="J1364" s="13"/>
      <c r="K1364" s="13"/>
    </row>
    <row r="1365" customFormat="false" ht="35.05" hidden="false" customHeight="false" outlineLevel="0" collapsed="false">
      <c r="A1365" s="9" t="n">
        <v>1364</v>
      </c>
      <c r="B1365" s="9" t="s">
        <v>87</v>
      </c>
      <c r="C1365" s="11" t="s">
        <v>96</v>
      </c>
      <c r="D1365" s="9" t="s">
        <v>5517</v>
      </c>
      <c r="E1365" s="9" t="s">
        <v>5518</v>
      </c>
      <c r="F1365" s="9" t="s">
        <v>5519</v>
      </c>
      <c r="G1365" s="9" t="s">
        <v>392</v>
      </c>
      <c r="H1365" s="15" t="s">
        <v>23</v>
      </c>
      <c r="I1365" s="9" t="s">
        <v>5520</v>
      </c>
      <c r="J1365" s="13"/>
      <c r="K1365" s="13"/>
    </row>
    <row r="1366" customFormat="false" ht="68.65" hidden="false" customHeight="false" outlineLevel="0" collapsed="false">
      <c r="A1366" s="9" t="n">
        <v>1365</v>
      </c>
      <c r="B1366" s="9" t="s">
        <v>87</v>
      </c>
      <c r="C1366" s="11" t="s">
        <v>96</v>
      </c>
      <c r="D1366" s="9" t="s">
        <v>5521</v>
      </c>
      <c r="E1366" s="9" t="s">
        <v>5522</v>
      </c>
      <c r="F1366" s="9" t="s">
        <v>5523</v>
      </c>
      <c r="G1366" s="9" t="s">
        <v>24</v>
      </c>
      <c r="H1366" s="12" t="s">
        <v>21</v>
      </c>
      <c r="I1366" s="9" t="s">
        <v>5524</v>
      </c>
      <c r="J1366" s="13"/>
      <c r="K1366" s="13"/>
    </row>
    <row r="1367" customFormat="false" ht="23.85" hidden="false" customHeight="false" outlineLevel="0" collapsed="false">
      <c r="A1367" s="9" t="n">
        <v>1366</v>
      </c>
      <c r="B1367" s="9" t="s">
        <v>87</v>
      </c>
      <c r="C1367" s="11" t="s">
        <v>96</v>
      </c>
      <c r="D1367" s="9" t="s">
        <v>5525</v>
      </c>
      <c r="E1367" s="9" t="s">
        <v>5526</v>
      </c>
      <c r="F1367" s="9" t="s">
        <v>5527</v>
      </c>
      <c r="G1367" s="9" t="s">
        <v>24</v>
      </c>
      <c r="H1367" s="14" t="s">
        <v>22</v>
      </c>
      <c r="I1367" s="9" t="s">
        <v>5528</v>
      </c>
      <c r="J1367" s="13"/>
      <c r="K1367" s="13"/>
    </row>
    <row r="1368" customFormat="false" ht="23.85" hidden="false" customHeight="false" outlineLevel="0" collapsed="false">
      <c r="A1368" s="9" t="n">
        <v>1367</v>
      </c>
      <c r="B1368" s="9" t="s">
        <v>87</v>
      </c>
      <c r="C1368" s="11" t="s">
        <v>96</v>
      </c>
      <c r="D1368" s="9" t="s">
        <v>5529</v>
      </c>
      <c r="E1368" s="9" t="s">
        <v>5530</v>
      </c>
      <c r="F1368" s="9" t="s">
        <v>5531</v>
      </c>
      <c r="G1368" s="9" t="s">
        <v>24</v>
      </c>
      <c r="H1368" s="14" t="s">
        <v>22</v>
      </c>
      <c r="I1368" s="9" t="s">
        <v>5532</v>
      </c>
      <c r="J1368" s="13"/>
      <c r="K1368" s="13"/>
    </row>
    <row r="1369" customFormat="false" ht="35.05" hidden="false" customHeight="false" outlineLevel="0" collapsed="false">
      <c r="A1369" s="9" t="n">
        <v>1368</v>
      </c>
      <c r="B1369" s="9" t="s">
        <v>87</v>
      </c>
      <c r="C1369" s="11" t="s">
        <v>96</v>
      </c>
      <c r="D1369" s="9" t="s">
        <v>5533</v>
      </c>
      <c r="E1369" s="9" t="s">
        <v>5534</v>
      </c>
      <c r="F1369" s="9" t="s">
        <v>5535</v>
      </c>
      <c r="G1369" s="9" t="s">
        <v>24</v>
      </c>
      <c r="H1369" s="14" t="s">
        <v>22</v>
      </c>
      <c r="I1369" s="9" t="s">
        <v>5536</v>
      </c>
      <c r="J1369" s="13"/>
      <c r="K1369" s="13"/>
    </row>
    <row r="1370" customFormat="false" ht="23.85" hidden="false" customHeight="false" outlineLevel="0" collapsed="false">
      <c r="A1370" s="9" t="n">
        <v>1369</v>
      </c>
      <c r="B1370" s="9" t="s">
        <v>87</v>
      </c>
      <c r="C1370" s="11" t="s">
        <v>96</v>
      </c>
      <c r="D1370" s="9" t="s">
        <v>5537</v>
      </c>
      <c r="E1370" s="9" t="s">
        <v>5538</v>
      </c>
      <c r="F1370" s="9" t="s">
        <v>5539</v>
      </c>
      <c r="G1370" s="9" t="s">
        <v>24</v>
      </c>
      <c r="H1370" s="14" t="s">
        <v>22</v>
      </c>
      <c r="I1370" s="9" t="s">
        <v>5540</v>
      </c>
      <c r="J1370" s="13"/>
      <c r="K1370" s="13"/>
    </row>
    <row r="1371" customFormat="false" ht="23.85" hidden="false" customHeight="false" outlineLevel="0" collapsed="false">
      <c r="A1371" s="9" t="n">
        <v>1370</v>
      </c>
      <c r="B1371" s="9" t="s">
        <v>87</v>
      </c>
      <c r="C1371" s="11" t="s">
        <v>96</v>
      </c>
      <c r="D1371" s="9" t="s">
        <v>5541</v>
      </c>
      <c r="E1371" s="9" t="s">
        <v>5542</v>
      </c>
      <c r="F1371" s="9" t="s">
        <v>5543</v>
      </c>
      <c r="G1371" s="9" t="s">
        <v>24</v>
      </c>
      <c r="H1371" s="14" t="s">
        <v>22</v>
      </c>
      <c r="I1371" s="9" t="s">
        <v>5544</v>
      </c>
      <c r="J1371" s="13"/>
      <c r="K1371" s="13"/>
    </row>
    <row r="1372" customFormat="false" ht="46.25" hidden="false" customHeight="false" outlineLevel="0" collapsed="false">
      <c r="A1372" s="9" t="n">
        <v>1371</v>
      </c>
      <c r="B1372" s="9" t="s">
        <v>87</v>
      </c>
      <c r="C1372" s="11" t="s">
        <v>96</v>
      </c>
      <c r="D1372" s="9" t="s">
        <v>5545</v>
      </c>
      <c r="E1372" s="9" t="s">
        <v>5546</v>
      </c>
      <c r="F1372" s="9" t="s">
        <v>5547</v>
      </c>
      <c r="G1372" s="9" t="s">
        <v>24</v>
      </c>
      <c r="H1372" s="15" t="s">
        <v>23</v>
      </c>
      <c r="I1372" s="9" t="s">
        <v>434</v>
      </c>
      <c r="J1372" s="13"/>
      <c r="K1372" s="13"/>
    </row>
    <row r="1373" customFormat="false" ht="35.05" hidden="false" customHeight="false" outlineLevel="0" collapsed="false">
      <c r="A1373" s="9" t="n">
        <v>1372</v>
      </c>
      <c r="B1373" s="9" t="s">
        <v>87</v>
      </c>
      <c r="C1373" s="11" t="s">
        <v>96</v>
      </c>
      <c r="D1373" s="9" t="s">
        <v>5548</v>
      </c>
      <c r="E1373" s="9" t="s">
        <v>358</v>
      </c>
      <c r="F1373" s="9" t="s">
        <v>5549</v>
      </c>
      <c r="G1373" s="9" t="s">
        <v>24</v>
      </c>
      <c r="H1373" s="14" t="s">
        <v>22</v>
      </c>
      <c r="I1373" s="9" t="s">
        <v>5550</v>
      </c>
      <c r="J1373" s="13"/>
      <c r="K1373" s="13"/>
    </row>
    <row r="1374" customFormat="false" ht="23.85" hidden="false" customHeight="false" outlineLevel="0" collapsed="false">
      <c r="A1374" s="9" t="n">
        <v>1373</v>
      </c>
      <c r="B1374" s="9" t="s">
        <v>87</v>
      </c>
      <c r="C1374" s="11" t="s">
        <v>96</v>
      </c>
      <c r="D1374" s="9" t="s">
        <v>5551</v>
      </c>
      <c r="E1374" s="9" t="s">
        <v>362</v>
      </c>
      <c r="F1374" s="9" t="s">
        <v>5552</v>
      </c>
      <c r="G1374" s="9" t="s">
        <v>24</v>
      </c>
      <c r="H1374" s="14" t="s">
        <v>22</v>
      </c>
      <c r="I1374" s="9" t="s">
        <v>5553</v>
      </c>
      <c r="J1374" s="13"/>
      <c r="K1374" s="13"/>
    </row>
    <row r="1375" customFormat="false" ht="46.25" hidden="false" customHeight="false" outlineLevel="0" collapsed="false">
      <c r="A1375" s="9" t="n">
        <v>1374</v>
      </c>
      <c r="B1375" s="9" t="s">
        <v>87</v>
      </c>
      <c r="C1375" s="11" t="s">
        <v>96</v>
      </c>
      <c r="D1375" s="9" t="s">
        <v>5554</v>
      </c>
      <c r="E1375" s="9" t="s">
        <v>5555</v>
      </c>
      <c r="F1375" s="9" t="s">
        <v>5556</v>
      </c>
      <c r="G1375" s="9" t="s">
        <v>24</v>
      </c>
      <c r="H1375" s="15" t="s">
        <v>23</v>
      </c>
      <c r="I1375" s="9" t="s">
        <v>5557</v>
      </c>
      <c r="J1375" s="13"/>
      <c r="K1375" s="13"/>
    </row>
    <row r="1376" customFormat="false" ht="23.85" hidden="false" customHeight="false" outlineLevel="0" collapsed="false">
      <c r="A1376" s="9" t="n">
        <v>1375</v>
      </c>
      <c r="B1376" s="9" t="s">
        <v>87</v>
      </c>
      <c r="C1376" s="11" t="s">
        <v>96</v>
      </c>
      <c r="D1376" s="9" t="s">
        <v>5558</v>
      </c>
      <c r="E1376" s="9" t="s">
        <v>5559</v>
      </c>
      <c r="F1376" s="9" t="s">
        <v>5560</v>
      </c>
      <c r="G1376" s="9" t="s">
        <v>24</v>
      </c>
      <c r="H1376" s="15" t="s">
        <v>23</v>
      </c>
      <c r="I1376" s="9" t="s">
        <v>5369</v>
      </c>
      <c r="J1376" s="13"/>
      <c r="K1376" s="13"/>
    </row>
    <row r="1377" customFormat="false" ht="35.05" hidden="false" customHeight="false" outlineLevel="0" collapsed="false">
      <c r="A1377" s="9" t="n">
        <v>1376</v>
      </c>
      <c r="B1377" s="9" t="s">
        <v>87</v>
      </c>
      <c r="C1377" s="11" t="s">
        <v>96</v>
      </c>
      <c r="D1377" s="9" t="s">
        <v>5561</v>
      </c>
      <c r="E1377" s="9" t="s">
        <v>5562</v>
      </c>
      <c r="F1377" s="9" t="s">
        <v>5563</v>
      </c>
      <c r="G1377" s="9" t="s">
        <v>24</v>
      </c>
      <c r="H1377" s="15" t="s">
        <v>23</v>
      </c>
      <c r="I1377" s="9" t="s">
        <v>5564</v>
      </c>
      <c r="J1377" s="13"/>
      <c r="K1377" s="13"/>
    </row>
    <row r="1378" customFormat="false" ht="23.85" hidden="false" customHeight="false" outlineLevel="0" collapsed="false">
      <c r="A1378" s="9" t="n">
        <v>1377</v>
      </c>
      <c r="B1378" s="9" t="s">
        <v>87</v>
      </c>
      <c r="C1378" s="11" t="s">
        <v>96</v>
      </c>
      <c r="D1378" s="9" t="s">
        <v>5565</v>
      </c>
      <c r="E1378" s="9" t="s">
        <v>5167</v>
      </c>
      <c r="F1378" s="9" t="s">
        <v>5566</v>
      </c>
      <c r="G1378" s="9" t="s">
        <v>24</v>
      </c>
      <c r="H1378" s="15" t="s">
        <v>23</v>
      </c>
      <c r="I1378" s="9" t="s">
        <v>2843</v>
      </c>
      <c r="J1378" s="13"/>
      <c r="K1378" s="13"/>
    </row>
    <row r="1379" customFormat="false" ht="91" hidden="false" customHeight="false" outlineLevel="0" collapsed="false">
      <c r="A1379" s="9" t="n">
        <v>1378</v>
      </c>
      <c r="B1379" s="9" t="s">
        <v>87</v>
      </c>
      <c r="C1379" s="11" t="s">
        <v>98</v>
      </c>
      <c r="D1379" s="9" t="s">
        <v>5567</v>
      </c>
      <c r="E1379" s="9" t="s">
        <v>5568</v>
      </c>
      <c r="F1379" s="9" t="s">
        <v>5569</v>
      </c>
      <c r="G1379" s="9" t="s">
        <v>303</v>
      </c>
      <c r="H1379" s="12" t="s">
        <v>21</v>
      </c>
      <c r="I1379" s="9" t="s">
        <v>5570</v>
      </c>
      <c r="J1379" s="13"/>
      <c r="K1379" s="13"/>
    </row>
    <row r="1380" customFormat="false" ht="91" hidden="false" customHeight="false" outlineLevel="0" collapsed="false">
      <c r="A1380" s="9" t="n">
        <v>1379</v>
      </c>
      <c r="B1380" s="9" t="s">
        <v>87</v>
      </c>
      <c r="C1380" s="11" t="s">
        <v>98</v>
      </c>
      <c r="D1380" s="9" t="s">
        <v>5571</v>
      </c>
      <c r="E1380" s="9" t="s">
        <v>5572</v>
      </c>
      <c r="F1380" s="9" t="s">
        <v>5573</v>
      </c>
      <c r="G1380" s="9" t="s">
        <v>392</v>
      </c>
      <c r="H1380" s="12" t="s">
        <v>21</v>
      </c>
      <c r="I1380" s="9" t="s">
        <v>5574</v>
      </c>
      <c r="J1380" s="13"/>
      <c r="K1380" s="13"/>
    </row>
    <row r="1381" customFormat="false" ht="68.65" hidden="false" customHeight="false" outlineLevel="0" collapsed="false">
      <c r="A1381" s="9" t="n">
        <v>1380</v>
      </c>
      <c r="B1381" s="9" t="s">
        <v>87</v>
      </c>
      <c r="C1381" s="11" t="s">
        <v>98</v>
      </c>
      <c r="D1381" s="9" t="s">
        <v>5575</v>
      </c>
      <c r="E1381" s="9" t="s">
        <v>5576</v>
      </c>
      <c r="F1381" s="9" t="s">
        <v>5577</v>
      </c>
      <c r="G1381" s="9" t="s">
        <v>1072</v>
      </c>
      <c r="H1381" s="12" t="s">
        <v>21</v>
      </c>
      <c r="I1381" s="9" t="s">
        <v>5578</v>
      </c>
      <c r="J1381" s="13"/>
      <c r="K1381" s="13"/>
    </row>
    <row r="1382" customFormat="false" ht="46.25" hidden="false" customHeight="false" outlineLevel="0" collapsed="false">
      <c r="A1382" s="9" t="n">
        <v>1381</v>
      </c>
      <c r="B1382" s="9" t="s">
        <v>87</v>
      </c>
      <c r="C1382" s="11" t="s">
        <v>98</v>
      </c>
      <c r="D1382" s="9" t="s">
        <v>5579</v>
      </c>
      <c r="E1382" s="9" t="s">
        <v>5580</v>
      </c>
      <c r="F1382" s="9" t="s">
        <v>5581</v>
      </c>
      <c r="G1382" s="9" t="s">
        <v>312</v>
      </c>
      <c r="H1382" s="12" t="s">
        <v>21</v>
      </c>
      <c r="I1382" s="9" t="s">
        <v>5582</v>
      </c>
      <c r="J1382" s="13"/>
      <c r="K1382" s="13"/>
    </row>
    <row r="1383" customFormat="false" ht="46.25" hidden="false" customHeight="false" outlineLevel="0" collapsed="false">
      <c r="A1383" s="9" t="n">
        <v>1382</v>
      </c>
      <c r="B1383" s="9" t="s">
        <v>87</v>
      </c>
      <c r="C1383" s="11" t="s">
        <v>98</v>
      </c>
      <c r="D1383" s="9" t="s">
        <v>5583</v>
      </c>
      <c r="E1383" s="9" t="s">
        <v>5584</v>
      </c>
      <c r="F1383" s="9" t="s">
        <v>5585</v>
      </c>
      <c r="G1383" s="9" t="s">
        <v>312</v>
      </c>
      <c r="H1383" s="14" t="s">
        <v>22</v>
      </c>
      <c r="I1383" s="9" t="s">
        <v>5586</v>
      </c>
      <c r="J1383" s="13"/>
      <c r="K1383" s="13"/>
    </row>
    <row r="1384" customFormat="false" ht="57.45" hidden="false" customHeight="false" outlineLevel="0" collapsed="false">
      <c r="A1384" s="9" t="n">
        <v>1383</v>
      </c>
      <c r="B1384" s="9" t="s">
        <v>87</v>
      </c>
      <c r="C1384" s="11" t="s">
        <v>98</v>
      </c>
      <c r="D1384" s="9" t="s">
        <v>5587</v>
      </c>
      <c r="E1384" s="9" t="s">
        <v>5588</v>
      </c>
      <c r="F1384" s="9" t="s">
        <v>5589</v>
      </c>
      <c r="G1384" s="9" t="s">
        <v>312</v>
      </c>
      <c r="H1384" s="14" t="s">
        <v>22</v>
      </c>
      <c r="I1384" s="9" t="s">
        <v>5590</v>
      </c>
      <c r="J1384" s="13"/>
      <c r="K1384" s="13"/>
    </row>
    <row r="1385" customFormat="false" ht="79.85" hidden="false" customHeight="false" outlineLevel="0" collapsed="false">
      <c r="A1385" s="9" t="n">
        <v>1384</v>
      </c>
      <c r="B1385" s="9" t="s">
        <v>87</v>
      </c>
      <c r="C1385" s="11" t="s">
        <v>98</v>
      </c>
      <c r="D1385" s="9" t="s">
        <v>5591</v>
      </c>
      <c r="E1385" s="9" t="s">
        <v>5592</v>
      </c>
      <c r="F1385" s="9" t="s">
        <v>5593</v>
      </c>
      <c r="G1385" s="9" t="s">
        <v>1638</v>
      </c>
      <c r="H1385" s="14" t="s">
        <v>22</v>
      </c>
      <c r="I1385" s="9" t="s">
        <v>5594</v>
      </c>
      <c r="J1385" s="13"/>
      <c r="K1385" s="13"/>
    </row>
    <row r="1386" customFormat="false" ht="57.45" hidden="false" customHeight="false" outlineLevel="0" collapsed="false">
      <c r="A1386" s="9" t="n">
        <v>1385</v>
      </c>
      <c r="B1386" s="9" t="s">
        <v>87</v>
      </c>
      <c r="C1386" s="11" t="s">
        <v>98</v>
      </c>
      <c r="D1386" s="9" t="s">
        <v>5595</v>
      </c>
      <c r="E1386" s="9" t="s">
        <v>5596</v>
      </c>
      <c r="F1386" s="9" t="s">
        <v>5597</v>
      </c>
      <c r="G1386" s="9" t="s">
        <v>312</v>
      </c>
      <c r="H1386" s="14" t="s">
        <v>22</v>
      </c>
      <c r="I1386" s="9" t="s">
        <v>5598</v>
      </c>
      <c r="J1386" s="13"/>
      <c r="K1386" s="13"/>
    </row>
    <row r="1387" customFormat="false" ht="68.65" hidden="false" customHeight="false" outlineLevel="0" collapsed="false">
      <c r="A1387" s="9" t="n">
        <v>1386</v>
      </c>
      <c r="B1387" s="9" t="s">
        <v>87</v>
      </c>
      <c r="C1387" s="11" t="s">
        <v>98</v>
      </c>
      <c r="D1387" s="9" t="s">
        <v>5599</v>
      </c>
      <c r="E1387" s="9" t="s">
        <v>5600</v>
      </c>
      <c r="F1387" s="9" t="s">
        <v>5601</v>
      </c>
      <c r="G1387" s="9" t="s">
        <v>1421</v>
      </c>
      <c r="H1387" s="14" t="s">
        <v>22</v>
      </c>
      <c r="I1387" s="9" t="s">
        <v>5602</v>
      </c>
      <c r="J1387" s="13"/>
      <c r="K1387" s="13"/>
    </row>
    <row r="1388" customFormat="false" ht="57.45" hidden="false" customHeight="false" outlineLevel="0" collapsed="false">
      <c r="A1388" s="9" t="n">
        <v>1387</v>
      </c>
      <c r="B1388" s="9" t="s">
        <v>87</v>
      </c>
      <c r="C1388" s="11" t="s">
        <v>98</v>
      </c>
      <c r="D1388" s="9" t="s">
        <v>5603</v>
      </c>
      <c r="E1388" s="9" t="s">
        <v>5604</v>
      </c>
      <c r="F1388" s="9" t="s">
        <v>5605</v>
      </c>
      <c r="G1388" s="9" t="s">
        <v>317</v>
      </c>
      <c r="H1388" s="14" t="s">
        <v>22</v>
      </c>
      <c r="I1388" s="9" t="s">
        <v>5606</v>
      </c>
      <c r="J1388" s="13"/>
      <c r="K1388" s="13"/>
    </row>
    <row r="1389" customFormat="false" ht="68.65" hidden="false" customHeight="false" outlineLevel="0" collapsed="false">
      <c r="A1389" s="9" t="n">
        <v>1388</v>
      </c>
      <c r="B1389" s="9" t="s">
        <v>87</v>
      </c>
      <c r="C1389" s="11" t="s">
        <v>98</v>
      </c>
      <c r="D1389" s="9" t="s">
        <v>5607</v>
      </c>
      <c r="E1389" s="9" t="s">
        <v>5608</v>
      </c>
      <c r="F1389" s="9" t="s">
        <v>5609</v>
      </c>
      <c r="G1389" s="9" t="s">
        <v>303</v>
      </c>
      <c r="H1389" s="14" t="s">
        <v>22</v>
      </c>
      <c r="I1389" s="9" t="s">
        <v>5610</v>
      </c>
      <c r="J1389" s="13"/>
      <c r="K1389" s="13"/>
    </row>
    <row r="1390" customFormat="false" ht="91" hidden="false" customHeight="false" outlineLevel="0" collapsed="false">
      <c r="A1390" s="9" t="n">
        <v>1389</v>
      </c>
      <c r="B1390" s="9" t="s">
        <v>87</v>
      </c>
      <c r="C1390" s="11" t="s">
        <v>98</v>
      </c>
      <c r="D1390" s="9" t="s">
        <v>5611</v>
      </c>
      <c r="E1390" s="9" t="s">
        <v>5612</v>
      </c>
      <c r="F1390" s="9" t="s">
        <v>5613</v>
      </c>
      <c r="G1390" s="9" t="s">
        <v>1284</v>
      </c>
      <c r="H1390" s="14" t="s">
        <v>22</v>
      </c>
      <c r="I1390" s="9" t="s">
        <v>5614</v>
      </c>
      <c r="J1390" s="13"/>
      <c r="K1390" s="13"/>
    </row>
    <row r="1391" customFormat="false" ht="57.45" hidden="false" customHeight="false" outlineLevel="0" collapsed="false">
      <c r="A1391" s="9" t="n">
        <v>1390</v>
      </c>
      <c r="B1391" s="9" t="s">
        <v>87</v>
      </c>
      <c r="C1391" s="11" t="s">
        <v>98</v>
      </c>
      <c r="D1391" s="9" t="s">
        <v>5615</v>
      </c>
      <c r="E1391" s="9" t="s">
        <v>5616</v>
      </c>
      <c r="F1391" s="9" t="s">
        <v>5617</v>
      </c>
      <c r="G1391" s="9" t="s">
        <v>392</v>
      </c>
      <c r="H1391" s="14" t="s">
        <v>22</v>
      </c>
      <c r="I1391" s="9" t="s">
        <v>5618</v>
      </c>
      <c r="J1391" s="13"/>
      <c r="K1391" s="13"/>
    </row>
    <row r="1392" customFormat="false" ht="79.85" hidden="false" customHeight="false" outlineLevel="0" collapsed="false">
      <c r="A1392" s="9" t="n">
        <v>1391</v>
      </c>
      <c r="B1392" s="9" t="s">
        <v>87</v>
      </c>
      <c r="C1392" s="11" t="s">
        <v>98</v>
      </c>
      <c r="D1392" s="9" t="s">
        <v>5619</v>
      </c>
      <c r="E1392" s="9" t="s">
        <v>5620</v>
      </c>
      <c r="F1392" s="9" t="s">
        <v>5621</v>
      </c>
      <c r="G1392" s="9" t="s">
        <v>1063</v>
      </c>
      <c r="H1392" s="14" t="s">
        <v>22</v>
      </c>
      <c r="I1392" s="9" t="s">
        <v>5622</v>
      </c>
      <c r="J1392" s="13"/>
      <c r="K1392" s="13"/>
    </row>
    <row r="1393" customFormat="false" ht="68.65" hidden="false" customHeight="false" outlineLevel="0" collapsed="false">
      <c r="A1393" s="9" t="n">
        <v>1392</v>
      </c>
      <c r="B1393" s="9" t="s">
        <v>87</v>
      </c>
      <c r="C1393" s="11" t="s">
        <v>98</v>
      </c>
      <c r="D1393" s="9" t="s">
        <v>5623</v>
      </c>
      <c r="E1393" s="9" t="s">
        <v>5624</v>
      </c>
      <c r="F1393" s="9" t="s">
        <v>5625</v>
      </c>
      <c r="G1393" s="9" t="s">
        <v>4141</v>
      </c>
      <c r="H1393" s="14" t="s">
        <v>22</v>
      </c>
      <c r="I1393" s="9" t="s">
        <v>5626</v>
      </c>
      <c r="J1393" s="13"/>
      <c r="K1393" s="13"/>
    </row>
    <row r="1394" customFormat="false" ht="57.45" hidden="false" customHeight="false" outlineLevel="0" collapsed="false">
      <c r="A1394" s="9" t="n">
        <v>1393</v>
      </c>
      <c r="B1394" s="9" t="s">
        <v>87</v>
      </c>
      <c r="C1394" s="11" t="s">
        <v>98</v>
      </c>
      <c r="D1394" s="9" t="s">
        <v>5627</v>
      </c>
      <c r="E1394" s="9" t="s">
        <v>5628</v>
      </c>
      <c r="F1394" s="9" t="s">
        <v>5629</v>
      </c>
      <c r="G1394" s="9" t="s">
        <v>392</v>
      </c>
      <c r="H1394" s="14" t="s">
        <v>22</v>
      </c>
      <c r="I1394" s="9" t="s">
        <v>5630</v>
      </c>
      <c r="J1394" s="13"/>
      <c r="K1394" s="13"/>
    </row>
    <row r="1395" customFormat="false" ht="79.85" hidden="false" customHeight="false" outlineLevel="0" collapsed="false">
      <c r="A1395" s="9" t="n">
        <v>1394</v>
      </c>
      <c r="B1395" s="9" t="s">
        <v>87</v>
      </c>
      <c r="C1395" s="11" t="s">
        <v>98</v>
      </c>
      <c r="D1395" s="9" t="s">
        <v>5631</v>
      </c>
      <c r="E1395" s="9" t="s">
        <v>5632</v>
      </c>
      <c r="F1395" s="9" t="s">
        <v>5633</v>
      </c>
      <c r="G1395" s="9" t="s">
        <v>1072</v>
      </c>
      <c r="H1395" s="14" t="s">
        <v>22</v>
      </c>
      <c r="I1395" s="9" t="s">
        <v>5634</v>
      </c>
      <c r="J1395" s="13"/>
      <c r="K1395" s="13"/>
    </row>
    <row r="1396" customFormat="false" ht="79.85" hidden="false" customHeight="false" outlineLevel="0" collapsed="false">
      <c r="A1396" s="9" t="n">
        <v>1395</v>
      </c>
      <c r="B1396" s="9" t="s">
        <v>87</v>
      </c>
      <c r="C1396" s="11" t="s">
        <v>98</v>
      </c>
      <c r="D1396" s="9" t="s">
        <v>5635</v>
      </c>
      <c r="E1396" s="9" t="s">
        <v>5636</v>
      </c>
      <c r="F1396" s="9" t="s">
        <v>5637</v>
      </c>
      <c r="G1396" s="9" t="s">
        <v>1072</v>
      </c>
      <c r="H1396" s="14" t="s">
        <v>22</v>
      </c>
      <c r="I1396" s="9" t="s">
        <v>5638</v>
      </c>
      <c r="J1396" s="13"/>
      <c r="K1396" s="13"/>
    </row>
    <row r="1397" customFormat="false" ht="79.85" hidden="false" customHeight="false" outlineLevel="0" collapsed="false">
      <c r="A1397" s="9" t="n">
        <v>1396</v>
      </c>
      <c r="B1397" s="9" t="s">
        <v>87</v>
      </c>
      <c r="C1397" s="11" t="s">
        <v>98</v>
      </c>
      <c r="D1397" s="9" t="s">
        <v>5639</v>
      </c>
      <c r="E1397" s="9" t="s">
        <v>5640</v>
      </c>
      <c r="F1397" s="9" t="s">
        <v>5641</v>
      </c>
      <c r="G1397" s="9" t="s">
        <v>1643</v>
      </c>
      <c r="H1397" s="14" t="s">
        <v>22</v>
      </c>
      <c r="I1397" s="9" t="s">
        <v>5642</v>
      </c>
      <c r="J1397" s="13"/>
      <c r="K1397" s="13"/>
    </row>
    <row r="1398" customFormat="false" ht="57.45" hidden="false" customHeight="false" outlineLevel="0" collapsed="false">
      <c r="A1398" s="9" t="n">
        <v>1397</v>
      </c>
      <c r="B1398" s="9" t="s">
        <v>87</v>
      </c>
      <c r="C1398" s="11" t="s">
        <v>98</v>
      </c>
      <c r="D1398" s="9" t="s">
        <v>5643</v>
      </c>
      <c r="E1398" s="9" t="s">
        <v>5644</v>
      </c>
      <c r="F1398" s="9" t="s">
        <v>5645</v>
      </c>
      <c r="G1398" s="9" t="s">
        <v>312</v>
      </c>
      <c r="H1398" s="14" t="s">
        <v>22</v>
      </c>
      <c r="I1398" s="9" t="s">
        <v>5646</v>
      </c>
      <c r="J1398" s="13"/>
      <c r="K1398" s="13"/>
    </row>
    <row r="1399" customFormat="false" ht="68.65" hidden="false" customHeight="false" outlineLevel="0" collapsed="false">
      <c r="A1399" s="9" t="n">
        <v>1398</v>
      </c>
      <c r="B1399" s="9" t="s">
        <v>87</v>
      </c>
      <c r="C1399" s="11" t="s">
        <v>98</v>
      </c>
      <c r="D1399" s="9" t="s">
        <v>5647</v>
      </c>
      <c r="E1399" s="9" t="s">
        <v>5648</v>
      </c>
      <c r="F1399" s="9" t="s">
        <v>5649</v>
      </c>
      <c r="G1399" s="9" t="s">
        <v>303</v>
      </c>
      <c r="H1399" s="14" t="s">
        <v>22</v>
      </c>
      <c r="I1399" s="9" t="s">
        <v>5650</v>
      </c>
      <c r="J1399" s="13"/>
      <c r="K1399" s="13"/>
    </row>
    <row r="1400" customFormat="false" ht="46.25" hidden="false" customHeight="false" outlineLevel="0" collapsed="false">
      <c r="A1400" s="9" t="n">
        <v>1399</v>
      </c>
      <c r="B1400" s="9" t="s">
        <v>87</v>
      </c>
      <c r="C1400" s="11" t="s">
        <v>98</v>
      </c>
      <c r="D1400" s="9" t="s">
        <v>5651</v>
      </c>
      <c r="E1400" s="9" t="s">
        <v>5652</v>
      </c>
      <c r="F1400" s="9" t="s">
        <v>5653</v>
      </c>
      <c r="G1400" s="9" t="s">
        <v>1072</v>
      </c>
      <c r="H1400" s="15" t="s">
        <v>23</v>
      </c>
      <c r="I1400" s="9" t="s">
        <v>5654</v>
      </c>
      <c r="J1400" s="13"/>
      <c r="K1400" s="13"/>
    </row>
    <row r="1401" customFormat="false" ht="68.65" hidden="false" customHeight="false" outlineLevel="0" collapsed="false">
      <c r="A1401" s="9" t="n">
        <v>1400</v>
      </c>
      <c r="B1401" s="9" t="s">
        <v>87</v>
      </c>
      <c r="C1401" s="11" t="s">
        <v>98</v>
      </c>
      <c r="D1401" s="9" t="s">
        <v>5655</v>
      </c>
      <c r="E1401" s="9" t="s">
        <v>5656</v>
      </c>
      <c r="F1401" s="9" t="s">
        <v>5657</v>
      </c>
      <c r="G1401" s="9" t="s">
        <v>3266</v>
      </c>
      <c r="H1401" s="14" t="s">
        <v>22</v>
      </c>
      <c r="I1401" s="9" t="s">
        <v>5658</v>
      </c>
      <c r="J1401" s="13"/>
      <c r="K1401" s="13"/>
    </row>
    <row r="1402" customFormat="false" ht="57.45" hidden="false" customHeight="false" outlineLevel="0" collapsed="false">
      <c r="A1402" s="9" t="n">
        <v>1401</v>
      </c>
      <c r="B1402" s="9" t="s">
        <v>87</v>
      </c>
      <c r="C1402" s="11" t="s">
        <v>98</v>
      </c>
      <c r="D1402" s="9" t="s">
        <v>5659</v>
      </c>
      <c r="E1402" s="9" t="s">
        <v>5660</v>
      </c>
      <c r="F1402" s="9" t="s">
        <v>5661</v>
      </c>
      <c r="G1402" s="9" t="s">
        <v>328</v>
      </c>
      <c r="H1402" s="15" t="s">
        <v>23</v>
      </c>
      <c r="I1402" s="9" t="s">
        <v>5662</v>
      </c>
      <c r="J1402" s="13"/>
      <c r="K1402" s="13"/>
    </row>
    <row r="1403" customFormat="false" ht="113.4" hidden="false" customHeight="false" outlineLevel="0" collapsed="false">
      <c r="A1403" s="9" t="n">
        <v>1402</v>
      </c>
      <c r="B1403" s="9" t="s">
        <v>87</v>
      </c>
      <c r="C1403" s="11" t="s">
        <v>98</v>
      </c>
      <c r="D1403" s="9" t="s">
        <v>5663</v>
      </c>
      <c r="E1403" s="9" t="s">
        <v>5664</v>
      </c>
      <c r="F1403" s="9" t="s">
        <v>5665</v>
      </c>
      <c r="G1403" s="9" t="s">
        <v>312</v>
      </c>
      <c r="H1403" s="15" t="s">
        <v>23</v>
      </c>
      <c r="I1403" s="9" t="s">
        <v>5666</v>
      </c>
      <c r="J1403" s="13"/>
      <c r="K1403" s="13"/>
    </row>
    <row r="1404" customFormat="false" ht="35.05" hidden="false" customHeight="false" outlineLevel="0" collapsed="false">
      <c r="A1404" s="9" t="n">
        <v>1403</v>
      </c>
      <c r="B1404" s="9" t="s">
        <v>87</v>
      </c>
      <c r="C1404" s="11" t="s">
        <v>98</v>
      </c>
      <c r="D1404" s="9" t="s">
        <v>5667</v>
      </c>
      <c r="E1404" s="9" t="s">
        <v>5668</v>
      </c>
      <c r="F1404" s="9" t="s">
        <v>5669</v>
      </c>
      <c r="G1404" s="9" t="s">
        <v>308</v>
      </c>
      <c r="H1404" s="15" t="s">
        <v>23</v>
      </c>
      <c r="I1404" s="9" t="s">
        <v>5670</v>
      </c>
      <c r="J1404" s="13"/>
      <c r="K1404" s="13"/>
    </row>
    <row r="1405" customFormat="false" ht="35.05" hidden="false" customHeight="false" outlineLevel="0" collapsed="false">
      <c r="A1405" s="9" t="n">
        <v>1404</v>
      </c>
      <c r="B1405" s="9" t="s">
        <v>87</v>
      </c>
      <c r="C1405" s="11" t="s">
        <v>98</v>
      </c>
      <c r="D1405" s="9" t="s">
        <v>5671</v>
      </c>
      <c r="E1405" s="9" t="s">
        <v>5672</v>
      </c>
      <c r="F1405" s="9" t="s">
        <v>5673</v>
      </c>
      <c r="G1405" s="9" t="s">
        <v>392</v>
      </c>
      <c r="H1405" s="15" t="s">
        <v>23</v>
      </c>
      <c r="I1405" s="9" t="s">
        <v>5674</v>
      </c>
      <c r="J1405" s="13"/>
      <c r="K1405" s="13"/>
    </row>
    <row r="1406" customFormat="false" ht="46.25" hidden="false" customHeight="false" outlineLevel="0" collapsed="false">
      <c r="A1406" s="9" t="n">
        <v>1405</v>
      </c>
      <c r="B1406" s="9" t="s">
        <v>87</v>
      </c>
      <c r="C1406" s="11" t="s">
        <v>98</v>
      </c>
      <c r="D1406" s="9" t="s">
        <v>5675</v>
      </c>
      <c r="E1406" s="9" t="s">
        <v>5676</v>
      </c>
      <c r="F1406" s="9" t="s">
        <v>5677</v>
      </c>
      <c r="G1406" s="9" t="s">
        <v>1072</v>
      </c>
      <c r="H1406" s="15" t="s">
        <v>23</v>
      </c>
      <c r="I1406" s="9" t="s">
        <v>5678</v>
      </c>
      <c r="J1406" s="13"/>
      <c r="K1406" s="13"/>
    </row>
    <row r="1407" customFormat="false" ht="35.05" hidden="false" customHeight="false" outlineLevel="0" collapsed="false">
      <c r="A1407" s="9" t="n">
        <v>1406</v>
      </c>
      <c r="B1407" s="9" t="s">
        <v>87</v>
      </c>
      <c r="C1407" s="11" t="s">
        <v>98</v>
      </c>
      <c r="D1407" s="9" t="s">
        <v>5679</v>
      </c>
      <c r="E1407" s="9" t="s">
        <v>5680</v>
      </c>
      <c r="F1407" s="9" t="s">
        <v>5681</v>
      </c>
      <c r="G1407" s="9" t="s">
        <v>5682</v>
      </c>
      <c r="H1407" s="15" t="s">
        <v>23</v>
      </c>
      <c r="I1407" s="9" t="s">
        <v>5683</v>
      </c>
      <c r="J1407" s="13"/>
      <c r="K1407" s="13"/>
    </row>
    <row r="1408" customFormat="false" ht="35.05" hidden="false" customHeight="false" outlineLevel="0" collapsed="false">
      <c r="A1408" s="9" t="n">
        <v>1407</v>
      </c>
      <c r="B1408" s="9" t="s">
        <v>87</v>
      </c>
      <c r="C1408" s="11" t="s">
        <v>98</v>
      </c>
      <c r="D1408" s="9" t="s">
        <v>5684</v>
      </c>
      <c r="E1408" s="9" t="s">
        <v>5685</v>
      </c>
      <c r="F1408" s="9" t="s">
        <v>5686</v>
      </c>
      <c r="G1408" s="9" t="s">
        <v>1072</v>
      </c>
      <c r="H1408" s="15" t="s">
        <v>23</v>
      </c>
      <c r="I1408" s="9" t="s">
        <v>5687</v>
      </c>
      <c r="J1408" s="13"/>
      <c r="K1408" s="13"/>
    </row>
    <row r="1409" customFormat="false" ht="46.25" hidden="false" customHeight="false" outlineLevel="0" collapsed="false">
      <c r="A1409" s="9" t="n">
        <v>1408</v>
      </c>
      <c r="B1409" s="9" t="s">
        <v>87</v>
      </c>
      <c r="C1409" s="11" t="s">
        <v>98</v>
      </c>
      <c r="D1409" s="9" t="s">
        <v>5688</v>
      </c>
      <c r="E1409" s="9" t="s">
        <v>5689</v>
      </c>
      <c r="F1409" s="9" t="s">
        <v>5690</v>
      </c>
      <c r="G1409" s="9" t="s">
        <v>312</v>
      </c>
      <c r="H1409" s="15" t="s">
        <v>23</v>
      </c>
      <c r="I1409" s="9" t="s">
        <v>5691</v>
      </c>
      <c r="J1409" s="13"/>
      <c r="K1409" s="13"/>
    </row>
    <row r="1410" customFormat="false" ht="57.45" hidden="false" customHeight="false" outlineLevel="0" collapsed="false">
      <c r="A1410" s="9" t="n">
        <v>1409</v>
      </c>
      <c r="B1410" s="9" t="s">
        <v>87</v>
      </c>
      <c r="C1410" s="11" t="s">
        <v>98</v>
      </c>
      <c r="D1410" s="9" t="s">
        <v>5692</v>
      </c>
      <c r="E1410" s="9" t="s">
        <v>5693</v>
      </c>
      <c r="F1410" s="9" t="s">
        <v>5694</v>
      </c>
      <c r="G1410" s="9" t="s">
        <v>1072</v>
      </c>
      <c r="H1410" s="15" t="s">
        <v>23</v>
      </c>
      <c r="I1410" s="9" t="s">
        <v>5695</v>
      </c>
      <c r="J1410" s="13"/>
      <c r="K1410" s="13"/>
    </row>
    <row r="1411" customFormat="false" ht="57.45" hidden="false" customHeight="false" outlineLevel="0" collapsed="false">
      <c r="A1411" s="9" t="n">
        <v>1410</v>
      </c>
      <c r="B1411" s="9" t="s">
        <v>87</v>
      </c>
      <c r="C1411" s="11" t="s">
        <v>98</v>
      </c>
      <c r="D1411" s="9" t="s">
        <v>5696</v>
      </c>
      <c r="E1411" s="9" t="s">
        <v>5697</v>
      </c>
      <c r="F1411" s="9" t="s">
        <v>5698</v>
      </c>
      <c r="G1411" s="9" t="s">
        <v>4232</v>
      </c>
      <c r="H1411" s="15" t="s">
        <v>23</v>
      </c>
      <c r="I1411" s="9" t="s">
        <v>5699</v>
      </c>
      <c r="J1411" s="13"/>
      <c r="K1411" s="13"/>
    </row>
    <row r="1412" customFormat="false" ht="35.05" hidden="false" customHeight="false" outlineLevel="0" collapsed="false">
      <c r="A1412" s="9" t="n">
        <v>1411</v>
      </c>
      <c r="B1412" s="9" t="s">
        <v>87</v>
      </c>
      <c r="C1412" s="11" t="s">
        <v>98</v>
      </c>
      <c r="D1412" s="9" t="s">
        <v>5700</v>
      </c>
      <c r="E1412" s="9" t="s">
        <v>5701</v>
      </c>
      <c r="F1412" s="9" t="s">
        <v>5702</v>
      </c>
      <c r="G1412" s="9" t="s">
        <v>328</v>
      </c>
      <c r="H1412" s="15" t="s">
        <v>23</v>
      </c>
      <c r="I1412" s="9" t="s">
        <v>5703</v>
      </c>
      <c r="J1412" s="13"/>
      <c r="K1412" s="13"/>
    </row>
    <row r="1413" customFormat="false" ht="35.05" hidden="false" customHeight="false" outlineLevel="0" collapsed="false">
      <c r="A1413" s="9" t="n">
        <v>1412</v>
      </c>
      <c r="B1413" s="9" t="s">
        <v>87</v>
      </c>
      <c r="C1413" s="11" t="s">
        <v>98</v>
      </c>
      <c r="D1413" s="9" t="s">
        <v>5704</v>
      </c>
      <c r="E1413" s="9" t="s">
        <v>5705</v>
      </c>
      <c r="F1413" s="9" t="s">
        <v>5706</v>
      </c>
      <c r="G1413" s="9" t="s">
        <v>312</v>
      </c>
      <c r="H1413" s="15" t="s">
        <v>23</v>
      </c>
      <c r="I1413" s="9" t="s">
        <v>5707</v>
      </c>
      <c r="J1413" s="13"/>
      <c r="K1413" s="13"/>
    </row>
    <row r="1414" customFormat="false" ht="35.05" hidden="false" customHeight="false" outlineLevel="0" collapsed="false">
      <c r="A1414" s="9" t="n">
        <v>1413</v>
      </c>
      <c r="B1414" s="9" t="s">
        <v>87</v>
      </c>
      <c r="C1414" s="11" t="s">
        <v>98</v>
      </c>
      <c r="D1414" s="9" t="s">
        <v>5708</v>
      </c>
      <c r="E1414" s="9" t="s">
        <v>5709</v>
      </c>
      <c r="F1414" s="9" t="s">
        <v>5710</v>
      </c>
      <c r="G1414" s="9" t="s">
        <v>392</v>
      </c>
      <c r="H1414" s="15" t="s">
        <v>23</v>
      </c>
      <c r="I1414" s="9" t="s">
        <v>5711</v>
      </c>
      <c r="J1414" s="13"/>
      <c r="K1414" s="13"/>
    </row>
    <row r="1415" customFormat="false" ht="35.05" hidden="false" customHeight="false" outlineLevel="0" collapsed="false">
      <c r="A1415" s="9" t="n">
        <v>1414</v>
      </c>
      <c r="B1415" s="9" t="s">
        <v>87</v>
      </c>
      <c r="C1415" s="11" t="s">
        <v>98</v>
      </c>
      <c r="D1415" s="9" t="s">
        <v>5712</v>
      </c>
      <c r="E1415" s="9" t="s">
        <v>5713</v>
      </c>
      <c r="F1415" s="9" t="s">
        <v>5714</v>
      </c>
      <c r="G1415" s="9" t="s">
        <v>328</v>
      </c>
      <c r="H1415" s="15" t="s">
        <v>23</v>
      </c>
      <c r="I1415" s="9" t="s">
        <v>5715</v>
      </c>
      <c r="J1415" s="13"/>
      <c r="K1415" s="13"/>
    </row>
    <row r="1416" customFormat="false" ht="23.85" hidden="false" customHeight="false" outlineLevel="0" collapsed="false">
      <c r="A1416" s="9" t="n">
        <v>1415</v>
      </c>
      <c r="B1416" s="9" t="s">
        <v>87</v>
      </c>
      <c r="C1416" s="11" t="s">
        <v>98</v>
      </c>
      <c r="D1416" s="9" t="s">
        <v>5716</v>
      </c>
      <c r="E1416" s="9" t="s">
        <v>5717</v>
      </c>
      <c r="F1416" s="9" t="s">
        <v>5718</v>
      </c>
      <c r="G1416" s="9" t="s">
        <v>328</v>
      </c>
      <c r="H1416" s="15" t="s">
        <v>23</v>
      </c>
      <c r="I1416" s="9" t="s">
        <v>5719</v>
      </c>
      <c r="J1416" s="13"/>
      <c r="K1416" s="13"/>
    </row>
    <row r="1417" customFormat="false" ht="35.05" hidden="false" customHeight="false" outlineLevel="0" collapsed="false">
      <c r="A1417" s="9" t="n">
        <v>1416</v>
      </c>
      <c r="B1417" s="9" t="s">
        <v>87</v>
      </c>
      <c r="C1417" s="11" t="s">
        <v>98</v>
      </c>
      <c r="D1417" s="9" t="s">
        <v>5720</v>
      </c>
      <c r="E1417" s="9" t="s">
        <v>5721</v>
      </c>
      <c r="F1417" s="9" t="s">
        <v>5722</v>
      </c>
      <c r="G1417" s="9" t="s">
        <v>852</v>
      </c>
      <c r="H1417" s="15" t="s">
        <v>23</v>
      </c>
      <c r="I1417" s="9" t="s">
        <v>5723</v>
      </c>
      <c r="J1417" s="13"/>
      <c r="K1417" s="13"/>
    </row>
    <row r="1418" customFormat="false" ht="23.85" hidden="false" customHeight="false" outlineLevel="0" collapsed="false">
      <c r="A1418" s="9" t="n">
        <v>1417</v>
      </c>
      <c r="B1418" s="9" t="s">
        <v>87</v>
      </c>
      <c r="C1418" s="11" t="s">
        <v>98</v>
      </c>
      <c r="D1418" s="9" t="s">
        <v>5724</v>
      </c>
      <c r="E1418" s="9" t="s">
        <v>5725</v>
      </c>
      <c r="F1418" s="9" t="s">
        <v>5726</v>
      </c>
      <c r="G1418" s="9" t="s">
        <v>1072</v>
      </c>
      <c r="H1418" s="15" t="s">
        <v>23</v>
      </c>
      <c r="I1418" s="9" t="s">
        <v>5727</v>
      </c>
      <c r="J1418" s="13"/>
      <c r="K1418" s="13"/>
    </row>
    <row r="1419" customFormat="false" ht="35.05" hidden="false" customHeight="false" outlineLevel="0" collapsed="false">
      <c r="A1419" s="9" t="n">
        <v>1418</v>
      </c>
      <c r="B1419" s="9" t="s">
        <v>87</v>
      </c>
      <c r="C1419" s="11" t="s">
        <v>98</v>
      </c>
      <c r="D1419" s="9" t="s">
        <v>5728</v>
      </c>
      <c r="E1419" s="9" t="s">
        <v>5729</v>
      </c>
      <c r="F1419" s="9" t="s">
        <v>5730</v>
      </c>
      <c r="G1419" s="9" t="s">
        <v>328</v>
      </c>
      <c r="H1419" s="15" t="s">
        <v>23</v>
      </c>
      <c r="I1419" s="9" t="s">
        <v>5731</v>
      </c>
      <c r="J1419" s="13"/>
      <c r="K1419" s="13"/>
    </row>
    <row r="1420" customFormat="false" ht="23.85" hidden="false" customHeight="false" outlineLevel="0" collapsed="false">
      <c r="A1420" s="9" t="n">
        <v>1419</v>
      </c>
      <c r="B1420" s="9" t="s">
        <v>87</v>
      </c>
      <c r="C1420" s="11" t="s">
        <v>98</v>
      </c>
      <c r="D1420" s="9" t="s">
        <v>5732</v>
      </c>
      <c r="E1420" s="9" t="s">
        <v>5733</v>
      </c>
      <c r="F1420" s="9" t="s">
        <v>5734</v>
      </c>
      <c r="G1420" s="9" t="s">
        <v>328</v>
      </c>
      <c r="H1420" s="15" t="s">
        <v>23</v>
      </c>
      <c r="I1420" s="9" t="s">
        <v>5735</v>
      </c>
      <c r="J1420" s="13"/>
      <c r="K1420" s="13"/>
    </row>
    <row r="1421" customFormat="false" ht="23.85" hidden="false" customHeight="false" outlineLevel="0" collapsed="false">
      <c r="A1421" s="9" t="n">
        <v>1420</v>
      </c>
      <c r="B1421" s="9" t="s">
        <v>87</v>
      </c>
      <c r="C1421" s="11" t="s">
        <v>98</v>
      </c>
      <c r="D1421" s="9" t="s">
        <v>5736</v>
      </c>
      <c r="E1421" s="9" t="s">
        <v>1702</v>
      </c>
      <c r="F1421" s="9" t="s">
        <v>5737</v>
      </c>
      <c r="G1421" s="9" t="s">
        <v>328</v>
      </c>
      <c r="H1421" s="15" t="s">
        <v>23</v>
      </c>
      <c r="I1421" s="9" t="s">
        <v>5738</v>
      </c>
      <c r="J1421" s="13"/>
      <c r="K1421" s="13"/>
    </row>
    <row r="1422" customFormat="false" ht="46.25" hidden="false" customHeight="false" outlineLevel="0" collapsed="false">
      <c r="A1422" s="9" t="n">
        <v>1421</v>
      </c>
      <c r="B1422" s="9" t="s">
        <v>87</v>
      </c>
      <c r="C1422" s="11" t="s">
        <v>98</v>
      </c>
      <c r="D1422" s="9" t="s">
        <v>5739</v>
      </c>
      <c r="E1422" s="9" t="s">
        <v>5740</v>
      </c>
      <c r="F1422" s="9" t="s">
        <v>5741</v>
      </c>
      <c r="G1422" s="9" t="s">
        <v>24</v>
      </c>
      <c r="H1422" s="12" t="s">
        <v>21</v>
      </c>
      <c r="I1422" s="9" t="s">
        <v>5742</v>
      </c>
      <c r="J1422" s="13"/>
      <c r="K1422" s="13"/>
    </row>
    <row r="1423" customFormat="false" ht="68.65" hidden="false" customHeight="false" outlineLevel="0" collapsed="false">
      <c r="A1423" s="9" t="n">
        <v>1422</v>
      </c>
      <c r="B1423" s="9" t="s">
        <v>87</v>
      </c>
      <c r="C1423" s="11" t="s">
        <v>98</v>
      </c>
      <c r="D1423" s="9" t="s">
        <v>5743</v>
      </c>
      <c r="E1423" s="9" t="s">
        <v>5744</v>
      </c>
      <c r="F1423" s="9" t="s">
        <v>5745</v>
      </c>
      <c r="G1423" s="9" t="s">
        <v>24</v>
      </c>
      <c r="H1423" s="12" t="s">
        <v>21</v>
      </c>
      <c r="I1423" s="9" t="s">
        <v>5746</v>
      </c>
      <c r="J1423" s="13"/>
      <c r="K1423" s="13"/>
    </row>
    <row r="1424" customFormat="false" ht="35.05" hidden="false" customHeight="false" outlineLevel="0" collapsed="false">
      <c r="A1424" s="9" t="n">
        <v>1423</v>
      </c>
      <c r="B1424" s="9" t="s">
        <v>87</v>
      </c>
      <c r="C1424" s="11" t="s">
        <v>98</v>
      </c>
      <c r="D1424" s="9" t="s">
        <v>5747</v>
      </c>
      <c r="E1424" s="9" t="s">
        <v>5748</v>
      </c>
      <c r="F1424" s="9" t="s">
        <v>5749</v>
      </c>
      <c r="G1424" s="9" t="s">
        <v>24</v>
      </c>
      <c r="H1424" s="14" t="s">
        <v>22</v>
      </c>
      <c r="I1424" s="9" t="s">
        <v>5750</v>
      </c>
      <c r="J1424" s="13"/>
      <c r="K1424" s="13"/>
    </row>
    <row r="1425" customFormat="false" ht="15" hidden="false" customHeight="false" outlineLevel="0" collapsed="false">
      <c r="A1425" s="9" t="n">
        <v>1424</v>
      </c>
      <c r="B1425" s="9" t="s">
        <v>87</v>
      </c>
      <c r="C1425" s="11" t="s">
        <v>98</v>
      </c>
      <c r="D1425" s="9" t="s">
        <v>5751</v>
      </c>
      <c r="E1425" s="9" t="s">
        <v>5752</v>
      </c>
      <c r="F1425" s="9" t="s">
        <v>5753</v>
      </c>
      <c r="G1425" s="9" t="s">
        <v>24</v>
      </c>
      <c r="H1425" s="14" t="s">
        <v>22</v>
      </c>
      <c r="I1425" s="9" t="s">
        <v>5754</v>
      </c>
      <c r="J1425" s="13"/>
      <c r="K1425" s="13"/>
    </row>
    <row r="1426" customFormat="false" ht="23.85" hidden="false" customHeight="false" outlineLevel="0" collapsed="false">
      <c r="A1426" s="9" t="n">
        <v>1425</v>
      </c>
      <c r="B1426" s="9" t="s">
        <v>87</v>
      </c>
      <c r="C1426" s="11" t="s">
        <v>98</v>
      </c>
      <c r="D1426" s="9" t="s">
        <v>5755</v>
      </c>
      <c r="E1426" s="9" t="s">
        <v>5756</v>
      </c>
      <c r="F1426" s="9" t="s">
        <v>5757</v>
      </c>
      <c r="G1426" s="9" t="s">
        <v>24</v>
      </c>
      <c r="H1426" s="15" t="s">
        <v>23</v>
      </c>
      <c r="I1426" s="9" t="s">
        <v>5758</v>
      </c>
      <c r="J1426" s="13"/>
      <c r="K1426" s="13"/>
    </row>
    <row r="1427" customFormat="false" ht="23.85" hidden="false" customHeight="false" outlineLevel="0" collapsed="false">
      <c r="A1427" s="9" t="n">
        <v>1426</v>
      </c>
      <c r="B1427" s="9" t="s">
        <v>87</v>
      </c>
      <c r="C1427" s="11" t="s">
        <v>98</v>
      </c>
      <c r="D1427" s="9" t="s">
        <v>5759</v>
      </c>
      <c r="E1427" s="9" t="s">
        <v>5760</v>
      </c>
      <c r="F1427" s="9" t="s">
        <v>5761</v>
      </c>
      <c r="G1427" s="9" t="s">
        <v>24</v>
      </c>
      <c r="H1427" s="15" t="s">
        <v>23</v>
      </c>
      <c r="I1427" s="9" t="s">
        <v>5762</v>
      </c>
      <c r="J1427" s="13"/>
      <c r="K1427" s="13"/>
    </row>
    <row r="1428" customFormat="false" ht="23.85" hidden="false" customHeight="false" outlineLevel="0" collapsed="false">
      <c r="A1428" s="9" t="n">
        <v>1427</v>
      </c>
      <c r="B1428" s="9" t="s">
        <v>87</v>
      </c>
      <c r="C1428" s="11" t="s">
        <v>98</v>
      </c>
      <c r="D1428" s="9" t="s">
        <v>5763</v>
      </c>
      <c r="E1428" s="9" t="s">
        <v>5764</v>
      </c>
      <c r="F1428" s="9" t="s">
        <v>5765</v>
      </c>
      <c r="G1428" s="9" t="s">
        <v>24</v>
      </c>
      <c r="H1428" s="14" t="s">
        <v>22</v>
      </c>
      <c r="I1428" s="9" t="s">
        <v>5766</v>
      </c>
      <c r="J1428" s="13"/>
      <c r="K1428" s="13"/>
    </row>
    <row r="1429" customFormat="false" ht="23.85" hidden="false" customHeight="false" outlineLevel="0" collapsed="false">
      <c r="A1429" s="9" t="n">
        <v>1428</v>
      </c>
      <c r="B1429" s="9" t="s">
        <v>87</v>
      </c>
      <c r="C1429" s="11" t="s">
        <v>98</v>
      </c>
      <c r="D1429" s="9" t="s">
        <v>5767</v>
      </c>
      <c r="E1429" s="9" t="s">
        <v>5768</v>
      </c>
      <c r="F1429" s="9" t="s">
        <v>5769</v>
      </c>
      <c r="G1429" s="9" t="s">
        <v>24</v>
      </c>
      <c r="H1429" s="14" t="s">
        <v>22</v>
      </c>
      <c r="I1429" s="9" t="s">
        <v>5770</v>
      </c>
      <c r="J1429" s="13"/>
      <c r="K1429" s="13"/>
    </row>
    <row r="1430" customFormat="false" ht="23.85" hidden="false" customHeight="false" outlineLevel="0" collapsed="false">
      <c r="A1430" s="9" t="n">
        <v>1429</v>
      </c>
      <c r="B1430" s="9" t="s">
        <v>87</v>
      </c>
      <c r="C1430" s="11" t="s">
        <v>98</v>
      </c>
      <c r="D1430" s="9" t="s">
        <v>5771</v>
      </c>
      <c r="E1430" s="9" t="s">
        <v>5772</v>
      </c>
      <c r="F1430" s="9" t="s">
        <v>5773</v>
      </c>
      <c r="G1430" s="9" t="s">
        <v>24</v>
      </c>
      <c r="H1430" s="14" t="s">
        <v>22</v>
      </c>
      <c r="I1430" s="9" t="s">
        <v>434</v>
      </c>
      <c r="J1430" s="13"/>
      <c r="K1430" s="13"/>
    </row>
    <row r="1431" customFormat="false" ht="23.85" hidden="false" customHeight="false" outlineLevel="0" collapsed="false">
      <c r="A1431" s="9" t="n">
        <v>1430</v>
      </c>
      <c r="B1431" s="9" t="s">
        <v>87</v>
      </c>
      <c r="C1431" s="11" t="s">
        <v>98</v>
      </c>
      <c r="D1431" s="9" t="s">
        <v>5774</v>
      </c>
      <c r="E1431" s="9" t="s">
        <v>5775</v>
      </c>
      <c r="F1431" s="9" t="s">
        <v>5776</v>
      </c>
      <c r="G1431" s="9" t="s">
        <v>24</v>
      </c>
      <c r="H1431" s="15" t="s">
        <v>23</v>
      </c>
      <c r="I1431" s="9" t="s">
        <v>434</v>
      </c>
      <c r="J1431" s="13"/>
      <c r="K1431" s="13"/>
    </row>
    <row r="1432" customFormat="false" ht="23.85" hidden="false" customHeight="false" outlineLevel="0" collapsed="false">
      <c r="A1432" s="9" t="n">
        <v>1431</v>
      </c>
      <c r="B1432" s="9" t="s">
        <v>87</v>
      </c>
      <c r="C1432" s="11" t="s">
        <v>98</v>
      </c>
      <c r="D1432" s="9" t="s">
        <v>5777</v>
      </c>
      <c r="E1432" s="9" t="s">
        <v>358</v>
      </c>
      <c r="F1432" s="9" t="s">
        <v>5778</v>
      </c>
      <c r="G1432" s="9" t="s">
        <v>24</v>
      </c>
      <c r="H1432" s="14" t="s">
        <v>22</v>
      </c>
      <c r="I1432" s="9" t="s">
        <v>5550</v>
      </c>
      <c r="J1432" s="13"/>
      <c r="K1432" s="13"/>
    </row>
    <row r="1433" customFormat="false" ht="15" hidden="false" customHeight="false" outlineLevel="0" collapsed="false">
      <c r="A1433" s="9" t="n">
        <v>1432</v>
      </c>
      <c r="B1433" s="9" t="s">
        <v>87</v>
      </c>
      <c r="C1433" s="11" t="s">
        <v>98</v>
      </c>
      <c r="D1433" s="9" t="s">
        <v>5779</v>
      </c>
      <c r="E1433" s="9" t="s">
        <v>362</v>
      </c>
      <c r="F1433" s="9" t="s">
        <v>363</v>
      </c>
      <c r="G1433" s="9" t="s">
        <v>24</v>
      </c>
      <c r="H1433" s="14" t="s">
        <v>22</v>
      </c>
      <c r="I1433" s="9" t="s">
        <v>364</v>
      </c>
      <c r="J1433" s="13"/>
      <c r="K1433" s="13"/>
    </row>
    <row r="1434" customFormat="false" ht="23.85" hidden="false" customHeight="false" outlineLevel="0" collapsed="false">
      <c r="A1434" s="9" t="n">
        <v>1433</v>
      </c>
      <c r="B1434" s="9" t="s">
        <v>87</v>
      </c>
      <c r="C1434" s="11" t="s">
        <v>98</v>
      </c>
      <c r="D1434" s="9" t="s">
        <v>5780</v>
      </c>
      <c r="E1434" s="9" t="s">
        <v>5781</v>
      </c>
      <c r="F1434" s="9" t="s">
        <v>5782</v>
      </c>
      <c r="G1434" s="9" t="s">
        <v>24</v>
      </c>
      <c r="H1434" s="15" t="s">
        <v>23</v>
      </c>
      <c r="I1434" s="9" t="s">
        <v>5783</v>
      </c>
      <c r="J1434" s="13"/>
      <c r="K1434" s="13"/>
    </row>
    <row r="1435" customFormat="false" ht="23.85" hidden="false" customHeight="false" outlineLevel="0" collapsed="false">
      <c r="A1435" s="9" t="n">
        <v>1434</v>
      </c>
      <c r="B1435" s="9" t="s">
        <v>87</v>
      </c>
      <c r="C1435" s="11" t="s">
        <v>98</v>
      </c>
      <c r="D1435" s="9" t="s">
        <v>5784</v>
      </c>
      <c r="E1435" s="9" t="s">
        <v>5785</v>
      </c>
      <c r="F1435" s="9" t="s">
        <v>5566</v>
      </c>
      <c r="G1435" s="9" t="s">
        <v>24</v>
      </c>
      <c r="H1435" s="15" t="s">
        <v>23</v>
      </c>
      <c r="I1435" s="9" t="s">
        <v>2843</v>
      </c>
      <c r="J1435" s="13"/>
      <c r="K1435" s="13"/>
    </row>
    <row r="1436" customFormat="false" ht="23.85" hidden="false" customHeight="false" outlineLevel="0" collapsed="false">
      <c r="A1436" s="9" t="n">
        <v>1435</v>
      </c>
      <c r="B1436" s="9" t="s">
        <v>87</v>
      </c>
      <c r="C1436" s="11" t="s">
        <v>98</v>
      </c>
      <c r="D1436" s="9" t="s">
        <v>5786</v>
      </c>
      <c r="E1436" s="9" t="s">
        <v>5787</v>
      </c>
      <c r="F1436" s="9" t="s">
        <v>5788</v>
      </c>
      <c r="G1436" s="9" t="s">
        <v>24</v>
      </c>
      <c r="H1436" s="15" t="s">
        <v>23</v>
      </c>
      <c r="I1436" s="9" t="s">
        <v>5369</v>
      </c>
      <c r="J1436" s="13"/>
      <c r="K1436" s="13"/>
    </row>
    <row r="1437" customFormat="false" ht="113.4" hidden="false" customHeight="false" outlineLevel="0" collapsed="false">
      <c r="A1437" s="9" t="n">
        <v>1436</v>
      </c>
      <c r="B1437" s="9" t="s">
        <v>87</v>
      </c>
      <c r="C1437" s="11" t="s">
        <v>100</v>
      </c>
      <c r="D1437" s="9" t="s">
        <v>5789</v>
      </c>
      <c r="E1437" s="9" t="s">
        <v>5790</v>
      </c>
      <c r="F1437" s="9" t="s">
        <v>5791</v>
      </c>
      <c r="G1437" s="9" t="s">
        <v>303</v>
      </c>
      <c r="H1437" s="12" t="s">
        <v>21</v>
      </c>
      <c r="I1437" s="9" t="s">
        <v>5792</v>
      </c>
      <c r="J1437" s="13"/>
      <c r="K1437" s="13"/>
    </row>
    <row r="1438" customFormat="false" ht="79.85" hidden="false" customHeight="false" outlineLevel="0" collapsed="false">
      <c r="A1438" s="9" t="n">
        <v>1437</v>
      </c>
      <c r="B1438" s="9" t="s">
        <v>87</v>
      </c>
      <c r="C1438" s="11" t="s">
        <v>100</v>
      </c>
      <c r="D1438" s="9" t="s">
        <v>5793</v>
      </c>
      <c r="E1438" s="9" t="s">
        <v>5794</v>
      </c>
      <c r="F1438" s="9" t="s">
        <v>5795</v>
      </c>
      <c r="G1438" s="9" t="s">
        <v>303</v>
      </c>
      <c r="H1438" s="12" t="s">
        <v>21</v>
      </c>
      <c r="I1438" s="9" t="s">
        <v>5796</v>
      </c>
      <c r="J1438" s="13"/>
      <c r="K1438" s="13"/>
    </row>
    <row r="1439" customFormat="false" ht="113.4" hidden="false" customHeight="false" outlineLevel="0" collapsed="false">
      <c r="A1439" s="9" t="n">
        <v>1438</v>
      </c>
      <c r="B1439" s="9" t="s">
        <v>87</v>
      </c>
      <c r="C1439" s="11" t="s">
        <v>100</v>
      </c>
      <c r="D1439" s="9" t="s">
        <v>5797</v>
      </c>
      <c r="E1439" s="9" t="s">
        <v>5798</v>
      </c>
      <c r="F1439" s="9" t="s">
        <v>5799</v>
      </c>
      <c r="G1439" s="9" t="s">
        <v>308</v>
      </c>
      <c r="H1439" s="12" t="s">
        <v>21</v>
      </c>
      <c r="I1439" s="9" t="s">
        <v>5800</v>
      </c>
      <c r="J1439" s="13"/>
      <c r="K1439" s="13"/>
    </row>
    <row r="1440" customFormat="false" ht="102.2" hidden="false" customHeight="false" outlineLevel="0" collapsed="false">
      <c r="A1440" s="9" t="n">
        <v>1439</v>
      </c>
      <c r="B1440" s="9" t="s">
        <v>87</v>
      </c>
      <c r="C1440" s="11" t="s">
        <v>100</v>
      </c>
      <c r="D1440" s="9" t="s">
        <v>5801</v>
      </c>
      <c r="E1440" s="9" t="s">
        <v>5802</v>
      </c>
      <c r="F1440" s="9" t="s">
        <v>5803</v>
      </c>
      <c r="G1440" s="9" t="s">
        <v>1370</v>
      </c>
      <c r="H1440" s="12" t="s">
        <v>21</v>
      </c>
      <c r="I1440" s="9" t="s">
        <v>5804</v>
      </c>
      <c r="J1440" s="13"/>
      <c r="K1440" s="13"/>
    </row>
    <row r="1441" customFormat="false" ht="102.2" hidden="false" customHeight="false" outlineLevel="0" collapsed="false">
      <c r="A1441" s="9" t="n">
        <v>1440</v>
      </c>
      <c r="B1441" s="9" t="s">
        <v>87</v>
      </c>
      <c r="C1441" s="11" t="s">
        <v>100</v>
      </c>
      <c r="D1441" s="9" t="s">
        <v>5805</v>
      </c>
      <c r="E1441" s="9" t="s">
        <v>5806</v>
      </c>
      <c r="F1441" s="9" t="s">
        <v>5807</v>
      </c>
      <c r="G1441" s="9" t="s">
        <v>1613</v>
      </c>
      <c r="H1441" s="12" t="s">
        <v>21</v>
      </c>
      <c r="I1441" s="9" t="s">
        <v>5808</v>
      </c>
      <c r="J1441" s="13"/>
      <c r="K1441" s="13"/>
    </row>
    <row r="1442" customFormat="false" ht="68.65" hidden="false" customHeight="false" outlineLevel="0" collapsed="false">
      <c r="A1442" s="9" t="n">
        <v>1441</v>
      </c>
      <c r="B1442" s="9" t="s">
        <v>87</v>
      </c>
      <c r="C1442" s="11" t="s">
        <v>100</v>
      </c>
      <c r="D1442" s="9" t="s">
        <v>5809</v>
      </c>
      <c r="E1442" s="9" t="s">
        <v>5810</v>
      </c>
      <c r="F1442" s="9" t="s">
        <v>5811</v>
      </c>
      <c r="G1442" s="9" t="s">
        <v>1072</v>
      </c>
      <c r="H1442" s="14" t="s">
        <v>22</v>
      </c>
      <c r="I1442" s="9" t="s">
        <v>5812</v>
      </c>
      <c r="J1442" s="13"/>
      <c r="K1442" s="13"/>
    </row>
    <row r="1443" customFormat="false" ht="113.4" hidden="false" customHeight="false" outlineLevel="0" collapsed="false">
      <c r="A1443" s="9" t="n">
        <v>1442</v>
      </c>
      <c r="B1443" s="9" t="s">
        <v>87</v>
      </c>
      <c r="C1443" s="11" t="s">
        <v>100</v>
      </c>
      <c r="D1443" s="9" t="s">
        <v>5813</v>
      </c>
      <c r="E1443" s="9" t="s">
        <v>5814</v>
      </c>
      <c r="F1443" s="9" t="s">
        <v>5815</v>
      </c>
      <c r="G1443" s="9" t="s">
        <v>303</v>
      </c>
      <c r="H1443" s="14" t="s">
        <v>22</v>
      </c>
      <c r="I1443" s="9" t="s">
        <v>5816</v>
      </c>
      <c r="J1443" s="13"/>
      <c r="K1443" s="13"/>
    </row>
    <row r="1444" customFormat="false" ht="79.85" hidden="false" customHeight="false" outlineLevel="0" collapsed="false">
      <c r="A1444" s="9" t="n">
        <v>1443</v>
      </c>
      <c r="B1444" s="9" t="s">
        <v>87</v>
      </c>
      <c r="C1444" s="11" t="s">
        <v>100</v>
      </c>
      <c r="D1444" s="9" t="s">
        <v>5817</v>
      </c>
      <c r="E1444" s="9" t="s">
        <v>5818</v>
      </c>
      <c r="F1444" s="9" t="s">
        <v>5819</v>
      </c>
      <c r="G1444" s="9" t="s">
        <v>312</v>
      </c>
      <c r="H1444" s="14" t="s">
        <v>22</v>
      </c>
      <c r="I1444" s="9" t="s">
        <v>5820</v>
      </c>
      <c r="J1444" s="13"/>
      <c r="K1444" s="13"/>
    </row>
    <row r="1445" customFormat="false" ht="35.05" hidden="false" customHeight="false" outlineLevel="0" collapsed="false">
      <c r="A1445" s="9" t="n">
        <v>1444</v>
      </c>
      <c r="B1445" s="9" t="s">
        <v>87</v>
      </c>
      <c r="C1445" s="11" t="s">
        <v>100</v>
      </c>
      <c r="D1445" s="9" t="s">
        <v>5821</v>
      </c>
      <c r="E1445" s="9" t="s">
        <v>5822</v>
      </c>
      <c r="F1445" s="9" t="s">
        <v>5823</v>
      </c>
      <c r="G1445" s="9" t="s">
        <v>312</v>
      </c>
      <c r="H1445" s="14" t="s">
        <v>22</v>
      </c>
      <c r="I1445" s="9" t="s">
        <v>5824</v>
      </c>
      <c r="J1445" s="13"/>
      <c r="K1445" s="13"/>
    </row>
    <row r="1446" customFormat="false" ht="91" hidden="false" customHeight="false" outlineLevel="0" collapsed="false">
      <c r="A1446" s="9" t="n">
        <v>1445</v>
      </c>
      <c r="B1446" s="9" t="s">
        <v>87</v>
      </c>
      <c r="C1446" s="11" t="s">
        <v>100</v>
      </c>
      <c r="D1446" s="9" t="s">
        <v>5825</v>
      </c>
      <c r="E1446" s="9" t="s">
        <v>5826</v>
      </c>
      <c r="F1446" s="9" t="s">
        <v>5827</v>
      </c>
      <c r="G1446" s="9" t="s">
        <v>1085</v>
      </c>
      <c r="H1446" s="14" t="s">
        <v>22</v>
      </c>
      <c r="I1446" s="9" t="s">
        <v>5828</v>
      </c>
      <c r="J1446" s="13"/>
      <c r="K1446" s="13"/>
    </row>
    <row r="1447" customFormat="false" ht="46.25" hidden="false" customHeight="false" outlineLevel="0" collapsed="false">
      <c r="A1447" s="9" t="n">
        <v>1446</v>
      </c>
      <c r="B1447" s="9" t="s">
        <v>87</v>
      </c>
      <c r="C1447" s="11" t="s">
        <v>100</v>
      </c>
      <c r="D1447" s="9" t="s">
        <v>5829</v>
      </c>
      <c r="E1447" s="9" t="s">
        <v>5830</v>
      </c>
      <c r="F1447" s="9" t="s">
        <v>5831</v>
      </c>
      <c r="G1447" s="9" t="s">
        <v>5832</v>
      </c>
      <c r="H1447" s="14" t="s">
        <v>22</v>
      </c>
      <c r="I1447" s="9" t="s">
        <v>5833</v>
      </c>
      <c r="J1447" s="13"/>
      <c r="K1447" s="13"/>
    </row>
    <row r="1448" customFormat="false" ht="79.85" hidden="false" customHeight="false" outlineLevel="0" collapsed="false">
      <c r="A1448" s="9" t="n">
        <v>1447</v>
      </c>
      <c r="B1448" s="9" t="s">
        <v>87</v>
      </c>
      <c r="C1448" s="11" t="s">
        <v>100</v>
      </c>
      <c r="D1448" s="9" t="s">
        <v>5834</v>
      </c>
      <c r="E1448" s="9" t="s">
        <v>5835</v>
      </c>
      <c r="F1448" s="9" t="s">
        <v>5836</v>
      </c>
      <c r="G1448" s="9" t="s">
        <v>1852</v>
      </c>
      <c r="H1448" s="14" t="s">
        <v>22</v>
      </c>
      <c r="I1448" s="9" t="s">
        <v>5837</v>
      </c>
      <c r="J1448" s="13"/>
      <c r="K1448" s="13"/>
    </row>
    <row r="1449" customFormat="false" ht="91" hidden="false" customHeight="false" outlineLevel="0" collapsed="false">
      <c r="A1449" s="9" t="n">
        <v>1448</v>
      </c>
      <c r="B1449" s="9" t="s">
        <v>87</v>
      </c>
      <c r="C1449" s="11" t="s">
        <v>100</v>
      </c>
      <c r="D1449" s="9" t="s">
        <v>5838</v>
      </c>
      <c r="E1449" s="9" t="s">
        <v>5839</v>
      </c>
      <c r="F1449" s="9" t="s">
        <v>5840</v>
      </c>
      <c r="G1449" s="9" t="s">
        <v>1063</v>
      </c>
      <c r="H1449" s="14" t="s">
        <v>22</v>
      </c>
      <c r="I1449" s="9" t="s">
        <v>5841</v>
      </c>
      <c r="J1449" s="13"/>
      <c r="K1449" s="13"/>
    </row>
    <row r="1450" customFormat="false" ht="57.45" hidden="false" customHeight="false" outlineLevel="0" collapsed="false">
      <c r="A1450" s="9" t="n">
        <v>1449</v>
      </c>
      <c r="B1450" s="9" t="s">
        <v>87</v>
      </c>
      <c r="C1450" s="11" t="s">
        <v>100</v>
      </c>
      <c r="D1450" s="9" t="s">
        <v>5842</v>
      </c>
      <c r="E1450" s="9" t="s">
        <v>5843</v>
      </c>
      <c r="F1450" s="9" t="s">
        <v>5844</v>
      </c>
      <c r="G1450" s="9" t="s">
        <v>328</v>
      </c>
      <c r="H1450" s="14" t="s">
        <v>22</v>
      </c>
      <c r="I1450" s="9" t="s">
        <v>5845</v>
      </c>
      <c r="J1450" s="13"/>
      <c r="K1450" s="13"/>
    </row>
    <row r="1451" customFormat="false" ht="57.45" hidden="false" customHeight="false" outlineLevel="0" collapsed="false">
      <c r="A1451" s="9" t="n">
        <v>1450</v>
      </c>
      <c r="B1451" s="9" t="s">
        <v>87</v>
      </c>
      <c r="C1451" s="11" t="s">
        <v>100</v>
      </c>
      <c r="D1451" s="9" t="s">
        <v>5846</v>
      </c>
      <c r="E1451" s="9" t="s">
        <v>5847</v>
      </c>
      <c r="F1451" s="9" t="s">
        <v>5848</v>
      </c>
      <c r="G1451" s="9" t="s">
        <v>317</v>
      </c>
      <c r="H1451" s="14" t="s">
        <v>22</v>
      </c>
      <c r="I1451" s="9" t="s">
        <v>5849</v>
      </c>
      <c r="J1451" s="13"/>
      <c r="K1451" s="13"/>
    </row>
    <row r="1452" customFormat="false" ht="46.25" hidden="false" customHeight="false" outlineLevel="0" collapsed="false">
      <c r="A1452" s="9" t="n">
        <v>1451</v>
      </c>
      <c r="B1452" s="9" t="s">
        <v>87</v>
      </c>
      <c r="C1452" s="11" t="s">
        <v>100</v>
      </c>
      <c r="D1452" s="9" t="s">
        <v>5850</v>
      </c>
      <c r="E1452" s="9" t="s">
        <v>5851</v>
      </c>
      <c r="F1452" s="9" t="s">
        <v>5852</v>
      </c>
      <c r="G1452" s="9" t="s">
        <v>1643</v>
      </c>
      <c r="H1452" s="14" t="s">
        <v>22</v>
      </c>
      <c r="I1452" s="9" t="s">
        <v>5853</v>
      </c>
      <c r="J1452" s="13"/>
      <c r="K1452" s="13"/>
    </row>
    <row r="1453" customFormat="false" ht="79.85" hidden="false" customHeight="false" outlineLevel="0" collapsed="false">
      <c r="A1453" s="9" t="n">
        <v>1452</v>
      </c>
      <c r="B1453" s="9" t="s">
        <v>87</v>
      </c>
      <c r="C1453" s="11" t="s">
        <v>100</v>
      </c>
      <c r="D1453" s="9" t="s">
        <v>5854</v>
      </c>
      <c r="E1453" s="9" t="s">
        <v>5855</v>
      </c>
      <c r="F1453" s="9" t="s">
        <v>5856</v>
      </c>
      <c r="G1453" s="9" t="s">
        <v>5016</v>
      </c>
      <c r="H1453" s="14" t="s">
        <v>22</v>
      </c>
      <c r="I1453" s="9" t="s">
        <v>5857</v>
      </c>
      <c r="J1453" s="13"/>
      <c r="K1453" s="13"/>
    </row>
    <row r="1454" customFormat="false" ht="68.65" hidden="false" customHeight="false" outlineLevel="0" collapsed="false">
      <c r="A1454" s="9" t="n">
        <v>1453</v>
      </c>
      <c r="B1454" s="9" t="s">
        <v>87</v>
      </c>
      <c r="C1454" s="11" t="s">
        <v>100</v>
      </c>
      <c r="D1454" s="9" t="s">
        <v>5858</v>
      </c>
      <c r="E1454" s="9" t="s">
        <v>5859</v>
      </c>
      <c r="F1454" s="9" t="s">
        <v>5860</v>
      </c>
      <c r="G1454" s="9" t="s">
        <v>312</v>
      </c>
      <c r="H1454" s="14" t="s">
        <v>22</v>
      </c>
      <c r="I1454" s="9" t="s">
        <v>5861</v>
      </c>
      <c r="J1454" s="13"/>
      <c r="K1454" s="13"/>
    </row>
    <row r="1455" customFormat="false" ht="57.45" hidden="false" customHeight="false" outlineLevel="0" collapsed="false">
      <c r="A1455" s="9" t="n">
        <v>1454</v>
      </c>
      <c r="B1455" s="9" t="s">
        <v>87</v>
      </c>
      <c r="C1455" s="11" t="s">
        <v>100</v>
      </c>
      <c r="D1455" s="9" t="s">
        <v>5862</v>
      </c>
      <c r="E1455" s="9" t="s">
        <v>5863</v>
      </c>
      <c r="F1455" s="9" t="s">
        <v>5864</v>
      </c>
      <c r="G1455" s="9" t="s">
        <v>308</v>
      </c>
      <c r="H1455" s="15" t="s">
        <v>23</v>
      </c>
      <c r="I1455" s="9" t="s">
        <v>5865</v>
      </c>
      <c r="J1455" s="13"/>
      <c r="K1455" s="13"/>
    </row>
    <row r="1456" customFormat="false" ht="35.05" hidden="false" customHeight="false" outlineLevel="0" collapsed="false">
      <c r="A1456" s="9" t="n">
        <v>1455</v>
      </c>
      <c r="B1456" s="9" t="s">
        <v>87</v>
      </c>
      <c r="C1456" s="11" t="s">
        <v>100</v>
      </c>
      <c r="D1456" s="9" t="s">
        <v>5866</v>
      </c>
      <c r="E1456" s="9" t="s">
        <v>5867</v>
      </c>
      <c r="F1456" s="9" t="s">
        <v>5868</v>
      </c>
      <c r="G1456" s="9" t="s">
        <v>308</v>
      </c>
      <c r="H1456" s="15" t="s">
        <v>23</v>
      </c>
      <c r="I1456" s="9" t="s">
        <v>5869</v>
      </c>
      <c r="J1456" s="13"/>
      <c r="K1456" s="13"/>
    </row>
    <row r="1457" customFormat="false" ht="57.45" hidden="false" customHeight="false" outlineLevel="0" collapsed="false">
      <c r="A1457" s="9" t="n">
        <v>1456</v>
      </c>
      <c r="B1457" s="9" t="s">
        <v>87</v>
      </c>
      <c r="C1457" s="11" t="s">
        <v>100</v>
      </c>
      <c r="D1457" s="9" t="s">
        <v>5870</v>
      </c>
      <c r="E1457" s="9" t="s">
        <v>5871</v>
      </c>
      <c r="F1457" s="9" t="s">
        <v>5872</v>
      </c>
      <c r="G1457" s="9" t="s">
        <v>324</v>
      </c>
      <c r="H1457" s="15" t="s">
        <v>23</v>
      </c>
      <c r="I1457" s="9" t="s">
        <v>5873</v>
      </c>
      <c r="J1457" s="13"/>
      <c r="K1457" s="13"/>
    </row>
    <row r="1458" customFormat="false" ht="68.65" hidden="false" customHeight="false" outlineLevel="0" collapsed="false">
      <c r="A1458" s="9" t="n">
        <v>1457</v>
      </c>
      <c r="B1458" s="9" t="s">
        <v>87</v>
      </c>
      <c r="C1458" s="11" t="s">
        <v>100</v>
      </c>
      <c r="D1458" s="9" t="s">
        <v>5874</v>
      </c>
      <c r="E1458" s="9" t="s">
        <v>5875</v>
      </c>
      <c r="F1458" s="9" t="s">
        <v>5876</v>
      </c>
      <c r="G1458" s="9" t="s">
        <v>328</v>
      </c>
      <c r="H1458" s="15" t="s">
        <v>23</v>
      </c>
      <c r="I1458" s="9" t="s">
        <v>5877</v>
      </c>
      <c r="J1458" s="13"/>
      <c r="K1458" s="13"/>
    </row>
    <row r="1459" customFormat="false" ht="46.25" hidden="false" customHeight="false" outlineLevel="0" collapsed="false">
      <c r="A1459" s="9" t="n">
        <v>1458</v>
      </c>
      <c r="B1459" s="9" t="s">
        <v>87</v>
      </c>
      <c r="C1459" s="11" t="s">
        <v>100</v>
      </c>
      <c r="D1459" s="9" t="s">
        <v>5878</v>
      </c>
      <c r="E1459" s="9" t="s">
        <v>5879</v>
      </c>
      <c r="F1459" s="9" t="s">
        <v>5880</v>
      </c>
      <c r="G1459" s="9" t="s">
        <v>1072</v>
      </c>
      <c r="H1459" s="15" t="s">
        <v>23</v>
      </c>
      <c r="I1459" s="9" t="s">
        <v>5881</v>
      </c>
      <c r="J1459" s="13"/>
      <c r="K1459" s="13"/>
    </row>
    <row r="1460" customFormat="false" ht="46.25" hidden="false" customHeight="false" outlineLevel="0" collapsed="false">
      <c r="A1460" s="9" t="n">
        <v>1459</v>
      </c>
      <c r="B1460" s="9" t="s">
        <v>87</v>
      </c>
      <c r="C1460" s="11" t="s">
        <v>100</v>
      </c>
      <c r="D1460" s="9" t="s">
        <v>5882</v>
      </c>
      <c r="E1460" s="9" t="s">
        <v>5883</v>
      </c>
      <c r="F1460" s="9" t="s">
        <v>5884</v>
      </c>
      <c r="G1460" s="9" t="s">
        <v>317</v>
      </c>
      <c r="H1460" s="15" t="s">
        <v>23</v>
      </c>
      <c r="I1460" s="9" t="s">
        <v>5885</v>
      </c>
      <c r="J1460" s="13"/>
      <c r="K1460" s="13"/>
    </row>
    <row r="1461" customFormat="false" ht="46.25" hidden="false" customHeight="false" outlineLevel="0" collapsed="false">
      <c r="A1461" s="9" t="n">
        <v>1460</v>
      </c>
      <c r="B1461" s="9" t="s">
        <v>87</v>
      </c>
      <c r="C1461" s="11" t="s">
        <v>100</v>
      </c>
      <c r="D1461" s="9" t="s">
        <v>5886</v>
      </c>
      <c r="E1461" s="9" t="s">
        <v>5887</v>
      </c>
      <c r="F1461" s="9" t="s">
        <v>5888</v>
      </c>
      <c r="G1461" s="9" t="s">
        <v>328</v>
      </c>
      <c r="H1461" s="15" t="s">
        <v>23</v>
      </c>
      <c r="I1461" s="9" t="s">
        <v>5889</v>
      </c>
      <c r="J1461" s="13"/>
      <c r="K1461" s="13"/>
    </row>
    <row r="1462" customFormat="false" ht="57.45" hidden="false" customHeight="false" outlineLevel="0" collapsed="false">
      <c r="A1462" s="9" t="n">
        <v>1461</v>
      </c>
      <c r="B1462" s="9" t="s">
        <v>87</v>
      </c>
      <c r="C1462" s="11" t="s">
        <v>100</v>
      </c>
      <c r="D1462" s="9" t="s">
        <v>5890</v>
      </c>
      <c r="E1462" s="9" t="s">
        <v>5891</v>
      </c>
      <c r="F1462" s="9" t="s">
        <v>5892</v>
      </c>
      <c r="G1462" s="9" t="s">
        <v>392</v>
      </c>
      <c r="H1462" s="15" t="s">
        <v>23</v>
      </c>
      <c r="I1462" s="9" t="s">
        <v>5893</v>
      </c>
      <c r="J1462" s="13"/>
      <c r="K1462" s="13"/>
    </row>
    <row r="1463" customFormat="false" ht="46.25" hidden="false" customHeight="false" outlineLevel="0" collapsed="false">
      <c r="A1463" s="9" t="n">
        <v>1462</v>
      </c>
      <c r="B1463" s="9" t="s">
        <v>87</v>
      </c>
      <c r="C1463" s="11" t="s">
        <v>100</v>
      </c>
      <c r="D1463" s="9" t="s">
        <v>5894</v>
      </c>
      <c r="E1463" s="9" t="s">
        <v>5895</v>
      </c>
      <c r="F1463" s="9" t="s">
        <v>5896</v>
      </c>
      <c r="G1463" s="9" t="s">
        <v>328</v>
      </c>
      <c r="H1463" s="15" t="s">
        <v>23</v>
      </c>
      <c r="I1463" s="9" t="s">
        <v>5897</v>
      </c>
      <c r="J1463" s="13"/>
      <c r="K1463" s="13"/>
    </row>
    <row r="1464" customFormat="false" ht="46.25" hidden="false" customHeight="false" outlineLevel="0" collapsed="false">
      <c r="A1464" s="9" t="n">
        <v>1463</v>
      </c>
      <c r="B1464" s="9" t="s">
        <v>87</v>
      </c>
      <c r="C1464" s="11" t="s">
        <v>100</v>
      </c>
      <c r="D1464" s="9" t="s">
        <v>5898</v>
      </c>
      <c r="E1464" s="9" t="s">
        <v>5899</v>
      </c>
      <c r="F1464" s="9" t="s">
        <v>5900</v>
      </c>
      <c r="G1464" s="9" t="s">
        <v>4146</v>
      </c>
      <c r="H1464" s="15" t="s">
        <v>23</v>
      </c>
      <c r="I1464" s="9" t="s">
        <v>5901</v>
      </c>
      <c r="J1464" s="13"/>
      <c r="K1464" s="13"/>
    </row>
    <row r="1465" customFormat="false" ht="35.05" hidden="false" customHeight="false" outlineLevel="0" collapsed="false">
      <c r="A1465" s="9" t="n">
        <v>1464</v>
      </c>
      <c r="B1465" s="9" t="s">
        <v>87</v>
      </c>
      <c r="C1465" s="11" t="s">
        <v>100</v>
      </c>
      <c r="D1465" s="9" t="s">
        <v>5902</v>
      </c>
      <c r="E1465" s="9" t="s">
        <v>5903</v>
      </c>
      <c r="F1465" s="9" t="s">
        <v>5904</v>
      </c>
      <c r="G1465" s="9" t="s">
        <v>317</v>
      </c>
      <c r="H1465" s="15" t="s">
        <v>23</v>
      </c>
      <c r="I1465" s="9" t="s">
        <v>5905</v>
      </c>
      <c r="J1465" s="13"/>
      <c r="K1465" s="13"/>
    </row>
    <row r="1466" customFormat="false" ht="35.05" hidden="false" customHeight="false" outlineLevel="0" collapsed="false">
      <c r="A1466" s="9" t="n">
        <v>1465</v>
      </c>
      <c r="B1466" s="9" t="s">
        <v>87</v>
      </c>
      <c r="C1466" s="11" t="s">
        <v>100</v>
      </c>
      <c r="D1466" s="9" t="s">
        <v>5906</v>
      </c>
      <c r="E1466" s="9" t="s">
        <v>5907</v>
      </c>
      <c r="F1466" s="9" t="s">
        <v>5908</v>
      </c>
      <c r="G1466" s="9" t="s">
        <v>1072</v>
      </c>
      <c r="H1466" s="15" t="s">
        <v>23</v>
      </c>
      <c r="I1466" s="9" t="s">
        <v>5909</v>
      </c>
      <c r="J1466" s="13"/>
      <c r="K1466" s="13"/>
    </row>
    <row r="1467" customFormat="false" ht="23.85" hidden="false" customHeight="false" outlineLevel="0" collapsed="false">
      <c r="A1467" s="9" t="n">
        <v>1466</v>
      </c>
      <c r="B1467" s="9" t="s">
        <v>87</v>
      </c>
      <c r="C1467" s="11" t="s">
        <v>100</v>
      </c>
      <c r="D1467" s="9" t="s">
        <v>5910</v>
      </c>
      <c r="E1467" s="9" t="s">
        <v>5911</v>
      </c>
      <c r="F1467" s="9" t="s">
        <v>5912</v>
      </c>
      <c r="G1467" s="9" t="s">
        <v>1072</v>
      </c>
      <c r="H1467" s="15" t="s">
        <v>23</v>
      </c>
      <c r="I1467" s="9" t="s">
        <v>5913</v>
      </c>
      <c r="J1467" s="13"/>
      <c r="K1467" s="13"/>
    </row>
    <row r="1468" customFormat="false" ht="35.05" hidden="false" customHeight="false" outlineLevel="0" collapsed="false">
      <c r="A1468" s="9" t="n">
        <v>1467</v>
      </c>
      <c r="B1468" s="9" t="s">
        <v>87</v>
      </c>
      <c r="C1468" s="11" t="s">
        <v>100</v>
      </c>
      <c r="D1468" s="9" t="s">
        <v>5914</v>
      </c>
      <c r="E1468" s="9" t="s">
        <v>5915</v>
      </c>
      <c r="F1468" s="9" t="s">
        <v>5916</v>
      </c>
      <c r="G1468" s="9" t="s">
        <v>1072</v>
      </c>
      <c r="H1468" s="15" t="s">
        <v>23</v>
      </c>
      <c r="I1468" s="9" t="s">
        <v>5917</v>
      </c>
      <c r="J1468" s="13"/>
      <c r="K1468" s="13"/>
    </row>
    <row r="1469" customFormat="false" ht="23.85" hidden="false" customHeight="false" outlineLevel="0" collapsed="false">
      <c r="A1469" s="9" t="n">
        <v>1468</v>
      </c>
      <c r="B1469" s="9" t="s">
        <v>87</v>
      </c>
      <c r="C1469" s="11" t="s">
        <v>100</v>
      </c>
      <c r="D1469" s="9" t="s">
        <v>5918</v>
      </c>
      <c r="E1469" s="9" t="s">
        <v>5919</v>
      </c>
      <c r="F1469" s="9" t="s">
        <v>5920</v>
      </c>
      <c r="G1469" s="9" t="s">
        <v>324</v>
      </c>
      <c r="H1469" s="15" t="s">
        <v>23</v>
      </c>
      <c r="I1469" s="9" t="s">
        <v>5921</v>
      </c>
      <c r="J1469" s="13"/>
      <c r="K1469" s="13"/>
    </row>
    <row r="1470" customFormat="false" ht="35.05" hidden="false" customHeight="false" outlineLevel="0" collapsed="false">
      <c r="A1470" s="9" t="n">
        <v>1469</v>
      </c>
      <c r="B1470" s="9" t="s">
        <v>87</v>
      </c>
      <c r="C1470" s="11" t="s">
        <v>100</v>
      </c>
      <c r="D1470" s="9" t="s">
        <v>5922</v>
      </c>
      <c r="E1470" s="9" t="s">
        <v>5923</v>
      </c>
      <c r="F1470" s="9" t="s">
        <v>5924</v>
      </c>
      <c r="G1470" s="9" t="s">
        <v>24</v>
      </c>
      <c r="H1470" s="14" t="s">
        <v>22</v>
      </c>
      <c r="I1470" s="9" t="s">
        <v>5925</v>
      </c>
      <c r="J1470" s="13"/>
      <c r="K1470" s="13"/>
    </row>
    <row r="1471" customFormat="false" ht="46.25" hidden="false" customHeight="false" outlineLevel="0" collapsed="false">
      <c r="A1471" s="9" t="n">
        <v>1470</v>
      </c>
      <c r="B1471" s="9" t="s">
        <v>87</v>
      </c>
      <c r="C1471" s="11" t="s">
        <v>100</v>
      </c>
      <c r="D1471" s="9" t="s">
        <v>5926</v>
      </c>
      <c r="E1471" s="9" t="s">
        <v>5927</v>
      </c>
      <c r="F1471" s="9" t="s">
        <v>5928</v>
      </c>
      <c r="G1471" s="9" t="s">
        <v>24</v>
      </c>
      <c r="H1471" s="14" t="s">
        <v>22</v>
      </c>
      <c r="I1471" s="9" t="s">
        <v>5929</v>
      </c>
      <c r="J1471" s="13"/>
      <c r="K1471" s="13"/>
    </row>
    <row r="1472" customFormat="false" ht="23.85" hidden="false" customHeight="false" outlineLevel="0" collapsed="false">
      <c r="A1472" s="9" t="n">
        <v>1471</v>
      </c>
      <c r="B1472" s="9" t="s">
        <v>87</v>
      </c>
      <c r="C1472" s="11" t="s">
        <v>100</v>
      </c>
      <c r="D1472" s="9" t="s">
        <v>5930</v>
      </c>
      <c r="E1472" s="9" t="s">
        <v>5931</v>
      </c>
      <c r="F1472" s="9" t="s">
        <v>5932</v>
      </c>
      <c r="G1472" s="9" t="s">
        <v>24</v>
      </c>
      <c r="H1472" s="14" t="s">
        <v>22</v>
      </c>
      <c r="I1472" s="9" t="s">
        <v>5339</v>
      </c>
      <c r="J1472" s="13"/>
      <c r="K1472" s="13"/>
    </row>
    <row r="1473" customFormat="false" ht="15" hidden="false" customHeight="false" outlineLevel="0" collapsed="false">
      <c r="A1473" s="9" t="n">
        <v>1472</v>
      </c>
      <c r="B1473" s="9" t="s">
        <v>87</v>
      </c>
      <c r="C1473" s="11" t="s">
        <v>100</v>
      </c>
      <c r="D1473" s="9" t="s">
        <v>5933</v>
      </c>
      <c r="E1473" s="9" t="s">
        <v>5934</v>
      </c>
      <c r="F1473" s="9" t="s">
        <v>5935</v>
      </c>
      <c r="G1473" s="9" t="s">
        <v>24</v>
      </c>
      <c r="H1473" s="14" t="s">
        <v>22</v>
      </c>
      <c r="I1473" s="9" t="s">
        <v>5339</v>
      </c>
      <c r="J1473" s="13"/>
      <c r="K1473" s="13"/>
    </row>
    <row r="1474" customFormat="false" ht="23.85" hidden="false" customHeight="false" outlineLevel="0" collapsed="false">
      <c r="A1474" s="9" t="n">
        <v>1473</v>
      </c>
      <c r="B1474" s="9" t="s">
        <v>87</v>
      </c>
      <c r="C1474" s="11" t="s">
        <v>100</v>
      </c>
      <c r="D1474" s="9" t="s">
        <v>5936</v>
      </c>
      <c r="E1474" s="9" t="s">
        <v>5937</v>
      </c>
      <c r="F1474" s="9" t="s">
        <v>5938</v>
      </c>
      <c r="G1474" s="9" t="s">
        <v>24</v>
      </c>
      <c r="H1474" s="14" t="s">
        <v>22</v>
      </c>
      <c r="I1474" s="9" t="s">
        <v>5939</v>
      </c>
      <c r="J1474" s="13"/>
      <c r="K1474" s="13"/>
    </row>
    <row r="1475" customFormat="false" ht="46.25" hidden="false" customHeight="false" outlineLevel="0" collapsed="false">
      <c r="A1475" s="9" t="n">
        <v>1474</v>
      </c>
      <c r="B1475" s="9" t="s">
        <v>87</v>
      </c>
      <c r="C1475" s="11" t="s">
        <v>100</v>
      </c>
      <c r="D1475" s="9" t="s">
        <v>5940</v>
      </c>
      <c r="E1475" s="9" t="s">
        <v>5941</v>
      </c>
      <c r="F1475" s="9" t="s">
        <v>5942</v>
      </c>
      <c r="G1475" s="9" t="s">
        <v>24</v>
      </c>
      <c r="H1475" s="14" t="s">
        <v>22</v>
      </c>
      <c r="I1475" s="9" t="s">
        <v>5943</v>
      </c>
      <c r="J1475" s="13"/>
      <c r="K1475" s="13"/>
    </row>
    <row r="1476" customFormat="false" ht="23.85" hidden="false" customHeight="false" outlineLevel="0" collapsed="false">
      <c r="A1476" s="9" t="n">
        <v>1475</v>
      </c>
      <c r="B1476" s="9" t="s">
        <v>87</v>
      </c>
      <c r="C1476" s="11" t="s">
        <v>100</v>
      </c>
      <c r="D1476" s="9" t="s">
        <v>5944</v>
      </c>
      <c r="E1476" s="9" t="s">
        <v>5945</v>
      </c>
      <c r="F1476" s="9" t="s">
        <v>5946</v>
      </c>
      <c r="G1476" s="9" t="s">
        <v>24</v>
      </c>
      <c r="H1476" s="14" t="s">
        <v>22</v>
      </c>
      <c r="I1476" s="9" t="s">
        <v>5947</v>
      </c>
      <c r="J1476" s="13"/>
      <c r="K1476" s="13"/>
    </row>
    <row r="1477" customFormat="false" ht="15" hidden="false" customHeight="false" outlineLevel="0" collapsed="false">
      <c r="A1477" s="9" t="n">
        <v>1476</v>
      </c>
      <c r="B1477" s="9" t="s">
        <v>87</v>
      </c>
      <c r="C1477" s="11" t="s">
        <v>100</v>
      </c>
      <c r="D1477" s="9" t="s">
        <v>5948</v>
      </c>
      <c r="E1477" s="9" t="s">
        <v>5949</v>
      </c>
      <c r="F1477" s="9" t="s">
        <v>5950</v>
      </c>
      <c r="G1477" s="9" t="s">
        <v>24</v>
      </c>
      <c r="H1477" s="15" t="s">
        <v>23</v>
      </c>
      <c r="I1477" s="9" t="s">
        <v>5951</v>
      </c>
      <c r="J1477" s="13"/>
      <c r="K1477" s="13"/>
    </row>
    <row r="1478" customFormat="false" ht="23.85" hidden="false" customHeight="false" outlineLevel="0" collapsed="false">
      <c r="A1478" s="9" t="n">
        <v>1477</v>
      </c>
      <c r="B1478" s="9" t="s">
        <v>87</v>
      </c>
      <c r="C1478" s="11" t="s">
        <v>100</v>
      </c>
      <c r="D1478" s="9" t="s">
        <v>5952</v>
      </c>
      <c r="E1478" s="9" t="s">
        <v>358</v>
      </c>
      <c r="F1478" s="9" t="s">
        <v>5953</v>
      </c>
      <c r="G1478" s="9" t="s">
        <v>24</v>
      </c>
      <c r="H1478" s="14" t="s">
        <v>22</v>
      </c>
      <c r="I1478" s="9" t="s">
        <v>5550</v>
      </c>
      <c r="J1478" s="13"/>
      <c r="K1478" s="13"/>
    </row>
    <row r="1479" customFormat="false" ht="15" hidden="false" customHeight="false" outlineLevel="0" collapsed="false">
      <c r="A1479" s="9" t="n">
        <v>1478</v>
      </c>
      <c r="B1479" s="9" t="s">
        <v>87</v>
      </c>
      <c r="C1479" s="11" t="s">
        <v>100</v>
      </c>
      <c r="D1479" s="9" t="s">
        <v>5954</v>
      </c>
      <c r="E1479" s="9" t="s">
        <v>362</v>
      </c>
      <c r="F1479" s="9" t="s">
        <v>363</v>
      </c>
      <c r="G1479" s="9" t="s">
        <v>24</v>
      </c>
      <c r="H1479" s="14" t="s">
        <v>22</v>
      </c>
      <c r="I1479" s="9" t="s">
        <v>364</v>
      </c>
      <c r="J1479" s="13"/>
      <c r="K1479" s="13"/>
    </row>
    <row r="1480" customFormat="false" ht="35.05" hidden="false" customHeight="false" outlineLevel="0" collapsed="false">
      <c r="A1480" s="9" t="n">
        <v>1479</v>
      </c>
      <c r="B1480" s="9" t="s">
        <v>87</v>
      </c>
      <c r="C1480" s="11" t="s">
        <v>100</v>
      </c>
      <c r="D1480" s="9" t="s">
        <v>5955</v>
      </c>
      <c r="E1480" s="9" t="s">
        <v>5956</v>
      </c>
      <c r="F1480" s="9" t="s">
        <v>5957</v>
      </c>
      <c r="G1480" s="9" t="s">
        <v>24</v>
      </c>
      <c r="H1480" s="15" t="s">
        <v>23</v>
      </c>
      <c r="I1480" s="9" t="s">
        <v>5958</v>
      </c>
      <c r="J1480" s="13"/>
      <c r="K1480" s="13"/>
    </row>
    <row r="1481" customFormat="false" ht="23.85" hidden="false" customHeight="false" outlineLevel="0" collapsed="false">
      <c r="A1481" s="9" t="n">
        <v>1480</v>
      </c>
      <c r="B1481" s="9" t="s">
        <v>87</v>
      </c>
      <c r="C1481" s="11" t="s">
        <v>100</v>
      </c>
      <c r="D1481" s="9" t="s">
        <v>5959</v>
      </c>
      <c r="E1481" s="9" t="s">
        <v>4312</v>
      </c>
      <c r="F1481" s="9" t="s">
        <v>5960</v>
      </c>
      <c r="G1481" s="9" t="s">
        <v>24</v>
      </c>
      <c r="H1481" s="15" t="s">
        <v>23</v>
      </c>
      <c r="I1481" s="9" t="s">
        <v>5961</v>
      </c>
      <c r="J1481" s="13"/>
      <c r="K1481" s="13"/>
    </row>
    <row r="1482" customFormat="false" ht="15" hidden="false" customHeight="false" outlineLevel="0" collapsed="false">
      <c r="A1482" s="9" t="n">
        <v>1481</v>
      </c>
      <c r="B1482" s="9" t="s">
        <v>87</v>
      </c>
      <c r="C1482" s="11" t="s">
        <v>100</v>
      </c>
      <c r="D1482" s="9" t="s">
        <v>5962</v>
      </c>
      <c r="E1482" s="9" t="s">
        <v>5963</v>
      </c>
      <c r="F1482" s="9" t="s">
        <v>5964</v>
      </c>
      <c r="G1482" s="9" t="s">
        <v>24</v>
      </c>
      <c r="H1482" s="15" t="s">
        <v>23</v>
      </c>
      <c r="I1482" s="9" t="s">
        <v>5369</v>
      </c>
      <c r="J1482" s="13"/>
      <c r="K1482" s="13"/>
    </row>
    <row r="1483" customFormat="false" ht="23.85" hidden="false" customHeight="false" outlineLevel="0" collapsed="false">
      <c r="A1483" s="9" t="n">
        <v>1482</v>
      </c>
      <c r="B1483" s="9" t="s">
        <v>87</v>
      </c>
      <c r="C1483" s="11" t="s">
        <v>100</v>
      </c>
      <c r="D1483" s="9" t="s">
        <v>5965</v>
      </c>
      <c r="E1483" s="9" t="s">
        <v>5966</v>
      </c>
      <c r="F1483" s="9" t="s">
        <v>5566</v>
      </c>
      <c r="G1483" s="9" t="s">
        <v>24</v>
      </c>
      <c r="H1483" s="15" t="s">
        <v>23</v>
      </c>
      <c r="I1483" s="9" t="s">
        <v>2843</v>
      </c>
      <c r="J1483" s="13"/>
      <c r="K1483" s="13"/>
    </row>
    <row r="1484" customFormat="false" ht="91" hidden="false" customHeight="false" outlineLevel="0" collapsed="false">
      <c r="A1484" s="9" t="n">
        <v>1483</v>
      </c>
      <c r="B1484" s="9" t="s">
        <v>102</v>
      </c>
      <c r="C1484" s="11" t="s">
        <v>103</v>
      </c>
      <c r="D1484" s="9" t="s">
        <v>5967</v>
      </c>
      <c r="E1484" s="9" t="s">
        <v>5968</v>
      </c>
      <c r="F1484" s="9" t="s">
        <v>5969</v>
      </c>
      <c r="G1484" s="9" t="s">
        <v>303</v>
      </c>
      <c r="H1484" s="12" t="s">
        <v>21</v>
      </c>
      <c r="I1484" s="9" t="s">
        <v>5970</v>
      </c>
      <c r="J1484" s="13"/>
      <c r="K1484" s="13"/>
    </row>
    <row r="1485" customFormat="false" ht="135.8" hidden="false" customHeight="false" outlineLevel="0" collapsed="false">
      <c r="A1485" s="9" t="n">
        <v>1484</v>
      </c>
      <c r="B1485" s="9" t="s">
        <v>102</v>
      </c>
      <c r="C1485" s="11" t="s">
        <v>103</v>
      </c>
      <c r="D1485" s="9" t="s">
        <v>5971</v>
      </c>
      <c r="E1485" s="9" t="s">
        <v>5972</v>
      </c>
      <c r="F1485" s="9" t="s">
        <v>5973</v>
      </c>
      <c r="G1485" s="9" t="s">
        <v>317</v>
      </c>
      <c r="H1485" s="12" t="s">
        <v>21</v>
      </c>
      <c r="I1485" s="9" t="s">
        <v>5974</v>
      </c>
      <c r="J1485" s="13"/>
      <c r="K1485" s="13"/>
    </row>
    <row r="1486" customFormat="false" ht="169.4" hidden="false" customHeight="false" outlineLevel="0" collapsed="false">
      <c r="A1486" s="9" t="n">
        <v>1485</v>
      </c>
      <c r="B1486" s="9" t="s">
        <v>102</v>
      </c>
      <c r="C1486" s="11" t="s">
        <v>103</v>
      </c>
      <c r="D1486" s="9" t="s">
        <v>5975</v>
      </c>
      <c r="E1486" s="9" t="s">
        <v>5976</v>
      </c>
      <c r="F1486" s="9" t="s">
        <v>5977</v>
      </c>
      <c r="G1486" s="9" t="s">
        <v>312</v>
      </c>
      <c r="H1486" s="12" t="s">
        <v>21</v>
      </c>
      <c r="I1486" s="9" t="s">
        <v>5978</v>
      </c>
      <c r="J1486" s="13"/>
      <c r="K1486" s="13"/>
    </row>
    <row r="1487" customFormat="false" ht="91" hidden="false" customHeight="false" outlineLevel="0" collapsed="false">
      <c r="A1487" s="9" t="n">
        <v>1486</v>
      </c>
      <c r="B1487" s="9" t="s">
        <v>102</v>
      </c>
      <c r="C1487" s="11" t="s">
        <v>103</v>
      </c>
      <c r="D1487" s="9" t="s">
        <v>5979</v>
      </c>
      <c r="E1487" s="9" t="s">
        <v>5980</v>
      </c>
      <c r="F1487" s="9" t="s">
        <v>5981</v>
      </c>
      <c r="G1487" s="9" t="s">
        <v>317</v>
      </c>
      <c r="H1487" s="14" t="s">
        <v>22</v>
      </c>
      <c r="I1487" s="9" t="s">
        <v>5982</v>
      </c>
      <c r="J1487" s="13"/>
      <c r="K1487" s="13"/>
    </row>
    <row r="1488" customFormat="false" ht="46.25" hidden="false" customHeight="false" outlineLevel="0" collapsed="false">
      <c r="A1488" s="9" t="n">
        <v>1487</v>
      </c>
      <c r="B1488" s="9" t="s">
        <v>102</v>
      </c>
      <c r="C1488" s="11" t="s">
        <v>103</v>
      </c>
      <c r="D1488" s="9" t="s">
        <v>5983</v>
      </c>
      <c r="E1488" s="9" t="s">
        <v>5984</v>
      </c>
      <c r="F1488" s="9" t="s">
        <v>5985</v>
      </c>
      <c r="G1488" s="9" t="s">
        <v>317</v>
      </c>
      <c r="H1488" s="14" t="s">
        <v>22</v>
      </c>
      <c r="I1488" s="9" t="s">
        <v>5986</v>
      </c>
      <c r="J1488" s="13"/>
      <c r="K1488" s="13"/>
    </row>
    <row r="1489" customFormat="false" ht="46.25" hidden="false" customHeight="false" outlineLevel="0" collapsed="false">
      <c r="A1489" s="9" t="n">
        <v>1488</v>
      </c>
      <c r="B1489" s="9" t="s">
        <v>102</v>
      </c>
      <c r="C1489" s="11" t="s">
        <v>103</v>
      </c>
      <c r="D1489" s="9" t="s">
        <v>5987</v>
      </c>
      <c r="E1489" s="9" t="s">
        <v>5988</v>
      </c>
      <c r="F1489" s="9" t="s">
        <v>5989</v>
      </c>
      <c r="G1489" s="9" t="s">
        <v>317</v>
      </c>
      <c r="H1489" s="14" t="s">
        <v>22</v>
      </c>
      <c r="I1489" s="9" t="s">
        <v>5990</v>
      </c>
      <c r="J1489" s="13"/>
      <c r="K1489" s="13"/>
    </row>
    <row r="1490" customFormat="false" ht="113.4" hidden="false" customHeight="false" outlineLevel="0" collapsed="false">
      <c r="A1490" s="9" t="n">
        <v>1489</v>
      </c>
      <c r="B1490" s="9" t="s">
        <v>102</v>
      </c>
      <c r="C1490" s="11" t="s">
        <v>103</v>
      </c>
      <c r="D1490" s="9" t="s">
        <v>5991</v>
      </c>
      <c r="E1490" s="9" t="s">
        <v>5992</v>
      </c>
      <c r="F1490" s="9" t="s">
        <v>5993</v>
      </c>
      <c r="G1490" s="9" t="s">
        <v>1404</v>
      </c>
      <c r="H1490" s="14" t="s">
        <v>22</v>
      </c>
      <c r="I1490" s="9" t="s">
        <v>5994</v>
      </c>
      <c r="J1490" s="13"/>
      <c r="K1490" s="13"/>
    </row>
    <row r="1491" customFormat="false" ht="35.05" hidden="false" customHeight="false" outlineLevel="0" collapsed="false">
      <c r="A1491" s="9" t="n">
        <v>1490</v>
      </c>
      <c r="B1491" s="9" t="s">
        <v>102</v>
      </c>
      <c r="C1491" s="11" t="s">
        <v>103</v>
      </c>
      <c r="D1491" s="9" t="s">
        <v>5995</v>
      </c>
      <c r="E1491" s="9" t="s">
        <v>5996</v>
      </c>
      <c r="F1491" s="9" t="s">
        <v>5997</v>
      </c>
      <c r="G1491" s="9" t="s">
        <v>2044</v>
      </c>
      <c r="H1491" s="14" t="s">
        <v>22</v>
      </c>
      <c r="I1491" s="9" t="s">
        <v>5998</v>
      </c>
      <c r="J1491" s="13"/>
      <c r="K1491" s="13"/>
    </row>
    <row r="1492" customFormat="false" ht="57.45" hidden="false" customHeight="false" outlineLevel="0" collapsed="false">
      <c r="A1492" s="9" t="n">
        <v>1491</v>
      </c>
      <c r="B1492" s="9" t="s">
        <v>102</v>
      </c>
      <c r="C1492" s="11" t="s">
        <v>103</v>
      </c>
      <c r="D1492" s="9" t="s">
        <v>5999</v>
      </c>
      <c r="E1492" s="9" t="s">
        <v>6000</v>
      </c>
      <c r="F1492" s="9" t="s">
        <v>6001</v>
      </c>
      <c r="G1492" s="9" t="s">
        <v>6002</v>
      </c>
      <c r="H1492" s="14" t="s">
        <v>22</v>
      </c>
      <c r="I1492" s="9" t="s">
        <v>6003</v>
      </c>
      <c r="J1492" s="13"/>
      <c r="K1492" s="13"/>
    </row>
    <row r="1493" customFormat="false" ht="68.65" hidden="false" customHeight="false" outlineLevel="0" collapsed="false">
      <c r="A1493" s="9" t="n">
        <v>1492</v>
      </c>
      <c r="B1493" s="9" t="s">
        <v>102</v>
      </c>
      <c r="C1493" s="11" t="s">
        <v>103</v>
      </c>
      <c r="D1493" s="9" t="s">
        <v>6004</v>
      </c>
      <c r="E1493" s="9" t="s">
        <v>6005</v>
      </c>
      <c r="F1493" s="9" t="s">
        <v>6006</v>
      </c>
      <c r="G1493" s="9" t="s">
        <v>2044</v>
      </c>
      <c r="H1493" s="14" t="s">
        <v>22</v>
      </c>
      <c r="I1493" s="9" t="s">
        <v>6007</v>
      </c>
      <c r="J1493" s="13"/>
      <c r="K1493" s="13"/>
    </row>
    <row r="1494" customFormat="false" ht="68.65" hidden="false" customHeight="false" outlineLevel="0" collapsed="false">
      <c r="A1494" s="9" t="n">
        <v>1493</v>
      </c>
      <c r="B1494" s="9" t="s">
        <v>102</v>
      </c>
      <c r="C1494" s="11" t="s">
        <v>103</v>
      </c>
      <c r="D1494" s="9" t="s">
        <v>6008</v>
      </c>
      <c r="E1494" s="9" t="s">
        <v>6009</v>
      </c>
      <c r="F1494" s="9" t="s">
        <v>6010</v>
      </c>
      <c r="G1494" s="9" t="s">
        <v>1370</v>
      </c>
      <c r="H1494" s="14" t="s">
        <v>22</v>
      </c>
      <c r="I1494" s="9" t="s">
        <v>6011</v>
      </c>
      <c r="J1494" s="13"/>
      <c r="K1494" s="13"/>
    </row>
    <row r="1495" customFormat="false" ht="46.25" hidden="false" customHeight="false" outlineLevel="0" collapsed="false">
      <c r="A1495" s="9" t="n">
        <v>1494</v>
      </c>
      <c r="B1495" s="9" t="s">
        <v>102</v>
      </c>
      <c r="C1495" s="11" t="s">
        <v>103</v>
      </c>
      <c r="D1495" s="9" t="s">
        <v>6012</v>
      </c>
      <c r="E1495" s="9" t="s">
        <v>6013</v>
      </c>
      <c r="F1495" s="9" t="s">
        <v>6014</v>
      </c>
      <c r="G1495" s="9" t="s">
        <v>303</v>
      </c>
      <c r="H1495" s="15" t="s">
        <v>23</v>
      </c>
      <c r="I1495" s="9" t="s">
        <v>6015</v>
      </c>
      <c r="J1495" s="13"/>
      <c r="K1495" s="13"/>
    </row>
    <row r="1496" customFormat="false" ht="35.05" hidden="false" customHeight="false" outlineLevel="0" collapsed="false">
      <c r="A1496" s="9" t="n">
        <v>1495</v>
      </c>
      <c r="B1496" s="9" t="s">
        <v>102</v>
      </c>
      <c r="C1496" s="11" t="s">
        <v>103</v>
      </c>
      <c r="D1496" s="9" t="s">
        <v>6016</v>
      </c>
      <c r="E1496" s="9" t="s">
        <v>6017</v>
      </c>
      <c r="F1496" s="9" t="s">
        <v>6018</v>
      </c>
      <c r="G1496" s="9" t="s">
        <v>2044</v>
      </c>
      <c r="H1496" s="15" t="s">
        <v>23</v>
      </c>
      <c r="I1496" s="9" t="s">
        <v>6019</v>
      </c>
      <c r="J1496" s="13"/>
      <c r="K1496" s="13"/>
    </row>
    <row r="1497" customFormat="false" ht="79.85" hidden="false" customHeight="false" outlineLevel="0" collapsed="false">
      <c r="A1497" s="9" t="n">
        <v>1496</v>
      </c>
      <c r="B1497" s="9" t="s">
        <v>102</v>
      </c>
      <c r="C1497" s="11" t="s">
        <v>103</v>
      </c>
      <c r="D1497" s="9" t="s">
        <v>6020</v>
      </c>
      <c r="E1497" s="9" t="s">
        <v>6021</v>
      </c>
      <c r="F1497" s="9" t="s">
        <v>6022</v>
      </c>
      <c r="G1497" s="9" t="s">
        <v>1404</v>
      </c>
      <c r="H1497" s="14" t="s">
        <v>22</v>
      </c>
      <c r="I1497" s="9" t="s">
        <v>6023</v>
      </c>
      <c r="J1497" s="13"/>
      <c r="K1497" s="13"/>
    </row>
    <row r="1498" customFormat="false" ht="79.85" hidden="false" customHeight="false" outlineLevel="0" collapsed="false">
      <c r="A1498" s="9" t="n">
        <v>1497</v>
      </c>
      <c r="B1498" s="9" t="s">
        <v>102</v>
      </c>
      <c r="C1498" s="11" t="s">
        <v>103</v>
      </c>
      <c r="D1498" s="9" t="s">
        <v>6024</v>
      </c>
      <c r="E1498" s="9" t="s">
        <v>6025</v>
      </c>
      <c r="F1498" s="9" t="s">
        <v>6026</v>
      </c>
      <c r="G1498" s="9" t="s">
        <v>317</v>
      </c>
      <c r="H1498" s="14" t="s">
        <v>22</v>
      </c>
      <c r="I1498" s="9" t="s">
        <v>6027</v>
      </c>
      <c r="J1498" s="13"/>
      <c r="K1498" s="13"/>
    </row>
    <row r="1499" customFormat="false" ht="46.25" hidden="false" customHeight="false" outlineLevel="0" collapsed="false">
      <c r="A1499" s="9" t="n">
        <v>1498</v>
      </c>
      <c r="B1499" s="9" t="s">
        <v>102</v>
      </c>
      <c r="C1499" s="11" t="s">
        <v>103</v>
      </c>
      <c r="D1499" s="9" t="s">
        <v>6028</v>
      </c>
      <c r="E1499" s="9" t="s">
        <v>6029</v>
      </c>
      <c r="F1499" s="9" t="s">
        <v>6030</v>
      </c>
      <c r="G1499" s="9" t="s">
        <v>312</v>
      </c>
      <c r="H1499" s="15" t="s">
        <v>23</v>
      </c>
      <c r="I1499" s="9" t="s">
        <v>6031</v>
      </c>
      <c r="J1499" s="13"/>
      <c r="K1499" s="13"/>
    </row>
    <row r="1500" customFormat="false" ht="68.65" hidden="false" customHeight="false" outlineLevel="0" collapsed="false">
      <c r="A1500" s="9" t="n">
        <v>1499</v>
      </c>
      <c r="B1500" s="9" t="s">
        <v>102</v>
      </c>
      <c r="C1500" s="11" t="s">
        <v>103</v>
      </c>
      <c r="D1500" s="9" t="s">
        <v>6032</v>
      </c>
      <c r="E1500" s="9" t="s">
        <v>6033</v>
      </c>
      <c r="F1500" s="9" t="s">
        <v>6034</v>
      </c>
      <c r="G1500" s="9" t="s">
        <v>3726</v>
      </c>
      <c r="H1500" s="14" t="s">
        <v>22</v>
      </c>
      <c r="I1500" s="9" t="s">
        <v>6035</v>
      </c>
      <c r="J1500" s="13"/>
      <c r="K1500" s="13"/>
    </row>
    <row r="1501" customFormat="false" ht="57.45" hidden="false" customHeight="false" outlineLevel="0" collapsed="false">
      <c r="A1501" s="9" t="n">
        <v>1500</v>
      </c>
      <c r="B1501" s="9" t="s">
        <v>102</v>
      </c>
      <c r="C1501" s="11" t="s">
        <v>103</v>
      </c>
      <c r="D1501" s="9" t="s">
        <v>6036</v>
      </c>
      <c r="E1501" s="9" t="s">
        <v>6037</v>
      </c>
      <c r="F1501" s="9" t="s">
        <v>6038</v>
      </c>
      <c r="G1501" s="9" t="s">
        <v>2044</v>
      </c>
      <c r="H1501" s="14" t="s">
        <v>22</v>
      </c>
      <c r="I1501" s="9" t="s">
        <v>6039</v>
      </c>
      <c r="J1501" s="13"/>
      <c r="K1501" s="13"/>
    </row>
    <row r="1502" customFormat="false" ht="35.05" hidden="false" customHeight="false" outlineLevel="0" collapsed="false">
      <c r="A1502" s="9" t="n">
        <v>1501</v>
      </c>
      <c r="B1502" s="9" t="s">
        <v>102</v>
      </c>
      <c r="C1502" s="11" t="s">
        <v>103</v>
      </c>
      <c r="D1502" s="9" t="s">
        <v>6040</v>
      </c>
      <c r="E1502" s="9" t="s">
        <v>6041</v>
      </c>
      <c r="F1502" s="9" t="s">
        <v>6042</v>
      </c>
      <c r="G1502" s="9" t="s">
        <v>317</v>
      </c>
      <c r="H1502" s="15" t="s">
        <v>23</v>
      </c>
      <c r="I1502" s="9" t="s">
        <v>6043</v>
      </c>
      <c r="J1502" s="13"/>
      <c r="K1502" s="13"/>
    </row>
    <row r="1503" customFormat="false" ht="79.85" hidden="false" customHeight="false" outlineLevel="0" collapsed="false">
      <c r="A1503" s="9" t="n">
        <v>1502</v>
      </c>
      <c r="B1503" s="9" t="s">
        <v>102</v>
      </c>
      <c r="C1503" s="11" t="s">
        <v>103</v>
      </c>
      <c r="D1503" s="9" t="s">
        <v>6044</v>
      </c>
      <c r="E1503" s="9" t="s">
        <v>6045</v>
      </c>
      <c r="F1503" s="9" t="s">
        <v>6046</v>
      </c>
      <c r="G1503" s="9" t="s">
        <v>317</v>
      </c>
      <c r="H1503" s="14" t="s">
        <v>22</v>
      </c>
      <c r="I1503" s="9" t="s">
        <v>6047</v>
      </c>
      <c r="J1503" s="13"/>
      <c r="K1503" s="13"/>
    </row>
    <row r="1504" customFormat="false" ht="135.8" hidden="false" customHeight="false" outlineLevel="0" collapsed="false">
      <c r="A1504" s="9" t="n">
        <v>1503</v>
      </c>
      <c r="B1504" s="9" t="s">
        <v>102</v>
      </c>
      <c r="C1504" s="11" t="s">
        <v>103</v>
      </c>
      <c r="D1504" s="9" t="s">
        <v>6048</v>
      </c>
      <c r="E1504" s="9" t="s">
        <v>6049</v>
      </c>
      <c r="F1504" s="9" t="s">
        <v>6050</v>
      </c>
      <c r="G1504" s="9" t="s">
        <v>317</v>
      </c>
      <c r="H1504" s="14" t="s">
        <v>22</v>
      </c>
      <c r="I1504" s="9" t="s">
        <v>6051</v>
      </c>
      <c r="J1504" s="13"/>
      <c r="K1504" s="13"/>
    </row>
    <row r="1505" customFormat="false" ht="91" hidden="false" customHeight="false" outlineLevel="0" collapsed="false">
      <c r="A1505" s="9" t="n">
        <v>1504</v>
      </c>
      <c r="B1505" s="9" t="s">
        <v>102</v>
      </c>
      <c r="C1505" s="11" t="s">
        <v>103</v>
      </c>
      <c r="D1505" s="9" t="s">
        <v>6052</v>
      </c>
      <c r="E1505" s="9" t="s">
        <v>6053</v>
      </c>
      <c r="F1505" s="9" t="s">
        <v>6054</v>
      </c>
      <c r="G1505" s="9" t="s">
        <v>2044</v>
      </c>
      <c r="H1505" s="14" t="s">
        <v>22</v>
      </c>
      <c r="I1505" s="9" t="s">
        <v>6055</v>
      </c>
      <c r="J1505" s="13"/>
      <c r="K1505" s="13"/>
    </row>
    <row r="1506" customFormat="false" ht="46.25" hidden="false" customHeight="false" outlineLevel="0" collapsed="false">
      <c r="A1506" s="9" t="n">
        <v>1505</v>
      </c>
      <c r="B1506" s="9" t="s">
        <v>102</v>
      </c>
      <c r="C1506" s="11" t="s">
        <v>103</v>
      </c>
      <c r="D1506" s="9" t="s">
        <v>6056</v>
      </c>
      <c r="E1506" s="9" t="s">
        <v>6057</v>
      </c>
      <c r="F1506" s="9" t="s">
        <v>6058</v>
      </c>
      <c r="G1506" s="9" t="s">
        <v>6059</v>
      </c>
      <c r="H1506" s="14" t="s">
        <v>22</v>
      </c>
      <c r="I1506" s="9" t="s">
        <v>6060</v>
      </c>
      <c r="J1506" s="13"/>
      <c r="K1506" s="13"/>
    </row>
    <row r="1507" customFormat="false" ht="68.65" hidden="false" customHeight="false" outlineLevel="0" collapsed="false">
      <c r="A1507" s="9" t="n">
        <v>1506</v>
      </c>
      <c r="B1507" s="9" t="s">
        <v>102</v>
      </c>
      <c r="C1507" s="11" t="s">
        <v>103</v>
      </c>
      <c r="D1507" s="9" t="s">
        <v>6061</v>
      </c>
      <c r="E1507" s="9" t="s">
        <v>6062</v>
      </c>
      <c r="F1507" s="9" t="s">
        <v>6063</v>
      </c>
      <c r="G1507" s="9" t="s">
        <v>1421</v>
      </c>
      <c r="H1507" s="15" t="s">
        <v>23</v>
      </c>
      <c r="I1507" s="9" t="s">
        <v>6064</v>
      </c>
      <c r="J1507" s="13"/>
      <c r="K1507" s="13"/>
    </row>
    <row r="1508" customFormat="false" ht="68.65" hidden="false" customHeight="false" outlineLevel="0" collapsed="false">
      <c r="A1508" s="9" t="n">
        <v>1507</v>
      </c>
      <c r="B1508" s="9" t="s">
        <v>102</v>
      </c>
      <c r="C1508" s="11" t="s">
        <v>103</v>
      </c>
      <c r="D1508" s="9" t="s">
        <v>6065</v>
      </c>
      <c r="E1508" s="9" t="s">
        <v>6066</v>
      </c>
      <c r="F1508" s="9" t="s">
        <v>6067</v>
      </c>
      <c r="G1508" s="9" t="s">
        <v>324</v>
      </c>
      <c r="H1508" s="14" t="s">
        <v>22</v>
      </c>
      <c r="I1508" s="9" t="s">
        <v>6068</v>
      </c>
      <c r="J1508" s="13"/>
      <c r="K1508" s="13"/>
    </row>
    <row r="1509" customFormat="false" ht="57.45" hidden="false" customHeight="false" outlineLevel="0" collapsed="false">
      <c r="A1509" s="9" t="n">
        <v>1508</v>
      </c>
      <c r="B1509" s="9" t="s">
        <v>102</v>
      </c>
      <c r="C1509" s="11" t="s">
        <v>103</v>
      </c>
      <c r="D1509" s="9" t="s">
        <v>6069</v>
      </c>
      <c r="E1509" s="9" t="s">
        <v>6070</v>
      </c>
      <c r="F1509" s="9" t="s">
        <v>6071</v>
      </c>
      <c r="G1509" s="9" t="s">
        <v>308</v>
      </c>
      <c r="H1509" s="14" t="s">
        <v>22</v>
      </c>
      <c r="I1509" s="9" t="s">
        <v>6072</v>
      </c>
      <c r="J1509" s="13"/>
      <c r="K1509" s="13"/>
    </row>
    <row r="1510" customFormat="false" ht="35.05" hidden="false" customHeight="false" outlineLevel="0" collapsed="false">
      <c r="A1510" s="9" t="n">
        <v>1509</v>
      </c>
      <c r="B1510" s="9" t="s">
        <v>102</v>
      </c>
      <c r="C1510" s="11" t="s">
        <v>103</v>
      </c>
      <c r="D1510" s="9" t="s">
        <v>6073</v>
      </c>
      <c r="E1510" s="9" t="s">
        <v>6074</v>
      </c>
      <c r="F1510" s="9" t="s">
        <v>6075</v>
      </c>
      <c r="G1510" s="9" t="s">
        <v>303</v>
      </c>
      <c r="H1510" s="15" t="s">
        <v>23</v>
      </c>
      <c r="I1510" s="9" t="s">
        <v>6076</v>
      </c>
      <c r="J1510" s="13"/>
      <c r="K1510" s="13"/>
    </row>
    <row r="1511" customFormat="false" ht="35.05" hidden="false" customHeight="false" outlineLevel="0" collapsed="false">
      <c r="A1511" s="9" t="n">
        <v>1510</v>
      </c>
      <c r="B1511" s="9" t="s">
        <v>102</v>
      </c>
      <c r="C1511" s="11" t="s">
        <v>103</v>
      </c>
      <c r="D1511" s="9" t="s">
        <v>6077</v>
      </c>
      <c r="E1511" s="9" t="s">
        <v>6078</v>
      </c>
      <c r="F1511" s="9" t="s">
        <v>6079</v>
      </c>
      <c r="G1511" s="9" t="s">
        <v>1072</v>
      </c>
      <c r="H1511" s="15" t="s">
        <v>23</v>
      </c>
      <c r="I1511" s="9" t="s">
        <v>6080</v>
      </c>
      <c r="J1511" s="13"/>
      <c r="K1511" s="13"/>
    </row>
    <row r="1512" customFormat="false" ht="35.05" hidden="false" customHeight="false" outlineLevel="0" collapsed="false">
      <c r="A1512" s="9" t="n">
        <v>1511</v>
      </c>
      <c r="B1512" s="9" t="s">
        <v>102</v>
      </c>
      <c r="C1512" s="11" t="s">
        <v>103</v>
      </c>
      <c r="D1512" s="9" t="s">
        <v>6081</v>
      </c>
      <c r="E1512" s="9" t="s">
        <v>6082</v>
      </c>
      <c r="F1512" s="9" t="s">
        <v>6083</v>
      </c>
      <c r="G1512" s="9" t="s">
        <v>317</v>
      </c>
      <c r="H1512" s="15" t="s">
        <v>23</v>
      </c>
      <c r="I1512" s="9" t="s">
        <v>6084</v>
      </c>
      <c r="J1512" s="13"/>
      <c r="K1512" s="13"/>
    </row>
    <row r="1513" customFormat="false" ht="46.25" hidden="false" customHeight="false" outlineLevel="0" collapsed="false">
      <c r="A1513" s="9" t="n">
        <v>1512</v>
      </c>
      <c r="B1513" s="9" t="s">
        <v>102</v>
      </c>
      <c r="C1513" s="11" t="s">
        <v>103</v>
      </c>
      <c r="D1513" s="9" t="s">
        <v>6085</v>
      </c>
      <c r="E1513" s="9" t="s">
        <v>6086</v>
      </c>
      <c r="F1513" s="9" t="s">
        <v>6087</v>
      </c>
      <c r="G1513" s="9" t="s">
        <v>308</v>
      </c>
      <c r="H1513" s="15" t="s">
        <v>23</v>
      </c>
      <c r="I1513" s="9" t="s">
        <v>6088</v>
      </c>
      <c r="J1513" s="13"/>
      <c r="K1513" s="13"/>
    </row>
    <row r="1514" customFormat="false" ht="35.05" hidden="false" customHeight="false" outlineLevel="0" collapsed="false">
      <c r="A1514" s="9" t="n">
        <v>1513</v>
      </c>
      <c r="B1514" s="9" t="s">
        <v>102</v>
      </c>
      <c r="C1514" s="11" t="s">
        <v>103</v>
      </c>
      <c r="D1514" s="9" t="s">
        <v>6089</v>
      </c>
      <c r="E1514" s="9" t="s">
        <v>6090</v>
      </c>
      <c r="F1514" s="9" t="s">
        <v>6091</v>
      </c>
      <c r="G1514" s="9" t="s">
        <v>317</v>
      </c>
      <c r="H1514" s="15" t="s">
        <v>23</v>
      </c>
      <c r="I1514" s="9" t="s">
        <v>6092</v>
      </c>
      <c r="J1514" s="13"/>
      <c r="K1514" s="13"/>
    </row>
    <row r="1515" customFormat="false" ht="57.45" hidden="false" customHeight="false" outlineLevel="0" collapsed="false">
      <c r="A1515" s="9" t="n">
        <v>1514</v>
      </c>
      <c r="B1515" s="9" t="s">
        <v>102</v>
      </c>
      <c r="C1515" s="11" t="s">
        <v>103</v>
      </c>
      <c r="D1515" s="9" t="s">
        <v>6093</v>
      </c>
      <c r="E1515" s="9" t="s">
        <v>6094</v>
      </c>
      <c r="F1515" s="9" t="s">
        <v>6095</v>
      </c>
      <c r="G1515" s="9" t="s">
        <v>2044</v>
      </c>
      <c r="H1515" s="15" t="s">
        <v>23</v>
      </c>
      <c r="I1515" s="9" t="s">
        <v>6096</v>
      </c>
      <c r="J1515" s="13"/>
      <c r="K1515" s="13"/>
    </row>
    <row r="1516" customFormat="false" ht="35.05" hidden="false" customHeight="false" outlineLevel="0" collapsed="false">
      <c r="A1516" s="9" t="n">
        <v>1515</v>
      </c>
      <c r="B1516" s="9" t="s">
        <v>102</v>
      </c>
      <c r="C1516" s="11" t="s">
        <v>103</v>
      </c>
      <c r="D1516" s="9" t="s">
        <v>6097</v>
      </c>
      <c r="E1516" s="9" t="s">
        <v>6098</v>
      </c>
      <c r="F1516" s="9" t="s">
        <v>6099</v>
      </c>
      <c r="G1516" s="9" t="s">
        <v>317</v>
      </c>
      <c r="H1516" s="15" t="s">
        <v>23</v>
      </c>
      <c r="I1516" s="9" t="s">
        <v>6100</v>
      </c>
      <c r="J1516" s="13"/>
      <c r="K1516" s="13"/>
    </row>
    <row r="1517" customFormat="false" ht="46.25" hidden="false" customHeight="false" outlineLevel="0" collapsed="false">
      <c r="A1517" s="9" t="n">
        <v>1516</v>
      </c>
      <c r="B1517" s="9" t="s">
        <v>102</v>
      </c>
      <c r="C1517" s="11" t="s">
        <v>103</v>
      </c>
      <c r="D1517" s="9" t="s">
        <v>6101</v>
      </c>
      <c r="E1517" s="9" t="s">
        <v>6102</v>
      </c>
      <c r="F1517" s="9" t="s">
        <v>6103</v>
      </c>
      <c r="G1517" s="9" t="s">
        <v>2044</v>
      </c>
      <c r="H1517" s="15" t="s">
        <v>23</v>
      </c>
      <c r="I1517" s="9" t="s">
        <v>6104</v>
      </c>
      <c r="J1517" s="13"/>
      <c r="K1517" s="13"/>
    </row>
    <row r="1518" customFormat="false" ht="23.85" hidden="false" customHeight="false" outlineLevel="0" collapsed="false">
      <c r="A1518" s="9" t="n">
        <v>1517</v>
      </c>
      <c r="B1518" s="9" t="s">
        <v>102</v>
      </c>
      <c r="C1518" s="11" t="s">
        <v>103</v>
      </c>
      <c r="D1518" s="9" t="s">
        <v>6105</v>
      </c>
      <c r="E1518" s="9" t="s">
        <v>6106</v>
      </c>
      <c r="F1518" s="9" t="s">
        <v>6107</v>
      </c>
      <c r="G1518" s="9" t="s">
        <v>317</v>
      </c>
      <c r="H1518" s="15" t="s">
        <v>23</v>
      </c>
      <c r="I1518" s="9" t="s">
        <v>6108</v>
      </c>
      <c r="J1518" s="13"/>
      <c r="K1518" s="13"/>
    </row>
    <row r="1519" customFormat="false" ht="35.05" hidden="false" customHeight="false" outlineLevel="0" collapsed="false">
      <c r="A1519" s="9" t="n">
        <v>1518</v>
      </c>
      <c r="B1519" s="9" t="s">
        <v>102</v>
      </c>
      <c r="C1519" s="11" t="s">
        <v>103</v>
      </c>
      <c r="D1519" s="9" t="s">
        <v>6109</v>
      </c>
      <c r="E1519" s="9" t="s">
        <v>6110</v>
      </c>
      <c r="F1519" s="9" t="s">
        <v>6111</v>
      </c>
      <c r="G1519" s="9" t="s">
        <v>328</v>
      </c>
      <c r="H1519" s="15" t="s">
        <v>23</v>
      </c>
      <c r="I1519" s="9" t="s">
        <v>6112</v>
      </c>
      <c r="J1519" s="13"/>
      <c r="K1519" s="13"/>
    </row>
    <row r="1520" customFormat="false" ht="35.05" hidden="false" customHeight="false" outlineLevel="0" collapsed="false">
      <c r="A1520" s="9" t="n">
        <v>1519</v>
      </c>
      <c r="B1520" s="9" t="s">
        <v>102</v>
      </c>
      <c r="C1520" s="11" t="s">
        <v>103</v>
      </c>
      <c r="D1520" s="9" t="s">
        <v>6113</v>
      </c>
      <c r="E1520" s="9" t="s">
        <v>6114</v>
      </c>
      <c r="F1520" s="9" t="s">
        <v>6115</v>
      </c>
      <c r="G1520" s="9" t="s">
        <v>317</v>
      </c>
      <c r="H1520" s="15" t="s">
        <v>23</v>
      </c>
      <c r="I1520" s="9" t="s">
        <v>6116</v>
      </c>
      <c r="J1520" s="13"/>
      <c r="K1520" s="13"/>
    </row>
    <row r="1521" customFormat="false" ht="35.05" hidden="false" customHeight="false" outlineLevel="0" collapsed="false">
      <c r="A1521" s="9" t="n">
        <v>1520</v>
      </c>
      <c r="B1521" s="9" t="s">
        <v>102</v>
      </c>
      <c r="C1521" s="11" t="s">
        <v>103</v>
      </c>
      <c r="D1521" s="9" t="s">
        <v>6117</v>
      </c>
      <c r="E1521" s="9" t="s">
        <v>6118</v>
      </c>
      <c r="F1521" s="9" t="s">
        <v>6119</v>
      </c>
      <c r="G1521" s="9" t="s">
        <v>24</v>
      </c>
      <c r="H1521" s="12" t="s">
        <v>21</v>
      </c>
      <c r="I1521" s="9" t="s">
        <v>6120</v>
      </c>
      <c r="J1521" s="13"/>
      <c r="K1521" s="13"/>
    </row>
    <row r="1522" customFormat="false" ht="35.05" hidden="false" customHeight="false" outlineLevel="0" collapsed="false">
      <c r="A1522" s="9" t="n">
        <v>1521</v>
      </c>
      <c r="B1522" s="9" t="s">
        <v>102</v>
      </c>
      <c r="C1522" s="11" t="s">
        <v>103</v>
      </c>
      <c r="D1522" s="9" t="s">
        <v>6121</v>
      </c>
      <c r="E1522" s="9" t="s">
        <v>6122</v>
      </c>
      <c r="F1522" s="9" t="s">
        <v>6123</v>
      </c>
      <c r="G1522" s="9" t="s">
        <v>24</v>
      </c>
      <c r="H1522" s="12" t="s">
        <v>21</v>
      </c>
      <c r="I1522" s="9" t="s">
        <v>6124</v>
      </c>
      <c r="J1522" s="13"/>
      <c r="K1522" s="13"/>
    </row>
    <row r="1523" customFormat="false" ht="46.25" hidden="false" customHeight="false" outlineLevel="0" collapsed="false">
      <c r="A1523" s="9" t="n">
        <v>1522</v>
      </c>
      <c r="B1523" s="9" t="s">
        <v>102</v>
      </c>
      <c r="C1523" s="11" t="s">
        <v>103</v>
      </c>
      <c r="D1523" s="9" t="s">
        <v>6125</v>
      </c>
      <c r="E1523" s="9" t="s">
        <v>6126</v>
      </c>
      <c r="F1523" s="9" t="s">
        <v>6127</v>
      </c>
      <c r="G1523" s="9" t="s">
        <v>24</v>
      </c>
      <c r="H1523" s="14" t="s">
        <v>22</v>
      </c>
      <c r="I1523" s="9" t="s">
        <v>6128</v>
      </c>
      <c r="J1523" s="13"/>
      <c r="K1523" s="13"/>
    </row>
    <row r="1524" customFormat="false" ht="46.25" hidden="false" customHeight="false" outlineLevel="0" collapsed="false">
      <c r="A1524" s="9" t="n">
        <v>1523</v>
      </c>
      <c r="B1524" s="9" t="s">
        <v>102</v>
      </c>
      <c r="C1524" s="11" t="s">
        <v>103</v>
      </c>
      <c r="D1524" s="9" t="s">
        <v>6129</v>
      </c>
      <c r="E1524" s="9" t="s">
        <v>6130</v>
      </c>
      <c r="F1524" s="9" t="s">
        <v>6131</v>
      </c>
      <c r="G1524" s="9" t="s">
        <v>24</v>
      </c>
      <c r="H1524" s="14" t="s">
        <v>22</v>
      </c>
      <c r="I1524" s="9" t="s">
        <v>6132</v>
      </c>
      <c r="J1524" s="13"/>
      <c r="K1524" s="13"/>
    </row>
    <row r="1525" customFormat="false" ht="23.85" hidden="false" customHeight="false" outlineLevel="0" collapsed="false">
      <c r="A1525" s="9" t="n">
        <v>1524</v>
      </c>
      <c r="B1525" s="9" t="s">
        <v>102</v>
      </c>
      <c r="C1525" s="11" t="s">
        <v>103</v>
      </c>
      <c r="D1525" s="9" t="s">
        <v>6133</v>
      </c>
      <c r="E1525" s="9" t="s">
        <v>6134</v>
      </c>
      <c r="F1525" s="9" t="s">
        <v>6135</v>
      </c>
      <c r="G1525" s="9" t="s">
        <v>24</v>
      </c>
      <c r="H1525" s="14" t="s">
        <v>22</v>
      </c>
      <c r="I1525" s="9" t="s">
        <v>5335</v>
      </c>
      <c r="J1525" s="13"/>
      <c r="K1525" s="13"/>
    </row>
    <row r="1526" customFormat="false" ht="35.05" hidden="false" customHeight="false" outlineLevel="0" collapsed="false">
      <c r="A1526" s="9" t="n">
        <v>1525</v>
      </c>
      <c r="B1526" s="9" t="s">
        <v>102</v>
      </c>
      <c r="C1526" s="11" t="s">
        <v>103</v>
      </c>
      <c r="D1526" s="9" t="s">
        <v>6136</v>
      </c>
      <c r="E1526" s="9" t="s">
        <v>6137</v>
      </c>
      <c r="F1526" s="9" t="s">
        <v>6138</v>
      </c>
      <c r="G1526" s="9" t="s">
        <v>24</v>
      </c>
      <c r="H1526" s="14" t="s">
        <v>22</v>
      </c>
      <c r="I1526" s="9" t="s">
        <v>6139</v>
      </c>
      <c r="J1526" s="13"/>
      <c r="K1526" s="13"/>
    </row>
    <row r="1527" customFormat="false" ht="35.05" hidden="false" customHeight="false" outlineLevel="0" collapsed="false">
      <c r="A1527" s="9" t="n">
        <v>1526</v>
      </c>
      <c r="B1527" s="9" t="s">
        <v>102</v>
      </c>
      <c r="C1527" s="11" t="s">
        <v>103</v>
      </c>
      <c r="D1527" s="9" t="s">
        <v>6140</v>
      </c>
      <c r="E1527" s="9" t="s">
        <v>6141</v>
      </c>
      <c r="F1527" s="9" t="s">
        <v>6142</v>
      </c>
      <c r="G1527" s="9" t="s">
        <v>24</v>
      </c>
      <c r="H1527" s="14" t="s">
        <v>22</v>
      </c>
      <c r="I1527" s="9" t="s">
        <v>6143</v>
      </c>
      <c r="J1527" s="13"/>
      <c r="K1527" s="13"/>
    </row>
    <row r="1528" customFormat="false" ht="35.05" hidden="false" customHeight="false" outlineLevel="0" collapsed="false">
      <c r="A1528" s="9" t="n">
        <v>1527</v>
      </c>
      <c r="B1528" s="9" t="s">
        <v>102</v>
      </c>
      <c r="C1528" s="11" t="s">
        <v>103</v>
      </c>
      <c r="D1528" s="9" t="s">
        <v>6144</v>
      </c>
      <c r="E1528" s="9" t="s">
        <v>6145</v>
      </c>
      <c r="F1528" s="9" t="s">
        <v>6146</v>
      </c>
      <c r="G1528" s="9" t="s">
        <v>24</v>
      </c>
      <c r="H1528" s="14" t="s">
        <v>22</v>
      </c>
      <c r="I1528" s="9" t="s">
        <v>5339</v>
      </c>
      <c r="J1528" s="13"/>
      <c r="K1528" s="13"/>
    </row>
    <row r="1529" customFormat="false" ht="23.85" hidden="false" customHeight="false" outlineLevel="0" collapsed="false">
      <c r="A1529" s="9" t="n">
        <v>1528</v>
      </c>
      <c r="B1529" s="9" t="s">
        <v>102</v>
      </c>
      <c r="C1529" s="11" t="s">
        <v>103</v>
      </c>
      <c r="D1529" s="9" t="s">
        <v>6147</v>
      </c>
      <c r="E1529" s="9" t="s">
        <v>6148</v>
      </c>
      <c r="F1529" s="9" t="s">
        <v>6149</v>
      </c>
      <c r="G1529" s="9" t="s">
        <v>24</v>
      </c>
      <c r="H1529" s="14" t="s">
        <v>22</v>
      </c>
      <c r="I1529" s="9" t="s">
        <v>6150</v>
      </c>
      <c r="J1529" s="13"/>
      <c r="K1529" s="13"/>
    </row>
    <row r="1530" customFormat="false" ht="23.85" hidden="false" customHeight="false" outlineLevel="0" collapsed="false">
      <c r="A1530" s="9" t="n">
        <v>1529</v>
      </c>
      <c r="B1530" s="9" t="s">
        <v>102</v>
      </c>
      <c r="C1530" s="11" t="s">
        <v>103</v>
      </c>
      <c r="D1530" s="9" t="s">
        <v>6151</v>
      </c>
      <c r="E1530" s="9" t="s">
        <v>6152</v>
      </c>
      <c r="F1530" s="9" t="s">
        <v>6153</v>
      </c>
      <c r="G1530" s="9" t="s">
        <v>24</v>
      </c>
      <c r="H1530" s="14" t="s">
        <v>22</v>
      </c>
      <c r="I1530" s="9" t="s">
        <v>434</v>
      </c>
      <c r="J1530" s="13"/>
      <c r="K1530" s="13"/>
    </row>
    <row r="1531" customFormat="false" ht="35.05" hidden="false" customHeight="false" outlineLevel="0" collapsed="false">
      <c r="A1531" s="9" t="n">
        <v>1530</v>
      </c>
      <c r="B1531" s="9" t="s">
        <v>102</v>
      </c>
      <c r="C1531" s="11" t="s">
        <v>103</v>
      </c>
      <c r="D1531" s="9" t="s">
        <v>6154</v>
      </c>
      <c r="E1531" s="9" t="s">
        <v>6155</v>
      </c>
      <c r="F1531" s="9" t="s">
        <v>6156</v>
      </c>
      <c r="G1531" s="9" t="s">
        <v>24</v>
      </c>
      <c r="H1531" s="15" t="s">
        <v>23</v>
      </c>
      <c r="I1531" s="9" t="s">
        <v>434</v>
      </c>
      <c r="J1531" s="13"/>
      <c r="K1531" s="13"/>
    </row>
    <row r="1532" customFormat="false" ht="68.65" hidden="false" customHeight="false" outlineLevel="0" collapsed="false">
      <c r="A1532" s="9" t="n">
        <v>1531</v>
      </c>
      <c r="B1532" s="9" t="s">
        <v>102</v>
      </c>
      <c r="C1532" s="11" t="s">
        <v>103</v>
      </c>
      <c r="D1532" s="9" t="s">
        <v>6157</v>
      </c>
      <c r="E1532" s="9" t="s">
        <v>358</v>
      </c>
      <c r="F1532" s="9" t="s">
        <v>6158</v>
      </c>
      <c r="G1532" s="9" t="s">
        <v>24</v>
      </c>
      <c r="H1532" s="14" t="s">
        <v>22</v>
      </c>
      <c r="I1532" s="9" t="s">
        <v>6159</v>
      </c>
      <c r="J1532" s="13"/>
      <c r="K1532" s="13"/>
    </row>
    <row r="1533" customFormat="false" ht="15" hidden="false" customHeight="false" outlineLevel="0" collapsed="false">
      <c r="A1533" s="9" t="n">
        <v>1532</v>
      </c>
      <c r="B1533" s="9" t="s">
        <v>102</v>
      </c>
      <c r="C1533" s="11" t="s">
        <v>103</v>
      </c>
      <c r="D1533" s="9" t="s">
        <v>6160</v>
      </c>
      <c r="E1533" s="9" t="s">
        <v>362</v>
      </c>
      <c r="F1533" s="9" t="s">
        <v>363</v>
      </c>
      <c r="G1533" s="9" t="s">
        <v>24</v>
      </c>
      <c r="H1533" s="14" t="s">
        <v>22</v>
      </c>
      <c r="I1533" s="9" t="s">
        <v>364</v>
      </c>
      <c r="J1533" s="13"/>
      <c r="K1533" s="13"/>
    </row>
    <row r="1534" customFormat="false" ht="35.05" hidden="false" customHeight="false" outlineLevel="0" collapsed="false">
      <c r="A1534" s="9" t="n">
        <v>1533</v>
      </c>
      <c r="B1534" s="9" t="s">
        <v>102</v>
      </c>
      <c r="C1534" s="11" t="s">
        <v>103</v>
      </c>
      <c r="D1534" s="9" t="s">
        <v>6161</v>
      </c>
      <c r="E1534" s="9" t="s">
        <v>6162</v>
      </c>
      <c r="F1534" s="9" t="s">
        <v>6163</v>
      </c>
      <c r="G1534" s="9" t="s">
        <v>24</v>
      </c>
      <c r="H1534" s="15" t="s">
        <v>23</v>
      </c>
      <c r="I1534" s="9" t="s">
        <v>6164</v>
      </c>
      <c r="J1534" s="13"/>
      <c r="K1534" s="13"/>
    </row>
    <row r="1535" customFormat="false" ht="35.05" hidden="false" customHeight="false" outlineLevel="0" collapsed="false">
      <c r="A1535" s="9" t="n">
        <v>1534</v>
      </c>
      <c r="B1535" s="9" t="s">
        <v>102</v>
      </c>
      <c r="C1535" s="11" t="s">
        <v>103</v>
      </c>
      <c r="D1535" s="9" t="s">
        <v>6165</v>
      </c>
      <c r="E1535" s="9" t="s">
        <v>6166</v>
      </c>
      <c r="F1535" s="9" t="s">
        <v>6167</v>
      </c>
      <c r="G1535" s="9" t="s">
        <v>24</v>
      </c>
      <c r="H1535" s="15" t="s">
        <v>23</v>
      </c>
      <c r="I1535" s="9" t="s">
        <v>6168</v>
      </c>
      <c r="J1535" s="13"/>
      <c r="K1535" s="13"/>
    </row>
    <row r="1536" customFormat="false" ht="23.85" hidden="false" customHeight="false" outlineLevel="0" collapsed="false">
      <c r="A1536" s="9" t="n">
        <v>1535</v>
      </c>
      <c r="B1536" s="9" t="s">
        <v>102</v>
      </c>
      <c r="C1536" s="11" t="s">
        <v>103</v>
      </c>
      <c r="D1536" s="9" t="s">
        <v>6169</v>
      </c>
      <c r="E1536" s="9" t="s">
        <v>6170</v>
      </c>
      <c r="F1536" s="9" t="s">
        <v>6171</v>
      </c>
      <c r="G1536" s="9" t="s">
        <v>24</v>
      </c>
      <c r="H1536" s="15" t="s">
        <v>23</v>
      </c>
      <c r="I1536" s="9" t="s">
        <v>6172</v>
      </c>
      <c r="J1536" s="13"/>
      <c r="K1536" s="13"/>
    </row>
    <row r="1537" customFormat="false" ht="35.05" hidden="false" customHeight="false" outlineLevel="0" collapsed="false">
      <c r="A1537" s="9" t="n">
        <v>1536</v>
      </c>
      <c r="B1537" s="9" t="s">
        <v>102</v>
      </c>
      <c r="C1537" s="11" t="s">
        <v>103</v>
      </c>
      <c r="D1537" s="9" t="s">
        <v>6173</v>
      </c>
      <c r="E1537" s="9" t="s">
        <v>6174</v>
      </c>
      <c r="F1537" s="9" t="s">
        <v>6175</v>
      </c>
      <c r="G1537" s="9" t="s">
        <v>24</v>
      </c>
      <c r="H1537" s="15" t="s">
        <v>23</v>
      </c>
      <c r="I1537" s="9" t="s">
        <v>6176</v>
      </c>
      <c r="J1537" s="13"/>
      <c r="K1537" s="13"/>
    </row>
    <row r="1538" customFormat="false" ht="23.85" hidden="false" customHeight="false" outlineLevel="0" collapsed="false">
      <c r="A1538" s="9" t="n">
        <v>1537</v>
      </c>
      <c r="B1538" s="9" t="s">
        <v>102</v>
      </c>
      <c r="C1538" s="11" t="s">
        <v>103</v>
      </c>
      <c r="D1538" s="9" t="s">
        <v>6177</v>
      </c>
      <c r="E1538" s="9" t="s">
        <v>6178</v>
      </c>
      <c r="F1538" s="9" t="s">
        <v>5566</v>
      </c>
      <c r="G1538" s="9" t="s">
        <v>24</v>
      </c>
      <c r="H1538" s="15" t="s">
        <v>23</v>
      </c>
      <c r="I1538" s="9" t="s">
        <v>2843</v>
      </c>
      <c r="J1538" s="13"/>
      <c r="K1538" s="13"/>
    </row>
    <row r="1539" customFormat="false" ht="169.4" hidden="false" customHeight="false" outlineLevel="0" collapsed="false">
      <c r="A1539" s="9" t="n">
        <v>1538</v>
      </c>
      <c r="B1539" s="9" t="s">
        <v>102</v>
      </c>
      <c r="C1539" s="11" t="s">
        <v>105</v>
      </c>
      <c r="D1539" s="9" t="s">
        <v>6179</v>
      </c>
      <c r="E1539" s="9" t="s">
        <v>6180</v>
      </c>
      <c r="F1539" s="9" t="s">
        <v>6181</v>
      </c>
      <c r="G1539" s="9" t="s">
        <v>3313</v>
      </c>
      <c r="H1539" s="12" t="s">
        <v>21</v>
      </c>
      <c r="I1539" s="9" t="s">
        <v>6182</v>
      </c>
      <c r="J1539" s="13"/>
      <c r="K1539" s="13"/>
    </row>
    <row r="1540" customFormat="false" ht="79.85" hidden="false" customHeight="false" outlineLevel="0" collapsed="false">
      <c r="A1540" s="9" t="n">
        <v>1539</v>
      </c>
      <c r="B1540" s="9" t="s">
        <v>102</v>
      </c>
      <c r="C1540" s="11" t="s">
        <v>105</v>
      </c>
      <c r="D1540" s="9" t="s">
        <v>6183</v>
      </c>
      <c r="E1540" s="9" t="s">
        <v>6184</v>
      </c>
      <c r="F1540" s="9" t="s">
        <v>6185</v>
      </c>
      <c r="G1540" s="9" t="s">
        <v>3279</v>
      </c>
      <c r="H1540" s="12" t="s">
        <v>21</v>
      </c>
      <c r="I1540" s="9" t="s">
        <v>6186</v>
      </c>
      <c r="J1540" s="13"/>
      <c r="K1540" s="13"/>
    </row>
    <row r="1541" customFormat="false" ht="57.45" hidden="false" customHeight="false" outlineLevel="0" collapsed="false">
      <c r="A1541" s="9" t="n">
        <v>1540</v>
      </c>
      <c r="B1541" s="9" t="s">
        <v>102</v>
      </c>
      <c r="C1541" s="11" t="s">
        <v>105</v>
      </c>
      <c r="D1541" s="9" t="s">
        <v>6187</v>
      </c>
      <c r="E1541" s="9" t="s">
        <v>6188</v>
      </c>
      <c r="F1541" s="9" t="s">
        <v>6189</v>
      </c>
      <c r="G1541" s="9" t="s">
        <v>303</v>
      </c>
      <c r="H1541" s="12" t="s">
        <v>21</v>
      </c>
      <c r="I1541" s="9" t="s">
        <v>6190</v>
      </c>
      <c r="J1541" s="13"/>
      <c r="K1541" s="13"/>
    </row>
    <row r="1542" customFormat="false" ht="68.65" hidden="false" customHeight="false" outlineLevel="0" collapsed="false">
      <c r="A1542" s="9" t="n">
        <v>1541</v>
      </c>
      <c r="B1542" s="9" t="s">
        <v>102</v>
      </c>
      <c r="C1542" s="11" t="s">
        <v>105</v>
      </c>
      <c r="D1542" s="9" t="s">
        <v>6191</v>
      </c>
      <c r="E1542" s="9" t="s">
        <v>6192</v>
      </c>
      <c r="F1542" s="9" t="s">
        <v>6193</v>
      </c>
      <c r="G1542" s="9" t="s">
        <v>3220</v>
      </c>
      <c r="H1542" s="14" t="s">
        <v>22</v>
      </c>
      <c r="I1542" s="9" t="s">
        <v>6194</v>
      </c>
      <c r="J1542" s="13"/>
      <c r="K1542" s="13"/>
    </row>
    <row r="1543" customFormat="false" ht="57.45" hidden="false" customHeight="false" outlineLevel="0" collapsed="false">
      <c r="A1543" s="9" t="n">
        <v>1542</v>
      </c>
      <c r="B1543" s="9" t="s">
        <v>102</v>
      </c>
      <c r="C1543" s="11" t="s">
        <v>105</v>
      </c>
      <c r="D1543" s="9" t="s">
        <v>6195</v>
      </c>
      <c r="E1543" s="9" t="s">
        <v>6196</v>
      </c>
      <c r="F1543" s="9" t="s">
        <v>6197</v>
      </c>
      <c r="G1543" s="9" t="s">
        <v>317</v>
      </c>
      <c r="H1543" s="14" t="s">
        <v>22</v>
      </c>
      <c r="I1543" s="9" t="s">
        <v>6198</v>
      </c>
      <c r="J1543" s="13"/>
      <c r="K1543" s="13"/>
    </row>
    <row r="1544" customFormat="false" ht="113.4" hidden="false" customHeight="false" outlineLevel="0" collapsed="false">
      <c r="A1544" s="9" t="n">
        <v>1543</v>
      </c>
      <c r="B1544" s="9" t="s">
        <v>102</v>
      </c>
      <c r="C1544" s="11" t="s">
        <v>105</v>
      </c>
      <c r="D1544" s="9" t="s">
        <v>6199</v>
      </c>
      <c r="E1544" s="9" t="s">
        <v>6200</v>
      </c>
      <c r="F1544" s="9" t="s">
        <v>6201</v>
      </c>
      <c r="G1544" s="9" t="s">
        <v>6059</v>
      </c>
      <c r="H1544" s="14" t="s">
        <v>22</v>
      </c>
      <c r="I1544" s="9" t="s">
        <v>6202</v>
      </c>
      <c r="J1544" s="13"/>
      <c r="K1544" s="13"/>
    </row>
    <row r="1545" customFormat="false" ht="91" hidden="false" customHeight="false" outlineLevel="0" collapsed="false">
      <c r="A1545" s="9" t="n">
        <v>1544</v>
      </c>
      <c r="B1545" s="9" t="s">
        <v>102</v>
      </c>
      <c r="C1545" s="11" t="s">
        <v>105</v>
      </c>
      <c r="D1545" s="9" t="s">
        <v>6203</v>
      </c>
      <c r="E1545" s="9" t="s">
        <v>6204</v>
      </c>
      <c r="F1545" s="9" t="s">
        <v>6205</v>
      </c>
      <c r="G1545" s="9" t="s">
        <v>2044</v>
      </c>
      <c r="H1545" s="14" t="s">
        <v>22</v>
      </c>
      <c r="I1545" s="9" t="s">
        <v>6206</v>
      </c>
      <c r="J1545" s="13"/>
      <c r="K1545" s="13"/>
    </row>
    <row r="1546" customFormat="false" ht="35.05" hidden="false" customHeight="false" outlineLevel="0" collapsed="false">
      <c r="A1546" s="9" t="n">
        <v>1545</v>
      </c>
      <c r="B1546" s="9" t="s">
        <v>102</v>
      </c>
      <c r="C1546" s="11" t="s">
        <v>105</v>
      </c>
      <c r="D1546" s="9" t="s">
        <v>6207</v>
      </c>
      <c r="E1546" s="9" t="s">
        <v>6208</v>
      </c>
      <c r="F1546" s="9" t="s">
        <v>6209</v>
      </c>
      <c r="G1546" s="9" t="s">
        <v>6059</v>
      </c>
      <c r="H1546" s="14" t="s">
        <v>22</v>
      </c>
      <c r="I1546" s="9" t="s">
        <v>6210</v>
      </c>
      <c r="J1546" s="13"/>
      <c r="K1546" s="13"/>
    </row>
    <row r="1547" customFormat="false" ht="68.65" hidden="false" customHeight="false" outlineLevel="0" collapsed="false">
      <c r="A1547" s="9" t="n">
        <v>1546</v>
      </c>
      <c r="B1547" s="9" t="s">
        <v>102</v>
      </c>
      <c r="C1547" s="11" t="s">
        <v>105</v>
      </c>
      <c r="D1547" s="9" t="s">
        <v>6211</v>
      </c>
      <c r="E1547" s="9" t="s">
        <v>6212</v>
      </c>
      <c r="F1547" s="9" t="s">
        <v>6213</v>
      </c>
      <c r="G1547" s="9" t="s">
        <v>2044</v>
      </c>
      <c r="H1547" s="14" t="s">
        <v>22</v>
      </c>
      <c r="I1547" s="9" t="s">
        <v>6214</v>
      </c>
      <c r="J1547" s="13"/>
      <c r="K1547" s="13"/>
    </row>
    <row r="1548" customFormat="false" ht="91" hidden="false" customHeight="false" outlineLevel="0" collapsed="false">
      <c r="A1548" s="9" t="n">
        <v>1547</v>
      </c>
      <c r="B1548" s="9" t="s">
        <v>102</v>
      </c>
      <c r="C1548" s="11" t="s">
        <v>105</v>
      </c>
      <c r="D1548" s="9" t="s">
        <v>6215</v>
      </c>
      <c r="E1548" s="9" t="s">
        <v>6216</v>
      </c>
      <c r="F1548" s="9" t="s">
        <v>6217</v>
      </c>
      <c r="G1548" s="9" t="s">
        <v>6059</v>
      </c>
      <c r="H1548" s="14" t="s">
        <v>22</v>
      </c>
      <c r="I1548" s="9" t="s">
        <v>6218</v>
      </c>
      <c r="J1548" s="13"/>
      <c r="K1548" s="13"/>
    </row>
    <row r="1549" customFormat="false" ht="57.45" hidden="false" customHeight="false" outlineLevel="0" collapsed="false">
      <c r="A1549" s="9" t="n">
        <v>1548</v>
      </c>
      <c r="B1549" s="9" t="s">
        <v>102</v>
      </c>
      <c r="C1549" s="11" t="s">
        <v>105</v>
      </c>
      <c r="D1549" s="9" t="s">
        <v>6219</v>
      </c>
      <c r="E1549" s="9" t="s">
        <v>6220</v>
      </c>
      <c r="F1549" s="9" t="s">
        <v>6221</v>
      </c>
      <c r="G1549" s="9" t="s">
        <v>312</v>
      </c>
      <c r="H1549" s="14" t="s">
        <v>22</v>
      </c>
      <c r="I1549" s="9" t="s">
        <v>6222</v>
      </c>
      <c r="J1549" s="13"/>
      <c r="K1549" s="13"/>
    </row>
    <row r="1550" customFormat="false" ht="46.25" hidden="false" customHeight="false" outlineLevel="0" collapsed="false">
      <c r="A1550" s="9" t="n">
        <v>1549</v>
      </c>
      <c r="B1550" s="9" t="s">
        <v>102</v>
      </c>
      <c r="C1550" s="11" t="s">
        <v>105</v>
      </c>
      <c r="D1550" s="9" t="s">
        <v>6223</v>
      </c>
      <c r="E1550" s="9" t="s">
        <v>6224</v>
      </c>
      <c r="F1550" s="9" t="s">
        <v>6225</v>
      </c>
      <c r="G1550" s="9" t="s">
        <v>2044</v>
      </c>
      <c r="H1550" s="15" t="s">
        <v>23</v>
      </c>
      <c r="I1550" s="9" t="s">
        <v>6226</v>
      </c>
      <c r="J1550" s="13"/>
      <c r="K1550" s="13"/>
    </row>
    <row r="1551" customFormat="false" ht="68.65" hidden="false" customHeight="false" outlineLevel="0" collapsed="false">
      <c r="A1551" s="9" t="n">
        <v>1550</v>
      </c>
      <c r="B1551" s="9" t="s">
        <v>102</v>
      </c>
      <c r="C1551" s="11" t="s">
        <v>105</v>
      </c>
      <c r="D1551" s="9" t="s">
        <v>6227</v>
      </c>
      <c r="E1551" s="9" t="s">
        <v>6228</v>
      </c>
      <c r="F1551" s="9" t="s">
        <v>6229</v>
      </c>
      <c r="G1551" s="9" t="s">
        <v>312</v>
      </c>
      <c r="H1551" s="14" t="s">
        <v>22</v>
      </c>
      <c r="I1551" s="9" t="s">
        <v>6230</v>
      </c>
      <c r="J1551" s="13"/>
      <c r="K1551" s="13"/>
    </row>
    <row r="1552" customFormat="false" ht="91" hidden="false" customHeight="false" outlineLevel="0" collapsed="false">
      <c r="A1552" s="9" t="n">
        <v>1551</v>
      </c>
      <c r="B1552" s="9" t="s">
        <v>102</v>
      </c>
      <c r="C1552" s="11" t="s">
        <v>105</v>
      </c>
      <c r="D1552" s="9" t="s">
        <v>6231</v>
      </c>
      <c r="E1552" s="9" t="s">
        <v>6232</v>
      </c>
      <c r="F1552" s="9" t="s">
        <v>6233</v>
      </c>
      <c r="G1552" s="9" t="s">
        <v>1072</v>
      </c>
      <c r="H1552" s="14" t="s">
        <v>22</v>
      </c>
      <c r="I1552" s="9" t="s">
        <v>6234</v>
      </c>
      <c r="J1552" s="13"/>
      <c r="K1552" s="13"/>
    </row>
    <row r="1553" customFormat="false" ht="68.65" hidden="false" customHeight="false" outlineLevel="0" collapsed="false">
      <c r="A1553" s="9" t="n">
        <v>1552</v>
      </c>
      <c r="B1553" s="9" t="s">
        <v>102</v>
      </c>
      <c r="C1553" s="11" t="s">
        <v>105</v>
      </c>
      <c r="D1553" s="9" t="s">
        <v>6235</v>
      </c>
      <c r="E1553" s="9" t="s">
        <v>6236</v>
      </c>
      <c r="F1553" s="9" t="s">
        <v>6237</v>
      </c>
      <c r="G1553" s="9" t="s">
        <v>3352</v>
      </c>
      <c r="H1553" s="14" t="s">
        <v>22</v>
      </c>
      <c r="I1553" s="9" t="s">
        <v>6238</v>
      </c>
      <c r="J1553" s="13"/>
      <c r="K1553" s="13"/>
    </row>
    <row r="1554" customFormat="false" ht="46.25" hidden="false" customHeight="false" outlineLevel="0" collapsed="false">
      <c r="A1554" s="9" t="n">
        <v>1553</v>
      </c>
      <c r="B1554" s="9" t="s">
        <v>102</v>
      </c>
      <c r="C1554" s="11" t="s">
        <v>105</v>
      </c>
      <c r="D1554" s="9" t="s">
        <v>6239</v>
      </c>
      <c r="E1554" s="9" t="s">
        <v>6240</v>
      </c>
      <c r="F1554" s="9" t="s">
        <v>6241</v>
      </c>
      <c r="G1554" s="9" t="s">
        <v>1072</v>
      </c>
      <c r="H1554" s="15" t="s">
        <v>23</v>
      </c>
      <c r="I1554" s="9" t="s">
        <v>6242</v>
      </c>
      <c r="J1554" s="13"/>
      <c r="K1554" s="13"/>
    </row>
    <row r="1555" customFormat="false" ht="35.05" hidden="false" customHeight="false" outlineLevel="0" collapsed="false">
      <c r="A1555" s="9" t="n">
        <v>1554</v>
      </c>
      <c r="B1555" s="9" t="s">
        <v>102</v>
      </c>
      <c r="C1555" s="11" t="s">
        <v>105</v>
      </c>
      <c r="D1555" s="9" t="s">
        <v>6243</v>
      </c>
      <c r="E1555" s="9" t="s">
        <v>6244</v>
      </c>
      <c r="F1555" s="9" t="s">
        <v>6245</v>
      </c>
      <c r="G1555" s="9" t="s">
        <v>1072</v>
      </c>
      <c r="H1555" s="15" t="s">
        <v>23</v>
      </c>
      <c r="I1555" s="9" t="s">
        <v>6246</v>
      </c>
      <c r="J1555" s="13"/>
      <c r="K1555" s="13"/>
    </row>
    <row r="1556" customFormat="false" ht="23.85" hidden="false" customHeight="false" outlineLevel="0" collapsed="false">
      <c r="A1556" s="9" t="n">
        <v>1555</v>
      </c>
      <c r="B1556" s="9" t="s">
        <v>102</v>
      </c>
      <c r="C1556" s="11" t="s">
        <v>105</v>
      </c>
      <c r="D1556" s="9" t="s">
        <v>6247</v>
      </c>
      <c r="E1556" s="9" t="s">
        <v>6248</v>
      </c>
      <c r="F1556" s="9" t="s">
        <v>6249</v>
      </c>
      <c r="G1556" s="9" t="s">
        <v>312</v>
      </c>
      <c r="H1556" s="15" t="s">
        <v>23</v>
      </c>
      <c r="I1556" s="9" t="s">
        <v>6250</v>
      </c>
      <c r="J1556" s="13"/>
      <c r="K1556" s="13"/>
    </row>
    <row r="1557" customFormat="false" ht="57.45" hidden="false" customHeight="false" outlineLevel="0" collapsed="false">
      <c r="A1557" s="9" t="n">
        <v>1556</v>
      </c>
      <c r="B1557" s="9" t="s">
        <v>102</v>
      </c>
      <c r="C1557" s="11" t="s">
        <v>105</v>
      </c>
      <c r="D1557" s="9" t="s">
        <v>6251</v>
      </c>
      <c r="E1557" s="9" t="s">
        <v>6252</v>
      </c>
      <c r="F1557" s="9" t="s">
        <v>6253</v>
      </c>
      <c r="G1557" s="9" t="s">
        <v>312</v>
      </c>
      <c r="H1557" s="15" t="s">
        <v>23</v>
      </c>
      <c r="I1557" s="9" t="s">
        <v>6254</v>
      </c>
      <c r="J1557" s="13"/>
      <c r="K1557" s="13"/>
    </row>
    <row r="1558" customFormat="false" ht="23.85" hidden="false" customHeight="false" outlineLevel="0" collapsed="false">
      <c r="A1558" s="9" t="n">
        <v>1557</v>
      </c>
      <c r="B1558" s="9" t="s">
        <v>102</v>
      </c>
      <c r="C1558" s="11" t="s">
        <v>105</v>
      </c>
      <c r="D1558" s="9" t="s">
        <v>6255</v>
      </c>
      <c r="E1558" s="9" t="s">
        <v>6256</v>
      </c>
      <c r="F1558" s="9" t="s">
        <v>6257</v>
      </c>
      <c r="G1558" s="9" t="s">
        <v>328</v>
      </c>
      <c r="H1558" s="15" t="s">
        <v>23</v>
      </c>
      <c r="I1558" s="9" t="s">
        <v>6258</v>
      </c>
      <c r="J1558" s="13"/>
      <c r="K1558" s="13"/>
    </row>
    <row r="1559" customFormat="false" ht="35.05" hidden="false" customHeight="false" outlineLevel="0" collapsed="false">
      <c r="A1559" s="9" t="n">
        <v>1558</v>
      </c>
      <c r="B1559" s="9" t="s">
        <v>102</v>
      </c>
      <c r="C1559" s="11" t="s">
        <v>105</v>
      </c>
      <c r="D1559" s="9" t="s">
        <v>6259</v>
      </c>
      <c r="E1559" s="9" t="s">
        <v>6110</v>
      </c>
      <c r="F1559" s="9" t="s">
        <v>4608</v>
      </c>
      <c r="G1559" s="9" t="s">
        <v>328</v>
      </c>
      <c r="H1559" s="15" t="s">
        <v>23</v>
      </c>
      <c r="I1559" s="9" t="s">
        <v>1272</v>
      </c>
      <c r="J1559" s="13"/>
      <c r="K1559" s="13"/>
    </row>
    <row r="1560" customFormat="false" ht="46.25" hidden="false" customHeight="false" outlineLevel="0" collapsed="false">
      <c r="A1560" s="9" t="n">
        <v>1559</v>
      </c>
      <c r="B1560" s="9" t="s">
        <v>102</v>
      </c>
      <c r="C1560" s="11" t="s">
        <v>105</v>
      </c>
      <c r="D1560" s="9" t="s">
        <v>6260</v>
      </c>
      <c r="E1560" s="9" t="s">
        <v>6261</v>
      </c>
      <c r="F1560" s="9" t="s">
        <v>6262</v>
      </c>
      <c r="G1560" s="9" t="s">
        <v>312</v>
      </c>
      <c r="H1560" s="15" t="s">
        <v>23</v>
      </c>
      <c r="I1560" s="9" t="s">
        <v>6263</v>
      </c>
      <c r="J1560" s="13"/>
      <c r="K1560" s="13"/>
    </row>
    <row r="1561" customFormat="false" ht="46.25" hidden="false" customHeight="false" outlineLevel="0" collapsed="false">
      <c r="A1561" s="9" t="n">
        <v>1560</v>
      </c>
      <c r="B1561" s="9" t="s">
        <v>102</v>
      </c>
      <c r="C1561" s="11" t="s">
        <v>105</v>
      </c>
      <c r="D1561" s="9" t="s">
        <v>6264</v>
      </c>
      <c r="E1561" s="9" t="s">
        <v>6265</v>
      </c>
      <c r="F1561" s="9" t="s">
        <v>6266</v>
      </c>
      <c r="G1561" s="9" t="s">
        <v>317</v>
      </c>
      <c r="H1561" s="15" t="s">
        <v>23</v>
      </c>
      <c r="I1561" s="9" t="s">
        <v>6267</v>
      </c>
      <c r="J1561" s="13"/>
      <c r="K1561" s="13"/>
    </row>
    <row r="1562" customFormat="false" ht="35.05" hidden="false" customHeight="false" outlineLevel="0" collapsed="false">
      <c r="A1562" s="9" t="n">
        <v>1561</v>
      </c>
      <c r="B1562" s="9" t="s">
        <v>102</v>
      </c>
      <c r="C1562" s="11" t="s">
        <v>105</v>
      </c>
      <c r="D1562" s="9" t="s">
        <v>6268</v>
      </c>
      <c r="E1562" s="9" t="s">
        <v>6269</v>
      </c>
      <c r="F1562" s="9" t="s">
        <v>6270</v>
      </c>
      <c r="G1562" s="9" t="s">
        <v>2044</v>
      </c>
      <c r="H1562" s="15" t="s">
        <v>23</v>
      </c>
      <c r="I1562" s="9" t="s">
        <v>6271</v>
      </c>
      <c r="J1562" s="13"/>
      <c r="K1562" s="13"/>
    </row>
    <row r="1563" customFormat="false" ht="57.45" hidden="false" customHeight="false" outlineLevel="0" collapsed="false">
      <c r="A1563" s="9" t="n">
        <v>1562</v>
      </c>
      <c r="B1563" s="9" t="s">
        <v>102</v>
      </c>
      <c r="C1563" s="11" t="s">
        <v>105</v>
      </c>
      <c r="D1563" s="9" t="s">
        <v>6272</v>
      </c>
      <c r="E1563" s="9" t="s">
        <v>6273</v>
      </c>
      <c r="F1563" s="9" t="s">
        <v>6274</v>
      </c>
      <c r="G1563" s="9" t="s">
        <v>2044</v>
      </c>
      <c r="H1563" s="14" t="s">
        <v>22</v>
      </c>
      <c r="I1563" s="9" t="s">
        <v>6275</v>
      </c>
      <c r="J1563" s="13"/>
      <c r="K1563" s="13"/>
    </row>
    <row r="1564" customFormat="false" ht="57.45" hidden="false" customHeight="false" outlineLevel="0" collapsed="false">
      <c r="A1564" s="9" t="n">
        <v>1563</v>
      </c>
      <c r="B1564" s="9" t="s">
        <v>102</v>
      </c>
      <c r="C1564" s="11" t="s">
        <v>105</v>
      </c>
      <c r="D1564" s="9" t="s">
        <v>6276</v>
      </c>
      <c r="E1564" s="9" t="s">
        <v>6277</v>
      </c>
      <c r="F1564" s="9" t="s">
        <v>6278</v>
      </c>
      <c r="G1564" s="9" t="s">
        <v>6059</v>
      </c>
      <c r="H1564" s="14" t="s">
        <v>22</v>
      </c>
      <c r="I1564" s="9" t="s">
        <v>6279</v>
      </c>
      <c r="J1564" s="13"/>
      <c r="K1564" s="13"/>
    </row>
    <row r="1565" customFormat="false" ht="35.05" hidden="false" customHeight="false" outlineLevel="0" collapsed="false">
      <c r="A1565" s="9" t="n">
        <v>1564</v>
      </c>
      <c r="B1565" s="9" t="s">
        <v>102</v>
      </c>
      <c r="C1565" s="11" t="s">
        <v>105</v>
      </c>
      <c r="D1565" s="9" t="s">
        <v>6280</v>
      </c>
      <c r="E1565" s="9" t="s">
        <v>6281</v>
      </c>
      <c r="F1565" s="9" t="s">
        <v>6282</v>
      </c>
      <c r="G1565" s="9" t="s">
        <v>317</v>
      </c>
      <c r="H1565" s="15" t="s">
        <v>23</v>
      </c>
      <c r="I1565" s="9" t="s">
        <v>6283</v>
      </c>
      <c r="J1565" s="13"/>
      <c r="K1565" s="13"/>
    </row>
    <row r="1566" customFormat="false" ht="57.45" hidden="false" customHeight="false" outlineLevel="0" collapsed="false">
      <c r="A1566" s="9" t="n">
        <v>1565</v>
      </c>
      <c r="B1566" s="9" t="s">
        <v>102</v>
      </c>
      <c r="C1566" s="11" t="s">
        <v>105</v>
      </c>
      <c r="D1566" s="9" t="s">
        <v>6284</v>
      </c>
      <c r="E1566" s="9" t="s">
        <v>6285</v>
      </c>
      <c r="F1566" s="9" t="s">
        <v>6286</v>
      </c>
      <c r="G1566" s="9" t="s">
        <v>324</v>
      </c>
      <c r="H1566" s="14" t="s">
        <v>22</v>
      </c>
      <c r="I1566" s="9" t="s">
        <v>6287</v>
      </c>
      <c r="J1566" s="13"/>
      <c r="K1566" s="13"/>
    </row>
    <row r="1567" customFormat="false" ht="35.05" hidden="false" customHeight="false" outlineLevel="0" collapsed="false">
      <c r="A1567" s="9" t="n">
        <v>1566</v>
      </c>
      <c r="B1567" s="9" t="s">
        <v>102</v>
      </c>
      <c r="C1567" s="11" t="s">
        <v>105</v>
      </c>
      <c r="D1567" s="9" t="s">
        <v>6288</v>
      </c>
      <c r="E1567" s="9" t="s">
        <v>6289</v>
      </c>
      <c r="F1567" s="9" t="s">
        <v>6290</v>
      </c>
      <c r="G1567" s="9" t="s">
        <v>308</v>
      </c>
      <c r="H1567" s="15" t="s">
        <v>23</v>
      </c>
      <c r="I1567" s="9" t="s">
        <v>6291</v>
      </c>
      <c r="J1567" s="13"/>
      <c r="K1567" s="13"/>
    </row>
    <row r="1568" customFormat="false" ht="57.45" hidden="false" customHeight="false" outlineLevel="0" collapsed="false">
      <c r="A1568" s="9" t="n">
        <v>1567</v>
      </c>
      <c r="B1568" s="9" t="s">
        <v>102</v>
      </c>
      <c r="C1568" s="11" t="s">
        <v>105</v>
      </c>
      <c r="D1568" s="9" t="s">
        <v>6292</v>
      </c>
      <c r="E1568" s="9" t="s">
        <v>6293</v>
      </c>
      <c r="F1568" s="9" t="s">
        <v>6294</v>
      </c>
      <c r="G1568" s="9" t="s">
        <v>3338</v>
      </c>
      <c r="H1568" s="15" t="s">
        <v>23</v>
      </c>
      <c r="I1568" s="9" t="s">
        <v>6295</v>
      </c>
      <c r="J1568" s="13"/>
      <c r="K1568" s="13"/>
    </row>
    <row r="1569" customFormat="false" ht="35.05" hidden="false" customHeight="false" outlineLevel="0" collapsed="false">
      <c r="A1569" s="9" t="n">
        <v>1568</v>
      </c>
      <c r="B1569" s="9" t="s">
        <v>102</v>
      </c>
      <c r="C1569" s="11" t="s">
        <v>105</v>
      </c>
      <c r="D1569" s="9" t="s">
        <v>6296</v>
      </c>
      <c r="E1569" s="9" t="s">
        <v>6297</v>
      </c>
      <c r="F1569" s="9" t="s">
        <v>6298</v>
      </c>
      <c r="G1569" s="9" t="s">
        <v>1072</v>
      </c>
      <c r="H1569" s="15" t="s">
        <v>23</v>
      </c>
      <c r="I1569" s="9" t="s">
        <v>6299</v>
      </c>
      <c r="J1569" s="13"/>
      <c r="K1569" s="13"/>
    </row>
    <row r="1570" customFormat="false" ht="23.85" hidden="false" customHeight="false" outlineLevel="0" collapsed="false">
      <c r="A1570" s="9" t="n">
        <v>1569</v>
      </c>
      <c r="B1570" s="9" t="s">
        <v>102</v>
      </c>
      <c r="C1570" s="11" t="s">
        <v>105</v>
      </c>
      <c r="D1570" s="9" t="s">
        <v>6300</v>
      </c>
      <c r="E1570" s="9" t="s">
        <v>6301</v>
      </c>
      <c r="F1570" s="9" t="s">
        <v>6302</v>
      </c>
      <c r="G1570" s="9" t="s">
        <v>24</v>
      </c>
      <c r="H1570" s="14" t="s">
        <v>22</v>
      </c>
      <c r="I1570" s="9" t="s">
        <v>6303</v>
      </c>
      <c r="J1570" s="13"/>
      <c r="K1570" s="13"/>
    </row>
    <row r="1571" customFormat="false" ht="15" hidden="false" customHeight="false" outlineLevel="0" collapsed="false">
      <c r="A1571" s="9" t="n">
        <v>1570</v>
      </c>
      <c r="B1571" s="9" t="s">
        <v>102</v>
      </c>
      <c r="C1571" s="11" t="s">
        <v>105</v>
      </c>
      <c r="D1571" s="9" t="s">
        <v>6304</v>
      </c>
      <c r="E1571" s="9" t="s">
        <v>6305</v>
      </c>
      <c r="F1571" s="9" t="s">
        <v>6306</v>
      </c>
      <c r="G1571" s="9" t="s">
        <v>24</v>
      </c>
      <c r="H1571" s="14" t="s">
        <v>22</v>
      </c>
      <c r="I1571" s="9" t="s">
        <v>1720</v>
      </c>
      <c r="J1571" s="13"/>
      <c r="K1571" s="13"/>
    </row>
    <row r="1572" customFormat="false" ht="23.85" hidden="false" customHeight="false" outlineLevel="0" collapsed="false">
      <c r="A1572" s="9" t="n">
        <v>1571</v>
      </c>
      <c r="B1572" s="9" t="s">
        <v>102</v>
      </c>
      <c r="C1572" s="11" t="s">
        <v>105</v>
      </c>
      <c r="D1572" s="9" t="s">
        <v>6307</v>
      </c>
      <c r="E1572" s="9" t="s">
        <v>6308</v>
      </c>
      <c r="F1572" s="9" t="s">
        <v>6309</v>
      </c>
      <c r="G1572" s="9" t="s">
        <v>24</v>
      </c>
      <c r="H1572" s="14" t="s">
        <v>22</v>
      </c>
      <c r="I1572" s="9" t="s">
        <v>1720</v>
      </c>
      <c r="J1572" s="13"/>
      <c r="K1572" s="13"/>
    </row>
    <row r="1573" customFormat="false" ht="35.05" hidden="false" customHeight="false" outlineLevel="0" collapsed="false">
      <c r="A1573" s="9" t="n">
        <v>1572</v>
      </c>
      <c r="B1573" s="9" t="s">
        <v>102</v>
      </c>
      <c r="C1573" s="11" t="s">
        <v>105</v>
      </c>
      <c r="D1573" s="9" t="s">
        <v>6310</v>
      </c>
      <c r="E1573" s="9" t="s">
        <v>6311</v>
      </c>
      <c r="F1573" s="9" t="s">
        <v>6312</v>
      </c>
      <c r="G1573" s="9" t="s">
        <v>24</v>
      </c>
      <c r="H1573" s="14" t="s">
        <v>22</v>
      </c>
      <c r="I1573" s="9" t="s">
        <v>6313</v>
      </c>
      <c r="J1573" s="13"/>
      <c r="K1573" s="13"/>
    </row>
    <row r="1574" customFormat="false" ht="23.85" hidden="false" customHeight="false" outlineLevel="0" collapsed="false">
      <c r="A1574" s="9" t="n">
        <v>1573</v>
      </c>
      <c r="B1574" s="9" t="s">
        <v>102</v>
      </c>
      <c r="C1574" s="11" t="s">
        <v>105</v>
      </c>
      <c r="D1574" s="9" t="s">
        <v>6314</v>
      </c>
      <c r="E1574" s="9" t="s">
        <v>6315</v>
      </c>
      <c r="F1574" s="9" t="s">
        <v>6316</v>
      </c>
      <c r="G1574" s="9" t="s">
        <v>24</v>
      </c>
      <c r="H1574" s="14" t="s">
        <v>22</v>
      </c>
      <c r="I1574" s="9" t="s">
        <v>6317</v>
      </c>
      <c r="J1574" s="13"/>
      <c r="K1574" s="13"/>
    </row>
    <row r="1575" customFormat="false" ht="35.05" hidden="false" customHeight="false" outlineLevel="0" collapsed="false">
      <c r="A1575" s="9" t="n">
        <v>1574</v>
      </c>
      <c r="B1575" s="9" t="s">
        <v>102</v>
      </c>
      <c r="C1575" s="11" t="s">
        <v>105</v>
      </c>
      <c r="D1575" s="9" t="s">
        <v>6318</v>
      </c>
      <c r="E1575" s="9" t="s">
        <v>6319</v>
      </c>
      <c r="F1575" s="9" t="s">
        <v>6320</v>
      </c>
      <c r="G1575" s="9" t="s">
        <v>24</v>
      </c>
      <c r="H1575" s="14" t="s">
        <v>22</v>
      </c>
      <c r="I1575" s="9" t="s">
        <v>6321</v>
      </c>
      <c r="J1575" s="13"/>
      <c r="K1575" s="13"/>
    </row>
    <row r="1576" customFormat="false" ht="23.85" hidden="false" customHeight="false" outlineLevel="0" collapsed="false">
      <c r="A1576" s="9" t="n">
        <v>1575</v>
      </c>
      <c r="B1576" s="9" t="s">
        <v>102</v>
      </c>
      <c r="C1576" s="11" t="s">
        <v>105</v>
      </c>
      <c r="D1576" s="9" t="s">
        <v>6322</v>
      </c>
      <c r="E1576" s="9" t="s">
        <v>6323</v>
      </c>
      <c r="F1576" s="9" t="s">
        <v>6324</v>
      </c>
      <c r="G1576" s="9" t="s">
        <v>24</v>
      </c>
      <c r="H1576" s="14" t="s">
        <v>22</v>
      </c>
      <c r="I1576" s="9" t="s">
        <v>6325</v>
      </c>
      <c r="J1576" s="13"/>
      <c r="K1576" s="13"/>
    </row>
    <row r="1577" customFormat="false" ht="23.85" hidden="false" customHeight="false" outlineLevel="0" collapsed="false">
      <c r="A1577" s="9" t="n">
        <v>1576</v>
      </c>
      <c r="B1577" s="9" t="s">
        <v>102</v>
      </c>
      <c r="C1577" s="11" t="s">
        <v>105</v>
      </c>
      <c r="D1577" s="9" t="s">
        <v>6326</v>
      </c>
      <c r="E1577" s="9" t="s">
        <v>6327</v>
      </c>
      <c r="F1577" s="9" t="s">
        <v>6328</v>
      </c>
      <c r="G1577" s="9" t="s">
        <v>24</v>
      </c>
      <c r="H1577" s="14" t="s">
        <v>22</v>
      </c>
      <c r="I1577" s="9" t="s">
        <v>6329</v>
      </c>
      <c r="J1577" s="13"/>
      <c r="K1577" s="13"/>
    </row>
    <row r="1578" customFormat="false" ht="35.05" hidden="false" customHeight="false" outlineLevel="0" collapsed="false">
      <c r="A1578" s="9" t="n">
        <v>1577</v>
      </c>
      <c r="B1578" s="9" t="s">
        <v>102</v>
      </c>
      <c r="C1578" s="11" t="s">
        <v>105</v>
      </c>
      <c r="D1578" s="9" t="s">
        <v>6330</v>
      </c>
      <c r="E1578" s="9" t="s">
        <v>6331</v>
      </c>
      <c r="F1578" s="9" t="s">
        <v>6332</v>
      </c>
      <c r="G1578" s="9" t="s">
        <v>24</v>
      </c>
      <c r="H1578" s="14" t="s">
        <v>22</v>
      </c>
      <c r="I1578" s="9" t="s">
        <v>6333</v>
      </c>
      <c r="J1578" s="13"/>
      <c r="K1578" s="13"/>
    </row>
    <row r="1579" customFormat="false" ht="15" hidden="false" customHeight="false" outlineLevel="0" collapsed="false">
      <c r="A1579" s="9" t="n">
        <v>1578</v>
      </c>
      <c r="B1579" s="9" t="s">
        <v>102</v>
      </c>
      <c r="C1579" s="11" t="s">
        <v>105</v>
      </c>
      <c r="D1579" s="9" t="s">
        <v>6334</v>
      </c>
      <c r="E1579" s="9" t="s">
        <v>358</v>
      </c>
      <c r="F1579" s="9" t="s">
        <v>815</v>
      </c>
      <c r="G1579" s="9" t="s">
        <v>24</v>
      </c>
      <c r="H1579" s="14" t="s">
        <v>22</v>
      </c>
      <c r="I1579" s="9" t="s">
        <v>4463</v>
      </c>
      <c r="J1579" s="13"/>
      <c r="K1579" s="13"/>
    </row>
    <row r="1580" customFormat="false" ht="15" hidden="false" customHeight="false" outlineLevel="0" collapsed="false">
      <c r="A1580" s="9" t="n">
        <v>1579</v>
      </c>
      <c r="B1580" s="9" t="s">
        <v>102</v>
      </c>
      <c r="C1580" s="11" t="s">
        <v>105</v>
      </c>
      <c r="D1580" s="9" t="s">
        <v>6335</v>
      </c>
      <c r="E1580" s="9" t="s">
        <v>362</v>
      </c>
      <c r="F1580" s="9" t="s">
        <v>363</v>
      </c>
      <c r="G1580" s="9" t="s">
        <v>24</v>
      </c>
      <c r="H1580" s="14" t="s">
        <v>22</v>
      </c>
      <c r="I1580" s="9" t="s">
        <v>364</v>
      </c>
      <c r="J1580" s="13"/>
      <c r="K1580" s="13"/>
    </row>
    <row r="1581" customFormat="false" ht="23.85" hidden="false" customHeight="false" outlineLevel="0" collapsed="false">
      <c r="A1581" s="9" t="n">
        <v>1580</v>
      </c>
      <c r="B1581" s="9" t="s">
        <v>102</v>
      </c>
      <c r="C1581" s="11" t="s">
        <v>105</v>
      </c>
      <c r="D1581" s="9" t="s">
        <v>6336</v>
      </c>
      <c r="E1581" s="9" t="s">
        <v>6337</v>
      </c>
      <c r="F1581" s="9" t="s">
        <v>6338</v>
      </c>
      <c r="G1581" s="9" t="s">
        <v>24</v>
      </c>
      <c r="H1581" s="15" t="s">
        <v>23</v>
      </c>
      <c r="I1581" s="9" t="s">
        <v>6339</v>
      </c>
      <c r="J1581" s="13"/>
      <c r="K1581" s="13"/>
    </row>
    <row r="1582" customFormat="false" ht="46.25" hidden="false" customHeight="false" outlineLevel="0" collapsed="false">
      <c r="A1582" s="9" t="n">
        <v>1581</v>
      </c>
      <c r="B1582" s="9" t="s">
        <v>102</v>
      </c>
      <c r="C1582" s="11" t="s">
        <v>105</v>
      </c>
      <c r="D1582" s="9" t="s">
        <v>6340</v>
      </c>
      <c r="E1582" s="9" t="s">
        <v>6341</v>
      </c>
      <c r="F1582" s="9" t="s">
        <v>6342</v>
      </c>
      <c r="G1582" s="9" t="s">
        <v>24</v>
      </c>
      <c r="H1582" s="15" t="s">
        <v>23</v>
      </c>
      <c r="I1582" s="9" t="s">
        <v>6343</v>
      </c>
      <c r="J1582" s="13"/>
      <c r="K1582" s="13"/>
    </row>
    <row r="1583" customFormat="false" ht="23.85" hidden="false" customHeight="false" outlineLevel="0" collapsed="false">
      <c r="A1583" s="9" t="n">
        <v>1582</v>
      </c>
      <c r="B1583" s="9" t="s">
        <v>102</v>
      </c>
      <c r="C1583" s="11" t="s">
        <v>105</v>
      </c>
      <c r="D1583" s="9" t="s">
        <v>6344</v>
      </c>
      <c r="E1583" s="9" t="s">
        <v>6345</v>
      </c>
      <c r="F1583" s="9" t="s">
        <v>6346</v>
      </c>
      <c r="G1583" s="9" t="s">
        <v>24</v>
      </c>
      <c r="H1583" s="15" t="s">
        <v>23</v>
      </c>
      <c r="I1583" s="9" t="s">
        <v>6347</v>
      </c>
      <c r="J1583" s="13"/>
      <c r="K1583" s="13"/>
    </row>
    <row r="1584" customFormat="false" ht="23.85" hidden="false" customHeight="false" outlineLevel="0" collapsed="false">
      <c r="A1584" s="9" t="n">
        <v>1583</v>
      </c>
      <c r="B1584" s="9" t="s">
        <v>102</v>
      </c>
      <c r="C1584" s="11" t="s">
        <v>105</v>
      </c>
      <c r="D1584" s="9" t="s">
        <v>6348</v>
      </c>
      <c r="E1584" s="9" t="s">
        <v>6349</v>
      </c>
      <c r="F1584" s="9" t="s">
        <v>6350</v>
      </c>
      <c r="G1584" s="9" t="s">
        <v>24</v>
      </c>
      <c r="H1584" s="15" t="s">
        <v>23</v>
      </c>
      <c r="I1584" s="9" t="s">
        <v>6351</v>
      </c>
      <c r="J1584" s="13"/>
      <c r="K1584" s="13"/>
    </row>
    <row r="1585" customFormat="false" ht="15" hidden="false" customHeight="false" outlineLevel="0" collapsed="false">
      <c r="A1585" s="9" t="n">
        <v>1584</v>
      </c>
      <c r="B1585" s="9" t="s">
        <v>102</v>
      </c>
      <c r="C1585" s="11" t="s">
        <v>105</v>
      </c>
      <c r="D1585" s="9" t="s">
        <v>6352</v>
      </c>
      <c r="E1585" s="9" t="s">
        <v>6353</v>
      </c>
      <c r="F1585" s="9" t="s">
        <v>6354</v>
      </c>
      <c r="G1585" s="9" t="s">
        <v>24</v>
      </c>
      <c r="H1585" s="15" t="s">
        <v>23</v>
      </c>
      <c r="I1585" s="9" t="s">
        <v>6355</v>
      </c>
      <c r="J1585" s="13"/>
      <c r="K1585" s="13"/>
    </row>
    <row r="1586" customFormat="false" ht="35.05" hidden="false" customHeight="false" outlineLevel="0" collapsed="false">
      <c r="A1586" s="9" t="n">
        <v>1585</v>
      </c>
      <c r="B1586" s="9" t="s">
        <v>102</v>
      </c>
      <c r="C1586" s="11" t="s">
        <v>105</v>
      </c>
      <c r="D1586" s="9" t="s">
        <v>6356</v>
      </c>
      <c r="E1586" s="9" t="s">
        <v>6357</v>
      </c>
      <c r="F1586" s="9" t="s">
        <v>6358</v>
      </c>
      <c r="G1586" s="9" t="s">
        <v>24</v>
      </c>
      <c r="H1586" s="15" t="s">
        <v>23</v>
      </c>
      <c r="I1586" s="9" t="s">
        <v>6359</v>
      </c>
      <c r="J1586" s="13"/>
      <c r="K1586" s="13"/>
    </row>
    <row r="1587" customFormat="false" ht="23.85" hidden="false" customHeight="false" outlineLevel="0" collapsed="false">
      <c r="A1587" s="9" t="n">
        <v>1586</v>
      </c>
      <c r="B1587" s="9" t="s">
        <v>102</v>
      </c>
      <c r="C1587" s="11" t="s">
        <v>105</v>
      </c>
      <c r="D1587" s="9" t="s">
        <v>6360</v>
      </c>
      <c r="E1587" s="9" t="s">
        <v>6361</v>
      </c>
      <c r="F1587" s="9" t="s">
        <v>6362</v>
      </c>
      <c r="G1587" s="9" t="s">
        <v>24</v>
      </c>
      <c r="H1587" s="15" t="s">
        <v>23</v>
      </c>
      <c r="I1587" s="9" t="s">
        <v>6363</v>
      </c>
      <c r="J1587" s="13"/>
      <c r="K1587" s="13"/>
    </row>
    <row r="1588" customFormat="false" ht="23.85" hidden="false" customHeight="false" outlineLevel="0" collapsed="false">
      <c r="A1588" s="9" t="n">
        <v>1587</v>
      </c>
      <c r="B1588" s="9" t="s">
        <v>102</v>
      </c>
      <c r="C1588" s="11" t="s">
        <v>105</v>
      </c>
      <c r="D1588" s="9" t="s">
        <v>6364</v>
      </c>
      <c r="E1588" s="9" t="s">
        <v>6365</v>
      </c>
      <c r="F1588" s="9" t="s">
        <v>6366</v>
      </c>
      <c r="G1588" s="9" t="s">
        <v>24</v>
      </c>
      <c r="H1588" s="15" t="s">
        <v>23</v>
      </c>
      <c r="I1588" s="9" t="s">
        <v>6367</v>
      </c>
      <c r="J1588" s="13"/>
      <c r="K1588" s="13"/>
    </row>
    <row r="1589" customFormat="false" ht="46.25" hidden="false" customHeight="false" outlineLevel="0" collapsed="false">
      <c r="A1589" s="9" t="n">
        <v>1588</v>
      </c>
      <c r="B1589" s="9" t="s">
        <v>102</v>
      </c>
      <c r="C1589" s="11" t="s">
        <v>107</v>
      </c>
      <c r="D1589" s="9" t="s">
        <v>6368</v>
      </c>
      <c r="E1589" s="9" t="s">
        <v>6369</v>
      </c>
      <c r="F1589" s="9" t="s">
        <v>6370</v>
      </c>
      <c r="G1589" s="9" t="s">
        <v>303</v>
      </c>
      <c r="H1589" s="14" t="s">
        <v>22</v>
      </c>
      <c r="I1589" s="9" t="s">
        <v>6371</v>
      </c>
      <c r="J1589" s="13"/>
      <c r="K1589" s="13"/>
    </row>
    <row r="1590" customFormat="false" ht="68.65" hidden="false" customHeight="false" outlineLevel="0" collapsed="false">
      <c r="A1590" s="9" t="n">
        <v>1589</v>
      </c>
      <c r="B1590" s="9" t="s">
        <v>102</v>
      </c>
      <c r="C1590" s="11" t="s">
        <v>107</v>
      </c>
      <c r="D1590" s="9" t="s">
        <v>6372</v>
      </c>
      <c r="E1590" s="9" t="s">
        <v>6373</v>
      </c>
      <c r="F1590" s="9" t="s">
        <v>6374</v>
      </c>
      <c r="G1590" s="9" t="s">
        <v>1843</v>
      </c>
      <c r="H1590" s="12" t="s">
        <v>21</v>
      </c>
      <c r="I1590" s="9" t="s">
        <v>6375</v>
      </c>
      <c r="J1590" s="13"/>
      <c r="K1590" s="13"/>
    </row>
    <row r="1591" customFormat="false" ht="135.8" hidden="false" customHeight="false" outlineLevel="0" collapsed="false">
      <c r="A1591" s="9" t="n">
        <v>1590</v>
      </c>
      <c r="B1591" s="9" t="s">
        <v>102</v>
      </c>
      <c r="C1591" s="11" t="s">
        <v>107</v>
      </c>
      <c r="D1591" s="9" t="s">
        <v>6376</v>
      </c>
      <c r="E1591" s="9" t="s">
        <v>6377</v>
      </c>
      <c r="F1591" s="9" t="s">
        <v>6378</v>
      </c>
      <c r="G1591" s="9" t="s">
        <v>2044</v>
      </c>
      <c r="H1591" s="12" t="s">
        <v>21</v>
      </c>
      <c r="I1591" s="9" t="s">
        <v>6379</v>
      </c>
      <c r="J1591" s="13"/>
      <c r="K1591" s="13"/>
    </row>
    <row r="1592" customFormat="false" ht="57.45" hidden="false" customHeight="false" outlineLevel="0" collapsed="false">
      <c r="A1592" s="9" t="n">
        <v>1591</v>
      </c>
      <c r="B1592" s="9" t="s">
        <v>102</v>
      </c>
      <c r="C1592" s="11" t="s">
        <v>107</v>
      </c>
      <c r="D1592" s="9" t="s">
        <v>6380</v>
      </c>
      <c r="E1592" s="9" t="s">
        <v>6381</v>
      </c>
      <c r="F1592" s="9" t="s">
        <v>6382</v>
      </c>
      <c r="G1592" s="9" t="s">
        <v>3343</v>
      </c>
      <c r="H1592" s="14" t="s">
        <v>22</v>
      </c>
      <c r="I1592" s="9" t="s">
        <v>6383</v>
      </c>
      <c r="J1592" s="13"/>
      <c r="K1592" s="13"/>
    </row>
    <row r="1593" customFormat="false" ht="68.65" hidden="false" customHeight="false" outlineLevel="0" collapsed="false">
      <c r="A1593" s="9" t="n">
        <v>1592</v>
      </c>
      <c r="B1593" s="9" t="s">
        <v>102</v>
      </c>
      <c r="C1593" s="11" t="s">
        <v>107</v>
      </c>
      <c r="D1593" s="9" t="s">
        <v>6384</v>
      </c>
      <c r="E1593" s="9" t="s">
        <v>6385</v>
      </c>
      <c r="F1593" s="9" t="s">
        <v>6386</v>
      </c>
      <c r="G1593" s="9" t="s">
        <v>834</v>
      </c>
      <c r="H1593" s="14" t="s">
        <v>22</v>
      </c>
      <c r="I1593" s="9" t="s">
        <v>6387</v>
      </c>
      <c r="J1593" s="13"/>
      <c r="K1593" s="13"/>
    </row>
    <row r="1594" customFormat="false" ht="79.85" hidden="false" customHeight="false" outlineLevel="0" collapsed="false">
      <c r="A1594" s="9" t="n">
        <v>1593</v>
      </c>
      <c r="B1594" s="9" t="s">
        <v>102</v>
      </c>
      <c r="C1594" s="11" t="s">
        <v>107</v>
      </c>
      <c r="D1594" s="9" t="s">
        <v>6388</v>
      </c>
      <c r="E1594" s="9" t="s">
        <v>6389</v>
      </c>
      <c r="F1594" s="9" t="s">
        <v>6390</v>
      </c>
      <c r="G1594" s="9" t="s">
        <v>317</v>
      </c>
      <c r="H1594" s="14" t="s">
        <v>22</v>
      </c>
      <c r="I1594" s="9" t="s">
        <v>6391</v>
      </c>
      <c r="J1594" s="13"/>
      <c r="K1594" s="13"/>
    </row>
    <row r="1595" customFormat="false" ht="35.05" hidden="false" customHeight="false" outlineLevel="0" collapsed="false">
      <c r="A1595" s="9" t="n">
        <v>1594</v>
      </c>
      <c r="B1595" s="9" t="s">
        <v>102</v>
      </c>
      <c r="C1595" s="11" t="s">
        <v>107</v>
      </c>
      <c r="D1595" s="9" t="s">
        <v>6392</v>
      </c>
      <c r="E1595" s="9" t="s">
        <v>6393</v>
      </c>
      <c r="F1595" s="9" t="s">
        <v>6394</v>
      </c>
      <c r="G1595" s="9" t="s">
        <v>312</v>
      </c>
      <c r="H1595" s="15" t="s">
        <v>23</v>
      </c>
      <c r="I1595" s="9" t="s">
        <v>6395</v>
      </c>
      <c r="J1595" s="13"/>
      <c r="K1595" s="13"/>
    </row>
    <row r="1596" customFormat="false" ht="68.65" hidden="false" customHeight="false" outlineLevel="0" collapsed="false">
      <c r="A1596" s="9" t="n">
        <v>1595</v>
      </c>
      <c r="B1596" s="9" t="s">
        <v>102</v>
      </c>
      <c r="C1596" s="11" t="s">
        <v>107</v>
      </c>
      <c r="D1596" s="9" t="s">
        <v>6396</v>
      </c>
      <c r="E1596" s="9" t="s">
        <v>6397</v>
      </c>
      <c r="F1596" s="9" t="s">
        <v>6398</v>
      </c>
      <c r="G1596" s="9" t="s">
        <v>2044</v>
      </c>
      <c r="H1596" s="15" t="s">
        <v>23</v>
      </c>
      <c r="I1596" s="9" t="s">
        <v>6399</v>
      </c>
      <c r="J1596" s="13"/>
      <c r="K1596" s="13"/>
    </row>
    <row r="1597" customFormat="false" ht="57.45" hidden="false" customHeight="false" outlineLevel="0" collapsed="false">
      <c r="A1597" s="9" t="n">
        <v>1596</v>
      </c>
      <c r="B1597" s="9" t="s">
        <v>102</v>
      </c>
      <c r="C1597" s="11" t="s">
        <v>107</v>
      </c>
      <c r="D1597" s="9" t="s">
        <v>6400</v>
      </c>
      <c r="E1597" s="9" t="s">
        <v>6401</v>
      </c>
      <c r="F1597" s="9" t="s">
        <v>6402</v>
      </c>
      <c r="G1597" s="9" t="s">
        <v>2044</v>
      </c>
      <c r="H1597" s="14" t="s">
        <v>22</v>
      </c>
      <c r="I1597" s="9" t="s">
        <v>6403</v>
      </c>
      <c r="J1597" s="13"/>
      <c r="K1597" s="13"/>
    </row>
    <row r="1598" customFormat="false" ht="79.85" hidden="false" customHeight="false" outlineLevel="0" collapsed="false">
      <c r="A1598" s="9" t="n">
        <v>1597</v>
      </c>
      <c r="B1598" s="9" t="s">
        <v>102</v>
      </c>
      <c r="C1598" s="11" t="s">
        <v>107</v>
      </c>
      <c r="D1598" s="9" t="s">
        <v>6404</v>
      </c>
      <c r="E1598" s="9" t="s">
        <v>6405</v>
      </c>
      <c r="F1598" s="9" t="s">
        <v>6406</v>
      </c>
      <c r="G1598" s="9" t="s">
        <v>6407</v>
      </c>
      <c r="H1598" s="14" t="s">
        <v>22</v>
      </c>
      <c r="I1598" s="9" t="s">
        <v>6408</v>
      </c>
      <c r="J1598" s="13"/>
      <c r="K1598" s="13"/>
    </row>
    <row r="1599" customFormat="false" ht="91" hidden="false" customHeight="false" outlineLevel="0" collapsed="false">
      <c r="A1599" s="9" t="n">
        <v>1598</v>
      </c>
      <c r="B1599" s="9" t="s">
        <v>102</v>
      </c>
      <c r="C1599" s="11" t="s">
        <v>107</v>
      </c>
      <c r="D1599" s="9" t="s">
        <v>6409</v>
      </c>
      <c r="E1599" s="9" t="s">
        <v>6410</v>
      </c>
      <c r="F1599" s="9" t="s">
        <v>6411</v>
      </c>
      <c r="G1599" s="9" t="s">
        <v>2044</v>
      </c>
      <c r="H1599" s="12" t="s">
        <v>21</v>
      </c>
      <c r="I1599" s="9" t="s">
        <v>6412</v>
      </c>
      <c r="J1599" s="13"/>
      <c r="K1599" s="13"/>
    </row>
    <row r="1600" customFormat="false" ht="35.05" hidden="false" customHeight="false" outlineLevel="0" collapsed="false">
      <c r="A1600" s="9" t="n">
        <v>1599</v>
      </c>
      <c r="B1600" s="9" t="s">
        <v>102</v>
      </c>
      <c r="C1600" s="11" t="s">
        <v>107</v>
      </c>
      <c r="D1600" s="9" t="s">
        <v>6413</v>
      </c>
      <c r="E1600" s="9" t="s">
        <v>6414</v>
      </c>
      <c r="F1600" s="9" t="s">
        <v>6415</v>
      </c>
      <c r="G1600" s="9" t="s">
        <v>317</v>
      </c>
      <c r="H1600" s="15" t="s">
        <v>23</v>
      </c>
      <c r="I1600" s="9" t="s">
        <v>6416</v>
      </c>
      <c r="J1600" s="13"/>
      <c r="K1600" s="13"/>
    </row>
    <row r="1601" customFormat="false" ht="35.05" hidden="false" customHeight="false" outlineLevel="0" collapsed="false">
      <c r="A1601" s="9" t="n">
        <v>1600</v>
      </c>
      <c r="B1601" s="9" t="s">
        <v>102</v>
      </c>
      <c r="C1601" s="11" t="s">
        <v>107</v>
      </c>
      <c r="D1601" s="9" t="s">
        <v>6417</v>
      </c>
      <c r="E1601" s="9" t="s">
        <v>6418</v>
      </c>
      <c r="F1601" s="9" t="s">
        <v>6419</v>
      </c>
      <c r="G1601" s="9" t="s">
        <v>6420</v>
      </c>
      <c r="H1601" s="15" t="s">
        <v>23</v>
      </c>
      <c r="I1601" s="9" t="s">
        <v>6421</v>
      </c>
      <c r="J1601" s="13"/>
      <c r="K1601" s="13"/>
    </row>
    <row r="1602" customFormat="false" ht="79.85" hidden="false" customHeight="false" outlineLevel="0" collapsed="false">
      <c r="A1602" s="9" t="n">
        <v>1601</v>
      </c>
      <c r="B1602" s="9" t="s">
        <v>102</v>
      </c>
      <c r="C1602" s="11" t="s">
        <v>107</v>
      </c>
      <c r="D1602" s="9" t="s">
        <v>6422</v>
      </c>
      <c r="E1602" s="9" t="s">
        <v>6423</v>
      </c>
      <c r="F1602" s="9" t="s">
        <v>6424</v>
      </c>
      <c r="G1602" s="9" t="s">
        <v>6425</v>
      </c>
      <c r="H1602" s="14" t="s">
        <v>22</v>
      </c>
      <c r="I1602" s="9" t="s">
        <v>6426</v>
      </c>
      <c r="J1602" s="13"/>
      <c r="K1602" s="13"/>
    </row>
    <row r="1603" customFormat="false" ht="46.25" hidden="false" customHeight="false" outlineLevel="0" collapsed="false">
      <c r="A1603" s="9" t="n">
        <v>1602</v>
      </c>
      <c r="B1603" s="9" t="s">
        <v>102</v>
      </c>
      <c r="C1603" s="11" t="s">
        <v>107</v>
      </c>
      <c r="D1603" s="9" t="s">
        <v>6427</v>
      </c>
      <c r="E1603" s="9" t="s">
        <v>6428</v>
      </c>
      <c r="F1603" s="9" t="s">
        <v>6429</v>
      </c>
      <c r="G1603" s="9" t="s">
        <v>1072</v>
      </c>
      <c r="H1603" s="14" t="s">
        <v>22</v>
      </c>
      <c r="I1603" s="9" t="s">
        <v>6430</v>
      </c>
      <c r="J1603" s="13"/>
      <c r="K1603" s="13"/>
    </row>
    <row r="1604" customFormat="false" ht="79.85" hidden="false" customHeight="false" outlineLevel="0" collapsed="false">
      <c r="A1604" s="9" t="n">
        <v>1603</v>
      </c>
      <c r="B1604" s="9" t="s">
        <v>102</v>
      </c>
      <c r="C1604" s="11" t="s">
        <v>107</v>
      </c>
      <c r="D1604" s="9" t="s">
        <v>6431</v>
      </c>
      <c r="E1604" s="9" t="s">
        <v>6432</v>
      </c>
      <c r="F1604" s="9" t="s">
        <v>6433</v>
      </c>
      <c r="G1604" s="9" t="s">
        <v>317</v>
      </c>
      <c r="H1604" s="12" t="s">
        <v>21</v>
      </c>
      <c r="I1604" s="9" t="s">
        <v>6434</v>
      </c>
      <c r="J1604" s="13"/>
      <c r="K1604" s="13"/>
    </row>
    <row r="1605" customFormat="false" ht="68.65" hidden="false" customHeight="false" outlineLevel="0" collapsed="false">
      <c r="A1605" s="9" t="n">
        <v>1604</v>
      </c>
      <c r="B1605" s="9" t="s">
        <v>102</v>
      </c>
      <c r="C1605" s="11" t="s">
        <v>107</v>
      </c>
      <c r="D1605" s="9" t="s">
        <v>6435</v>
      </c>
      <c r="E1605" s="9" t="s">
        <v>6436</v>
      </c>
      <c r="F1605" s="9" t="s">
        <v>6437</v>
      </c>
      <c r="G1605" s="9" t="s">
        <v>2044</v>
      </c>
      <c r="H1605" s="14" t="s">
        <v>22</v>
      </c>
      <c r="I1605" s="9" t="s">
        <v>6438</v>
      </c>
      <c r="J1605" s="13"/>
      <c r="K1605" s="13"/>
    </row>
    <row r="1606" customFormat="false" ht="35.05" hidden="false" customHeight="false" outlineLevel="0" collapsed="false">
      <c r="A1606" s="9" t="n">
        <v>1605</v>
      </c>
      <c r="B1606" s="9" t="s">
        <v>102</v>
      </c>
      <c r="C1606" s="11" t="s">
        <v>107</v>
      </c>
      <c r="D1606" s="9" t="s">
        <v>6439</v>
      </c>
      <c r="E1606" s="9" t="s">
        <v>6440</v>
      </c>
      <c r="F1606" s="9" t="s">
        <v>6441</v>
      </c>
      <c r="G1606" s="9" t="s">
        <v>312</v>
      </c>
      <c r="H1606" s="14" t="s">
        <v>22</v>
      </c>
      <c r="I1606" s="9" t="s">
        <v>6442</v>
      </c>
      <c r="J1606" s="13"/>
      <c r="K1606" s="13"/>
    </row>
    <row r="1607" customFormat="false" ht="46.25" hidden="false" customHeight="false" outlineLevel="0" collapsed="false">
      <c r="A1607" s="9" t="n">
        <v>1606</v>
      </c>
      <c r="B1607" s="9" t="s">
        <v>102</v>
      </c>
      <c r="C1607" s="11" t="s">
        <v>107</v>
      </c>
      <c r="D1607" s="9" t="s">
        <v>6443</v>
      </c>
      <c r="E1607" s="9" t="s">
        <v>6444</v>
      </c>
      <c r="F1607" s="9" t="s">
        <v>6445</v>
      </c>
      <c r="G1607" s="9" t="s">
        <v>303</v>
      </c>
      <c r="H1607" s="14" t="s">
        <v>22</v>
      </c>
      <c r="I1607" s="9" t="s">
        <v>6446</v>
      </c>
      <c r="J1607" s="13"/>
      <c r="K1607" s="13"/>
    </row>
    <row r="1608" customFormat="false" ht="57.45" hidden="false" customHeight="false" outlineLevel="0" collapsed="false">
      <c r="A1608" s="9" t="n">
        <v>1607</v>
      </c>
      <c r="B1608" s="9" t="s">
        <v>102</v>
      </c>
      <c r="C1608" s="11" t="s">
        <v>107</v>
      </c>
      <c r="D1608" s="9" t="s">
        <v>6447</v>
      </c>
      <c r="E1608" s="9" t="s">
        <v>6448</v>
      </c>
      <c r="F1608" s="9" t="s">
        <v>6449</v>
      </c>
      <c r="G1608" s="9" t="s">
        <v>1843</v>
      </c>
      <c r="H1608" s="14" t="s">
        <v>22</v>
      </c>
      <c r="I1608" s="9" t="s">
        <v>6450</v>
      </c>
      <c r="J1608" s="13"/>
      <c r="K1608" s="13"/>
    </row>
    <row r="1609" customFormat="false" ht="102.2" hidden="false" customHeight="false" outlineLevel="0" collapsed="false">
      <c r="A1609" s="9" t="n">
        <v>1608</v>
      </c>
      <c r="B1609" s="9" t="s">
        <v>102</v>
      </c>
      <c r="C1609" s="11" t="s">
        <v>107</v>
      </c>
      <c r="D1609" s="9" t="s">
        <v>6451</v>
      </c>
      <c r="E1609" s="9" t="s">
        <v>6452</v>
      </c>
      <c r="F1609" s="9" t="s">
        <v>6453</v>
      </c>
      <c r="G1609" s="9" t="s">
        <v>2044</v>
      </c>
      <c r="H1609" s="12" t="s">
        <v>21</v>
      </c>
      <c r="I1609" s="9" t="s">
        <v>6454</v>
      </c>
      <c r="J1609" s="13"/>
      <c r="K1609" s="13"/>
    </row>
    <row r="1610" customFormat="false" ht="35.05" hidden="false" customHeight="false" outlineLevel="0" collapsed="false">
      <c r="A1610" s="9" t="n">
        <v>1609</v>
      </c>
      <c r="B1610" s="9" t="s">
        <v>102</v>
      </c>
      <c r="C1610" s="11" t="s">
        <v>107</v>
      </c>
      <c r="D1610" s="9" t="s">
        <v>6455</v>
      </c>
      <c r="E1610" s="9" t="s">
        <v>6456</v>
      </c>
      <c r="F1610" s="9" t="s">
        <v>6457</v>
      </c>
      <c r="G1610" s="9" t="s">
        <v>2044</v>
      </c>
      <c r="H1610" s="15" t="s">
        <v>23</v>
      </c>
      <c r="I1610" s="9" t="s">
        <v>6458</v>
      </c>
      <c r="J1610" s="13"/>
      <c r="K1610" s="13"/>
    </row>
    <row r="1611" customFormat="false" ht="35.05" hidden="false" customHeight="false" outlineLevel="0" collapsed="false">
      <c r="A1611" s="9" t="n">
        <v>1610</v>
      </c>
      <c r="B1611" s="9" t="s">
        <v>102</v>
      </c>
      <c r="C1611" s="11" t="s">
        <v>107</v>
      </c>
      <c r="D1611" s="9" t="s">
        <v>6459</v>
      </c>
      <c r="E1611" s="9" t="s">
        <v>6460</v>
      </c>
      <c r="F1611" s="9" t="s">
        <v>6461</v>
      </c>
      <c r="G1611" s="9" t="s">
        <v>303</v>
      </c>
      <c r="H1611" s="15" t="s">
        <v>23</v>
      </c>
      <c r="I1611" s="9" t="s">
        <v>6462</v>
      </c>
      <c r="J1611" s="13"/>
      <c r="K1611" s="13"/>
    </row>
    <row r="1612" customFormat="false" ht="79.85" hidden="false" customHeight="false" outlineLevel="0" collapsed="false">
      <c r="A1612" s="9" t="n">
        <v>1611</v>
      </c>
      <c r="B1612" s="9" t="s">
        <v>102</v>
      </c>
      <c r="C1612" s="11" t="s">
        <v>107</v>
      </c>
      <c r="D1612" s="9" t="s">
        <v>6463</v>
      </c>
      <c r="E1612" s="9" t="s">
        <v>6464</v>
      </c>
      <c r="F1612" s="9" t="s">
        <v>6465</v>
      </c>
      <c r="G1612" s="9" t="s">
        <v>317</v>
      </c>
      <c r="H1612" s="12" t="s">
        <v>21</v>
      </c>
      <c r="I1612" s="9" t="s">
        <v>6466</v>
      </c>
      <c r="J1612" s="13"/>
      <c r="K1612" s="13"/>
    </row>
    <row r="1613" customFormat="false" ht="57.45" hidden="false" customHeight="false" outlineLevel="0" collapsed="false">
      <c r="A1613" s="9" t="n">
        <v>1612</v>
      </c>
      <c r="B1613" s="9" t="s">
        <v>102</v>
      </c>
      <c r="C1613" s="11" t="s">
        <v>107</v>
      </c>
      <c r="D1613" s="9" t="s">
        <v>6467</v>
      </c>
      <c r="E1613" s="9" t="s">
        <v>6468</v>
      </c>
      <c r="F1613" s="9" t="s">
        <v>6469</v>
      </c>
      <c r="G1613" s="9" t="s">
        <v>2044</v>
      </c>
      <c r="H1613" s="15" t="s">
        <v>23</v>
      </c>
      <c r="I1613" s="9" t="s">
        <v>6470</v>
      </c>
      <c r="J1613" s="13"/>
      <c r="K1613" s="13"/>
    </row>
    <row r="1614" customFormat="false" ht="46.25" hidden="false" customHeight="false" outlineLevel="0" collapsed="false">
      <c r="A1614" s="9" t="n">
        <v>1613</v>
      </c>
      <c r="B1614" s="9" t="s">
        <v>102</v>
      </c>
      <c r="C1614" s="11" t="s">
        <v>107</v>
      </c>
      <c r="D1614" s="9" t="s">
        <v>6471</v>
      </c>
      <c r="E1614" s="9" t="s">
        <v>6472</v>
      </c>
      <c r="F1614" s="9" t="s">
        <v>6473</v>
      </c>
      <c r="G1614" s="9" t="s">
        <v>6474</v>
      </c>
      <c r="H1614" s="14" t="s">
        <v>22</v>
      </c>
      <c r="I1614" s="9" t="s">
        <v>6475</v>
      </c>
      <c r="J1614" s="13"/>
      <c r="K1614" s="13"/>
    </row>
    <row r="1615" customFormat="false" ht="68.65" hidden="false" customHeight="false" outlineLevel="0" collapsed="false">
      <c r="A1615" s="9" t="n">
        <v>1614</v>
      </c>
      <c r="B1615" s="9" t="s">
        <v>102</v>
      </c>
      <c r="C1615" s="11" t="s">
        <v>107</v>
      </c>
      <c r="D1615" s="9" t="s">
        <v>6476</v>
      </c>
      <c r="E1615" s="9" t="s">
        <v>6477</v>
      </c>
      <c r="F1615" s="9" t="s">
        <v>6478</v>
      </c>
      <c r="G1615" s="9" t="s">
        <v>2044</v>
      </c>
      <c r="H1615" s="14" t="s">
        <v>22</v>
      </c>
      <c r="I1615" s="9" t="s">
        <v>6479</v>
      </c>
      <c r="J1615" s="13"/>
      <c r="K1615" s="13"/>
    </row>
    <row r="1616" customFormat="false" ht="35.05" hidden="false" customHeight="false" outlineLevel="0" collapsed="false">
      <c r="A1616" s="9" t="n">
        <v>1615</v>
      </c>
      <c r="B1616" s="9" t="s">
        <v>102</v>
      </c>
      <c r="C1616" s="11" t="s">
        <v>107</v>
      </c>
      <c r="D1616" s="9" t="s">
        <v>6480</v>
      </c>
      <c r="E1616" s="9" t="s">
        <v>6481</v>
      </c>
      <c r="F1616" s="9" t="s">
        <v>6482</v>
      </c>
      <c r="G1616" s="9" t="s">
        <v>1072</v>
      </c>
      <c r="H1616" s="15" t="s">
        <v>23</v>
      </c>
      <c r="I1616" s="9" t="s">
        <v>6483</v>
      </c>
      <c r="J1616" s="13"/>
      <c r="K1616" s="13"/>
    </row>
    <row r="1617" customFormat="false" ht="79.85" hidden="false" customHeight="false" outlineLevel="0" collapsed="false">
      <c r="A1617" s="9" t="n">
        <v>1616</v>
      </c>
      <c r="B1617" s="9" t="s">
        <v>102</v>
      </c>
      <c r="C1617" s="11" t="s">
        <v>107</v>
      </c>
      <c r="D1617" s="9" t="s">
        <v>6484</v>
      </c>
      <c r="E1617" s="9" t="s">
        <v>6485</v>
      </c>
      <c r="F1617" s="9" t="s">
        <v>6486</v>
      </c>
      <c r="G1617" s="9" t="s">
        <v>6487</v>
      </c>
      <c r="H1617" s="14" t="s">
        <v>22</v>
      </c>
      <c r="I1617" s="9" t="s">
        <v>6488</v>
      </c>
      <c r="J1617" s="13"/>
      <c r="K1617" s="13"/>
    </row>
    <row r="1618" customFormat="false" ht="68.65" hidden="false" customHeight="false" outlineLevel="0" collapsed="false">
      <c r="A1618" s="9" t="n">
        <v>1617</v>
      </c>
      <c r="B1618" s="9" t="s">
        <v>102</v>
      </c>
      <c r="C1618" s="11" t="s">
        <v>107</v>
      </c>
      <c r="D1618" s="9" t="s">
        <v>6489</v>
      </c>
      <c r="E1618" s="9" t="s">
        <v>6490</v>
      </c>
      <c r="F1618" s="9" t="s">
        <v>6491</v>
      </c>
      <c r="G1618" s="9" t="s">
        <v>317</v>
      </c>
      <c r="H1618" s="14" t="s">
        <v>22</v>
      </c>
      <c r="I1618" s="9" t="s">
        <v>6492</v>
      </c>
      <c r="J1618" s="13"/>
      <c r="K1618" s="13"/>
    </row>
    <row r="1619" customFormat="false" ht="23.85" hidden="false" customHeight="false" outlineLevel="0" collapsed="false">
      <c r="A1619" s="9" t="n">
        <v>1618</v>
      </c>
      <c r="B1619" s="9" t="s">
        <v>102</v>
      </c>
      <c r="C1619" s="11" t="s">
        <v>107</v>
      </c>
      <c r="D1619" s="9" t="s">
        <v>6493</v>
      </c>
      <c r="E1619" s="9" t="s">
        <v>6494</v>
      </c>
      <c r="F1619" s="9" t="s">
        <v>6495</v>
      </c>
      <c r="G1619" s="9" t="s">
        <v>6496</v>
      </c>
      <c r="H1619" s="15" t="s">
        <v>23</v>
      </c>
      <c r="I1619" s="9" t="s">
        <v>6497</v>
      </c>
      <c r="J1619" s="13"/>
      <c r="K1619" s="13"/>
    </row>
    <row r="1620" customFormat="false" ht="68.65" hidden="false" customHeight="false" outlineLevel="0" collapsed="false">
      <c r="A1620" s="9" t="n">
        <v>1619</v>
      </c>
      <c r="B1620" s="9" t="s">
        <v>102</v>
      </c>
      <c r="C1620" s="11" t="s">
        <v>107</v>
      </c>
      <c r="D1620" s="9" t="s">
        <v>6498</v>
      </c>
      <c r="E1620" s="9" t="s">
        <v>6499</v>
      </c>
      <c r="F1620" s="9" t="s">
        <v>6500</v>
      </c>
      <c r="G1620" s="9" t="s">
        <v>2044</v>
      </c>
      <c r="H1620" s="14" t="s">
        <v>22</v>
      </c>
      <c r="I1620" s="9" t="s">
        <v>6501</v>
      </c>
      <c r="J1620" s="13"/>
      <c r="K1620" s="13"/>
    </row>
    <row r="1621" customFormat="false" ht="23.85" hidden="false" customHeight="false" outlineLevel="0" collapsed="false">
      <c r="A1621" s="9" t="n">
        <v>1620</v>
      </c>
      <c r="B1621" s="9" t="s">
        <v>102</v>
      </c>
      <c r="C1621" s="11" t="s">
        <v>107</v>
      </c>
      <c r="D1621" s="9" t="s">
        <v>6502</v>
      </c>
      <c r="E1621" s="9" t="s">
        <v>6503</v>
      </c>
      <c r="F1621" s="9" t="s">
        <v>6504</v>
      </c>
      <c r="G1621" s="9" t="s">
        <v>312</v>
      </c>
      <c r="H1621" s="15" t="s">
        <v>23</v>
      </c>
      <c r="I1621" s="9" t="s">
        <v>6505</v>
      </c>
      <c r="J1621" s="13"/>
      <c r="K1621" s="13"/>
    </row>
    <row r="1622" customFormat="false" ht="68.65" hidden="false" customHeight="false" outlineLevel="0" collapsed="false">
      <c r="A1622" s="9" t="n">
        <v>1621</v>
      </c>
      <c r="B1622" s="9" t="s">
        <v>102</v>
      </c>
      <c r="C1622" s="11" t="s">
        <v>107</v>
      </c>
      <c r="D1622" s="9" t="s">
        <v>6506</v>
      </c>
      <c r="E1622" s="9" t="s">
        <v>6507</v>
      </c>
      <c r="F1622" s="9" t="s">
        <v>6508</v>
      </c>
      <c r="G1622" s="9" t="s">
        <v>317</v>
      </c>
      <c r="H1622" s="12" t="s">
        <v>21</v>
      </c>
      <c r="I1622" s="9" t="s">
        <v>6509</v>
      </c>
      <c r="J1622" s="13"/>
      <c r="K1622" s="13"/>
    </row>
    <row r="1623" customFormat="false" ht="57.45" hidden="false" customHeight="false" outlineLevel="0" collapsed="false">
      <c r="A1623" s="9" t="n">
        <v>1622</v>
      </c>
      <c r="B1623" s="9" t="s">
        <v>102</v>
      </c>
      <c r="C1623" s="11" t="s">
        <v>107</v>
      </c>
      <c r="D1623" s="9" t="s">
        <v>6510</v>
      </c>
      <c r="E1623" s="9" t="s">
        <v>6511</v>
      </c>
      <c r="F1623" s="9" t="s">
        <v>6512</v>
      </c>
      <c r="G1623" s="9" t="s">
        <v>6407</v>
      </c>
      <c r="H1623" s="15" t="s">
        <v>23</v>
      </c>
      <c r="I1623" s="9" t="s">
        <v>6513</v>
      </c>
      <c r="J1623" s="13"/>
      <c r="K1623" s="13"/>
    </row>
    <row r="1624" customFormat="false" ht="102.2" hidden="false" customHeight="false" outlineLevel="0" collapsed="false">
      <c r="A1624" s="9" t="n">
        <v>1623</v>
      </c>
      <c r="B1624" s="9" t="s">
        <v>102</v>
      </c>
      <c r="C1624" s="11" t="s">
        <v>107</v>
      </c>
      <c r="D1624" s="9" t="s">
        <v>6514</v>
      </c>
      <c r="E1624" s="9" t="s">
        <v>6515</v>
      </c>
      <c r="F1624" s="9" t="s">
        <v>6516</v>
      </c>
      <c r="G1624" s="9" t="s">
        <v>3343</v>
      </c>
      <c r="H1624" s="12" t="s">
        <v>21</v>
      </c>
      <c r="I1624" s="9" t="s">
        <v>6517</v>
      </c>
      <c r="J1624" s="13"/>
      <c r="K1624" s="13"/>
    </row>
    <row r="1625" customFormat="false" ht="35.05" hidden="false" customHeight="false" outlineLevel="0" collapsed="false">
      <c r="A1625" s="9" t="n">
        <v>1624</v>
      </c>
      <c r="B1625" s="9" t="s">
        <v>102</v>
      </c>
      <c r="C1625" s="11" t="s">
        <v>107</v>
      </c>
      <c r="D1625" s="9" t="s">
        <v>6518</v>
      </c>
      <c r="E1625" s="9" t="s">
        <v>6519</v>
      </c>
      <c r="F1625" s="9" t="s">
        <v>6520</v>
      </c>
      <c r="G1625" s="9" t="s">
        <v>1072</v>
      </c>
      <c r="H1625" s="15" t="s">
        <v>23</v>
      </c>
      <c r="I1625" s="9" t="s">
        <v>6521</v>
      </c>
      <c r="J1625" s="13"/>
      <c r="K1625" s="13"/>
    </row>
    <row r="1626" customFormat="false" ht="113.4" hidden="false" customHeight="false" outlineLevel="0" collapsed="false">
      <c r="A1626" s="9" t="n">
        <v>1625</v>
      </c>
      <c r="B1626" s="9" t="s">
        <v>102</v>
      </c>
      <c r="C1626" s="11" t="s">
        <v>107</v>
      </c>
      <c r="D1626" s="9" t="s">
        <v>6522</v>
      </c>
      <c r="E1626" s="9" t="s">
        <v>6523</v>
      </c>
      <c r="F1626" s="9" t="s">
        <v>6524</v>
      </c>
      <c r="G1626" s="9" t="s">
        <v>2044</v>
      </c>
      <c r="H1626" s="12" t="s">
        <v>21</v>
      </c>
      <c r="I1626" s="9" t="s">
        <v>6525</v>
      </c>
      <c r="J1626" s="13"/>
      <c r="K1626" s="13"/>
    </row>
    <row r="1627" customFormat="false" ht="91" hidden="false" customHeight="false" outlineLevel="0" collapsed="false">
      <c r="A1627" s="9" t="n">
        <v>1626</v>
      </c>
      <c r="B1627" s="9" t="s">
        <v>102</v>
      </c>
      <c r="C1627" s="11" t="s">
        <v>107</v>
      </c>
      <c r="D1627" s="9" t="s">
        <v>6526</v>
      </c>
      <c r="E1627" s="9" t="s">
        <v>6527</v>
      </c>
      <c r="F1627" s="9" t="s">
        <v>6528</v>
      </c>
      <c r="G1627" s="9" t="s">
        <v>3279</v>
      </c>
      <c r="H1627" s="14" t="s">
        <v>22</v>
      </c>
      <c r="I1627" s="9" t="s">
        <v>6529</v>
      </c>
      <c r="J1627" s="13"/>
      <c r="K1627" s="13"/>
    </row>
    <row r="1628" customFormat="false" ht="79.85" hidden="false" customHeight="false" outlineLevel="0" collapsed="false">
      <c r="A1628" s="9" t="n">
        <v>1627</v>
      </c>
      <c r="B1628" s="9" t="s">
        <v>102</v>
      </c>
      <c r="C1628" s="11" t="s">
        <v>107</v>
      </c>
      <c r="D1628" s="9" t="s">
        <v>6530</v>
      </c>
      <c r="E1628" s="9" t="s">
        <v>6531</v>
      </c>
      <c r="F1628" s="9" t="s">
        <v>6532</v>
      </c>
      <c r="G1628" s="9" t="s">
        <v>1072</v>
      </c>
      <c r="H1628" s="14" t="s">
        <v>22</v>
      </c>
      <c r="I1628" s="9" t="s">
        <v>6533</v>
      </c>
      <c r="J1628" s="13"/>
      <c r="K1628" s="13"/>
    </row>
    <row r="1629" customFormat="false" ht="46.25" hidden="false" customHeight="false" outlineLevel="0" collapsed="false">
      <c r="A1629" s="9" t="n">
        <v>1628</v>
      </c>
      <c r="B1629" s="9" t="s">
        <v>102</v>
      </c>
      <c r="C1629" s="11" t="s">
        <v>107</v>
      </c>
      <c r="D1629" s="9" t="s">
        <v>6534</v>
      </c>
      <c r="E1629" s="9" t="s">
        <v>6535</v>
      </c>
      <c r="F1629" s="9" t="s">
        <v>6536</v>
      </c>
      <c r="G1629" s="9" t="s">
        <v>2044</v>
      </c>
      <c r="H1629" s="14" t="s">
        <v>22</v>
      </c>
      <c r="I1629" s="9" t="s">
        <v>6537</v>
      </c>
      <c r="J1629" s="13"/>
      <c r="K1629" s="13"/>
    </row>
    <row r="1630" customFormat="false" ht="113.4" hidden="false" customHeight="false" outlineLevel="0" collapsed="false">
      <c r="A1630" s="9" t="n">
        <v>1629</v>
      </c>
      <c r="B1630" s="9" t="s">
        <v>102</v>
      </c>
      <c r="C1630" s="11" t="s">
        <v>107</v>
      </c>
      <c r="D1630" s="9" t="s">
        <v>6538</v>
      </c>
      <c r="E1630" s="9" t="s">
        <v>6539</v>
      </c>
      <c r="F1630" s="9" t="s">
        <v>6540</v>
      </c>
      <c r="G1630" s="9" t="s">
        <v>1852</v>
      </c>
      <c r="H1630" s="14" t="s">
        <v>22</v>
      </c>
      <c r="I1630" s="9" t="s">
        <v>6541</v>
      </c>
      <c r="J1630" s="13"/>
      <c r="K1630" s="13"/>
    </row>
    <row r="1631" customFormat="false" ht="57.45" hidden="false" customHeight="false" outlineLevel="0" collapsed="false">
      <c r="A1631" s="9" t="n">
        <v>1630</v>
      </c>
      <c r="B1631" s="9" t="s">
        <v>102</v>
      </c>
      <c r="C1631" s="11" t="s">
        <v>107</v>
      </c>
      <c r="D1631" s="9" t="s">
        <v>6542</v>
      </c>
      <c r="E1631" s="9" t="s">
        <v>6543</v>
      </c>
      <c r="F1631" s="9" t="s">
        <v>6544</v>
      </c>
      <c r="G1631" s="9" t="s">
        <v>2044</v>
      </c>
      <c r="H1631" s="14" t="s">
        <v>22</v>
      </c>
      <c r="I1631" s="9" t="s">
        <v>6545</v>
      </c>
      <c r="J1631" s="13"/>
      <c r="K1631" s="13"/>
    </row>
    <row r="1632" customFormat="false" ht="79.85" hidden="false" customHeight="false" outlineLevel="0" collapsed="false">
      <c r="A1632" s="9" t="n">
        <v>1631</v>
      </c>
      <c r="B1632" s="9" t="s">
        <v>102</v>
      </c>
      <c r="C1632" s="11" t="s">
        <v>107</v>
      </c>
      <c r="D1632" s="9" t="s">
        <v>6546</v>
      </c>
      <c r="E1632" s="9" t="s">
        <v>6547</v>
      </c>
      <c r="F1632" s="9" t="s">
        <v>6548</v>
      </c>
      <c r="G1632" s="9" t="s">
        <v>2044</v>
      </c>
      <c r="H1632" s="14" t="s">
        <v>22</v>
      </c>
      <c r="I1632" s="9" t="s">
        <v>6549</v>
      </c>
      <c r="J1632" s="13"/>
      <c r="K1632" s="13"/>
    </row>
    <row r="1633" customFormat="false" ht="46.25" hidden="false" customHeight="false" outlineLevel="0" collapsed="false">
      <c r="A1633" s="9" t="n">
        <v>1632</v>
      </c>
      <c r="B1633" s="9" t="s">
        <v>102</v>
      </c>
      <c r="C1633" s="11" t="s">
        <v>107</v>
      </c>
      <c r="D1633" s="9" t="s">
        <v>6550</v>
      </c>
      <c r="E1633" s="9" t="s">
        <v>6551</v>
      </c>
      <c r="F1633" s="9" t="s">
        <v>6552</v>
      </c>
      <c r="G1633" s="9" t="s">
        <v>312</v>
      </c>
      <c r="H1633" s="15" t="s">
        <v>23</v>
      </c>
      <c r="I1633" s="9" t="s">
        <v>6553</v>
      </c>
      <c r="J1633" s="13"/>
      <c r="K1633" s="13"/>
    </row>
    <row r="1634" customFormat="false" ht="35.05" hidden="false" customHeight="false" outlineLevel="0" collapsed="false">
      <c r="A1634" s="9" t="n">
        <v>1633</v>
      </c>
      <c r="B1634" s="9" t="s">
        <v>102</v>
      </c>
      <c r="C1634" s="11" t="s">
        <v>107</v>
      </c>
      <c r="D1634" s="9" t="s">
        <v>6554</v>
      </c>
      <c r="E1634" s="9" t="s">
        <v>6555</v>
      </c>
      <c r="F1634" s="9" t="s">
        <v>6556</v>
      </c>
      <c r="G1634" s="9" t="s">
        <v>2044</v>
      </c>
      <c r="H1634" s="15" t="s">
        <v>23</v>
      </c>
      <c r="I1634" s="9" t="s">
        <v>6557</v>
      </c>
      <c r="J1634" s="13"/>
      <c r="K1634" s="13"/>
    </row>
    <row r="1635" customFormat="false" ht="46.25" hidden="false" customHeight="false" outlineLevel="0" collapsed="false">
      <c r="A1635" s="9" t="n">
        <v>1634</v>
      </c>
      <c r="B1635" s="9" t="s">
        <v>102</v>
      </c>
      <c r="C1635" s="11" t="s">
        <v>107</v>
      </c>
      <c r="D1635" s="9" t="s">
        <v>6558</v>
      </c>
      <c r="E1635" s="9" t="s">
        <v>6559</v>
      </c>
      <c r="F1635" s="9" t="s">
        <v>6560</v>
      </c>
      <c r="G1635" s="9" t="s">
        <v>324</v>
      </c>
      <c r="H1635" s="14" t="s">
        <v>22</v>
      </c>
      <c r="I1635" s="9" t="s">
        <v>6561</v>
      </c>
      <c r="J1635" s="13"/>
      <c r="K1635" s="13"/>
    </row>
    <row r="1636" customFormat="false" ht="68.65" hidden="false" customHeight="false" outlineLevel="0" collapsed="false">
      <c r="A1636" s="9" t="n">
        <v>1635</v>
      </c>
      <c r="B1636" s="9" t="s">
        <v>102</v>
      </c>
      <c r="C1636" s="11" t="s">
        <v>107</v>
      </c>
      <c r="D1636" s="9" t="s">
        <v>6562</v>
      </c>
      <c r="E1636" s="9" t="s">
        <v>6563</v>
      </c>
      <c r="F1636" s="9" t="s">
        <v>6564</v>
      </c>
      <c r="G1636" s="9" t="s">
        <v>1421</v>
      </c>
      <c r="H1636" s="14" t="s">
        <v>22</v>
      </c>
      <c r="I1636" s="9" t="s">
        <v>6565</v>
      </c>
      <c r="J1636" s="13"/>
      <c r="K1636" s="13"/>
    </row>
    <row r="1637" customFormat="false" ht="23.85" hidden="false" customHeight="false" outlineLevel="0" collapsed="false">
      <c r="A1637" s="9" t="n">
        <v>1636</v>
      </c>
      <c r="B1637" s="9" t="s">
        <v>102</v>
      </c>
      <c r="C1637" s="11" t="s">
        <v>107</v>
      </c>
      <c r="D1637" s="9" t="s">
        <v>6566</v>
      </c>
      <c r="E1637" s="9" t="s">
        <v>6567</v>
      </c>
      <c r="F1637" s="9" t="s">
        <v>6568</v>
      </c>
      <c r="G1637" s="9" t="s">
        <v>312</v>
      </c>
      <c r="H1637" s="15" t="s">
        <v>23</v>
      </c>
      <c r="I1637" s="9" t="s">
        <v>6569</v>
      </c>
      <c r="J1637" s="13"/>
      <c r="K1637" s="13"/>
    </row>
    <row r="1638" customFormat="false" ht="35.05" hidden="false" customHeight="false" outlineLevel="0" collapsed="false">
      <c r="A1638" s="9" t="n">
        <v>1637</v>
      </c>
      <c r="B1638" s="9" t="s">
        <v>102</v>
      </c>
      <c r="C1638" s="11" t="s">
        <v>107</v>
      </c>
      <c r="D1638" s="9" t="s">
        <v>6570</v>
      </c>
      <c r="E1638" s="9" t="s">
        <v>6571</v>
      </c>
      <c r="F1638" s="9" t="s">
        <v>6572</v>
      </c>
      <c r="G1638" s="9" t="s">
        <v>1072</v>
      </c>
      <c r="H1638" s="14" t="s">
        <v>22</v>
      </c>
      <c r="I1638" s="9" t="s">
        <v>6573</v>
      </c>
      <c r="J1638" s="13"/>
      <c r="K1638" s="13"/>
    </row>
    <row r="1639" customFormat="false" ht="57.45" hidden="false" customHeight="false" outlineLevel="0" collapsed="false">
      <c r="A1639" s="9" t="n">
        <v>1638</v>
      </c>
      <c r="B1639" s="9" t="s">
        <v>102</v>
      </c>
      <c r="C1639" s="11" t="s">
        <v>107</v>
      </c>
      <c r="D1639" s="9" t="s">
        <v>6574</v>
      </c>
      <c r="E1639" s="9" t="s">
        <v>6575</v>
      </c>
      <c r="F1639" s="9" t="s">
        <v>6576</v>
      </c>
      <c r="G1639" s="9" t="s">
        <v>6577</v>
      </c>
      <c r="H1639" s="14" t="s">
        <v>22</v>
      </c>
      <c r="I1639" s="9" t="s">
        <v>6578</v>
      </c>
      <c r="J1639" s="13"/>
      <c r="K1639" s="13"/>
    </row>
    <row r="1640" customFormat="false" ht="46.25" hidden="false" customHeight="false" outlineLevel="0" collapsed="false">
      <c r="A1640" s="9" t="n">
        <v>1639</v>
      </c>
      <c r="B1640" s="9" t="s">
        <v>102</v>
      </c>
      <c r="C1640" s="11" t="s">
        <v>107</v>
      </c>
      <c r="D1640" s="9" t="s">
        <v>6579</v>
      </c>
      <c r="E1640" s="9" t="s">
        <v>4871</v>
      </c>
      <c r="F1640" s="9" t="s">
        <v>6580</v>
      </c>
      <c r="G1640" s="9" t="s">
        <v>328</v>
      </c>
      <c r="H1640" s="15" t="s">
        <v>23</v>
      </c>
      <c r="I1640" s="9" t="s">
        <v>6581</v>
      </c>
      <c r="J1640" s="13"/>
      <c r="K1640" s="13"/>
    </row>
    <row r="1641" customFormat="false" ht="23.85" hidden="false" customHeight="false" outlineLevel="0" collapsed="false">
      <c r="A1641" s="9" t="n">
        <v>1640</v>
      </c>
      <c r="B1641" s="9" t="s">
        <v>102</v>
      </c>
      <c r="C1641" s="11" t="s">
        <v>107</v>
      </c>
      <c r="D1641" s="9" t="s">
        <v>6582</v>
      </c>
      <c r="E1641" s="9" t="s">
        <v>6583</v>
      </c>
      <c r="F1641" s="9" t="s">
        <v>1925</v>
      </c>
      <c r="G1641" s="9" t="s">
        <v>328</v>
      </c>
      <c r="H1641" s="15" t="s">
        <v>23</v>
      </c>
      <c r="I1641" s="9" t="s">
        <v>6584</v>
      </c>
      <c r="J1641" s="13"/>
      <c r="K1641" s="13"/>
    </row>
    <row r="1642" customFormat="false" ht="35.05" hidden="false" customHeight="false" outlineLevel="0" collapsed="false">
      <c r="A1642" s="9" t="n">
        <v>1641</v>
      </c>
      <c r="B1642" s="9" t="s">
        <v>102</v>
      </c>
      <c r="C1642" s="11" t="s">
        <v>107</v>
      </c>
      <c r="D1642" s="9" t="s">
        <v>6585</v>
      </c>
      <c r="E1642" s="9" t="s">
        <v>6586</v>
      </c>
      <c r="F1642" s="9" t="s">
        <v>6587</v>
      </c>
      <c r="G1642" s="9" t="s">
        <v>328</v>
      </c>
      <c r="H1642" s="15" t="s">
        <v>23</v>
      </c>
      <c r="I1642" s="9" t="s">
        <v>6588</v>
      </c>
      <c r="J1642" s="13"/>
      <c r="K1642" s="13"/>
    </row>
    <row r="1643" customFormat="false" ht="35.05" hidden="false" customHeight="false" outlineLevel="0" collapsed="false">
      <c r="A1643" s="9" t="n">
        <v>1642</v>
      </c>
      <c r="B1643" s="9" t="s">
        <v>102</v>
      </c>
      <c r="C1643" s="11" t="s">
        <v>107</v>
      </c>
      <c r="D1643" s="9" t="s">
        <v>6589</v>
      </c>
      <c r="E1643" s="9" t="s">
        <v>6590</v>
      </c>
      <c r="F1643" s="9" t="s">
        <v>6591</v>
      </c>
      <c r="G1643" s="9" t="s">
        <v>2044</v>
      </c>
      <c r="H1643" s="15" t="s">
        <v>23</v>
      </c>
      <c r="I1643" s="9" t="s">
        <v>6592</v>
      </c>
      <c r="J1643" s="13"/>
      <c r="K1643" s="13"/>
    </row>
    <row r="1644" customFormat="false" ht="35.05" hidden="false" customHeight="false" outlineLevel="0" collapsed="false">
      <c r="A1644" s="9" t="n">
        <v>1643</v>
      </c>
      <c r="B1644" s="9" t="s">
        <v>102</v>
      </c>
      <c r="C1644" s="11" t="s">
        <v>107</v>
      </c>
      <c r="D1644" s="9" t="s">
        <v>6593</v>
      </c>
      <c r="E1644" s="9" t="s">
        <v>6594</v>
      </c>
      <c r="F1644" s="9" t="s">
        <v>6595</v>
      </c>
      <c r="G1644" s="9" t="s">
        <v>317</v>
      </c>
      <c r="H1644" s="15" t="s">
        <v>23</v>
      </c>
      <c r="I1644" s="9" t="s">
        <v>6596</v>
      </c>
      <c r="J1644" s="13"/>
      <c r="K1644" s="13"/>
    </row>
    <row r="1645" customFormat="false" ht="35.05" hidden="false" customHeight="false" outlineLevel="0" collapsed="false">
      <c r="A1645" s="9" t="n">
        <v>1644</v>
      </c>
      <c r="B1645" s="9" t="s">
        <v>102</v>
      </c>
      <c r="C1645" s="11" t="s">
        <v>107</v>
      </c>
      <c r="D1645" s="9" t="s">
        <v>6597</v>
      </c>
      <c r="E1645" s="9" t="s">
        <v>6598</v>
      </c>
      <c r="F1645" s="9" t="s">
        <v>6599</v>
      </c>
      <c r="G1645" s="9" t="s">
        <v>312</v>
      </c>
      <c r="H1645" s="15" t="s">
        <v>23</v>
      </c>
      <c r="I1645" s="9" t="s">
        <v>6600</v>
      </c>
      <c r="J1645" s="13"/>
      <c r="K1645" s="13"/>
    </row>
    <row r="1646" customFormat="false" ht="46.25" hidden="false" customHeight="false" outlineLevel="0" collapsed="false">
      <c r="A1646" s="9" t="n">
        <v>1645</v>
      </c>
      <c r="B1646" s="9" t="s">
        <v>102</v>
      </c>
      <c r="C1646" s="11" t="s">
        <v>107</v>
      </c>
      <c r="D1646" s="9" t="s">
        <v>6601</v>
      </c>
      <c r="E1646" s="9" t="s">
        <v>6602</v>
      </c>
      <c r="F1646" s="9" t="s">
        <v>6603</v>
      </c>
      <c r="G1646" s="9" t="s">
        <v>24</v>
      </c>
      <c r="H1646" s="14" t="s">
        <v>22</v>
      </c>
      <c r="I1646" s="9" t="s">
        <v>6604</v>
      </c>
      <c r="J1646" s="13"/>
      <c r="K1646" s="13"/>
    </row>
    <row r="1647" customFormat="false" ht="23.85" hidden="false" customHeight="false" outlineLevel="0" collapsed="false">
      <c r="A1647" s="9" t="n">
        <v>1646</v>
      </c>
      <c r="B1647" s="9" t="s">
        <v>102</v>
      </c>
      <c r="C1647" s="11" t="s">
        <v>107</v>
      </c>
      <c r="D1647" s="9" t="s">
        <v>6605</v>
      </c>
      <c r="E1647" s="9" t="s">
        <v>6606</v>
      </c>
      <c r="F1647" s="9" t="s">
        <v>6607</v>
      </c>
      <c r="G1647" s="9" t="s">
        <v>24</v>
      </c>
      <c r="H1647" s="14" t="s">
        <v>22</v>
      </c>
      <c r="I1647" s="9" t="s">
        <v>1720</v>
      </c>
      <c r="J1647" s="13"/>
      <c r="K1647" s="13"/>
    </row>
    <row r="1648" customFormat="false" ht="23.85" hidden="false" customHeight="false" outlineLevel="0" collapsed="false">
      <c r="A1648" s="9" t="n">
        <v>1647</v>
      </c>
      <c r="B1648" s="9" t="s">
        <v>102</v>
      </c>
      <c r="C1648" s="11" t="s">
        <v>107</v>
      </c>
      <c r="D1648" s="9" t="s">
        <v>6608</v>
      </c>
      <c r="E1648" s="9" t="s">
        <v>6609</v>
      </c>
      <c r="F1648" s="9" t="s">
        <v>6610</v>
      </c>
      <c r="G1648" s="9" t="s">
        <v>24</v>
      </c>
      <c r="H1648" s="14" t="s">
        <v>22</v>
      </c>
      <c r="I1648" s="9" t="s">
        <v>6611</v>
      </c>
      <c r="J1648" s="13"/>
      <c r="K1648" s="13"/>
    </row>
    <row r="1649" customFormat="false" ht="35.05" hidden="false" customHeight="false" outlineLevel="0" collapsed="false">
      <c r="A1649" s="9" t="n">
        <v>1648</v>
      </c>
      <c r="B1649" s="9" t="s">
        <v>102</v>
      </c>
      <c r="C1649" s="11" t="s">
        <v>107</v>
      </c>
      <c r="D1649" s="9" t="s">
        <v>6612</v>
      </c>
      <c r="E1649" s="9" t="s">
        <v>6613</v>
      </c>
      <c r="F1649" s="9" t="s">
        <v>6614</v>
      </c>
      <c r="G1649" s="9" t="s">
        <v>24</v>
      </c>
      <c r="H1649" s="14" t="s">
        <v>22</v>
      </c>
      <c r="I1649" s="9" t="s">
        <v>6615</v>
      </c>
      <c r="J1649" s="13"/>
      <c r="K1649" s="13"/>
    </row>
    <row r="1650" customFormat="false" ht="46.25" hidden="false" customHeight="false" outlineLevel="0" collapsed="false">
      <c r="A1650" s="9" t="n">
        <v>1649</v>
      </c>
      <c r="B1650" s="9" t="s">
        <v>102</v>
      </c>
      <c r="C1650" s="11" t="s">
        <v>107</v>
      </c>
      <c r="D1650" s="9" t="s">
        <v>6616</v>
      </c>
      <c r="E1650" s="9" t="s">
        <v>6617</v>
      </c>
      <c r="F1650" s="9" t="s">
        <v>6618</v>
      </c>
      <c r="G1650" s="9" t="s">
        <v>24</v>
      </c>
      <c r="H1650" s="14" t="s">
        <v>22</v>
      </c>
      <c r="I1650" s="9" t="s">
        <v>6619</v>
      </c>
      <c r="J1650" s="13"/>
      <c r="K1650" s="13"/>
    </row>
    <row r="1651" customFormat="false" ht="57.45" hidden="false" customHeight="false" outlineLevel="0" collapsed="false">
      <c r="A1651" s="9" t="n">
        <v>1650</v>
      </c>
      <c r="B1651" s="9" t="s">
        <v>102</v>
      </c>
      <c r="C1651" s="11" t="s">
        <v>107</v>
      </c>
      <c r="D1651" s="9" t="s">
        <v>6620</v>
      </c>
      <c r="E1651" s="9" t="s">
        <v>6621</v>
      </c>
      <c r="F1651" s="9" t="s">
        <v>6622</v>
      </c>
      <c r="G1651" s="9" t="s">
        <v>24</v>
      </c>
      <c r="H1651" s="14" t="s">
        <v>22</v>
      </c>
      <c r="I1651" s="9" t="s">
        <v>6623</v>
      </c>
      <c r="J1651" s="13"/>
      <c r="K1651" s="13"/>
    </row>
    <row r="1652" customFormat="false" ht="46.25" hidden="false" customHeight="false" outlineLevel="0" collapsed="false">
      <c r="A1652" s="9" t="n">
        <v>1651</v>
      </c>
      <c r="B1652" s="9" t="s">
        <v>102</v>
      </c>
      <c r="C1652" s="11" t="s">
        <v>107</v>
      </c>
      <c r="D1652" s="9" t="s">
        <v>6624</v>
      </c>
      <c r="E1652" s="9" t="s">
        <v>6625</v>
      </c>
      <c r="F1652" s="9" t="s">
        <v>6626</v>
      </c>
      <c r="G1652" s="9" t="s">
        <v>24</v>
      </c>
      <c r="H1652" s="14" t="s">
        <v>22</v>
      </c>
      <c r="I1652" s="9" t="s">
        <v>6627</v>
      </c>
      <c r="J1652" s="13"/>
      <c r="K1652" s="13"/>
    </row>
    <row r="1653" customFormat="false" ht="23.85" hidden="false" customHeight="false" outlineLevel="0" collapsed="false">
      <c r="A1653" s="9" t="n">
        <v>1652</v>
      </c>
      <c r="B1653" s="9" t="s">
        <v>102</v>
      </c>
      <c r="C1653" s="11" t="s">
        <v>107</v>
      </c>
      <c r="D1653" s="9" t="s">
        <v>6628</v>
      </c>
      <c r="E1653" s="9" t="s">
        <v>6629</v>
      </c>
      <c r="F1653" s="9" t="s">
        <v>6630</v>
      </c>
      <c r="G1653" s="9" t="s">
        <v>24</v>
      </c>
      <c r="H1653" s="14" t="s">
        <v>22</v>
      </c>
      <c r="I1653" s="9" t="s">
        <v>6631</v>
      </c>
      <c r="J1653" s="13"/>
      <c r="K1653" s="13"/>
    </row>
    <row r="1654" customFormat="false" ht="15" hidden="false" customHeight="false" outlineLevel="0" collapsed="false">
      <c r="A1654" s="9" t="n">
        <v>1653</v>
      </c>
      <c r="B1654" s="9" t="s">
        <v>102</v>
      </c>
      <c r="C1654" s="11" t="s">
        <v>107</v>
      </c>
      <c r="D1654" s="9" t="s">
        <v>6632</v>
      </c>
      <c r="E1654" s="9" t="s">
        <v>358</v>
      </c>
      <c r="F1654" s="9" t="s">
        <v>6633</v>
      </c>
      <c r="G1654" s="9" t="s">
        <v>24</v>
      </c>
      <c r="H1654" s="14" t="s">
        <v>22</v>
      </c>
      <c r="I1654" s="9" t="s">
        <v>6634</v>
      </c>
      <c r="J1654" s="13"/>
      <c r="K1654" s="13"/>
    </row>
    <row r="1655" customFormat="false" ht="15" hidden="false" customHeight="false" outlineLevel="0" collapsed="false">
      <c r="A1655" s="9" t="n">
        <v>1654</v>
      </c>
      <c r="B1655" s="9" t="s">
        <v>102</v>
      </c>
      <c r="C1655" s="11" t="s">
        <v>107</v>
      </c>
      <c r="D1655" s="9" t="s">
        <v>6635</v>
      </c>
      <c r="E1655" s="9" t="s">
        <v>362</v>
      </c>
      <c r="F1655" s="9" t="s">
        <v>363</v>
      </c>
      <c r="G1655" s="9" t="s">
        <v>24</v>
      </c>
      <c r="H1655" s="14" t="s">
        <v>22</v>
      </c>
      <c r="I1655" s="9" t="s">
        <v>364</v>
      </c>
      <c r="J1655" s="13"/>
      <c r="K1655" s="13"/>
    </row>
    <row r="1656" customFormat="false" ht="23.85" hidden="false" customHeight="false" outlineLevel="0" collapsed="false">
      <c r="A1656" s="9" t="n">
        <v>1655</v>
      </c>
      <c r="B1656" s="9" t="s">
        <v>102</v>
      </c>
      <c r="C1656" s="11" t="s">
        <v>107</v>
      </c>
      <c r="D1656" s="9" t="s">
        <v>6636</v>
      </c>
      <c r="E1656" s="9" t="s">
        <v>6637</v>
      </c>
      <c r="F1656" s="9" t="s">
        <v>6638</v>
      </c>
      <c r="G1656" s="9" t="s">
        <v>24</v>
      </c>
      <c r="H1656" s="15" t="s">
        <v>23</v>
      </c>
      <c r="I1656" s="9" t="s">
        <v>6639</v>
      </c>
      <c r="J1656" s="13"/>
      <c r="K1656" s="13"/>
    </row>
    <row r="1657" customFormat="false" ht="23.85" hidden="false" customHeight="false" outlineLevel="0" collapsed="false">
      <c r="A1657" s="9" t="n">
        <v>1656</v>
      </c>
      <c r="B1657" s="9" t="s">
        <v>102</v>
      </c>
      <c r="C1657" s="11" t="s">
        <v>107</v>
      </c>
      <c r="D1657" s="9" t="s">
        <v>6640</v>
      </c>
      <c r="E1657" s="9" t="s">
        <v>1753</v>
      </c>
      <c r="F1657" s="9" t="s">
        <v>6641</v>
      </c>
      <c r="G1657" s="9" t="s">
        <v>24</v>
      </c>
      <c r="H1657" s="15" t="s">
        <v>23</v>
      </c>
      <c r="I1657" s="9" t="s">
        <v>2846</v>
      </c>
      <c r="J1657" s="13"/>
      <c r="K1657" s="13"/>
    </row>
    <row r="1658" customFormat="false" ht="35.05" hidden="false" customHeight="false" outlineLevel="0" collapsed="false">
      <c r="A1658" s="9" t="n">
        <v>1657</v>
      </c>
      <c r="B1658" s="9" t="s">
        <v>102</v>
      </c>
      <c r="C1658" s="11" t="s">
        <v>107</v>
      </c>
      <c r="D1658" s="9" t="s">
        <v>6642</v>
      </c>
      <c r="E1658" s="9" t="s">
        <v>6643</v>
      </c>
      <c r="F1658" s="9" t="s">
        <v>6644</v>
      </c>
      <c r="G1658" s="9" t="s">
        <v>24</v>
      </c>
      <c r="H1658" s="15" t="s">
        <v>23</v>
      </c>
      <c r="I1658" s="9" t="s">
        <v>6645</v>
      </c>
      <c r="J1658" s="13"/>
      <c r="K1658" s="13"/>
    </row>
    <row r="1659" customFormat="false" ht="35.05" hidden="false" customHeight="false" outlineLevel="0" collapsed="false">
      <c r="A1659" s="9" t="n">
        <v>1658</v>
      </c>
      <c r="B1659" s="9" t="s">
        <v>102</v>
      </c>
      <c r="C1659" s="11" t="s">
        <v>107</v>
      </c>
      <c r="D1659" s="9" t="s">
        <v>6646</v>
      </c>
      <c r="E1659" s="9" t="s">
        <v>6647</v>
      </c>
      <c r="F1659" s="9" t="s">
        <v>6648</v>
      </c>
      <c r="G1659" s="9" t="s">
        <v>24</v>
      </c>
      <c r="H1659" s="15" t="s">
        <v>23</v>
      </c>
      <c r="I1659" s="9" t="s">
        <v>6649</v>
      </c>
      <c r="J1659" s="13"/>
      <c r="K1659" s="13"/>
    </row>
    <row r="1660" customFormat="false" ht="15" hidden="false" customHeight="false" outlineLevel="0" collapsed="false">
      <c r="A1660" s="9" t="n">
        <v>1659</v>
      </c>
      <c r="B1660" s="9" t="s">
        <v>102</v>
      </c>
      <c r="C1660" s="11" t="s">
        <v>107</v>
      </c>
      <c r="D1660" s="9" t="s">
        <v>6650</v>
      </c>
      <c r="E1660" s="9" t="s">
        <v>6651</v>
      </c>
      <c r="F1660" s="9" t="s">
        <v>6652</v>
      </c>
      <c r="G1660" s="9" t="s">
        <v>24</v>
      </c>
      <c r="H1660" s="15" t="s">
        <v>23</v>
      </c>
      <c r="I1660" s="9" t="s">
        <v>6653</v>
      </c>
      <c r="J1660" s="13"/>
      <c r="K1660" s="13"/>
    </row>
    <row r="1661" customFormat="false" ht="23.85" hidden="false" customHeight="false" outlineLevel="0" collapsed="false">
      <c r="A1661" s="9" t="n">
        <v>1660</v>
      </c>
      <c r="B1661" s="9" t="s">
        <v>102</v>
      </c>
      <c r="C1661" s="11" t="s">
        <v>107</v>
      </c>
      <c r="D1661" s="9" t="s">
        <v>6654</v>
      </c>
      <c r="E1661" s="9" t="s">
        <v>6655</v>
      </c>
      <c r="F1661" s="9" t="s">
        <v>6656</v>
      </c>
      <c r="G1661" s="9" t="s">
        <v>24</v>
      </c>
      <c r="H1661" s="15" t="s">
        <v>23</v>
      </c>
      <c r="I1661" s="9" t="s">
        <v>6657</v>
      </c>
      <c r="J1661" s="13"/>
      <c r="K1661" s="13"/>
    </row>
    <row r="1662" customFormat="false" ht="57.45" hidden="false" customHeight="false" outlineLevel="0" collapsed="false">
      <c r="A1662" s="9" t="n">
        <v>1661</v>
      </c>
      <c r="B1662" s="9" t="s">
        <v>102</v>
      </c>
      <c r="C1662" s="11" t="s">
        <v>109</v>
      </c>
      <c r="D1662" s="9" t="s">
        <v>6658</v>
      </c>
      <c r="E1662" s="9" t="s">
        <v>6659</v>
      </c>
      <c r="F1662" s="9" t="s">
        <v>6660</v>
      </c>
      <c r="G1662" s="9" t="s">
        <v>1843</v>
      </c>
      <c r="H1662" s="12" t="s">
        <v>21</v>
      </c>
      <c r="I1662" s="9" t="s">
        <v>6661</v>
      </c>
      <c r="J1662" s="13"/>
      <c r="K1662" s="13"/>
    </row>
    <row r="1663" customFormat="false" ht="68.65" hidden="false" customHeight="false" outlineLevel="0" collapsed="false">
      <c r="A1663" s="9" t="n">
        <v>1662</v>
      </c>
      <c r="B1663" s="9" t="s">
        <v>102</v>
      </c>
      <c r="C1663" s="11" t="s">
        <v>109</v>
      </c>
      <c r="D1663" s="9" t="s">
        <v>6662</v>
      </c>
      <c r="E1663" s="9" t="s">
        <v>6663</v>
      </c>
      <c r="F1663" s="9" t="s">
        <v>6664</v>
      </c>
      <c r="G1663" s="9" t="s">
        <v>2044</v>
      </c>
      <c r="H1663" s="14" t="s">
        <v>22</v>
      </c>
      <c r="I1663" s="9" t="s">
        <v>6665</v>
      </c>
      <c r="J1663" s="13"/>
      <c r="K1663" s="13"/>
    </row>
    <row r="1664" customFormat="false" ht="79.85" hidden="false" customHeight="false" outlineLevel="0" collapsed="false">
      <c r="A1664" s="9" t="n">
        <v>1663</v>
      </c>
      <c r="B1664" s="9" t="s">
        <v>102</v>
      </c>
      <c r="C1664" s="11" t="s">
        <v>109</v>
      </c>
      <c r="D1664" s="9" t="s">
        <v>6666</v>
      </c>
      <c r="E1664" s="9" t="s">
        <v>6667</v>
      </c>
      <c r="F1664" s="9" t="s">
        <v>6668</v>
      </c>
      <c r="G1664" s="9" t="s">
        <v>1072</v>
      </c>
      <c r="H1664" s="14" t="s">
        <v>22</v>
      </c>
      <c r="I1664" s="9" t="s">
        <v>6669</v>
      </c>
      <c r="J1664" s="13"/>
      <c r="K1664" s="13"/>
    </row>
    <row r="1665" customFormat="false" ht="46.25" hidden="false" customHeight="false" outlineLevel="0" collapsed="false">
      <c r="A1665" s="9" t="n">
        <v>1664</v>
      </c>
      <c r="B1665" s="9" t="s">
        <v>102</v>
      </c>
      <c r="C1665" s="11" t="s">
        <v>109</v>
      </c>
      <c r="D1665" s="9" t="s">
        <v>6670</v>
      </c>
      <c r="E1665" s="9" t="s">
        <v>6671</v>
      </c>
      <c r="F1665" s="9" t="s">
        <v>6672</v>
      </c>
      <c r="G1665" s="9" t="s">
        <v>317</v>
      </c>
      <c r="H1665" s="14" t="s">
        <v>22</v>
      </c>
      <c r="I1665" s="9" t="s">
        <v>6673</v>
      </c>
      <c r="J1665" s="13"/>
      <c r="K1665" s="13"/>
    </row>
    <row r="1666" customFormat="false" ht="79.85" hidden="false" customHeight="false" outlineLevel="0" collapsed="false">
      <c r="A1666" s="9" t="n">
        <v>1665</v>
      </c>
      <c r="B1666" s="9" t="s">
        <v>102</v>
      </c>
      <c r="C1666" s="11" t="s">
        <v>109</v>
      </c>
      <c r="D1666" s="9" t="s">
        <v>6674</v>
      </c>
      <c r="E1666" s="9" t="s">
        <v>6675</v>
      </c>
      <c r="F1666" s="9" t="s">
        <v>6676</v>
      </c>
      <c r="G1666" s="9" t="s">
        <v>2044</v>
      </c>
      <c r="H1666" s="12" t="s">
        <v>21</v>
      </c>
      <c r="I1666" s="9" t="s">
        <v>6677</v>
      </c>
      <c r="J1666" s="13"/>
      <c r="K1666" s="13"/>
    </row>
    <row r="1667" customFormat="false" ht="35.05" hidden="false" customHeight="false" outlineLevel="0" collapsed="false">
      <c r="A1667" s="9" t="n">
        <v>1666</v>
      </c>
      <c r="B1667" s="9" t="s">
        <v>102</v>
      </c>
      <c r="C1667" s="11" t="s">
        <v>109</v>
      </c>
      <c r="D1667" s="9" t="s">
        <v>6678</v>
      </c>
      <c r="E1667" s="9" t="s">
        <v>6679</v>
      </c>
      <c r="F1667" s="9" t="s">
        <v>6680</v>
      </c>
      <c r="G1667" s="9" t="s">
        <v>312</v>
      </c>
      <c r="H1667" s="15" t="s">
        <v>23</v>
      </c>
      <c r="I1667" s="9" t="s">
        <v>6681</v>
      </c>
      <c r="J1667" s="13"/>
      <c r="K1667" s="13"/>
    </row>
    <row r="1668" customFormat="false" ht="46.25" hidden="false" customHeight="false" outlineLevel="0" collapsed="false">
      <c r="A1668" s="9" t="n">
        <v>1667</v>
      </c>
      <c r="B1668" s="9" t="s">
        <v>102</v>
      </c>
      <c r="C1668" s="11" t="s">
        <v>109</v>
      </c>
      <c r="D1668" s="9" t="s">
        <v>6682</v>
      </c>
      <c r="E1668" s="9" t="s">
        <v>6683</v>
      </c>
      <c r="F1668" s="9" t="s">
        <v>6684</v>
      </c>
      <c r="G1668" s="9" t="s">
        <v>1072</v>
      </c>
      <c r="H1668" s="14" t="s">
        <v>22</v>
      </c>
      <c r="I1668" s="9" t="s">
        <v>6685</v>
      </c>
      <c r="J1668" s="13"/>
      <c r="K1668" s="13"/>
    </row>
    <row r="1669" customFormat="false" ht="35.05" hidden="false" customHeight="false" outlineLevel="0" collapsed="false">
      <c r="A1669" s="9" t="n">
        <v>1668</v>
      </c>
      <c r="B1669" s="9" t="s">
        <v>102</v>
      </c>
      <c r="C1669" s="11" t="s">
        <v>109</v>
      </c>
      <c r="D1669" s="9" t="s">
        <v>6686</v>
      </c>
      <c r="E1669" s="9" t="s">
        <v>6687</v>
      </c>
      <c r="F1669" s="9" t="s">
        <v>6688</v>
      </c>
      <c r="G1669" s="9" t="s">
        <v>317</v>
      </c>
      <c r="H1669" s="15" t="s">
        <v>23</v>
      </c>
      <c r="I1669" s="9" t="s">
        <v>6689</v>
      </c>
      <c r="J1669" s="13"/>
      <c r="K1669" s="13"/>
    </row>
    <row r="1670" customFormat="false" ht="68.65" hidden="false" customHeight="false" outlineLevel="0" collapsed="false">
      <c r="A1670" s="9" t="n">
        <v>1669</v>
      </c>
      <c r="B1670" s="9" t="s">
        <v>102</v>
      </c>
      <c r="C1670" s="11" t="s">
        <v>109</v>
      </c>
      <c r="D1670" s="9" t="s">
        <v>6690</v>
      </c>
      <c r="E1670" s="9" t="s">
        <v>6691</v>
      </c>
      <c r="F1670" s="9" t="s">
        <v>6692</v>
      </c>
      <c r="G1670" s="9" t="s">
        <v>3279</v>
      </c>
      <c r="H1670" s="14" t="s">
        <v>22</v>
      </c>
      <c r="I1670" s="9" t="s">
        <v>6693</v>
      </c>
      <c r="J1670" s="13"/>
      <c r="K1670" s="13"/>
    </row>
    <row r="1671" customFormat="false" ht="46.25" hidden="false" customHeight="false" outlineLevel="0" collapsed="false">
      <c r="A1671" s="9" t="n">
        <v>1670</v>
      </c>
      <c r="B1671" s="9" t="s">
        <v>102</v>
      </c>
      <c r="C1671" s="11" t="s">
        <v>109</v>
      </c>
      <c r="D1671" s="9" t="s">
        <v>6694</v>
      </c>
      <c r="E1671" s="9" t="s">
        <v>6695</v>
      </c>
      <c r="F1671" s="9" t="s">
        <v>6696</v>
      </c>
      <c r="G1671" s="9" t="s">
        <v>312</v>
      </c>
      <c r="H1671" s="14" t="s">
        <v>22</v>
      </c>
      <c r="I1671" s="9" t="s">
        <v>6697</v>
      </c>
      <c r="J1671" s="13"/>
      <c r="K1671" s="13"/>
    </row>
    <row r="1672" customFormat="false" ht="46.25" hidden="false" customHeight="false" outlineLevel="0" collapsed="false">
      <c r="A1672" s="9" t="n">
        <v>1671</v>
      </c>
      <c r="B1672" s="9" t="s">
        <v>102</v>
      </c>
      <c r="C1672" s="11" t="s">
        <v>109</v>
      </c>
      <c r="D1672" s="9" t="s">
        <v>6698</v>
      </c>
      <c r="E1672" s="9" t="s">
        <v>6699</v>
      </c>
      <c r="F1672" s="9" t="s">
        <v>6700</v>
      </c>
      <c r="G1672" s="9" t="s">
        <v>3279</v>
      </c>
      <c r="H1672" s="14" t="s">
        <v>22</v>
      </c>
      <c r="I1672" s="9" t="s">
        <v>6701</v>
      </c>
      <c r="J1672" s="13"/>
      <c r="K1672" s="13"/>
    </row>
    <row r="1673" customFormat="false" ht="46.25" hidden="false" customHeight="false" outlineLevel="0" collapsed="false">
      <c r="A1673" s="9" t="n">
        <v>1672</v>
      </c>
      <c r="B1673" s="9" t="s">
        <v>102</v>
      </c>
      <c r="C1673" s="11" t="s">
        <v>109</v>
      </c>
      <c r="D1673" s="9" t="s">
        <v>6702</v>
      </c>
      <c r="E1673" s="9" t="s">
        <v>6703</v>
      </c>
      <c r="F1673" s="9" t="s">
        <v>6704</v>
      </c>
      <c r="G1673" s="9" t="s">
        <v>2044</v>
      </c>
      <c r="H1673" s="14" t="s">
        <v>22</v>
      </c>
      <c r="I1673" s="9" t="s">
        <v>6705</v>
      </c>
      <c r="J1673" s="13"/>
      <c r="K1673" s="13"/>
    </row>
    <row r="1674" customFormat="false" ht="35.05" hidden="false" customHeight="false" outlineLevel="0" collapsed="false">
      <c r="A1674" s="9" t="n">
        <v>1673</v>
      </c>
      <c r="B1674" s="9" t="s">
        <v>102</v>
      </c>
      <c r="C1674" s="11" t="s">
        <v>109</v>
      </c>
      <c r="D1674" s="9" t="s">
        <v>6706</v>
      </c>
      <c r="E1674" s="9" t="s">
        <v>6707</v>
      </c>
      <c r="F1674" s="9" t="s">
        <v>6708</v>
      </c>
      <c r="G1674" s="9" t="s">
        <v>1072</v>
      </c>
      <c r="H1674" s="14" t="s">
        <v>22</v>
      </c>
      <c r="I1674" s="9" t="s">
        <v>6709</v>
      </c>
      <c r="J1674" s="13"/>
      <c r="K1674" s="13"/>
    </row>
    <row r="1675" customFormat="false" ht="35.05" hidden="false" customHeight="false" outlineLevel="0" collapsed="false">
      <c r="A1675" s="9" t="n">
        <v>1674</v>
      </c>
      <c r="B1675" s="9" t="s">
        <v>102</v>
      </c>
      <c r="C1675" s="11" t="s">
        <v>109</v>
      </c>
      <c r="D1675" s="9" t="s">
        <v>6710</v>
      </c>
      <c r="E1675" s="9" t="s">
        <v>6711</v>
      </c>
      <c r="F1675" s="9" t="s">
        <v>6712</v>
      </c>
      <c r="G1675" s="9" t="s">
        <v>317</v>
      </c>
      <c r="H1675" s="15" t="s">
        <v>23</v>
      </c>
      <c r="I1675" s="9" t="s">
        <v>6713</v>
      </c>
      <c r="J1675" s="13"/>
      <c r="K1675" s="13"/>
    </row>
    <row r="1676" customFormat="false" ht="46.25" hidden="false" customHeight="false" outlineLevel="0" collapsed="false">
      <c r="A1676" s="9" t="n">
        <v>1675</v>
      </c>
      <c r="B1676" s="9" t="s">
        <v>102</v>
      </c>
      <c r="C1676" s="11" t="s">
        <v>109</v>
      </c>
      <c r="D1676" s="9" t="s">
        <v>6714</v>
      </c>
      <c r="E1676" s="9" t="s">
        <v>6715</v>
      </c>
      <c r="F1676" s="9" t="s">
        <v>6716</v>
      </c>
      <c r="G1676" s="9" t="s">
        <v>6425</v>
      </c>
      <c r="H1676" s="14" t="s">
        <v>22</v>
      </c>
      <c r="I1676" s="9" t="s">
        <v>6717</v>
      </c>
      <c r="J1676" s="13"/>
      <c r="K1676" s="13"/>
    </row>
    <row r="1677" customFormat="false" ht="46.25" hidden="false" customHeight="false" outlineLevel="0" collapsed="false">
      <c r="A1677" s="9" t="n">
        <v>1676</v>
      </c>
      <c r="B1677" s="9" t="s">
        <v>102</v>
      </c>
      <c r="C1677" s="11" t="s">
        <v>109</v>
      </c>
      <c r="D1677" s="9" t="s">
        <v>6718</v>
      </c>
      <c r="E1677" s="9" t="s">
        <v>6719</v>
      </c>
      <c r="F1677" s="9" t="s">
        <v>6720</v>
      </c>
      <c r="G1677" s="9" t="s">
        <v>6425</v>
      </c>
      <c r="H1677" s="14" t="s">
        <v>22</v>
      </c>
      <c r="I1677" s="9" t="s">
        <v>6721</v>
      </c>
      <c r="J1677" s="13"/>
      <c r="K1677" s="13"/>
    </row>
    <row r="1678" customFormat="false" ht="91" hidden="false" customHeight="false" outlineLevel="0" collapsed="false">
      <c r="A1678" s="9" t="n">
        <v>1677</v>
      </c>
      <c r="B1678" s="9" t="s">
        <v>102</v>
      </c>
      <c r="C1678" s="11" t="s">
        <v>109</v>
      </c>
      <c r="D1678" s="9" t="s">
        <v>6722</v>
      </c>
      <c r="E1678" s="9" t="s">
        <v>6723</v>
      </c>
      <c r="F1678" s="9" t="s">
        <v>6724</v>
      </c>
      <c r="G1678" s="9" t="s">
        <v>3279</v>
      </c>
      <c r="H1678" s="12" t="s">
        <v>21</v>
      </c>
      <c r="I1678" s="9" t="s">
        <v>6725</v>
      </c>
      <c r="J1678" s="13"/>
      <c r="K1678" s="13"/>
    </row>
    <row r="1679" customFormat="false" ht="57.45" hidden="false" customHeight="false" outlineLevel="0" collapsed="false">
      <c r="A1679" s="9" t="n">
        <v>1678</v>
      </c>
      <c r="B1679" s="9" t="s">
        <v>102</v>
      </c>
      <c r="C1679" s="11" t="s">
        <v>109</v>
      </c>
      <c r="D1679" s="9" t="s">
        <v>6726</v>
      </c>
      <c r="E1679" s="9" t="s">
        <v>6727</v>
      </c>
      <c r="F1679" s="9" t="s">
        <v>6728</v>
      </c>
      <c r="G1679" s="9" t="s">
        <v>3266</v>
      </c>
      <c r="H1679" s="12" t="s">
        <v>21</v>
      </c>
      <c r="I1679" s="9" t="s">
        <v>6729</v>
      </c>
      <c r="J1679" s="13"/>
      <c r="K1679" s="13"/>
    </row>
    <row r="1680" customFormat="false" ht="35.05" hidden="false" customHeight="false" outlineLevel="0" collapsed="false">
      <c r="A1680" s="9" t="n">
        <v>1679</v>
      </c>
      <c r="B1680" s="9" t="s">
        <v>102</v>
      </c>
      <c r="C1680" s="11" t="s">
        <v>109</v>
      </c>
      <c r="D1680" s="9" t="s">
        <v>6730</v>
      </c>
      <c r="E1680" s="9" t="s">
        <v>6731</v>
      </c>
      <c r="F1680" s="9" t="s">
        <v>6732</v>
      </c>
      <c r="G1680" s="9" t="s">
        <v>1421</v>
      </c>
      <c r="H1680" s="15" t="s">
        <v>23</v>
      </c>
      <c r="I1680" s="9" t="s">
        <v>6733</v>
      </c>
      <c r="J1680" s="13"/>
      <c r="K1680" s="13"/>
    </row>
    <row r="1681" customFormat="false" ht="35.05" hidden="false" customHeight="false" outlineLevel="0" collapsed="false">
      <c r="A1681" s="9" t="n">
        <v>1680</v>
      </c>
      <c r="B1681" s="9" t="s">
        <v>102</v>
      </c>
      <c r="C1681" s="11" t="s">
        <v>109</v>
      </c>
      <c r="D1681" s="9" t="s">
        <v>6734</v>
      </c>
      <c r="E1681" s="9" t="s">
        <v>6735</v>
      </c>
      <c r="F1681" s="9" t="s">
        <v>6736</v>
      </c>
      <c r="G1681" s="9" t="s">
        <v>312</v>
      </c>
      <c r="H1681" s="14" t="s">
        <v>22</v>
      </c>
      <c r="I1681" s="9" t="s">
        <v>6737</v>
      </c>
      <c r="J1681" s="13"/>
      <c r="K1681" s="13"/>
    </row>
    <row r="1682" customFormat="false" ht="46.25" hidden="false" customHeight="false" outlineLevel="0" collapsed="false">
      <c r="A1682" s="9" t="n">
        <v>1681</v>
      </c>
      <c r="B1682" s="9" t="s">
        <v>102</v>
      </c>
      <c r="C1682" s="11" t="s">
        <v>109</v>
      </c>
      <c r="D1682" s="9" t="s">
        <v>6738</v>
      </c>
      <c r="E1682" s="9" t="s">
        <v>6739</v>
      </c>
      <c r="F1682" s="9" t="s">
        <v>6740</v>
      </c>
      <c r="G1682" s="9" t="s">
        <v>3266</v>
      </c>
      <c r="H1682" s="14" t="s">
        <v>22</v>
      </c>
      <c r="I1682" s="9" t="s">
        <v>6741</v>
      </c>
      <c r="J1682" s="13"/>
      <c r="K1682" s="13"/>
    </row>
    <row r="1683" customFormat="false" ht="57.45" hidden="false" customHeight="false" outlineLevel="0" collapsed="false">
      <c r="A1683" s="9" t="n">
        <v>1682</v>
      </c>
      <c r="B1683" s="9" t="s">
        <v>102</v>
      </c>
      <c r="C1683" s="11" t="s">
        <v>109</v>
      </c>
      <c r="D1683" s="9" t="s">
        <v>6742</v>
      </c>
      <c r="E1683" s="9" t="s">
        <v>6743</v>
      </c>
      <c r="F1683" s="9" t="s">
        <v>6744</v>
      </c>
      <c r="G1683" s="9" t="s">
        <v>6002</v>
      </c>
      <c r="H1683" s="14" t="s">
        <v>22</v>
      </c>
      <c r="I1683" s="9" t="s">
        <v>6745</v>
      </c>
      <c r="J1683" s="13"/>
      <c r="K1683" s="13"/>
    </row>
    <row r="1684" customFormat="false" ht="68.65" hidden="false" customHeight="false" outlineLevel="0" collapsed="false">
      <c r="A1684" s="9" t="n">
        <v>1683</v>
      </c>
      <c r="B1684" s="9" t="s">
        <v>102</v>
      </c>
      <c r="C1684" s="11" t="s">
        <v>109</v>
      </c>
      <c r="D1684" s="9" t="s">
        <v>6746</v>
      </c>
      <c r="E1684" s="9" t="s">
        <v>6747</v>
      </c>
      <c r="F1684" s="9" t="s">
        <v>6748</v>
      </c>
      <c r="G1684" s="9" t="s">
        <v>3266</v>
      </c>
      <c r="H1684" s="14" t="s">
        <v>22</v>
      </c>
      <c r="I1684" s="9" t="s">
        <v>6749</v>
      </c>
      <c r="J1684" s="13"/>
      <c r="K1684" s="13"/>
    </row>
    <row r="1685" customFormat="false" ht="57.45" hidden="false" customHeight="false" outlineLevel="0" collapsed="false">
      <c r="A1685" s="9" t="n">
        <v>1684</v>
      </c>
      <c r="B1685" s="9" t="s">
        <v>102</v>
      </c>
      <c r="C1685" s="11" t="s">
        <v>109</v>
      </c>
      <c r="D1685" s="9" t="s">
        <v>6750</v>
      </c>
      <c r="E1685" s="9" t="s">
        <v>6751</v>
      </c>
      <c r="F1685" s="9" t="s">
        <v>6752</v>
      </c>
      <c r="G1685" s="9" t="s">
        <v>312</v>
      </c>
      <c r="H1685" s="15" t="s">
        <v>23</v>
      </c>
      <c r="I1685" s="9" t="s">
        <v>6753</v>
      </c>
      <c r="J1685" s="13"/>
      <c r="K1685" s="13"/>
    </row>
    <row r="1686" customFormat="false" ht="57.45" hidden="false" customHeight="false" outlineLevel="0" collapsed="false">
      <c r="A1686" s="9" t="n">
        <v>1685</v>
      </c>
      <c r="B1686" s="9" t="s">
        <v>102</v>
      </c>
      <c r="C1686" s="11" t="s">
        <v>109</v>
      </c>
      <c r="D1686" s="9" t="s">
        <v>6754</v>
      </c>
      <c r="E1686" s="9" t="s">
        <v>6755</v>
      </c>
      <c r="F1686" s="9" t="s">
        <v>6756</v>
      </c>
      <c r="G1686" s="9" t="s">
        <v>1852</v>
      </c>
      <c r="H1686" s="14" t="s">
        <v>22</v>
      </c>
      <c r="I1686" s="9" t="s">
        <v>6757</v>
      </c>
      <c r="J1686" s="13"/>
      <c r="K1686" s="13"/>
    </row>
    <row r="1687" customFormat="false" ht="23.85" hidden="false" customHeight="false" outlineLevel="0" collapsed="false">
      <c r="A1687" s="9" t="n">
        <v>1686</v>
      </c>
      <c r="B1687" s="9" t="s">
        <v>102</v>
      </c>
      <c r="C1687" s="11" t="s">
        <v>109</v>
      </c>
      <c r="D1687" s="9" t="s">
        <v>6758</v>
      </c>
      <c r="E1687" s="9" t="s">
        <v>6759</v>
      </c>
      <c r="F1687" s="9" t="s">
        <v>6760</v>
      </c>
      <c r="G1687" s="9" t="s">
        <v>317</v>
      </c>
      <c r="H1687" s="15" t="s">
        <v>23</v>
      </c>
      <c r="I1687" s="9" t="s">
        <v>6761</v>
      </c>
      <c r="J1687" s="13"/>
      <c r="K1687" s="13"/>
    </row>
    <row r="1688" customFormat="false" ht="57.45" hidden="false" customHeight="false" outlineLevel="0" collapsed="false">
      <c r="A1688" s="9" t="n">
        <v>1687</v>
      </c>
      <c r="B1688" s="9" t="s">
        <v>102</v>
      </c>
      <c r="C1688" s="11" t="s">
        <v>109</v>
      </c>
      <c r="D1688" s="9" t="s">
        <v>6762</v>
      </c>
      <c r="E1688" s="9" t="s">
        <v>6763</v>
      </c>
      <c r="F1688" s="9" t="s">
        <v>6764</v>
      </c>
      <c r="G1688" s="9" t="s">
        <v>317</v>
      </c>
      <c r="H1688" s="15" t="s">
        <v>23</v>
      </c>
      <c r="I1688" s="9" t="s">
        <v>6765</v>
      </c>
      <c r="J1688" s="13"/>
      <c r="K1688" s="13"/>
    </row>
    <row r="1689" customFormat="false" ht="35.05" hidden="false" customHeight="false" outlineLevel="0" collapsed="false">
      <c r="A1689" s="9" t="n">
        <v>1688</v>
      </c>
      <c r="B1689" s="9" t="s">
        <v>102</v>
      </c>
      <c r="C1689" s="11" t="s">
        <v>109</v>
      </c>
      <c r="D1689" s="9" t="s">
        <v>6766</v>
      </c>
      <c r="E1689" s="9" t="s">
        <v>6767</v>
      </c>
      <c r="F1689" s="9" t="s">
        <v>6768</v>
      </c>
      <c r="G1689" s="9" t="s">
        <v>2044</v>
      </c>
      <c r="H1689" s="15" t="s">
        <v>23</v>
      </c>
      <c r="I1689" s="9" t="s">
        <v>6769</v>
      </c>
      <c r="J1689" s="13"/>
      <c r="K1689" s="13"/>
    </row>
    <row r="1690" customFormat="false" ht="68.65" hidden="false" customHeight="false" outlineLevel="0" collapsed="false">
      <c r="A1690" s="9" t="n">
        <v>1689</v>
      </c>
      <c r="B1690" s="9" t="s">
        <v>102</v>
      </c>
      <c r="C1690" s="11" t="s">
        <v>109</v>
      </c>
      <c r="D1690" s="9" t="s">
        <v>6770</v>
      </c>
      <c r="E1690" s="9" t="s">
        <v>6771</v>
      </c>
      <c r="F1690" s="9" t="s">
        <v>6772</v>
      </c>
      <c r="G1690" s="9" t="s">
        <v>3279</v>
      </c>
      <c r="H1690" s="14" t="s">
        <v>22</v>
      </c>
      <c r="I1690" s="9" t="s">
        <v>6773</v>
      </c>
      <c r="J1690" s="13"/>
      <c r="K1690" s="13"/>
    </row>
    <row r="1691" customFormat="false" ht="35.05" hidden="false" customHeight="false" outlineLevel="0" collapsed="false">
      <c r="A1691" s="9" t="n">
        <v>1690</v>
      </c>
      <c r="B1691" s="9" t="s">
        <v>102</v>
      </c>
      <c r="C1691" s="11" t="s">
        <v>109</v>
      </c>
      <c r="D1691" s="9" t="s">
        <v>6774</v>
      </c>
      <c r="E1691" s="9" t="s">
        <v>6775</v>
      </c>
      <c r="F1691" s="9" t="s">
        <v>6776</v>
      </c>
      <c r="G1691" s="9" t="s">
        <v>1072</v>
      </c>
      <c r="H1691" s="14" t="s">
        <v>22</v>
      </c>
      <c r="I1691" s="9" t="s">
        <v>6777</v>
      </c>
      <c r="J1691" s="13"/>
      <c r="K1691" s="13"/>
    </row>
    <row r="1692" customFormat="false" ht="23.85" hidden="false" customHeight="false" outlineLevel="0" collapsed="false">
      <c r="A1692" s="9" t="n">
        <v>1691</v>
      </c>
      <c r="B1692" s="9" t="s">
        <v>102</v>
      </c>
      <c r="C1692" s="11" t="s">
        <v>109</v>
      </c>
      <c r="D1692" s="9" t="s">
        <v>6778</v>
      </c>
      <c r="E1692" s="9" t="s">
        <v>6779</v>
      </c>
      <c r="F1692" s="9" t="s">
        <v>6780</v>
      </c>
      <c r="G1692" s="9" t="s">
        <v>312</v>
      </c>
      <c r="H1692" s="14" t="s">
        <v>22</v>
      </c>
      <c r="I1692" s="9" t="s">
        <v>6781</v>
      </c>
      <c r="J1692" s="13"/>
      <c r="K1692" s="13"/>
    </row>
    <row r="1693" customFormat="false" ht="46.25" hidden="false" customHeight="false" outlineLevel="0" collapsed="false">
      <c r="A1693" s="9" t="n">
        <v>1692</v>
      </c>
      <c r="B1693" s="9" t="s">
        <v>102</v>
      </c>
      <c r="C1693" s="11" t="s">
        <v>109</v>
      </c>
      <c r="D1693" s="9" t="s">
        <v>6782</v>
      </c>
      <c r="E1693" s="9" t="s">
        <v>6783</v>
      </c>
      <c r="F1693" s="9" t="s">
        <v>6784</v>
      </c>
      <c r="G1693" s="9" t="s">
        <v>312</v>
      </c>
      <c r="H1693" s="15" t="s">
        <v>23</v>
      </c>
      <c r="I1693" s="9" t="s">
        <v>6785</v>
      </c>
      <c r="J1693" s="13"/>
      <c r="K1693" s="13"/>
    </row>
    <row r="1694" customFormat="false" ht="35.05" hidden="false" customHeight="false" outlineLevel="0" collapsed="false">
      <c r="A1694" s="9" t="n">
        <v>1693</v>
      </c>
      <c r="B1694" s="9" t="s">
        <v>102</v>
      </c>
      <c r="C1694" s="11" t="s">
        <v>109</v>
      </c>
      <c r="D1694" s="9" t="s">
        <v>6786</v>
      </c>
      <c r="E1694" s="9" t="s">
        <v>6787</v>
      </c>
      <c r="F1694" s="9" t="s">
        <v>6788</v>
      </c>
      <c r="G1694" s="9" t="s">
        <v>6425</v>
      </c>
      <c r="H1694" s="15" t="s">
        <v>23</v>
      </c>
      <c r="I1694" s="9" t="s">
        <v>6789</v>
      </c>
      <c r="J1694" s="13"/>
      <c r="K1694" s="13"/>
    </row>
    <row r="1695" customFormat="false" ht="46.25" hidden="false" customHeight="false" outlineLevel="0" collapsed="false">
      <c r="A1695" s="9" t="n">
        <v>1694</v>
      </c>
      <c r="B1695" s="9" t="s">
        <v>102</v>
      </c>
      <c r="C1695" s="11" t="s">
        <v>109</v>
      </c>
      <c r="D1695" s="9" t="s">
        <v>6790</v>
      </c>
      <c r="E1695" s="9" t="s">
        <v>6791</v>
      </c>
      <c r="F1695" s="9" t="s">
        <v>6792</v>
      </c>
      <c r="G1695" s="9" t="s">
        <v>6425</v>
      </c>
      <c r="H1695" s="15" t="s">
        <v>23</v>
      </c>
      <c r="I1695" s="9" t="s">
        <v>6793</v>
      </c>
      <c r="J1695" s="13"/>
      <c r="K1695" s="13"/>
    </row>
    <row r="1696" customFormat="false" ht="46.25" hidden="false" customHeight="false" outlineLevel="0" collapsed="false">
      <c r="A1696" s="9" t="n">
        <v>1695</v>
      </c>
      <c r="B1696" s="9" t="s">
        <v>102</v>
      </c>
      <c r="C1696" s="11" t="s">
        <v>109</v>
      </c>
      <c r="D1696" s="9" t="s">
        <v>6794</v>
      </c>
      <c r="E1696" s="9" t="s">
        <v>6795</v>
      </c>
      <c r="F1696" s="9" t="s">
        <v>6796</v>
      </c>
      <c r="G1696" s="9" t="s">
        <v>312</v>
      </c>
      <c r="H1696" s="15" t="s">
        <v>23</v>
      </c>
      <c r="I1696" s="9" t="s">
        <v>6797</v>
      </c>
      <c r="J1696" s="13"/>
      <c r="K1696" s="13"/>
    </row>
    <row r="1697" customFormat="false" ht="35.05" hidden="false" customHeight="false" outlineLevel="0" collapsed="false">
      <c r="A1697" s="9" t="n">
        <v>1696</v>
      </c>
      <c r="B1697" s="9" t="s">
        <v>102</v>
      </c>
      <c r="C1697" s="11" t="s">
        <v>109</v>
      </c>
      <c r="D1697" s="9" t="s">
        <v>6798</v>
      </c>
      <c r="E1697" s="9" t="s">
        <v>6799</v>
      </c>
      <c r="F1697" s="9" t="s">
        <v>6800</v>
      </c>
      <c r="G1697" s="9" t="s">
        <v>317</v>
      </c>
      <c r="H1697" s="15" t="s">
        <v>23</v>
      </c>
      <c r="I1697" s="9" t="s">
        <v>6801</v>
      </c>
      <c r="J1697" s="13"/>
      <c r="K1697" s="13"/>
    </row>
    <row r="1698" customFormat="false" ht="23.85" hidden="false" customHeight="false" outlineLevel="0" collapsed="false">
      <c r="A1698" s="9" t="n">
        <v>1697</v>
      </c>
      <c r="B1698" s="9" t="s">
        <v>102</v>
      </c>
      <c r="C1698" s="11" t="s">
        <v>109</v>
      </c>
      <c r="D1698" s="9" t="s">
        <v>6802</v>
      </c>
      <c r="E1698" s="9" t="s">
        <v>6803</v>
      </c>
      <c r="F1698" s="9" t="s">
        <v>6804</v>
      </c>
      <c r="G1698" s="9" t="s">
        <v>1072</v>
      </c>
      <c r="H1698" s="15" t="s">
        <v>23</v>
      </c>
      <c r="I1698" s="9" t="s">
        <v>6805</v>
      </c>
      <c r="J1698" s="13"/>
      <c r="K1698" s="13"/>
    </row>
    <row r="1699" customFormat="false" ht="46.25" hidden="false" customHeight="false" outlineLevel="0" collapsed="false">
      <c r="A1699" s="9" t="n">
        <v>1698</v>
      </c>
      <c r="B1699" s="9" t="s">
        <v>102</v>
      </c>
      <c r="C1699" s="11" t="s">
        <v>109</v>
      </c>
      <c r="D1699" s="9" t="s">
        <v>6806</v>
      </c>
      <c r="E1699" s="9" t="s">
        <v>6807</v>
      </c>
      <c r="F1699" s="9" t="s">
        <v>6808</v>
      </c>
      <c r="G1699" s="9" t="s">
        <v>324</v>
      </c>
      <c r="H1699" s="14" t="s">
        <v>22</v>
      </c>
      <c r="I1699" s="9" t="s">
        <v>6809</v>
      </c>
      <c r="J1699" s="13"/>
      <c r="K1699" s="13"/>
    </row>
    <row r="1700" customFormat="false" ht="35.05" hidden="false" customHeight="false" outlineLevel="0" collapsed="false">
      <c r="A1700" s="9" t="n">
        <v>1699</v>
      </c>
      <c r="B1700" s="9" t="s">
        <v>102</v>
      </c>
      <c r="C1700" s="11" t="s">
        <v>109</v>
      </c>
      <c r="D1700" s="9" t="s">
        <v>6810</v>
      </c>
      <c r="E1700" s="9" t="s">
        <v>6811</v>
      </c>
      <c r="F1700" s="9" t="s">
        <v>6812</v>
      </c>
      <c r="G1700" s="9" t="s">
        <v>328</v>
      </c>
      <c r="H1700" s="15" t="s">
        <v>23</v>
      </c>
      <c r="I1700" s="9" t="s">
        <v>6813</v>
      </c>
      <c r="J1700" s="13"/>
      <c r="K1700" s="13"/>
    </row>
    <row r="1701" customFormat="false" ht="23.85" hidden="false" customHeight="false" outlineLevel="0" collapsed="false">
      <c r="A1701" s="9" t="n">
        <v>1700</v>
      </c>
      <c r="B1701" s="9" t="s">
        <v>102</v>
      </c>
      <c r="C1701" s="11" t="s">
        <v>109</v>
      </c>
      <c r="D1701" s="9" t="s">
        <v>6814</v>
      </c>
      <c r="E1701" s="9" t="s">
        <v>6815</v>
      </c>
      <c r="F1701" s="9" t="s">
        <v>6816</v>
      </c>
      <c r="G1701" s="9" t="s">
        <v>2044</v>
      </c>
      <c r="H1701" s="15" t="s">
        <v>23</v>
      </c>
      <c r="I1701" s="9" t="s">
        <v>6817</v>
      </c>
      <c r="J1701" s="13"/>
      <c r="K1701" s="13"/>
    </row>
    <row r="1702" customFormat="false" ht="57.45" hidden="false" customHeight="false" outlineLevel="0" collapsed="false">
      <c r="A1702" s="9" t="n">
        <v>1701</v>
      </c>
      <c r="B1702" s="9" t="s">
        <v>102</v>
      </c>
      <c r="C1702" s="11" t="s">
        <v>109</v>
      </c>
      <c r="D1702" s="9" t="s">
        <v>6818</v>
      </c>
      <c r="E1702" s="9" t="s">
        <v>6819</v>
      </c>
      <c r="F1702" s="9" t="s">
        <v>6820</v>
      </c>
      <c r="G1702" s="9" t="s">
        <v>328</v>
      </c>
      <c r="H1702" s="15" t="s">
        <v>23</v>
      </c>
      <c r="I1702" s="9" t="s">
        <v>6821</v>
      </c>
      <c r="J1702" s="13"/>
      <c r="K1702" s="13"/>
    </row>
    <row r="1703" customFormat="false" ht="46.25" hidden="false" customHeight="false" outlineLevel="0" collapsed="false">
      <c r="A1703" s="9" t="n">
        <v>1702</v>
      </c>
      <c r="B1703" s="9" t="s">
        <v>102</v>
      </c>
      <c r="C1703" s="11" t="s">
        <v>109</v>
      </c>
      <c r="D1703" s="9" t="s">
        <v>6822</v>
      </c>
      <c r="E1703" s="9" t="s">
        <v>6823</v>
      </c>
      <c r="F1703" s="9" t="s">
        <v>6824</v>
      </c>
      <c r="G1703" s="9" t="s">
        <v>24</v>
      </c>
      <c r="H1703" s="12" t="s">
        <v>21</v>
      </c>
      <c r="I1703" s="9" t="s">
        <v>6825</v>
      </c>
      <c r="J1703" s="13"/>
      <c r="K1703" s="13"/>
    </row>
    <row r="1704" customFormat="false" ht="57.45" hidden="false" customHeight="false" outlineLevel="0" collapsed="false">
      <c r="A1704" s="9" t="n">
        <v>1703</v>
      </c>
      <c r="B1704" s="9" t="s">
        <v>102</v>
      </c>
      <c r="C1704" s="11" t="s">
        <v>109</v>
      </c>
      <c r="D1704" s="9" t="s">
        <v>6826</v>
      </c>
      <c r="E1704" s="9" t="s">
        <v>6827</v>
      </c>
      <c r="F1704" s="9" t="s">
        <v>6828</v>
      </c>
      <c r="G1704" s="9" t="s">
        <v>24</v>
      </c>
      <c r="H1704" s="14" t="s">
        <v>22</v>
      </c>
      <c r="I1704" s="9" t="s">
        <v>6829</v>
      </c>
      <c r="J1704" s="13"/>
      <c r="K1704" s="13"/>
    </row>
    <row r="1705" customFormat="false" ht="57.45" hidden="false" customHeight="false" outlineLevel="0" collapsed="false">
      <c r="A1705" s="9" t="n">
        <v>1704</v>
      </c>
      <c r="B1705" s="9" t="s">
        <v>102</v>
      </c>
      <c r="C1705" s="11" t="s">
        <v>109</v>
      </c>
      <c r="D1705" s="9" t="s">
        <v>6830</v>
      </c>
      <c r="E1705" s="9" t="s">
        <v>6831</v>
      </c>
      <c r="F1705" s="9" t="s">
        <v>6832</v>
      </c>
      <c r="G1705" s="9" t="s">
        <v>24</v>
      </c>
      <c r="H1705" s="14" t="s">
        <v>22</v>
      </c>
      <c r="I1705" s="9" t="s">
        <v>6833</v>
      </c>
      <c r="J1705" s="13"/>
      <c r="K1705" s="13"/>
    </row>
    <row r="1706" customFormat="false" ht="46.25" hidden="false" customHeight="false" outlineLevel="0" collapsed="false">
      <c r="A1706" s="9" t="n">
        <v>1705</v>
      </c>
      <c r="B1706" s="9" t="s">
        <v>102</v>
      </c>
      <c r="C1706" s="11" t="s">
        <v>109</v>
      </c>
      <c r="D1706" s="9" t="s">
        <v>6834</v>
      </c>
      <c r="E1706" s="9" t="s">
        <v>6835</v>
      </c>
      <c r="F1706" s="9" t="s">
        <v>6836</v>
      </c>
      <c r="G1706" s="9" t="s">
        <v>24</v>
      </c>
      <c r="H1706" s="14" t="s">
        <v>22</v>
      </c>
      <c r="I1706" s="9" t="s">
        <v>6837</v>
      </c>
      <c r="J1706" s="13"/>
      <c r="K1706" s="13"/>
    </row>
    <row r="1707" customFormat="false" ht="46.25" hidden="false" customHeight="false" outlineLevel="0" collapsed="false">
      <c r="A1707" s="9" t="n">
        <v>1706</v>
      </c>
      <c r="B1707" s="9" t="s">
        <v>102</v>
      </c>
      <c r="C1707" s="11" t="s">
        <v>109</v>
      </c>
      <c r="D1707" s="9" t="s">
        <v>6838</v>
      </c>
      <c r="E1707" s="9" t="s">
        <v>6839</v>
      </c>
      <c r="F1707" s="9" t="s">
        <v>6840</v>
      </c>
      <c r="G1707" s="9" t="s">
        <v>24</v>
      </c>
      <c r="H1707" s="14" t="s">
        <v>22</v>
      </c>
      <c r="I1707" s="9" t="s">
        <v>6841</v>
      </c>
      <c r="J1707" s="13"/>
      <c r="K1707" s="13"/>
    </row>
    <row r="1708" customFormat="false" ht="35.05" hidden="false" customHeight="false" outlineLevel="0" collapsed="false">
      <c r="A1708" s="9" t="n">
        <v>1707</v>
      </c>
      <c r="B1708" s="9" t="s">
        <v>102</v>
      </c>
      <c r="C1708" s="11" t="s">
        <v>109</v>
      </c>
      <c r="D1708" s="9" t="s">
        <v>6842</v>
      </c>
      <c r="E1708" s="9" t="s">
        <v>6843</v>
      </c>
      <c r="F1708" s="9" t="s">
        <v>6844</v>
      </c>
      <c r="G1708" s="9" t="s">
        <v>24</v>
      </c>
      <c r="H1708" s="14" t="s">
        <v>22</v>
      </c>
      <c r="I1708" s="9" t="s">
        <v>806</v>
      </c>
      <c r="J1708" s="13"/>
      <c r="K1708" s="13"/>
    </row>
    <row r="1709" customFormat="false" ht="23.85" hidden="false" customHeight="false" outlineLevel="0" collapsed="false">
      <c r="A1709" s="9" t="n">
        <v>1708</v>
      </c>
      <c r="B1709" s="9" t="s">
        <v>102</v>
      </c>
      <c r="C1709" s="11" t="s">
        <v>109</v>
      </c>
      <c r="D1709" s="9" t="s">
        <v>6845</v>
      </c>
      <c r="E1709" s="9" t="s">
        <v>6846</v>
      </c>
      <c r="F1709" s="9" t="s">
        <v>6847</v>
      </c>
      <c r="G1709" s="9" t="s">
        <v>24</v>
      </c>
      <c r="H1709" s="14" t="s">
        <v>22</v>
      </c>
      <c r="I1709" s="9" t="s">
        <v>6848</v>
      </c>
      <c r="J1709" s="13"/>
      <c r="K1709" s="13"/>
    </row>
    <row r="1710" customFormat="false" ht="15" hidden="false" customHeight="false" outlineLevel="0" collapsed="false">
      <c r="A1710" s="9" t="n">
        <v>1709</v>
      </c>
      <c r="B1710" s="9" t="s">
        <v>102</v>
      </c>
      <c r="C1710" s="11" t="s">
        <v>109</v>
      </c>
      <c r="D1710" s="9" t="s">
        <v>6849</v>
      </c>
      <c r="E1710" s="9" t="s">
        <v>6850</v>
      </c>
      <c r="F1710" s="9" t="s">
        <v>6851</v>
      </c>
      <c r="G1710" s="9" t="s">
        <v>24</v>
      </c>
      <c r="H1710" s="14" t="s">
        <v>22</v>
      </c>
      <c r="I1710" s="9" t="s">
        <v>6852</v>
      </c>
      <c r="J1710" s="13"/>
      <c r="K1710" s="13"/>
    </row>
    <row r="1711" customFormat="false" ht="15" hidden="false" customHeight="false" outlineLevel="0" collapsed="false">
      <c r="A1711" s="9" t="n">
        <v>1710</v>
      </c>
      <c r="B1711" s="9" t="s">
        <v>102</v>
      </c>
      <c r="C1711" s="11" t="s">
        <v>109</v>
      </c>
      <c r="D1711" s="9" t="s">
        <v>6853</v>
      </c>
      <c r="E1711" s="9" t="s">
        <v>358</v>
      </c>
      <c r="F1711" s="9" t="s">
        <v>6633</v>
      </c>
      <c r="G1711" s="9" t="s">
        <v>24</v>
      </c>
      <c r="H1711" s="14" t="s">
        <v>22</v>
      </c>
      <c r="I1711" s="9" t="s">
        <v>6854</v>
      </c>
      <c r="J1711" s="13"/>
      <c r="K1711" s="13"/>
    </row>
    <row r="1712" customFormat="false" ht="15" hidden="false" customHeight="false" outlineLevel="0" collapsed="false">
      <c r="A1712" s="9" t="n">
        <v>1711</v>
      </c>
      <c r="B1712" s="9" t="s">
        <v>102</v>
      </c>
      <c r="C1712" s="11" t="s">
        <v>109</v>
      </c>
      <c r="D1712" s="9" t="s">
        <v>6855</v>
      </c>
      <c r="E1712" s="9" t="s">
        <v>362</v>
      </c>
      <c r="F1712" s="9" t="s">
        <v>363</v>
      </c>
      <c r="G1712" s="9" t="s">
        <v>24</v>
      </c>
      <c r="H1712" s="14" t="s">
        <v>22</v>
      </c>
      <c r="I1712" s="9" t="s">
        <v>364</v>
      </c>
      <c r="J1712" s="13"/>
      <c r="K1712" s="13"/>
    </row>
    <row r="1713" customFormat="false" ht="23.85" hidden="false" customHeight="false" outlineLevel="0" collapsed="false">
      <c r="A1713" s="9" t="n">
        <v>1712</v>
      </c>
      <c r="B1713" s="9" t="s">
        <v>102</v>
      </c>
      <c r="C1713" s="11" t="s">
        <v>109</v>
      </c>
      <c r="D1713" s="9" t="s">
        <v>6856</v>
      </c>
      <c r="E1713" s="9" t="s">
        <v>6857</v>
      </c>
      <c r="F1713" s="9" t="s">
        <v>6858</v>
      </c>
      <c r="G1713" s="9" t="s">
        <v>24</v>
      </c>
      <c r="H1713" s="15" t="s">
        <v>23</v>
      </c>
      <c r="I1713" s="9" t="s">
        <v>6859</v>
      </c>
      <c r="J1713" s="13"/>
      <c r="K1713" s="13"/>
    </row>
    <row r="1714" customFormat="false" ht="23.85" hidden="false" customHeight="false" outlineLevel="0" collapsed="false">
      <c r="A1714" s="9" t="n">
        <v>1713</v>
      </c>
      <c r="B1714" s="9" t="s">
        <v>102</v>
      </c>
      <c r="C1714" s="11" t="s">
        <v>109</v>
      </c>
      <c r="D1714" s="9" t="s">
        <v>6860</v>
      </c>
      <c r="E1714" s="9" t="s">
        <v>6861</v>
      </c>
      <c r="F1714" s="9" t="s">
        <v>6862</v>
      </c>
      <c r="G1714" s="9" t="s">
        <v>24</v>
      </c>
      <c r="H1714" s="15" t="s">
        <v>23</v>
      </c>
      <c r="I1714" s="9" t="s">
        <v>6863</v>
      </c>
      <c r="J1714" s="13"/>
      <c r="K1714" s="13"/>
    </row>
    <row r="1715" customFormat="false" ht="23.85" hidden="false" customHeight="false" outlineLevel="0" collapsed="false">
      <c r="A1715" s="9" t="n">
        <v>1714</v>
      </c>
      <c r="B1715" s="9" t="s">
        <v>102</v>
      </c>
      <c r="C1715" s="11" t="s">
        <v>109</v>
      </c>
      <c r="D1715" s="9" t="s">
        <v>6864</v>
      </c>
      <c r="E1715" s="9" t="s">
        <v>6865</v>
      </c>
      <c r="F1715" s="9" t="s">
        <v>6866</v>
      </c>
      <c r="G1715" s="9" t="s">
        <v>24</v>
      </c>
      <c r="H1715" s="15" t="s">
        <v>23</v>
      </c>
      <c r="I1715" s="9" t="s">
        <v>6867</v>
      </c>
      <c r="J1715" s="13"/>
      <c r="K1715" s="13"/>
    </row>
    <row r="1716" customFormat="false" ht="23.85" hidden="false" customHeight="false" outlineLevel="0" collapsed="false">
      <c r="A1716" s="9" t="n">
        <v>1715</v>
      </c>
      <c r="B1716" s="9" t="s">
        <v>102</v>
      </c>
      <c r="C1716" s="11" t="s">
        <v>109</v>
      </c>
      <c r="D1716" s="9" t="s">
        <v>6868</v>
      </c>
      <c r="E1716" s="9" t="s">
        <v>6869</v>
      </c>
      <c r="F1716" s="9" t="s">
        <v>6870</v>
      </c>
      <c r="G1716" s="9" t="s">
        <v>24</v>
      </c>
      <c r="H1716" s="15" t="s">
        <v>23</v>
      </c>
      <c r="I1716" s="9" t="s">
        <v>6871</v>
      </c>
      <c r="J1716" s="13"/>
      <c r="K1716" s="13"/>
    </row>
    <row r="1717" customFormat="false" ht="23.85" hidden="false" customHeight="false" outlineLevel="0" collapsed="false">
      <c r="A1717" s="9" t="n">
        <v>1716</v>
      </c>
      <c r="B1717" s="9" t="s">
        <v>102</v>
      </c>
      <c r="C1717" s="11" t="s">
        <v>109</v>
      </c>
      <c r="D1717" s="9" t="s">
        <v>6872</v>
      </c>
      <c r="E1717" s="9" t="s">
        <v>3811</v>
      </c>
      <c r="F1717" s="9" t="s">
        <v>6641</v>
      </c>
      <c r="G1717" s="9" t="s">
        <v>24</v>
      </c>
      <c r="H1717" s="15" t="s">
        <v>23</v>
      </c>
      <c r="I1717" s="9" t="s">
        <v>2846</v>
      </c>
      <c r="J1717" s="13"/>
      <c r="K1717" s="13"/>
    </row>
    <row r="1718" customFormat="false" ht="23.85" hidden="false" customHeight="false" outlineLevel="0" collapsed="false">
      <c r="A1718" s="9" t="n">
        <v>1717</v>
      </c>
      <c r="B1718" s="9" t="s">
        <v>102</v>
      </c>
      <c r="C1718" s="11" t="s">
        <v>109</v>
      </c>
      <c r="D1718" s="9" t="s">
        <v>6873</v>
      </c>
      <c r="E1718" s="9" t="s">
        <v>6874</v>
      </c>
      <c r="F1718" s="9" t="s">
        <v>6875</v>
      </c>
      <c r="G1718" s="9" t="s">
        <v>24</v>
      </c>
      <c r="H1718" s="15" t="s">
        <v>23</v>
      </c>
      <c r="I1718" s="9" t="s">
        <v>6653</v>
      </c>
      <c r="J1718" s="13"/>
      <c r="K1718" s="13"/>
    </row>
    <row r="1719" customFormat="false" ht="35.05" hidden="false" customHeight="false" outlineLevel="0" collapsed="false">
      <c r="A1719" s="9" t="n">
        <v>1718</v>
      </c>
      <c r="B1719" s="9" t="s">
        <v>102</v>
      </c>
      <c r="C1719" s="11" t="s">
        <v>109</v>
      </c>
      <c r="D1719" s="9" t="s">
        <v>6876</v>
      </c>
      <c r="E1719" s="9" t="s">
        <v>6877</v>
      </c>
      <c r="F1719" s="9" t="s">
        <v>6878</v>
      </c>
      <c r="G1719" s="9" t="s">
        <v>24</v>
      </c>
      <c r="H1719" s="15" t="s">
        <v>23</v>
      </c>
      <c r="I1719" s="9" t="s">
        <v>6649</v>
      </c>
      <c r="J1719" s="13"/>
      <c r="K1719" s="13"/>
    </row>
    <row r="1720" customFormat="false" ht="135.8" hidden="false" customHeight="false" outlineLevel="0" collapsed="false">
      <c r="A1720" s="9" t="n">
        <v>1719</v>
      </c>
      <c r="B1720" s="9" t="s">
        <v>102</v>
      </c>
      <c r="C1720" s="11" t="s">
        <v>111</v>
      </c>
      <c r="D1720" s="9" t="s">
        <v>6879</v>
      </c>
      <c r="E1720" s="9" t="s">
        <v>6880</v>
      </c>
      <c r="F1720" s="9" t="s">
        <v>6881</v>
      </c>
      <c r="G1720" s="9" t="s">
        <v>312</v>
      </c>
      <c r="H1720" s="12" t="s">
        <v>21</v>
      </c>
      <c r="I1720" s="9" t="s">
        <v>6882</v>
      </c>
      <c r="J1720" s="13"/>
      <c r="K1720" s="13"/>
    </row>
    <row r="1721" customFormat="false" ht="102.2" hidden="false" customHeight="false" outlineLevel="0" collapsed="false">
      <c r="A1721" s="9" t="n">
        <v>1720</v>
      </c>
      <c r="B1721" s="9" t="s">
        <v>102</v>
      </c>
      <c r="C1721" s="11" t="s">
        <v>111</v>
      </c>
      <c r="D1721" s="9" t="s">
        <v>6883</v>
      </c>
      <c r="E1721" s="9" t="s">
        <v>6884</v>
      </c>
      <c r="F1721" s="9" t="s">
        <v>6885</v>
      </c>
      <c r="G1721" s="9" t="s">
        <v>317</v>
      </c>
      <c r="H1721" s="12" t="s">
        <v>21</v>
      </c>
      <c r="I1721" s="9" t="s">
        <v>6886</v>
      </c>
      <c r="J1721" s="13"/>
      <c r="K1721" s="13"/>
    </row>
    <row r="1722" customFormat="false" ht="46.25" hidden="false" customHeight="false" outlineLevel="0" collapsed="false">
      <c r="A1722" s="9" t="n">
        <v>1721</v>
      </c>
      <c r="B1722" s="9" t="s">
        <v>102</v>
      </c>
      <c r="C1722" s="11" t="s">
        <v>111</v>
      </c>
      <c r="D1722" s="9" t="s">
        <v>6887</v>
      </c>
      <c r="E1722" s="9" t="s">
        <v>6888</v>
      </c>
      <c r="F1722" s="9" t="s">
        <v>6889</v>
      </c>
      <c r="G1722" s="9" t="s">
        <v>2044</v>
      </c>
      <c r="H1722" s="14" t="s">
        <v>22</v>
      </c>
      <c r="I1722" s="9" t="s">
        <v>6890</v>
      </c>
      <c r="J1722" s="13"/>
      <c r="K1722" s="13"/>
    </row>
    <row r="1723" customFormat="false" ht="23.85" hidden="false" customHeight="false" outlineLevel="0" collapsed="false">
      <c r="A1723" s="9" t="n">
        <v>1722</v>
      </c>
      <c r="B1723" s="9" t="s">
        <v>102</v>
      </c>
      <c r="C1723" s="11" t="s">
        <v>111</v>
      </c>
      <c r="D1723" s="9" t="s">
        <v>6891</v>
      </c>
      <c r="E1723" s="9" t="s">
        <v>6892</v>
      </c>
      <c r="F1723" s="9" t="s">
        <v>6893</v>
      </c>
      <c r="G1723" s="9" t="s">
        <v>328</v>
      </c>
      <c r="H1723" s="14" t="s">
        <v>22</v>
      </c>
      <c r="I1723" s="9" t="s">
        <v>6894</v>
      </c>
      <c r="J1723" s="13"/>
      <c r="K1723" s="13"/>
    </row>
    <row r="1724" customFormat="false" ht="23.85" hidden="false" customHeight="false" outlineLevel="0" collapsed="false">
      <c r="A1724" s="9" t="n">
        <v>1723</v>
      </c>
      <c r="B1724" s="9" t="s">
        <v>102</v>
      </c>
      <c r="C1724" s="11" t="s">
        <v>111</v>
      </c>
      <c r="D1724" s="9" t="s">
        <v>6895</v>
      </c>
      <c r="E1724" s="9" t="s">
        <v>6896</v>
      </c>
      <c r="F1724" s="9" t="s">
        <v>6897</v>
      </c>
      <c r="G1724" s="9" t="s">
        <v>328</v>
      </c>
      <c r="H1724" s="14" t="s">
        <v>22</v>
      </c>
      <c r="I1724" s="9" t="s">
        <v>6898</v>
      </c>
      <c r="J1724" s="13"/>
      <c r="K1724" s="13"/>
    </row>
    <row r="1725" customFormat="false" ht="91" hidden="false" customHeight="false" outlineLevel="0" collapsed="false">
      <c r="A1725" s="9" t="n">
        <v>1724</v>
      </c>
      <c r="B1725" s="9" t="s">
        <v>102</v>
      </c>
      <c r="C1725" s="11" t="s">
        <v>111</v>
      </c>
      <c r="D1725" s="9" t="s">
        <v>6899</v>
      </c>
      <c r="E1725" s="9" t="s">
        <v>6900</v>
      </c>
      <c r="F1725" s="9" t="s">
        <v>6901</v>
      </c>
      <c r="G1725" s="9" t="s">
        <v>317</v>
      </c>
      <c r="H1725" s="12" t="s">
        <v>21</v>
      </c>
      <c r="I1725" s="9" t="s">
        <v>6902</v>
      </c>
      <c r="J1725" s="13"/>
      <c r="K1725" s="13"/>
    </row>
    <row r="1726" customFormat="false" ht="57.45" hidden="false" customHeight="false" outlineLevel="0" collapsed="false">
      <c r="A1726" s="9" t="n">
        <v>1725</v>
      </c>
      <c r="B1726" s="9" t="s">
        <v>102</v>
      </c>
      <c r="C1726" s="11" t="s">
        <v>111</v>
      </c>
      <c r="D1726" s="9" t="s">
        <v>6903</v>
      </c>
      <c r="E1726" s="9" t="s">
        <v>6904</v>
      </c>
      <c r="F1726" s="9" t="s">
        <v>6905</v>
      </c>
      <c r="G1726" s="9" t="s">
        <v>2044</v>
      </c>
      <c r="H1726" s="14" t="s">
        <v>22</v>
      </c>
      <c r="I1726" s="9" t="s">
        <v>6906</v>
      </c>
      <c r="J1726" s="13"/>
      <c r="K1726" s="13"/>
    </row>
    <row r="1727" customFormat="false" ht="79.85" hidden="false" customHeight="false" outlineLevel="0" collapsed="false">
      <c r="A1727" s="9" t="n">
        <v>1726</v>
      </c>
      <c r="B1727" s="9" t="s">
        <v>102</v>
      </c>
      <c r="C1727" s="11" t="s">
        <v>111</v>
      </c>
      <c r="D1727" s="9" t="s">
        <v>6907</v>
      </c>
      <c r="E1727" s="9" t="s">
        <v>6908</v>
      </c>
      <c r="F1727" s="9" t="s">
        <v>6909</v>
      </c>
      <c r="G1727" s="9" t="s">
        <v>317</v>
      </c>
      <c r="H1727" s="12" t="s">
        <v>21</v>
      </c>
      <c r="I1727" s="9" t="s">
        <v>6910</v>
      </c>
      <c r="J1727" s="13"/>
      <c r="K1727" s="13"/>
    </row>
    <row r="1728" customFormat="false" ht="46.25" hidden="false" customHeight="false" outlineLevel="0" collapsed="false">
      <c r="A1728" s="9" t="n">
        <v>1727</v>
      </c>
      <c r="B1728" s="9" t="s">
        <v>102</v>
      </c>
      <c r="C1728" s="11" t="s">
        <v>111</v>
      </c>
      <c r="D1728" s="9" t="s">
        <v>6911</v>
      </c>
      <c r="E1728" s="9" t="s">
        <v>6912</v>
      </c>
      <c r="F1728" s="9" t="s">
        <v>6913</v>
      </c>
      <c r="G1728" s="9" t="s">
        <v>312</v>
      </c>
      <c r="H1728" s="14" t="s">
        <v>22</v>
      </c>
      <c r="I1728" s="9" t="s">
        <v>6914</v>
      </c>
      <c r="J1728" s="13"/>
      <c r="K1728" s="13"/>
    </row>
    <row r="1729" customFormat="false" ht="35.05" hidden="false" customHeight="false" outlineLevel="0" collapsed="false">
      <c r="A1729" s="9" t="n">
        <v>1728</v>
      </c>
      <c r="B1729" s="9" t="s">
        <v>102</v>
      </c>
      <c r="C1729" s="11" t="s">
        <v>111</v>
      </c>
      <c r="D1729" s="9" t="s">
        <v>6915</v>
      </c>
      <c r="E1729" s="9" t="s">
        <v>6916</v>
      </c>
      <c r="F1729" s="9" t="s">
        <v>6917</v>
      </c>
      <c r="G1729" s="9" t="s">
        <v>317</v>
      </c>
      <c r="H1729" s="15" t="s">
        <v>23</v>
      </c>
      <c r="I1729" s="9" t="s">
        <v>6918</v>
      </c>
      <c r="J1729" s="13"/>
      <c r="K1729" s="13"/>
    </row>
    <row r="1730" customFormat="false" ht="35.05" hidden="false" customHeight="false" outlineLevel="0" collapsed="false">
      <c r="A1730" s="9" t="n">
        <v>1729</v>
      </c>
      <c r="B1730" s="9" t="s">
        <v>102</v>
      </c>
      <c r="C1730" s="11" t="s">
        <v>111</v>
      </c>
      <c r="D1730" s="9" t="s">
        <v>6919</v>
      </c>
      <c r="E1730" s="9" t="s">
        <v>6920</v>
      </c>
      <c r="F1730" s="9" t="s">
        <v>6921</v>
      </c>
      <c r="G1730" s="9" t="s">
        <v>303</v>
      </c>
      <c r="H1730" s="15" t="s">
        <v>23</v>
      </c>
      <c r="I1730" s="9" t="s">
        <v>6922</v>
      </c>
      <c r="J1730" s="13"/>
      <c r="K1730" s="13"/>
    </row>
    <row r="1731" customFormat="false" ht="46.25" hidden="false" customHeight="false" outlineLevel="0" collapsed="false">
      <c r="A1731" s="9" t="n">
        <v>1730</v>
      </c>
      <c r="B1731" s="9" t="s">
        <v>102</v>
      </c>
      <c r="C1731" s="11" t="s">
        <v>111</v>
      </c>
      <c r="D1731" s="9" t="s">
        <v>6923</v>
      </c>
      <c r="E1731" s="9" t="s">
        <v>6924</v>
      </c>
      <c r="F1731" s="9" t="s">
        <v>6925</v>
      </c>
      <c r="G1731" s="9" t="s">
        <v>317</v>
      </c>
      <c r="H1731" s="14" t="s">
        <v>22</v>
      </c>
      <c r="I1731" s="9" t="s">
        <v>6926</v>
      </c>
      <c r="J1731" s="13"/>
      <c r="K1731" s="13"/>
    </row>
    <row r="1732" customFormat="false" ht="79.85" hidden="false" customHeight="false" outlineLevel="0" collapsed="false">
      <c r="A1732" s="9" t="n">
        <v>1731</v>
      </c>
      <c r="B1732" s="9" t="s">
        <v>102</v>
      </c>
      <c r="C1732" s="11" t="s">
        <v>111</v>
      </c>
      <c r="D1732" s="9" t="s">
        <v>6927</v>
      </c>
      <c r="E1732" s="9" t="s">
        <v>6928</v>
      </c>
      <c r="F1732" s="9" t="s">
        <v>6929</v>
      </c>
      <c r="G1732" s="9" t="s">
        <v>2044</v>
      </c>
      <c r="H1732" s="12" t="s">
        <v>21</v>
      </c>
      <c r="I1732" s="9" t="s">
        <v>6930</v>
      </c>
      <c r="J1732" s="13"/>
      <c r="K1732" s="13"/>
    </row>
    <row r="1733" customFormat="false" ht="23.85" hidden="false" customHeight="false" outlineLevel="0" collapsed="false">
      <c r="A1733" s="9" t="n">
        <v>1732</v>
      </c>
      <c r="B1733" s="9" t="s">
        <v>102</v>
      </c>
      <c r="C1733" s="11" t="s">
        <v>111</v>
      </c>
      <c r="D1733" s="9" t="s">
        <v>6931</v>
      </c>
      <c r="E1733" s="9" t="s">
        <v>6932</v>
      </c>
      <c r="F1733" s="9" t="s">
        <v>6933</v>
      </c>
      <c r="G1733" s="9" t="s">
        <v>312</v>
      </c>
      <c r="H1733" s="15" t="s">
        <v>23</v>
      </c>
      <c r="I1733" s="9" t="s">
        <v>6934</v>
      </c>
      <c r="J1733" s="13"/>
      <c r="K1733" s="13"/>
    </row>
    <row r="1734" customFormat="false" ht="46.25" hidden="false" customHeight="false" outlineLevel="0" collapsed="false">
      <c r="A1734" s="9" t="n">
        <v>1733</v>
      </c>
      <c r="B1734" s="9" t="s">
        <v>102</v>
      </c>
      <c r="C1734" s="11" t="s">
        <v>111</v>
      </c>
      <c r="D1734" s="9" t="s">
        <v>6935</v>
      </c>
      <c r="E1734" s="9" t="s">
        <v>6936</v>
      </c>
      <c r="F1734" s="9" t="s">
        <v>6937</v>
      </c>
      <c r="G1734" s="9" t="s">
        <v>312</v>
      </c>
      <c r="H1734" s="15" t="s">
        <v>23</v>
      </c>
      <c r="I1734" s="9" t="s">
        <v>6938</v>
      </c>
      <c r="J1734" s="13"/>
      <c r="K1734" s="13"/>
    </row>
    <row r="1735" customFormat="false" ht="35.05" hidden="false" customHeight="false" outlineLevel="0" collapsed="false">
      <c r="A1735" s="9" t="n">
        <v>1734</v>
      </c>
      <c r="B1735" s="9" t="s">
        <v>102</v>
      </c>
      <c r="C1735" s="11" t="s">
        <v>111</v>
      </c>
      <c r="D1735" s="9" t="s">
        <v>6939</v>
      </c>
      <c r="E1735" s="9" t="s">
        <v>6940</v>
      </c>
      <c r="F1735" s="9" t="s">
        <v>6941</v>
      </c>
      <c r="G1735" s="9" t="s">
        <v>2044</v>
      </c>
      <c r="H1735" s="15" t="s">
        <v>23</v>
      </c>
      <c r="I1735" s="9" t="s">
        <v>6942</v>
      </c>
      <c r="J1735" s="13"/>
      <c r="K1735" s="13"/>
    </row>
    <row r="1736" customFormat="false" ht="35.05" hidden="false" customHeight="false" outlineLevel="0" collapsed="false">
      <c r="A1736" s="9" t="n">
        <v>1735</v>
      </c>
      <c r="B1736" s="9" t="s">
        <v>102</v>
      </c>
      <c r="C1736" s="11" t="s">
        <v>111</v>
      </c>
      <c r="D1736" s="9" t="s">
        <v>6943</v>
      </c>
      <c r="E1736" s="9" t="s">
        <v>6944</v>
      </c>
      <c r="F1736" s="9" t="s">
        <v>6945</v>
      </c>
      <c r="G1736" s="9" t="s">
        <v>312</v>
      </c>
      <c r="H1736" s="14" t="s">
        <v>22</v>
      </c>
      <c r="I1736" s="9" t="s">
        <v>6946</v>
      </c>
      <c r="J1736" s="13"/>
      <c r="K1736" s="13"/>
    </row>
    <row r="1737" customFormat="false" ht="23.85" hidden="false" customHeight="false" outlineLevel="0" collapsed="false">
      <c r="A1737" s="9" t="n">
        <v>1736</v>
      </c>
      <c r="B1737" s="9" t="s">
        <v>102</v>
      </c>
      <c r="C1737" s="11" t="s">
        <v>111</v>
      </c>
      <c r="D1737" s="9" t="s">
        <v>6947</v>
      </c>
      <c r="E1737" s="9" t="s">
        <v>6948</v>
      </c>
      <c r="F1737" s="9" t="s">
        <v>6949</v>
      </c>
      <c r="G1737" s="9" t="s">
        <v>312</v>
      </c>
      <c r="H1737" s="15" t="s">
        <v>23</v>
      </c>
      <c r="I1737" s="9" t="s">
        <v>6950</v>
      </c>
      <c r="J1737" s="13"/>
      <c r="K1737" s="13"/>
    </row>
    <row r="1738" customFormat="false" ht="23.85" hidden="false" customHeight="false" outlineLevel="0" collapsed="false">
      <c r="A1738" s="9" t="n">
        <v>1737</v>
      </c>
      <c r="B1738" s="9" t="s">
        <v>102</v>
      </c>
      <c r="C1738" s="11" t="s">
        <v>111</v>
      </c>
      <c r="D1738" s="9" t="s">
        <v>6951</v>
      </c>
      <c r="E1738" s="9" t="s">
        <v>6952</v>
      </c>
      <c r="F1738" s="9" t="s">
        <v>6953</v>
      </c>
      <c r="G1738" s="9" t="s">
        <v>312</v>
      </c>
      <c r="H1738" s="15" t="s">
        <v>23</v>
      </c>
      <c r="I1738" s="9" t="s">
        <v>6954</v>
      </c>
      <c r="J1738" s="13"/>
      <c r="K1738" s="13"/>
    </row>
    <row r="1739" customFormat="false" ht="23.85" hidden="false" customHeight="false" outlineLevel="0" collapsed="false">
      <c r="A1739" s="9" t="n">
        <v>1738</v>
      </c>
      <c r="B1739" s="9" t="s">
        <v>102</v>
      </c>
      <c r="C1739" s="11" t="s">
        <v>111</v>
      </c>
      <c r="D1739" s="9" t="s">
        <v>6955</v>
      </c>
      <c r="E1739" s="9" t="s">
        <v>6956</v>
      </c>
      <c r="F1739" s="9" t="s">
        <v>6957</v>
      </c>
      <c r="G1739" s="9" t="s">
        <v>312</v>
      </c>
      <c r="H1739" s="14" t="s">
        <v>22</v>
      </c>
      <c r="I1739" s="9" t="s">
        <v>6958</v>
      </c>
      <c r="J1739" s="13"/>
      <c r="K1739" s="13"/>
    </row>
    <row r="1740" customFormat="false" ht="46.25" hidden="false" customHeight="false" outlineLevel="0" collapsed="false">
      <c r="A1740" s="9" t="n">
        <v>1739</v>
      </c>
      <c r="B1740" s="9" t="s">
        <v>102</v>
      </c>
      <c r="C1740" s="11" t="s">
        <v>111</v>
      </c>
      <c r="D1740" s="9" t="s">
        <v>6959</v>
      </c>
      <c r="E1740" s="9" t="s">
        <v>6960</v>
      </c>
      <c r="F1740" s="9" t="s">
        <v>6961</v>
      </c>
      <c r="G1740" s="9" t="s">
        <v>303</v>
      </c>
      <c r="H1740" s="14" t="s">
        <v>22</v>
      </c>
      <c r="I1740" s="9" t="s">
        <v>6962</v>
      </c>
      <c r="J1740" s="13"/>
      <c r="K1740" s="13"/>
    </row>
    <row r="1741" customFormat="false" ht="46.25" hidden="false" customHeight="false" outlineLevel="0" collapsed="false">
      <c r="A1741" s="9" t="n">
        <v>1740</v>
      </c>
      <c r="B1741" s="9" t="s">
        <v>102</v>
      </c>
      <c r="C1741" s="11" t="s">
        <v>111</v>
      </c>
      <c r="D1741" s="9" t="s">
        <v>6963</v>
      </c>
      <c r="E1741" s="9" t="s">
        <v>6964</v>
      </c>
      <c r="F1741" s="9" t="s">
        <v>6965</v>
      </c>
      <c r="G1741" s="9" t="s">
        <v>312</v>
      </c>
      <c r="H1741" s="14" t="s">
        <v>22</v>
      </c>
      <c r="I1741" s="9" t="s">
        <v>6966</v>
      </c>
      <c r="J1741" s="13"/>
      <c r="K1741" s="13"/>
    </row>
    <row r="1742" customFormat="false" ht="68.65" hidden="false" customHeight="false" outlineLevel="0" collapsed="false">
      <c r="A1742" s="9" t="n">
        <v>1741</v>
      </c>
      <c r="B1742" s="9" t="s">
        <v>102</v>
      </c>
      <c r="C1742" s="11" t="s">
        <v>111</v>
      </c>
      <c r="D1742" s="9" t="s">
        <v>6967</v>
      </c>
      <c r="E1742" s="9" t="s">
        <v>6968</v>
      </c>
      <c r="F1742" s="9" t="s">
        <v>6969</v>
      </c>
      <c r="G1742" s="9" t="s">
        <v>2044</v>
      </c>
      <c r="H1742" s="14" t="s">
        <v>22</v>
      </c>
      <c r="I1742" s="9" t="s">
        <v>6970</v>
      </c>
      <c r="J1742" s="13"/>
      <c r="K1742" s="13"/>
    </row>
    <row r="1743" customFormat="false" ht="102.2" hidden="false" customHeight="false" outlineLevel="0" collapsed="false">
      <c r="A1743" s="9" t="n">
        <v>1742</v>
      </c>
      <c r="B1743" s="9" t="s">
        <v>102</v>
      </c>
      <c r="C1743" s="11" t="s">
        <v>111</v>
      </c>
      <c r="D1743" s="9" t="s">
        <v>6971</v>
      </c>
      <c r="E1743" s="9" t="s">
        <v>6972</v>
      </c>
      <c r="F1743" s="9" t="s">
        <v>6973</v>
      </c>
      <c r="G1743" s="9" t="s">
        <v>317</v>
      </c>
      <c r="H1743" s="12" t="s">
        <v>21</v>
      </c>
      <c r="I1743" s="9" t="s">
        <v>6974</v>
      </c>
      <c r="J1743" s="13"/>
      <c r="K1743" s="13"/>
    </row>
    <row r="1744" customFormat="false" ht="57.45" hidden="false" customHeight="false" outlineLevel="0" collapsed="false">
      <c r="A1744" s="9" t="n">
        <v>1743</v>
      </c>
      <c r="B1744" s="9" t="s">
        <v>102</v>
      </c>
      <c r="C1744" s="11" t="s">
        <v>111</v>
      </c>
      <c r="D1744" s="9" t="s">
        <v>6975</v>
      </c>
      <c r="E1744" s="9" t="s">
        <v>6976</v>
      </c>
      <c r="F1744" s="9" t="s">
        <v>6977</v>
      </c>
      <c r="G1744" s="9" t="s">
        <v>2044</v>
      </c>
      <c r="H1744" s="14" t="s">
        <v>22</v>
      </c>
      <c r="I1744" s="9" t="s">
        <v>6978</v>
      </c>
      <c r="J1744" s="13"/>
      <c r="K1744" s="13"/>
    </row>
    <row r="1745" customFormat="false" ht="102.2" hidden="false" customHeight="false" outlineLevel="0" collapsed="false">
      <c r="A1745" s="9" t="n">
        <v>1744</v>
      </c>
      <c r="B1745" s="9" t="s">
        <v>102</v>
      </c>
      <c r="C1745" s="11" t="s">
        <v>111</v>
      </c>
      <c r="D1745" s="9" t="s">
        <v>6979</v>
      </c>
      <c r="E1745" s="9" t="s">
        <v>6980</v>
      </c>
      <c r="F1745" s="9" t="s">
        <v>6981</v>
      </c>
      <c r="G1745" s="9" t="s">
        <v>303</v>
      </c>
      <c r="H1745" s="12" t="s">
        <v>21</v>
      </c>
      <c r="I1745" s="9" t="s">
        <v>6982</v>
      </c>
      <c r="J1745" s="13"/>
      <c r="K1745" s="13"/>
    </row>
    <row r="1746" customFormat="false" ht="23.85" hidden="false" customHeight="false" outlineLevel="0" collapsed="false">
      <c r="A1746" s="9" t="n">
        <v>1745</v>
      </c>
      <c r="B1746" s="9" t="s">
        <v>102</v>
      </c>
      <c r="C1746" s="11" t="s">
        <v>111</v>
      </c>
      <c r="D1746" s="9" t="s">
        <v>6983</v>
      </c>
      <c r="E1746" s="9" t="s">
        <v>6984</v>
      </c>
      <c r="F1746" s="9" t="s">
        <v>6985</v>
      </c>
      <c r="G1746" s="9" t="s">
        <v>2044</v>
      </c>
      <c r="H1746" s="15" t="s">
        <v>23</v>
      </c>
      <c r="I1746" s="9" t="s">
        <v>2096</v>
      </c>
      <c r="J1746" s="13"/>
      <c r="K1746" s="13"/>
    </row>
    <row r="1747" customFormat="false" ht="68.65" hidden="false" customHeight="false" outlineLevel="0" collapsed="false">
      <c r="A1747" s="9" t="n">
        <v>1746</v>
      </c>
      <c r="B1747" s="9" t="s">
        <v>102</v>
      </c>
      <c r="C1747" s="11" t="s">
        <v>111</v>
      </c>
      <c r="D1747" s="9" t="s">
        <v>6986</v>
      </c>
      <c r="E1747" s="9" t="s">
        <v>6987</v>
      </c>
      <c r="F1747" s="9" t="s">
        <v>6988</v>
      </c>
      <c r="G1747" s="9" t="s">
        <v>2044</v>
      </c>
      <c r="H1747" s="12" t="s">
        <v>21</v>
      </c>
      <c r="I1747" s="9" t="s">
        <v>6989</v>
      </c>
      <c r="J1747" s="13"/>
      <c r="K1747" s="13"/>
    </row>
    <row r="1748" customFormat="false" ht="57.45" hidden="false" customHeight="false" outlineLevel="0" collapsed="false">
      <c r="A1748" s="9" t="n">
        <v>1747</v>
      </c>
      <c r="B1748" s="9" t="s">
        <v>102</v>
      </c>
      <c r="C1748" s="11" t="s">
        <v>111</v>
      </c>
      <c r="D1748" s="9" t="s">
        <v>6990</v>
      </c>
      <c r="E1748" s="9" t="s">
        <v>6991</v>
      </c>
      <c r="F1748" s="9" t="s">
        <v>6992</v>
      </c>
      <c r="G1748" s="9" t="s">
        <v>2044</v>
      </c>
      <c r="H1748" s="14" t="s">
        <v>22</v>
      </c>
      <c r="I1748" s="9" t="s">
        <v>6993</v>
      </c>
      <c r="J1748" s="13"/>
      <c r="K1748" s="13"/>
    </row>
    <row r="1749" customFormat="false" ht="35.05" hidden="false" customHeight="false" outlineLevel="0" collapsed="false">
      <c r="A1749" s="9" t="n">
        <v>1748</v>
      </c>
      <c r="B1749" s="9" t="s">
        <v>102</v>
      </c>
      <c r="C1749" s="11" t="s">
        <v>111</v>
      </c>
      <c r="D1749" s="9" t="s">
        <v>6994</v>
      </c>
      <c r="E1749" s="9" t="s">
        <v>6995</v>
      </c>
      <c r="F1749" s="9" t="s">
        <v>6996</v>
      </c>
      <c r="G1749" s="9" t="s">
        <v>312</v>
      </c>
      <c r="H1749" s="14" t="s">
        <v>22</v>
      </c>
      <c r="I1749" s="9" t="s">
        <v>6997</v>
      </c>
      <c r="J1749" s="13"/>
      <c r="K1749" s="13"/>
    </row>
    <row r="1750" customFormat="false" ht="46.25" hidden="false" customHeight="false" outlineLevel="0" collapsed="false">
      <c r="A1750" s="9" t="n">
        <v>1749</v>
      </c>
      <c r="B1750" s="9" t="s">
        <v>102</v>
      </c>
      <c r="C1750" s="11" t="s">
        <v>111</v>
      </c>
      <c r="D1750" s="9" t="s">
        <v>6998</v>
      </c>
      <c r="E1750" s="9" t="s">
        <v>6999</v>
      </c>
      <c r="F1750" s="9" t="s">
        <v>7000</v>
      </c>
      <c r="G1750" s="9" t="s">
        <v>312</v>
      </c>
      <c r="H1750" s="15" t="s">
        <v>23</v>
      </c>
      <c r="I1750" s="9" t="s">
        <v>7001</v>
      </c>
      <c r="J1750" s="13"/>
      <c r="K1750" s="13"/>
    </row>
    <row r="1751" customFormat="false" ht="23.85" hidden="false" customHeight="false" outlineLevel="0" collapsed="false">
      <c r="A1751" s="9" t="n">
        <v>1750</v>
      </c>
      <c r="B1751" s="9" t="s">
        <v>102</v>
      </c>
      <c r="C1751" s="11" t="s">
        <v>111</v>
      </c>
      <c r="D1751" s="9" t="s">
        <v>7002</v>
      </c>
      <c r="E1751" s="9" t="s">
        <v>7003</v>
      </c>
      <c r="F1751" s="9" t="s">
        <v>7004</v>
      </c>
      <c r="G1751" s="9" t="s">
        <v>312</v>
      </c>
      <c r="H1751" s="12" t="s">
        <v>21</v>
      </c>
      <c r="I1751" s="9" t="s">
        <v>7005</v>
      </c>
      <c r="J1751" s="13"/>
      <c r="K1751" s="13"/>
    </row>
    <row r="1752" customFormat="false" ht="57.45" hidden="false" customHeight="false" outlineLevel="0" collapsed="false">
      <c r="A1752" s="9" t="n">
        <v>1751</v>
      </c>
      <c r="B1752" s="9" t="s">
        <v>102</v>
      </c>
      <c r="C1752" s="11" t="s">
        <v>111</v>
      </c>
      <c r="D1752" s="9" t="s">
        <v>7006</v>
      </c>
      <c r="E1752" s="9" t="s">
        <v>7007</v>
      </c>
      <c r="F1752" s="9" t="s">
        <v>7008</v>
      </c>
      <c r="G1752" s="9" t="s">
        <v>312</v>
      </c>
      <c r="H1752" s="14" t="s">
        <v>22</v>
      </c>
      <c r="I1752" s="9" t="s">
        <v>7009</v>
      </c>
      <c r="J1752" s="13"/>
      <c r="K1752" s="13"/>
    </row>
    <row r="1753" customFormat="false" ht="57.45" hidden="false" customHeight="false" outlineLevel="0" collapsed="false">
      <c r="A1753" s="9" t="n">
        <v>1752</v>
      </c>
      <c r="B1753" s="9" t="s">
        <v>102</v>
      </c>
      <c r="C1753" s="11" t="s">
        <v>111</v>
      </c>
      <c r="D1753" s="9" t="s">
        <v>7010</v>
      </c>
      <c r="E1753" s="9" t="s">
        <v>7011</v>
      </c>
      <c r="F1753" s="9" t="s">
        <v>7012</v>
      </c>
      <c r="G1753" s="9" t="s">
        <v>2044</v>
      </c>
      <c r="H1753" s="14" t="s">
        <v>22</v>
      </c>
      <c r="I1753" s="9" t="s">
        <v>7013</v>
      </c>
      <c r="J1753" s="13"/>
      <c r="K1753" s="13"/>
    </row>
    <row r="1754" customFormat="false" ht="35.05" hidden="false" customHeight="false" outlineLevel="0" collapsed="false">
      <c r="A1754" s="9" t="n">
        <v>1753</v>
      </c>
      <c r="B1754" s="9" t="s">
        <v>102</v>
      </c>
      <c r="C1754" s="11" t="s">
        <v>111</v>
      </c>
      <c r="D1754" s="9" t="s">
        <v>7014</v>
      </c>
      <c r="E1754" s="9" t="s">
        <v>7015</v>
      </c>
      <c r="F1754" s="9" t="s">
        <v>7016</v>
      </c>
      <c r="G1754" s="9" t="s">
        <v>312</v>
      </c>
      <c r="H1754" s="14" t="s">
        <v>22</v>
      </c>
      <c r="I1754" s="9" t="s">
        <v>7017</v>
      </c>
      <c r="J1754" s="13"/>
      <c r="K1754" s="13"/>
    </row>
    <row r="1755" customFormat="false" ht="46.25" hidden="false" customHeight="false" outlineLevel="0" collapsed="false">
      <c r="A1755" s="9" t="n">
        <v>1754</v>
      </c>
      <c r="B1755" s="9" t="s">
        <v>102</v>
      </c>
      <c r="C1755" s="11" t="s">
        <v>111</v>
      </c>
      <c r="D1755" s="9" t="s">
        <v>7018</v>
      </c>
      <c r="E1755" s="9" t="s">
        <v>7019</v>
      </c>
      <c r="F1755" s="9" t="s">
        <v>7020</v>
      </c>
      <c r="G1755" s="9" t="s">
        <v>328</v>
      </c>
      <c r="H1755" s="14" t="s">
        <v>22</v>
      </c>
      <c r="I1755" s="9" t="s">
        <v>7021</v>
      </c>
      <c r="J1755" s="13"/>
      <c r="K1755" s="13"/>
    </row>
    <row r="1756" customFormat="false" ht="35.05" hidden="false" customHeight="false" outlineLevel="0" collapsed="false">
      <c r="A1756" s="9" t="n">
        <v>1755</v>
      </c>
      <c r="B1756" s="9" t="s">
        <v>102</v>
      </c>
      <c r="C1756" s="11" t="s">
        <v>111</v>
      </c>
      <c r="D1756" s="9" t="s">
        <v>7022</v>
      </c>
      <c r="E1756" s="9" t="s">
        <v>7023</v>
      </c>
      <c r="F1756" s="9" t="s">
        <v>7024</v>
      </c>
      <c r="G1756" s="9" t="s">
        <v>328</v>
      </c>
      <c r="H1756" s="14" t="s">
        <v>22</v>
      </c>
      <c r="I1756" s="9" t="s">
        <v>7025</v>
      </c>
      <c r="J1756" s="13"/>
      <c r="K1756" s="13"/>
    </row>
    <row r="1757" customFormat="false" ht="23.85" hidden="false" customHeight="false" outlineLevel="0" collapsed="false">
      <c r="A1757" s="9" t="n">
        <v>1756</v>
      </c>
      <c r="B1757" s="9" t="s">
        <v>102</v>
      </c>
      <c r="C1757" s="11" t="s">
        <v>111</v>
      </c>
      <c r="D1757" s="9" t="s">
        <v>7026</v>
      </c>
      <c r="E1757" s="9" t="s">
        <v>7027</v>
      </c>
      <c r="F1757" s="9" t="s">
        <v>7028</v>
      </c>
      <c r="G1757" s="9" t="s">
        <v>312</v>
      </c>
      <c r="H1757" s="14" t="s">
        <v>22</v>
      </c>
      <c r="I1757" s="9" t="s">
        <v>7029</v>
      </c>
      <c r="J1757" s="13"/>
      <c r="K1757" s="13"/>
    </row>
    <row r="1758" customFormat="false" ht="23.85" hidden="false" customHeight="false" outlineLevel="0" collapsed="false">
      <c r="A1758" s="9" t="n">
        <v>1757</v>
      </c>
      <c r="B1758" s="9" t="s">
        <v>102</v>
      </c>
      <c r="C1758" s="11" t="s">
        <v>111</v>
      </c>
      <c r="D1758" s="9" t="s">
        <v>7030</v>
      </c>
      <c r="E1758" s="9" t="s">
        <v>7031</v>
      </c>
      <c r="F1758" s="9" t="s">
        <v>7032</v>
      </c>
      <c r="G1758" s="9" t="s">
        <v>312</v>
      </c>
      <c r="H1758" s="14" t="s">
        <v>22</v>
      </c>
      <c r="I1758" s="9" t="s">
        <v>7033</v>
      </c>
      <c r="J1758" s="13"/>
      <c r="K1758" s="13"/>
    </row>
    <row r="1759" customFormat="false" ht="23.85" hidden="false" customHeight="false" outlineLevel="0" collapsed="false">
      <c r="A1759" s="9" t="n">
        <v>1758</v>
      </c>
      <c r="B1759" s="9" t="s">
        <v>102</v>
      </c>
      <c r="C1759" s="11" t="s">
        <v>111</v>
      </c>
      <c r="D1759" s="9" t="s">
        <v>7034</v>
      </c>
      <c r="E1759" s="9" t="s">
        <v>7035</v>
      </c>
      <c r="F1759" s="9" t="s">
        <v>7036</v>
      </c>
      <c r="G1759" s="9" t="s">
        <v>312</v>
      </c>
      <c r="H1759" s="15" t="s">
        <v>23</v>
      </c>
      <c r="I1759" s="9" t="s">
        <v>7037</v>
      </c>
      <c r="J1759" s="13"/>
      <c r="K1759" s="13"/>
    </row>
    <row r="1760" customFormat="false" ht="35.05" hidden="false" customHeight="false" outlineLevel="0" collapsed="false">
      <c r="A1760" s="9" t="n">
        <v>1759</v>
      </c>
      <c r="B1760" s="9" t="s">
        <v>102</v>
      </c>
      <c r="C1760" s="11" t="s">
        <v>111</v>
      </c>
      <c r="D1760" s="9" t="s">
        <v>7038</v>
      </c>
      <c r="E1760" s="9" t="s">
        <v>7039</v>
      </c>
      <c r="F1760" s="9" t="s">
        <v>7040</v>
      </c>
      <c r="G1760" s="9" t="s">
        <v>328</v>
      </c>
      <c r="H1760" s="15" t="s">
        <v>23</v>
      </c>
      <c r="I1760" s="9" t="s">
        <v>7041</v>
      </c>
      <c r="J1760" s="13"/>
      <c r="K1760" s="13"/>
    </row>
    <row r="1761" customFormat="false" ht="23.85" hidden="false" customHeight="false" outlineLevel="0" collapsed="false">
      <c r="A1761" s="9" t="n">
        <v>1760</v>
      </c>
      <c r="B1761" s="9" t="s">
        <v>102</v>
      </c>
      <c r="C1761" s="11" t="s">
        <v>111</v>
      </c>
      <c r="D1761" s="9" t="s">
        <v>7042</v>
      </c>
      <c r="E1761" s="9" t="s">
        <v>7043</v>
      </c>
      <c r="F1761" s="9" t="s">
        <v>7044</v>
      </c>
      <c r="G1761" s="9" t="s">
        <v>328</v>
      </c>
      <c r="H1761" s="15" t="s">
        <v>23</v>
      </c>
      <c r="I1761" s="9" t="s">
        <v>7045</v>
      </c>
      <c r="J1761" s="13"/>
      <c r="K1761" s="13"/>
    </row>
    <row r="1762" customFormat="false" ht="35.05" hidden="false" customHeight="false" outlineLevel="0" collapsed="false">
      <c r="A1762" s="9" t="n">
        <v>1761</v>
      </c>
      <c r="B1762" s="9" t="s">
        <v>102</v>
      </c>
      <c r="C1762" s="11" t="s">
        <v>111</v>
      </c>
      <c r="D1762" s="9" t="s">
        <v>7046</v>
      </c>
      <c r="E1762" s="9" t="s">
        <v>7047</v>
      </c>
      <c r="F1762" s="9" t="s">
        <v>7048</v>
      </c>
      <c r="G1762" s="9" t="s">
        <v>308</v>
      </c>
      <c r="H1762" s="15" t="s">
        <v>23</v>
      </c>
      <c r="I1762" s="9" t="s">
        <v>7049</v>
      </c>
      <c r="J1762" s="13"/>
      <c r="K1762" s="13"/>
    </row>
    <row r="1763" customFormat="false" ht="57.45" hidden="false" customHeight="false" outlineLevel="0" collapsed="false">
      <c r="A1763" s="9" t="n">
        <v>1762</v>
      </c>
      <c r="B1763" s="9" t="s">
        <v>102</v>
      </c>
      <c r="C1763" s="11" t="s">
        <v>111</v>
      </c>
      <c r="D1763" s="9" t="s">
        <v>7050</v>
      </c>
      <c r="E1763" s="9" t="s">
        <v>7051</v>
      </c>
      <c r="F1763" s="9" t="s">
        <v>7052</v>
      </c>
      <c r="G1763" s="9" t="s">
        <v>2044</v>
      </c>
      <c r="H1763" s="14" t="s">
        <v>22</v>
      </c>
      <c r="I1763" s="9" t="s">
        <v>7053</v>
      </c>
      <c r="J1763" s="13"/>
      <c r="K1763" s="13"/>
    </row>
    <row r="1764" customFormat="false" ht="35.05" hidden="false" customHeight="false" outlineLevel="0" collapsed="false">
      <c r="A1764" s="9" t="n">
        <v>1763</v>
      </c>
      <c r="B1764" s="9" t="s">
        <v>102</v>
      </c>
      <c r="C1764" s="11" t="s">
        <v>111</v>
      </c>
      <c r="D1764" s="9" t="s">
        <v>7054</v>
      </c>
      <c r="E1764" s="9" t="s">
        <v>7055</v>
      </c>
      <c r="F1764" s="9" t="s">
        <v>7056</v>
      </c>
      <c r="G1764" s="9" t="s">
        <v>24</v>
      </c>
      <c r="H1764" s="14" t="s">
        <v>22</v>
      </c>
      <c r="I1764" s="9" t="s">
        <v>7057</v>
      </c>
      <c r="J1764" s="13"/>
      <c r="K1764" s="13"/>
    </row>
    <row r="1765" customFormat="false" ht="57.45" hidden="false" customHeight="false" outlineLevel="0" collapsed="false">
      <c r="A1765" s="9" t="n">
        <v>1764</v>
      </c>
      <c r="B1765" s="9" t="s">
        <v>102</v>
      </c>
      <c r="C1765" s="11" t="s">
        <v>111</v>
      </c>
      <c r="D1765" s="9" t="s">
        <v>7058</v>
      </c>
      <c r="E1765" s="9" t="s">
        <v>7059</v>
      </c>
      <c r="F1765" s="9" t="s">
        <v>7060</v>
      </c>
      <c r="G1765" s="9" t="s">
        <v>24</v>
      </c>
      <c r="H1765" s="14" t="s">
        <v>22</v>
      </c>
      <c r="I1765" s="9" t="s">
        <v>7061</v>
      </c>
      <c r="J1765" s="13"/>
      <c r="K1765" s="13"/>
    </row>
    <row r="1766" customFormat="false" ht="35.05" hidden="false" customHeight="false" outlineLevel="0" collapsed="false">
      <c r="A1766" s="9" t="n">
        <v>1765</v>
      </c>
      <c r="B1766" s="9" t="s">
        <v>102</v>
      </c>
      <c r="C1766" s="11" t="s">
        <v>111</v>
      </c>
      <c r="D1766" s="9" t="s">
        <v>7062</v>
      </c>
      <c r="E1766" s="9" t="s">
        <v>7063</v>
      </c>
      <c r="F1766" s="9" t="s">
        <v>7064</v>
      </c>
      <c r="G1766" s="9" t="s">
        <v>24</v>
      </c>
      <c r="H1766" s="14" t="s">
        <v>22</v>
      </c>
      <c r="I1766" s="9" t="s">
        <v>7065</v>
      </c>
      <c r="J1766" s="13"/>
      <c r="K1766" s="13"/>
    </row>
    <row r="1767" customFormat="false" ht="23.85" hidden="false" customHeight="false" outlineLevel="0" collapsed="false">
      <c r="A1767" s="9" t="n">
        <v>1766</v>
      </c>
      <c r="B1767" s="9" t="s">
        <v>102</v>
      </c>
      <c r="C1767" s="11" t="s">
        <v>111</v>
      </c>
      <c r="D1767" s="9" t="s">
        <v>7066</v>
      </c>
      <c r="E1767" s="9" t="s">
        <v>7067</v>
      </c>
      <c r="F1767" s="9" t="s">
        <v>7068</v>
      </c>
      <c r="G1767" s="9" t="s">
        <v>24</v>
      </c>
      <c r="H1767" s="14" t="s">
        <v>22</v>
      </c>
      <c r="I1767" s="9" t="s">
        <v>1720</v>
      </c>
      <c r="J1767" s="13"/>
      <c r="K1767" s="13"/>
    </row>
    <row r="1768" customFormat="false" ht="23.85" hidden="false" customHeight="false" outlineLevel="0" collapsed="false">
      <c r="A1768" s="9" t="n">
        <v>1767</v>
      </c>
      <c r="B1768" s="9" t="s">
        <v>102</v>
      </c>
      <c r="C1768" s="11" t="s">
        <v>111</v>
      </c>
      <c r="D1768" s="9" t="s">
        <v>7069</v>
      </c>
      <c r="E1768" s="9" t="s">
        <v>7070</v>
      </c>
      <c r="F1768" s="9" t="s">
        <v>7071</v>
      </c>
      <c r="G1768" s="9" t="s">
        <v>24</v>
      </c>
      <c r="H1768" s="14" t="s">
        <v>22</v>
      </c>
      <c r="I1768" s="9" t="s">
        <v>7072</v>
      </c>
      <c r="J1768" s="13"/>
      <c r="K1768" s="13"/>
    </row>
    <row r="1769" customFormat="false" ht="23.85" hidden="false" customHeight="false" outlineLevel="0" collapsed="false">
      <c r="A1769" s="9" t="n">
        <v>1768</v>
      </c>
      <c r="B1769" s="9" t="s">
        <v>102</v>
      </c>
      <c r="C1769" s="11" t="s">
        <v>111</v>
      </c>
      <c r="D1769" s="9" t="s">
        <v>7073</v>
      </c>
      <c r="E1769" s="9" t="s">
        <v>7074</v>
      </c>
      <c r="F1769" s="9" t="s">
        <v>7075</v>
      </c>
      <c r="G1769" s="9" t="s">
        <v>24</v>
      </c>
      <c r="H1769" s="14" t="s">
        <v>22</v>
      </c>
      <c r="I1769" s="9" t="s">
        <v>6863</v>
      </c>
      <c r="J1769" s="13"/>
      <c r="K1769" s="13"/>
    </row>
    <row r="1770" customFormat="false" ht="23.85" hidden="false" customHeight="false" outlineLevel="0" collapsed="false">
      <c r="A1770" s="9" t="n">
        <v>1769</v>
      </c>
      <c r="B1770" s="9" t="s">
        <v>102</v>
      </c>
      <c r="C1770" s="11" t="s">
        <v>111</v>
      </c>
      <c r="D1770" s="9" t="s">
        <v>7076</v>
      </c>
      <c r="E1770" s="9" t="s">
        <v>7077</v>
      </c>
      <c r="F1770" s="9" t="s">
        <v>7078</v>
      </c>
      <c r="G1770" s="9" t="s">
        <v>24</v>
      </c>
      <c r="H1770" s="14" t="s">
        <v>22</v>
      </c>
      <c r="I1770" s="9" t="s">
        <v>7079</v>
      </c>
      <c r="J1770" s="13"/>
      <c r="K1770" s="13"/>
    </row>
    <row r="1771" customFormat="false" ht="23.85" hidden="false" customHeight="false" outlineLevel="0" collapsed="false">
      <c r="A1771" s="9" t="n">
        <v>1770</v>
      </c>
      <c r="B1771" s="9" t="s">
        <v>102</v>
      </c>
      <c r="C1771" s="11" t="s">
        <v>111</v>
      </c>
      <c r="D1771" s="9" t="s">
        <v>7080</v>
      </c>
      <c r="E1771" s="9" t="s">
        <v>7081</v>
      </c>
      <c r="F1771" s="9" t="s">
        <v>7082</v>
      </c>
      <c r="G1771" s="9" t="s">
        <v>24</v>
      </c>
      <c r="H1771" s="14" t="s">
        <v>22</v>
      </c>
      <c r="I1771" s="9" t="s">
        <v>7083</v>
      </c>
      <c r="J1771" s="13"/>
      <c r="K1771" s="13"/>
    </row>
    <row r="1772" customFormat="false" ht="23.85" hidden="false" customHeight="false" outlineLevel="0" collapsed="false">
      <c r="A1772" s="9" t="n">
        <v>1771</v>
      </c>
      <c r="B1772" s="9" t="s">
        <v>102</v>
      </c>
      <c r="C1772" s="11" t="s">
        <v>111</v>
      </c>
      <c r="D1772" s="9" t="s">
        <v>7084</v>
      </c>
      <c r="E1772" s="9" t="s">
        <v>7085</v>
      </c>
      <c r="F1772" s="9" t="s">
        <v>7086</v>
      </c>
      <c r="G1772" s="9" t="s">
        <v>24</v>
      </c>
      <c r="H1772" s="14" t="s">
        <v>22</v>
      </c>
      <c r="I1772" s="9" t="s">
        <v>6852</v>
      </c>
      <c r="J1772" s="13"/>
      <c r="K1772" s="13"/>
    </row>
    <row r="1773" customFormat="false" ht="15" hidden="false" customHeight="false" outlineLevel="0" collapsed="false">
      <c r="A1773" s="9" t="n">
        <v>1772</v>
      </c>
      <c r="B1773" s="9" t="s">
        <v>102</v>
      </c>
      <c r="C1773" s="11" t="s">
        <v>111</v>
      </c>
      <c r="D1773" s="9" t="s">
        <v>7087</v>
      </c>
      <c r="E1773" s="9" t="s">
        <v>358</v>
      </c>
      <c r="F1773" s="9" t="s">
        <v>6633</v>
      </c>
      <c r="G1773" s="9" t="s">
        <v>24</v>
      </c>
      <c r="H1773" s="14" t="s">
        <v>22</v>
      </c>
      <c r="I1773" s="9" t="s">
        <v>6854</v>
      </c>
      <c r="J1773" s="13"/>
      <c r="K1773" s="13"/>
    </row>
    <row r="1774" customFormat="false" ht="15" hidden="false" customHeight="false" outlineLevel="0" collapsed="false">
      <c r="A1774" s="9" t="n">
        <v>1773</v>
      </c>
      <c r="B1774" s="9" t="s">
        <v>102</v>
      </c>
      <c r="C1774" s="11" t="s">
        <v>111</v>
      </c>
      <c r="D1774" s="9" t="s">
        <v>7088</v>
      </c>
      <c r="E1774" s="9" t="s">
        <v>362</v>
      </c>
      <c r="F1774" s="9" t="s">
        <v>363</v>
      </c>
      <c r="G1774" s="9" t="s">
        <v>24</v>
      </c>
      <c r="H1774" s="14" t="s">
        <v>22</v>
      </c>
      <c r="I1774" s="9" t="s">
        <v>364</v>
      </c>
      <c r="J1774" s="13"/>
      <c r="K1774" s="13"/>
    </row>
    <row r="1775" customFormat="false" ht="23.85" hidden="false" customHeight="false" outlineLevel="0" collapsed="false">
      <c r="A1775" s="9" t="n">
        <v>1774</v>
      </c>
      <c r="B1775" s="9" t="s">
        <v>102</v>
      </c>
      <c r="C1775" s="11" t="s">
        <v>111</v>
      </c>
      <c r="D1775" s="9" t="s">
        <v>7089</v>
      </c>
      <c r="E1775" s="9" t="s">
        <v>7090</v>
      </c>
      <c r="F1775" s="9" t="s">
        <v>7091</v>
      </c>
      <c r="G1775" s="9" t="s">
        <v>24</v>
      </c>
      <c r="H1775" s="15" t="s">
        <v>23</v>
      </c>
      <c r="I1775" s="9" t="s">
        <v>7092</v>
      </c>
      <c r="J1775" s="13"/>
      <c r="K1775" s="13"/>
    </row>
    <row r="1776" customFormat="false" ht="23.85" hidden="false" customHeight="false" outlineLevel="0" collapsed="false">
      <c r="A1776" s="9" t="n">
        <v>1775</v>
      </c>
      <c r="B1776" s="9" t="s">
        <v>102</v>
      </c>
      <c r="C1776" s="11" t="s">
        <v>111</v>
      </c>
      <c r="D1776" s="9" t="s">
        <v>7093</v>
      </c>
      <c r="E1776" s="9" t="s">
        <v>7094</v>
      </c>
      <c r="F1776" s="9" t="s">
        <v>7095</v>
      </c>
      <c r="G1776" s="9" t="s">
        <v>24</v>
      </c>
      <c r="H1776" s="15" t="s">
        <v>23</v>
      </c>
      <c r="I1776" s="9" t="s">
        <v>434</v>
      </c>
      <c r="J1776" s="13"/>
      <c r="K1776" s="13"/>
    </row>
    <row r="1777" customFormat="false" ht="23.85" hidden="false" customHeight="false" outlineLevel="0" collapsed="false">
      <c r="A1777" s="9" t="n">
        <v>1776</v>
      </c>
      <c r="B1777" s="9" t="s">
        <v>102</v>
      </c>
      <c r="C1777" s="11" t="s">
        <v>111</v>
      </c>
      <c r="D1777" s="9" t="s">
        <v>7096</v>
      </c>
      <c r="E1777" s="9" t="s">
        <v>7097</v>
      </c>
      <c r="F1777" s="9" t="s">
        <v>6641</v>
      </c>
      <c r="G1777" s="9" t="s">
        <v>24</v>
      </c>
      <c r="H1777" s="15" t="s">
        <v>23</v>
      </c>
      <c r="I1777" s="9" t="s">
        <v>2846</v>
      </c>
      <c r="J1777" s="13"/>
      <c r="K1777" s="13"/>
    </row>
    <row r="1778" customFormat="false" ht="35.05" hidden="false" customHeight="false" outlineLevel="0" collapsed="false">
      <c r="A1778" s="9" t="n">
        <v>1777</v>
      </c>
      <c r="B1778" s="9" t="s">
        <v>102</v>
      </c>
      <c r="C1778" s="11" t="s">
        <v>111</v>
      </c>
      <c r="D1778" s="9" t="s">
        <v>7098</v>
      </c>
      <c r="E1778" s="9" t="s">
        <v>7099</v>
      </c>
      <c r="F1778" s="9" t="s">
        <v>7100</v>
      </c>
      <c r="G1778" s="9" t="s">
        <v>24</v>
      </c>
      <c r="H1778" s="15" t="s">
        <v>23</v>
      </c>
      <c r="I1778" s="9" t="s">
        <v>7101</v>
      </c>
      <c r="J1778" s="13"/>
      <c r="K1778" s="13"/>
    </row>
    <row r="1779" customFormat="false" ht="15" hidden="false" customHeight="false" outlineLevel="0" collapsed="false">
      <c r="A1779" s="9" t="n">
        <v>1778</v>
      </c>
      <c r="B1779" s="9" t="s">
        <v>102</v>
      </c>
      <c r="C1779" s="11" t="s">
        <v>111</v>
      </c>
      <c r="D1779" s="9" t="s">
        <v>7102</v>
      </c>
      <c r="E1779" s="9" t="s">
        <v>7103</v>
      </c>
      <c r="F1779" s="9" t="s">
        <v>6875</v>
      </c>
      <c r="G1779" s="9" t="s">
        <v>24</v>
      </c>
      <c r="H1779" s="15" t="s">
        <v>23</v>
      </c>
      <c r="I1779" s="9" t="s">
        <v>6653</v>
      </c>
      <c r="J1779" s="13"/>
      <c r="K1779" s="13"/>
    </row>
    <row r="1780" customFormat="false" ht="23.85" hidden="false" customHeight="false" outlineLevel="0" collapsed="false">
      <c r="A1780" s="9" t="n">
        <v>1779</v>
      </c>
      <c r="B1780" s="9" t="s">
        <v>102</v>
      </c>
      <c r="C1780" s="11" t="s">
        <v>111</v>
      </c>
      <c r="D1780" s="9" t="s">
        <v>7104</v>
      </c>
      <c r="E1780" s="9" t="s">
        <v>7105</v>
      </c>
      <c r="F1780" s="9" t="s">
        <v>7106</v>
      </c>
      <c r="G1780" s="9" t="s">
        <v>24</v>
      </c>
      <c r="H1780" s="15" t="s">
        <v>23</v>
      </c>
      <c r="I1780" s="9" t="s">
        <v>6649</v>
      </c>
      <c r="J1780" s="13"/>
      <c r="K1780" s="13"/>
    </row>
    <row r="1781" customFormat="false" ht="68.65" hidden="false" customHeight="false" outlineLevel="0" collapsed="false">
      <c r="A1781" s="9" t="n">
        <v>1780</v>
      </c>
      <c r="B1781" s="9" t="s">
        <v>102</v>
      </c>
      <c r="C1781" s="11" t="s">
        <v>113</v>
      </c>
      <c r="D1781" s="9" t="s">
        <v>7107</v>
      </c>
      <c r="E1781" s="9" t="s">
        <v>7108</v>
      </c>
      <c r="F1781" s="9" t="s">
        <v>7109</v>
      </c>
      <c r="G1781" s="9" t="s">
        <v>303</v>
      </c>
      <c r="H1781" s="12" t="s">
        <v>21</v>
      </c>
      <c r="I1781" s="9" t="s">
        <v>7110</v>
      </c>
      <c r="J1781" s="13"/>
      <c r="K1781" s="13"/>
    </row>
    <row r="1782" customFormat="false" ht="102.2" hidden="false" customHeight="false" outlineLevel="0" collapsed="false">
      <c r="A1782" s="9" t="n">
        <v>1781</v>
      </c>
      <c r="B1782" s="9" t="s">
        <v>102</v>
      </c>
      <c r="C1782" s="11" t="s">
        <v>113</v>
      </c>
      <c r="D1782" s="9" t="s">
        <v>7111</v>
      </c>
      <c r="E1782" s="9" t="s">
        <v>7112</v>
      </c>
      <c r="F1782" s="9" t="s">
        <v>7113</v>
      </c>
      <c r="G1782" s="9" t="s">
        <v>2044</v>
      </c>
      <c r="H1782" s="12" t="s">
        <v>21</v>
      </c>
      <c r="I1782" s="9" t="s">
        <v>7114</v>
      </c>
      <c r="J1782" s="13"/>
      <c r="K1782" s="13"/>
    </row>
    <row r="1783" customFormat="false" ht="46.25" hidden="false" customHeight="false" outlineLevel="0" collapsed="false">
      <c r="A1783" s="9" t="n">
        <v>1782</v>
      </c>
      <c r="B1783" s="9" t="s">
        <v>102</v>
      </c>
      <c r="C1783" s="11" t="s">
        <v>113</v>
      </c>
      <c r="D1783" s="9" t="s">
        <v>7115</v>
      </c>
      <c r="E1783" s="9" t="s">
        <v>7116</v>
      </c>
      <c r="F1783" s="9" t="s">
        <v>7117</v>
      </c>
      <c r="G1783" s="9" t="s">
        <v>312</v>
      </c>
      <c r="H1783" s="14" t="s">
        <v>22</v>
      </c>
      <c r="I1783" s="9" t="s">
        <v>7118</v>
      </c>
      <c r="J1783" s="13"/>
      <c r="K1783" s="13"/>
    </row>
    <row r="1784" customFormat="false" ht="35.05" hidden="false" customHeight="false" outlineLevel="0" collapsed="false">
      <c r="A1784" s="9" t="n">
        <v>1783</v>
      </c>
      <c r="B1784" s="9" t="s">
        <v>102</v>
      </c>
      <c r="C1784" s="11" t="s">
        <v>113</v>
      </c>
      <c r="D1784" s="9" t="s">
        <v>7119</v>
      </c>
      <c r="E1784" s="9" t="s">
        <v>7120</v>
      </c>
      <c r="F1784" s="9" t="s">
        <v>7121</v>
      </c>
      <c r="G1784" s="9" t="s">
        <v>312</v>
      </c>
      <c r="H1784" s="15" t="s">
        <v>23</v>
      </c>
      <c r="I1784" s="9" t="s">
        <v>7122</v>
      </c>
      <c r="J1784" s="13"/>
      <c r="K1784" s="13"/>
    </row>
    <row r="1785" customFormat="false" ht="79.85" hidden="false" customHeight="false" outlineLevel="0" collapsed="false">
      <c r="A1785" s="9" t="n">
        <v>1784</v>
      </c>
      <c r="B1785" s="9" t="s">
        <v>102</v>
      </c>
      <c r="C1785" s="11" t="s">
        <v>113</v>
      </c>
      <c r="D1785" s="9" t="s">
        <v>7123</v>
      </c>
      <c r="E1785" s="9" t="s">
        <v>7124</v>
      </c>
      <c r="F1785" s="9" t="s">
        <v>7125</v>
      </c>
      <c r="G1785" s="9" t="s">
        <v>317</v>
      </c>
      <c r="H1785" s="12" t="s">
        <v>21</v>
      </c>
      <c r="I1785" s="9" t="s">
        <v>7126</v>
      </c>
      <c r="J1785" s="13"/>
      <c r="K1785" s="13"/>
    </row>
    <row r="1786" customFormat="false" ht="79.85" hidden="false" customHeight="false" outlineLevel="0" collapsed="false">
      <c r="A1786" s="9" t="n">
        <v>1785</v>
      </c>
      <c r="B1786" s="9" t="s">
        <v>102</v>
      </c>
      <c r="C1786" s="11" t="s">
        <v>113</v>
      </c>
      <c r="D1786" s="9" t="s">
        <v>7127</v>
      </c>
      <c r="E1786" s="9" t="s">
        <v>7128</v>
      </c>
      <c r="F1786" s="9" t="s">
        <v>7129</v>
      </c>
      <c r="G1786" s="9" t="s">
        <v>312</v>
      </c>
      <c r="H1786" s="12" t="s">
        <v>21</v>
      </c>
      <c r="I1786" s="9" t="s">
        <v>7130</v>
      </c>
      <c r="J1786" s="13"/>
      <c r="K1786" s="13"/>
    </row>
    <row r="1787" customFormat="false" ht="35.05" hidden="false" customHeight="false" outlineLevel="0" collapsed="false">
      <c r="A1787" s="9" t="n">
        <v>1786</v>
      </c>
      <c r="B1787" s="9" t="s">
        <v>102</v>
      </c>
      <c r="C1787" s="11" t="s">
        <v>113</v>
      </c>
      <c r="D1787" s="9" t="s">
        <v>7131</v>
      </c>
      <c r="E1787" s="9" t="s">
        <v>7132</v>
      </c>
      <c r="F1787" s="9" t="s">
        <v>7133</v>
      </c>
      <c r="G1787" s="9" t="s">
        <v>312</v>
      </c>
      <c r="H1787" s="14" t="s">
        <v>22</v>
      </c>
      <c r="I1787" s="9" t="s">
        <v>7134</v>
      </c>
      <c r="J1787" s="13"/>
      <c r="K1787" s="13"/>
    </row>
    <row r="1788" customFormat="false" ht="35.05" hidden="false" customHeight="false" outlineLevel="0" collapsed="false">
      <c r="A1788" s="9" t="n">
        <v>1787</v>
      </c>
      <c r="B1788" s="9" t="s">
        <v>102</v>
      </c>
      <c r="C1788" s="11" t="s">
        <v>113</v>
      </c>
      <c r="D1788" s="9" t="s">
        <v>7135</v>
      </c>
      <c r="E1788" s="9" t="s">
        <v>7136</v>
      </c>
      <c r="F1788" s="9" t="s">
        <v>7137</v>
      </c>
      <c r="G1788" s="9" t="s">
        <v>317</v>
      </c>
      <c r="H1788" s="15" t="s">
        <v>23</v>
      </c>
      <c r="I1788" s="9" t="s">
        <v>7138</v>
      </c>
      <c r="J1788" s="13"/>
      <c r="K1788" s="13"/>
    </row>
    <row r="1789" customFormat="false" ht="79.85" hidden="false" customHeight="false" outlineLevel="0" collapsed="false">
      <c r="A1789" s="9" t="n">
        <v>1788</v>
      </c>
      <c r="B1789" s="9" t="s">
        <v>102</v>
      </c>
      <c r="C1789" s="11" t="s">
        <v>113</v>
      </c>
      <c r="D1789" s="9" t="s">
        <v>7139</v>
      </c>
      <c r="E1789" s="9" t="s">
        <v>7140</v>
      </c>
      <c r="F1789" s="9" t="s">
        <v>7141</v>
      </c>
      <c r="G1789" s="9" t="s">
        <v>2044</v>
      </c>
      <c r="H1789" s="14" t="s">
        <v>22</v>
      </c>
      <c r="I1789" s="9" t="s">
        <v>7142</v>
      </c>
      <c r="J1789" s="13"/>
      <c r="K1789" s="13"/>
    </row>
    <row r="1790" customFormat="false" ht="57.45" hidden="false" customHeight="false" outlineLevel="0" collapsed="false">
      <c r="A1790" s="9" t="n">
        <v>1789</v>
      </c>
      <c r="B1790" s="9" t="s">
        <v>102</v>
      </c>
      <c r="C1790" s="11" t="s">
        <v>113</v>
      </c>
      <c r="D1790" s="9" t="s">
        <v>7143</v>
      </c>
      <c r="E1790" s="9" t="s">
        <v>7144</v>
      </c>
      <c r="F1790" s="9" t="s">
        <v>7145</v>
      </c>
      <c r="G1790" s="9" t="s">
        <v>303</v>
      </c>
      <c r="H1790" s="12" t="s">
        <v>21</v>
      </c>
      <c r="I1790" s="9" t="s">
        <v>7146</v>
      </c>
      <c r="J1790" s="13"/>
      <c r="K1790" s="13"/>
    </row>
    <row r="1791" customFormat="false" ht="46.25" hidden="false" customHeight="false" outlineLevel="0" collapsed="false">
      <c r="A1791" s="9" t="n">
        <v>1790</v>
      </c>
      <c r="B1791" s="9" t="s">
        <v>102</v>
      </c>
      <c r="C1791" s="11" t="s">
        <v>113</v>
      </c>
      <c r="D1791" s="9" t="s">
        <v>7147</v>
      </c>
      <c r="E1791" s="9" t="s">
        <v>7148</v>
      </c>
      <c r="F1791" s="9" t="s">
        <v>7149</v>
      </c>
      <c r="G1791" s="9" t="s">
        <v>317</v>
      </c>
      <c r="H1791" s="14" t="s">
        <v>22</v>
      </c>
      <c r="I1791" s="9" t="s">
        <v>7150</v>
      </c>
      <c r="J1791" s="13"/>
      <c r="K1791" s="13"/>
    </row>
    <row r="1792" customFormat="false" ht="79.85" hidden="false" customHeight="false" outlineLevel="0" collapsed="false">
      <c r="A1792" s="9" t="n">
        <v>1791</v>
      </c>
      <c r="B1792" s="9" t="s">
        <v>102</v>
      </c>
      <c r="C1792" s="11" t="s">
        <v>113</v>
      </c>
      <c r="D1792" s="9" t="s">
        <v>7151</v>
      </c>
      <c r="E1792" s="9" t="s">
        <v>7152</v>
      </c>
      <c r="F1792" s="9" t="s">
        <v>7153</v>
      </c>
      <c r="G1792" s="9" t="s">
        <v>317</v>
      </c>
      <c r="H1792" s="14" t="s">
        <v>22</v>
      </c>
      <c r="I1792" s="9" t="s">
        <v>7154</v>
      </c>
      <c r="J1792" s="13"/>
      <c r="K1792" s="13"/>
    </row>
    <row r="1793" customFormat="false" ht="35.05" hidden="false" customHeight="false" outlineLevel="0" collapsed="false">
      <c r="A1793" s="9" t="n">
        <v>1792</v>
      </c>
      <c r="B1793" s="9" t="s">
        <v>102</v>
      </c>
      <c r="C1793" s="11" t="s">
        <v>113</v>
      </c>
      <c r="D1793" s="9" t="s">
        <v>7155</v>
      </c>
      <c r="E1793" s="9" t="s">
        <v>7156</v>
      </c>
      <c r="F1793" s="9" t="s">
        <v>7157</v>
      </c>
      <c r="G1793" s="9" t="s">
        <v>312</v>
      </c>
      <c r="H1793" s="15" t="s">
        <v>23</v>
      </c>
      <c r="I1793" s="9" t="s">
        <v>7158</v>
      </c>
      <c r="J1793" s="13"/>
      <c r="K1793" s="13"/>
    </row>
    <row r="1794" customFormat="false" ht="57.45" hidden="false" customHeight="false" outlineLevel="0" collapsed="false">
      <c r="A1794" s="9" t="n">
        <v>1793</v>
      </c>
      <c r="B1794" s="9" t="s">
        <v>102</v>
      </c>
      <c r="C1794" s="11" t="s">
        <v>113</v>
      </c>
      <c r="D1794" s="9" t="s">
        <v>7159</v>
      </c>
      <c r="E1794" s="9" t="s">
        <v>7160</v>
      </c>
      <c r="F1794" s="9" t="s">
        <v>7161</v>
      </c>
      <c r="G1794" s="9" t="s">
        <v>312</v>
      </c>
      <c r="H1794" s="14" t="s">
        <v>22</v>
      </c>
      <c r="I1794" s="9" t="s">
        <v>7162</v>
      </c>
      <c r="J1794" s="13"/>
      <c r="K1794" s="13"/>
    </row>
    <row r="1795" customFormat="false" ht="57.45" hidden="false" customHeight="false" outlineLevel="0" collapsed="false">
      <c r="A1795" s="9" t="n">
        <v>1794</v>
      </c>
      <c r="B1795" s="9" t="s">
        <v>102</v>
      </c>
      <c r="C1795" s="11" t="s">
        <v>113</v>
      </c>
      <c r="D1795" s="9" t="s">
        <v>7163</v>
      </c>
      <c r="E1795" s="9" t="s">
        <v>7164</v>
      </c>
      <c r="F1795" s="9" t="s">
        <v>7165</v>
      </c>
      <c r="G1795" s="9" t="s">
        <v>2044</v>
      </c>
      <c r="H1795" s="14" t="s">
        <v>22</v>
      </c>
      <c r="I1795" s="9" t="s">
        <v>7166</v>
      </c>
      <c r="J1795" s="13"/>
      <c r="K1795" s="13"/>
    </row>
    <row r="1796" customFormat="false" ht="68.65" hidden="false" customHeight="false" outlineLevel="0" collapsed="false">
      <c r="A1796" s="9" t="n">
        <v>1795</v>
      </c>
      <c r="B1796" s="9" t="s">
        <v>102</v>
      </c>
      <c r="C1796" s="11" t="s">
        <v>113</v>
      </c>
      <c r="D1796" s="9" t="s">
        <v>7167</v>
      </c>
      <c r="E1796" s="9" t="s">
        <v>7168</v>
      </c>
      <c r="F1796" s="9" t="s">
        <v>7169</v>
      </c>
      <c r="G1796" s="9" t="s">
        <v>317</v>
      </c>
      <c r="H1796" s="12" t="s">
        <v>21</v>
      </c>
      <c r="I1796" s="9" t="s">
        <v>7170</v>
      </c>
      <c r="J1796" s="13"/>
      <c r="K1796" s="13"/>
    </row>
    <row r="1797" customFormat="false" ht="57.45" hidden="false" customHeight="false" outlineLevel="0" collapsed="false">
      <c r="A1797" s="9" t="n">
        <v>1796</v>
      </c>
      <c r="B1797" s="9" t="s">
        <v>102</v>
      </c>
      <c r="C1797" s="11" t="s">
        <v>113</v>
      </c>
      <c r="D1797" s="9" t="s">
        <v>7171</v>
      </c>
      <c r="E1797" s="9" t="s">
        <v>7172</v>
      </c>
      <c r="F1797" s="9" t="s">
        <v>7173</v>
      </c>
      <c r="G1797" s="9" t="s">
        <v>312</v>
      </c>
      <c r="H1797" s="14" t="s">
        <v>22</v>
      </c>
      <c r="I1797" s="9" t="s">
        <v>7174</v>
      </c>
      <c r="J1797" s="13"/>
      <c r="K1797" s="13"/>
    </row>
    <row r="1798" customFormat="false" ht="68.65" hidden="false" customHeight="false" outlineLevel="0" collapsed="false">
      <c r="A1798" s="9" t="n">
        <v>1797</v>
      </c>
      <c r="B1798" s="9" t="s">
        <v>102</v>
      </c>
      <c r="C1798" s="11" t="s">
        <v>113</v>
      </c>
      <c r="D1798" s="9" t="s">
        <v>7175</v>
      </c>
      <c r="E1798" s="9" t="s">
        <v>7176</v>
      </c>
      <c r="F1798" s="9" t="s">
        <v>7177</v>
      </c>
      <c r="G1798" s="9" t="s">
        <v>303</v>
      </c>
      <c r="H1798" s="14" t="s">
        <v>22</v>
      </c>
      <c r="I1798" s="9" t="s">
        <v>7178</v>
      </c>
      <c r="J1798" s="13"/>
      <c r="K1798" s="13"/>
    </row>
    <row r="1799" customFormat="false" ht="57.45" hidden="false" customHeight="false" outlineLevel="0" collapsed="false">
      <c r="A1799" s="9" t="n">
        <v>1798</v>
      </c>
      <c r="B1799" s="9" t="s">
        <v>102</v>
      </c>
      <c r="C1799" s="11" t="s">
        <v>113</v>
      </c>
      <c r="D1799" s="9" t="s">
        <v>7179</v>
      </c>
      <c r="E1799" s="9" t="s">
        <v>7180</v>
      </c>
      <c r="F1799" s="9" t="s">
        <v>7181</v>
      </c>
      <c r="G1799" s="9" t="s">
        <v>2044</v>
      </c>
      <c r="H1799" s="14" t="s">
        <v>22</v>
      </c>
      <c r="I1799" s="9" t="s">
        <v>7182</v>
      </c>
      <c r="J1799" s="13"/>
      <c r="K1799" s="13"/>
    </row>
    <row r="1800" customFormat="false" ht="35.05" hidden="false" customHeight="false" outlineLevel="0" collapsed="false">
      <c r="A1800" s="9" t="n">
        <v>1799</v>
      </c>
      <c r="B1800" s="9" t="s">
        <v>102</v>
      </c>
      <c r="C1800" s="11" t="s">
        <v>113</v>
      </c>
      <c r="D1800" s="9" t="s">
        <v>7183</v>
      </c>
      <c r="E1800" s="9" t="s">
        <v>7184</v>
      </c>
      <c r="F1800" s="9" t="s">
        <v>7185</v>
      </c>
      <c r="G1800" s="9" t="s">
        <v>312</v>
      </c>
      <c r="H1800" s="14" t="s">
        <v>22</v>
      </c>
      <c r="I1800" s="9" t="s">
        <v>7186</v>
      </c>
      <c r="J1800" s="13"/>
      <c r="K1800" s="13"/>
    </row>
    <row r="1801" customFormat="false" ht="57.45" hidden="false" customHeight="false" outlineLevel="0" collapsed="false">
      <c r="A1801" s="9" t="n">
        <v>1800</v>
      </c>
      <c r="B1801" s="9" t="s">
        <v>102</v>
      </c>
      <c r="C1801" s="11" t="s">
        <v>113</v>
      </c>
      <c r="D1801" s="9" t="s">
        <v>7187</v>
      </c>
      <c r="E1801" s="9" t="s">
        <v>7188</v>
      </c>
      <c r="F1801" s="9" t="s">
        <v>7189</v>
      </c>
      <c r="G1801" s="9" t="s">
        <v>312</v>
      </c>
      <c r="H1801" s="14" t="s">
        <v>22</v>
      </c>
      <c r="I1801" s="9" t="s">
        <v>7190</v>
      </c>
      <c r="J1801" s="13"/>
      <c r="K1801" s="13"/>
    </row>
    <row r="1802" customFormat="false" ht="35.05" hidden="false" customHeight="false" outlineLevel="0" collapsed="false">
      <c r="A1802" s="9" t="n">
        <v>1801</v>
      </c>
      <c r="B1802" s="9" t="s">
        <v>102</v>
      </c>
      <c r="C1802" s="11" t="s">
        <v>113</v>
      </c>
      <c r="D1802" s="9" t="s">
        <v>7191</v>
      </c>
      <c r="E1802" s="9" t="s">
        <v>7192</v>
      </c>
      <c r="F1802" s="9" t="s">
        <v>7193</v>
      </c>
      <c r="G1802" s="9" t="s">
        <v>312</v>
      </c>
      <c r="H1802" s="14" t="s">
        <v>22</v>
      </c>
      <c r="I1802" s="9" t="s">
        <v>7194</v>
      </c>
      <c r="J1802" s="13"/>
      <c r="K1802" s="13"/>
    </row>
    <row r="1803" customFormat="false" ht="57.45" hidden="false" customHeight="false" outlineLevel="0" collapsed="false">
      <c r="A1803" s="9" t="n">
        <v>1802</v>
      </c>
      <c r="B1803" s="9" t="s">
        <v>102</v>
      </c>
      <c r="C1803" s="11" t="s">
        <v>113</v>
      </c>
      <c r="D1803" s="9" t="s">
        <v>7195</v>
      </c>
      <c r="E1803" s="9" t="s">
        <v>7196</v>
      </c>
      <c r="F1803" s="9" t="s">
        <v>7197</v>
      </c>
      <c r="G1803" s="9" t="s">
        <v>2044</v>
      </c>
      <c r="H1803" s="14" t="s">
        <v>22</v>
      </c>
      <c r="I1803" s="9" t="s">
        <v>7198</v>
      </c>
      <c r="J1803" s="13"/>
      <c r="K1803" s="13"/>
    </row>
    <row r="1804" customFormat="false" ht="35.05" hidden="false" customHeight="false" outlineLevel="0" collapsed="false">
      <c r="A1804" s="9" t="n">
        <v>1803</v>
      </c>
      <c r="B1804" s="9" t="s">
        <v>102</v>
      </c>
      <c r="C1804" s="11" t="s">
        <v>113</v>
      </c>
      <c r="D1804" s="9" t="s">
        <v>7199</v>
      </c>
      <c r="E1804" s="9" t="s">
        <v>7200</v>
      </c>
      <c r="F1804" s="9" t="s">
        <v>7201</v>
      </c>
      <c r="G1804" s="9" t="s">
        <v>312</v>
      </c>
      <c r="H1804" s="15" t="s">
        <v>23</v>
      </c>
      <c r="I1804" s="9" t="s">
        <v>7202</v>
      </c>
      <c r="J1804" s="13"/>
      <c r="K1804" s="13"/>
    </row>
    <row r="1805" customFormat="false" ht="46.25" hidden="false" customHeight="false" outlineLevel="0" collapsed="false">
      <c r="A1805" s="9" t="n">
        <v>1804</v>
      </c>
      <c r="B1805" s="9" t="s">
        <v>102</v>
      </c>
      <c r="C1805" s="11" t="s">
        <v>113</v>
      </c>
      <c r="D1805" s="9" t="s">
        <v>7203</v>
      </c>
      <c r="E1805" s="9" t="s">
        <v>7204</v>
      </c>
      <c r="F1805" s="9" t="s">
        <v>7205</v>
      </c>
      <c r="G1805" s="9" t="s">
        <v>2044</v>
      </c>
      <c r="H1805" s="14" t="s">
        <v>22</v>
      </c>
      <c r="I1805" s="9" t="s">
        <v>7206</v>
      </c>
      <c r="J1805" s="13"/>
      <c r="K1805" s="13"/>
    </row>
    <row r="1806" customFormat="false" ht="46.25" hidden="false" customHeight="false" outlineLevel="0" collapsed="false">
      <c r="A1806" s="9" t="n">
        <v>1805</v>
      </c>
      <c r="B1806" s="9" t="s">
        <v>102</v>
      </c>
      <c r="C1806" s="11" t="s">
        <v>113</v>
      </c>
      <c r="D1806" s="9" t="s">
        <v>7207</v>
      </c>
      <c r="E1806" s="9" t="s">
        <v>7208</v>
      </c>
      <c r="F1806" s="9" t="s">
        <v>7209</v>
      </c>
      <c r="G1806" s="9" t="s">
        <v>2044</v>
      </c>
      <c r="H1806" s="15" t="s">
        <v>23</v>
      </c>
      <c r="I1806" s="9" t="s">
        <v>7210</v>
      </c>
      <c r="J1806" s="13"/>
      <c r="K1806" s="13"/>
    </row>
    <row r="1807" customFormat="false" ht="46.25" hidden="false" customHeight="false" outlineLevel="0" collapsed="false">
      <c r="A1807" s="9" t="n">
        <v>1806</v>
      </c>
      <c r="B1807" s="9" t="s">
        <v>102</v>
      </c>
      <c r="C1807" s="11" t="s">
        <v>113</v>
      </c>
      <c r="D1807" s="9" t="s">
        <v>7211</v>
      </c>
      <c r="E1807" s="9" t="s">
        <v>7212</v>
      </c>
      <c r="F1807" s="9" t="s">
        <v>7213</v>
      </c>
      <c r="G1807" s="9" t="s">
        <v>328</v>
      </c>
      <c r="H1807" s="14" t="s">
        <v>22</v>
      </c>
      <c r="I1807" s="9" t="s">
        <v>7214</v>
      </c>
      <c r="J1807" s="13"/>
      <c r="K1807" s="13"/>
    </row>
    <row r="1808" customFormat="false" ht="35.05" hidden="false" customHeight="false" outlineLevel="0" collapsed="false">
      <c r="A1808" s="9" t="n">
        <v>1807</v>
      </c>
      <c r="B1808" s="9" t="s">
        <v>102</v>
      </c>
      <c r="C1808" s="11" t="s">
        <v>113</v>
      </c>
      <c r="D1808" s="9" t="s">
        <v>7215</v>
      </c>
      <c r="E1808" s="9" t="s">
        <v>7216</v>
      </c>
      <c r="F1808" s="9" t="s">
        <v>7217</v>
      </c>
      <c r="G1808" s="9" t="s">
        <v>312</v>
      </c>
      <c r="H1808" s="15" t="s">
        <v>23</v>
      </c>
      <c r="I1808" s="9" t="s">
        <v>7218</v>
      </c>
      <c r="J1808" s="13"/>
      <c r="K1808" s="13"/>
    </row>
    <row r="1809" customFormat="false" ht="35.05" hidden="false" customHeight="false" outlineLevel="0" collapsed="false">
      <c r="A1809" s="9" t="n">
        <v>1808</v>
      </c>
      <c r="B1809" s="9" t="s">
        <v>102</v>
      </c>
      <c r="C1809" s="11" t="s">
        <v>113</v>
      </c>
      <c r="D1809" s="9" t="s">
        <v>7219</v>
      </c>
      <c r="E1809" s="9" t="s">
        <v>7220</v>
      </c>
      <c r="F1809" s="9" t="s">
        <v>7221</v>
      </c>
      <c r="G1809" s="9" t="s">
        <v>312</v>
      </c>
      <c r="H1809" s="15" t="s">
        <v>23</v>
      </c>
      <c r="I1809" s="9" t="s">
        <v>7222</v>
      </c>
      <c r="J1809" s="13"/>
      <c r="K1809" s="13"/>
    </row>
    <row r="1810" customFormat="false" ht="68.65" hidden="false" customHeight="false" outlineLevel="0" collapsed="false">
      <c r="A1810" s="9" t="n">
        <v>1809</v>
      </c>
      <c r="B1810" s="9" t="s">
        <v>102</v>
      </c>
      <c r="C1810" s="11" t="s">
        <v>113</v>
      </c>
      <c r="D1810" s="9" t="s">
        <v>7223</v>
      </c>
      <c r="E1810" s="9" t="s">
        <v>7224</v>
      </c>
      <c r="F1810" s="9" t="s">
        <v>7225</v>
      </c>
      <c r="G1810" s="9" t="s">
        <v>312</v>
      </c>
      <c r="H1810" s="14" t="s">
        <v>22</v>
      </c>
      <c r="I1810" s="9" t="s">
        <v>7226</v>
      </c>
      <c r="J1810" s="13"/>
      <c r="K1810" s="13"/>
    </row>
    <row r="1811" customFormat="false" ht="79.85" hidden="false" customHeight="false" outlineLevel="0" collapsed="false">
      <c r="A1811" s="9" t="n">
        <v>1810</v>
      </c>
      <c r="B1811" s="9" t="s">
        <v>102</v>
      </c>
      <c r="C1811" s="11" t="s">
        <v>113</v>
      </c>
      <c r="D1811" s="9" t="s">
        <v>7227</v>
      </c>
      <c r="E1811" s="9" t="s">
        <v>7228</v>
      </c>
      <c r="F1811" s="9" t="s">
        <v>7229</v>
      </c>
      <c r="G1811" s="9" t="s">
        <v>2044</v>
      </c>
      <c r="H1811" s="12" t="s">
        <v>21</v>
      </c>
      <c r="I1811" s="9" t="s">
        <v>7230</v>
      </c>
      <c r="J1811" s="13"/>
      <c r="K1811" s="13"/>
    </row>
    <row r="1812" customFormat="false" ht="23.85" hidden="false" customHeight="false" outlineLevel="0" collapsed="false">
      <c r="A1812" s="9" t="n">
        <v>1811</v>
      </c>
      <c r="B1812" s="9" t="s">
        <v>102</v>
      </c>
      <c r="C1812" s="11" t="s">
        <v>113</v>
      </c>
      <c r="D1812" s="9" t="s">
        <v>7231</v>
      </c>
      <c r="E1812" s="9" t="s">
        <v>7232</v>
      </c>
      <c r="F1812" s="9" t="s">
        <v>7233</v>
      </c>
      <c r="G1812" s="9" t="s">
        <v>317</v>
      </c>
      <c r="H1812" s="15" t="s">
        <v>23</v>
      </c>
      <c r="I1812" s="9" t="s">
        <v>7234</v>
      </c>
      <c r="J1812" s="13"/>
      <c r="K1812" s="13"/>
    </row>
    <row r="1813" customFormat="false" ht="46.25" hidden="false" customHeight="false" outlineLevel="0" collapsed="false">
      <c r="A1813" s="9" t="n">
        <v>1812</v>
      </c>
      <c r="B1813" s="9" t="s">
        <v>102</v>
      </c>
      <c r="C1813" s="11" t="s">
        <v>113</v>
      </c>
      <c r="D1813" s="9" t="s">
        <v>7235</v>
      </c>
      <c r="E1813" s="9" t="s">
        <v>7236</v>
      </c>
      <c r="F1813" s="9" t="s">
        <v>7237</v>
      </c>
      <c r="G1813" s="9" t="s">
        <v>312</v>
      </c>
      <c r="H1813" s="15" t="s">
        <v>23</v>
      </c>
      <c r="I1813" s="9" t="s">
        <v>7238</v>
      </c>
      <c r="J1813" s="13"/>
      <c r="K1813" s="13"/>
    </row>
    <row r="1814" customFormat="false" ht="102.2" hidden="false" customHeight="false" outlineLevel="0" collapsed="false">
      <c r="A1814" s="9" t="n">
        <v>1813</v>
      </c>
      <c r="B1814" s="9" t="s">
        <v>102</v>
      </c>
      <c r="C1814" s="11" t="s">
        <v>113</v>
      </c>
      <c r="D1814" s="9" t="s">
        <v>7239</v>
      </c>
      <c r="E1814" s="9" t="s">
        <v>7240</v>
      </c>
      <c r="F1814" s="9" t="s">
        <v>7241</v>
      </c>
      <c r="G1814" s="9" t="s">
        <v>312</v>
      </c>
      <c r="H1814" s="12" t="s">
        <v>21</v>
      </c>
      <c r="I1814" s="9" t="s">
        <v>7242</v>
      </c>
      <c r="J1814" s="13"/>
      <c r="K1814" s="13"/>
    </row>
    <row r="1815" customFormat="false" ht="46.25" hidden="false" customHeight="false" outlineLevel="0" collapsed="false">
      <c r="A1815" s="9" t="n">
        <v>1814</v>
      </c>
      <c r="B1815" s="9" t="s">
        <v>102</v>
      </c>
      <c r="C1815" s="11" t="s">
        <v>113</v>
      </c>
      <c r="D1815" s="9" t="s">
        <v>7243</v>
      </c>
      <c r="E1815" s="9" t="s">
        <v>7244</v>
      </c>
      <c r="F1815" s="9" t="s">
        <v>7245</v>
      </c>
      <c r="G1815" s="9" t="s">
        <v>328</v>
      </c>
      <c r="H1815" s="14" t="s">
        <v>22</v>
      </c>
      <c r="I1815" s="9" t="s">
        <v>7246</v>
      </c>
      <c r="J1815" s="13"/>
      <c r="K1815" s="13"/>
    </row>
    <row r="1816" customFormat="false" ht="46.25" hidden="false" customHeight="false" outlineLevel="0" collapsed="false">
      <c r="A1816" s="9" t="n">
        <v>1815</v>
      </c>
      <c r="B1816" s="9" t="s">
        <v>102</v>
      </c>
      <c r="C1816" s="11" t="s">
        <v>113</v>
      </c>
      <c r="D1816" s="9" t="s">
        <v>7247</v>
      </c>
      <c r="E1816" s="9" t="s">
        <v>7248</v>
      </c>
      <c r="F1816" s="9" t="s">
        <v>7249</v>
      </c>
      <c r="G1816" s="9" t="s">
        <v>328</v>
      </c>
      <c r="H1816" s="14" t="s">
        <v>22</v>
      </c>
      <c r="I1816" s="9" t="s">
        <v>7250</v>
      </c>
      <c r="J1816" s="13"/>
      <c r="K1816" s="13"/>
    </row>
    <row r="1817" customFormat="false" ht="35.05" hidden="false" customHeight="false" outlineLevel="0" collapsed="false">
      <c r="A1817" s="9" t="n">
        <v>1816</v>
      </c>
      <c r="B1817" s="9" t="s">
        <v>102</v>
      </c>
      <c r="C1817" s="11" t="s">
        <v>113</v>
      </c>
      <c r="D1817" s="9" t="s">
        <v>7251</v>
      </c>
      <c r="E1817" s="9" t="s">
        <v>7039</v>
      </c>
      <c r="F1817" s="9" t="s">
        <v>7040</v>
      </c>
      <c r="G1817" s="9" t="s">
        <v>328</v>
      </c>
      <c r="H1817" s="15" t="s">
        <v>23</v>
      </c>
      <c r="I1817" s="9" t="s">
        <v>7252</v>
      </c>
      <c r="J1817" s="13"/>
      <c r="K1817" s="13"/>
    </row>
    <row r="1818" customFormat="false" ht="57.45" hidden="false" customHeight="false" outlineLevel="0" collapsed="false">
      <c r="A1818" s="9" t="n">
        <v>1817</v>
      </c>
      <c r="B1818" s="9" t="s">
        <v>102</v>
      </c>
      <c r="C1818" s="11" t="s">
        <v>113</v>
      </c>
      <c r="D1818" s="9" t="s">
        <v>7253</v>
      </c>
      <c r="E1818" s="9" t="s">
        <v>7254</v>
      </c>
      <c r="F1818" s="9" t="s">
        <v>7255</v>
      </c>
      <c r="G1818" s="9" t="s">
        <v>312</v>
      </c>
      <c r="H1818" s="14" t="s">
        <v>22</v>
      </c>
      <c r="I1818" s="9" t="s">
        <v>7256</v>
      </c>
      <c r="J1818" s="13"/>
      <c r="K1818" s="13"/>
    </row>
    <row r="1819" customFormat="false" ht="68.65" hidden="false" customHeight="false" outlineLevel="0" collapsed="false">
      <c r="A1819" s="9" t="n">
        <v>1818</v>
      </c>
      <c r="B1819" s="9" t="s">
        <v>102</v>
      </c>
      <c r="C1819" s="11" t="s">
        <v>113</v>
      </c>
      <c r="D1819" s="9" t="s">
        <v>7257</v>
      </c>
      <c r="E1819" s="9" t="s">
        <v>7258</v>
      </c>
      <c r="F1819" s="9" t="s">
        <v>7259</v>
      </c>
      <c r="G1819" s="9" t="s">
        <v>312</v>
      </c>
      <c r="H1819" s="14" t="s">
        <v>22</v>
      </c>
      <c r="I1819" s="9" t="s">
        <v>7260</v>
      </c>
      <c r="J1819" s="13"/>
      <c r="K1819" s="13"/>
    </row>
    <row r="1820" customFormat="false" ht="23.85" hidden="false" customHeight="false" outlineLevel="0" collapsed="false">
      <c r="A1820" s="9" t="n">
        <v>1819</v>
      </c>
      <c r="B1820" s="9" t="s">
        <v>102</v>
      </c>
      <c r="C1820" s="11" t="s">
        <v>113</v>
      </c>
      <c r="D1820" s="9" t="s">
        <v>7261</v>
      </c>
      <c r="E1820" s="9" t="s">
        <v>7262</v>
      </c>
      <c r="F1820" s="9" t="s">
        <v>7263</v>
      </c>
      <c r="G1820" s="9" t="s">
        <v>312</v>
      </c>
      <c r="H1820" s="15" t="s">
        <v>23</v>
      </c>
      <c r="I1820" s="9" t="s">
        <v>7264</v>
      </c>
      <c r="J1820" s="13"/>
      <c r="K1820" s="13"/>
    </row>
    <row r="1821" customFormat="false" ht="35.05" hidden="false" customHeight="false" outlineLevel="0" collapsed="false">
      <c r="A1821" s="9" t="n">
        <v>1820</v>
      </c>
      <c r="B1821" s="9" t="s">
        <v>102</v>
      </c>
      <c r="C1821" s="11" t="s">
        <v>113</v>
      </c>
      <c r="D1821" s="9" t="s">
        <v>7265</v>
      </c>
      <c r="E1821" s="9" t="s">
        <v>7266</v>
      </c>
      <c r="F1821" s="9" t="s">
        <v>7267</v>
      </c>
      <c r="G1821" s="9" t="s">
        <v>312</v>
      </c>
      <c r="H1821" s="15" t="s">
        <v>23</v>
      </c>
      <c r="I1821" s="9" t="s">
        <v>7268</v>
      </c>
      <c r="J1821" s="13"/>
      <c r="K1821" s="13"/>
    </row>
    <row r="1822" customFormat="false" ht="57.45" hidden="false" customHeight="false" outlineLevel="0" collapsed="false">
      <c r="A1822" s="9" t="n">
        <v>1821</v>
      </c>
      <c r="B1822" s="9" t="s">
        <v>102</v>
      </c>
      <c r="C1822" s="11" t="s">
        <v>113</v>
      </c>
      <c r="D1822" s="9" t="s">
        <v>7269</v>
      </c>
      <c r="E1822" s="9" t="s">
        <v>7270</v>
      </c>
      <c r="F1822" s="9" t="s">
        <v>7271</v>
      </c>
      <c r="G1822" s="9" t="s">
        <v>312</v>
      </c>
      <c r="H1822" s="14" t="s">
        <v>22</v>
      </c>
      <c r="I1822" s="9" t="s">
        <v>7272</v>
      </c>
      <c r="J1822" s="13"/>
      <c r="K1822" s="13"/>
    </row>
    <row r="1823" customFormat="false" ht="46.25" hidden="false" customHeight="false" outlineLevel="0" collapsed="false">
      <c r="A1823" s="9" t="n">
        <v>1822</v>
      </c>
      <c r="B1823" s="9" t="s">
        <v>102</v>
      </c>
      <c r="C1823" s="11" t="s">
        <v>113</v>
      </c>
      <c r="D1823" s="9" t="s">
        <v>7273</v>
      </c>
      <c r="E1823" s="9" t="s">
        <v>7274</v>
      </c>
      <c r="F1823" s="9" t="s">
        <v>7275</v>
      </c>
      <c r="G1823" s="9" t="s">
        <v>303</v>
      </c>
      <c r="H1823" s="15" t="s">
        <v>23</v>
      </c>
      <c r="I1823" s="9" t="s">
        <v>7276</v>
      </c>
      <c r="J1823" s="13"/>
      <c r="K1823" s="13"/>
    </row>
    <row r="1824" customFormat="false" ht="68.65" hidden="false" customHeight="false" outlineLevel="0" collapsed="false">
      <c r="A1824" s="9" t="n">
        <v>1823</v>
      </c>
      <c r="B1824" s="9" t="s">
        <v>102</v>
      </c>
      <c r="C1824" s="11" t="s">
        <v>113</v>
      </c>
      <c r="D1824" s="9" t="s">
        <v>7277</v>
      </c>
      <c r="E1824" s="9" t="s">
        <v>7278</v>
      </c>
      <c r="F1824" s="9" t="s">
        <v>7279</v>
      </c>
      <c r="G1824" s="9" t="s">
        <v>24</v>
      </c>
      <c r="H1824" s="14" t="s">
        <v>22</v>
      </c>
      <c r="I1824" s="9" t="s">
        <v>7280</v>
      </c>
      <c r="J1824" s="13"/>
      <c r="K1824" s="13"/>
    </row>
    <row r="1825" customFormat="false" ht="35.05" hidden="false" customHeight="false" outlineLevel="0" collapsed="false">
      <c r="A1825" s="9" t="n">
        <v>1824</v>
      </c>
      <c r="B1825" s="9" t="s">
        <v>102</v>
      </c>
      <c r="C1825" s="11" t="s">
        <v>113</v>
      </c>
      <c r="D1825" s="9" t="s">
        <v>7281</v>
      </c>
      <c r="E1825" s="9" t="s">
        <v>7282</v>
      </c>
      <c r="F1825" s="9" t="s">
        <v>7283</v>
      </c>
      <c r="G1825" s="9" t="s">
        <v>24</v>
      </c>
      <c r="H1825" s="14" t="s">
        <v>22</v>
      </c>
      <c r="I1825" s="9" t="s">
        <v>7284</v>
      </c>
      <c r="J1825" s="13"/>
      <c r="K1825" s="13"/>
    </row>
    <row r="1826" customFormat="false" ht="23.85" hidden="false" customHeight="false" outlineLevel="0" collapsed="false">
      <c r="A1826" s="9" t="n">
        <v>1825</v>
      </c>
      <c r="B1826" s="9" t="s">
        <v>102</v>
      </c>
      <c r="C1826" s="11" t="s">
        <v>113</v>
      </c>
      <c r="D1826" s="9" t="s">
        <v>7285</v>
      </c>
      <c r="E1826" s="9" t="s">
        <v>7286</v>
      </c>
      <c r="F1826" s="9" t="s">
        <v>7287</v>
      </c>
      <c r="G1826" s="9" t="s">
        <v>24</v>
      </c>
      <c r="H1826" s="14" t="s">
        <v>22</v>
      </c>
      <c r="I1826" s="9" t="s">
        <v>1720</v>
      </c>
      <c r="J1826" s="13"/>
      <c r="K1826" s="13"/>
    </row>
    <row r="1827" customFormat="false" ht="57.45" hidden="false" customHeight="false" outlineLevel="0" collapsed="false">
      <c r="A1827" s="9" t="n">
        <v>1826</v>
      </c>
      <c r="B1827" s="9" t="s">
        <v>102</v>
      </c>
      <c r="C1827" s="11" t="s">
        <v>113</v>
      </c>
      <c r="D1827" s="9" t="s">
        <v>7288</v>
      </c>
      <c r="E1827" s="9" t="s">
        <v>7289</v>
      </c>
      <c r="F1827" s="9" t="s">
        <v>7290</v>
      </c>
      <c r="G1827" s="9" t="s">
        <v>24</v>
      </c>
      <c r="H1827" s="14" t="s">
        <v>22</v>
      </c>
      <c r="I1827" s="9" t="s">
        <v>7291</v>
      </c>
      <c r="J1827" s="13"/>
      <c r="K1827" s="13"/>
    </row>
    <row r="1828" customFormat="false" ht="23.85" hidden="false" customHeight="false" outlineLevel="0" collapsed="false">
      <c r="A1828" s="9" t="n">
        <v>1827</v>
      </c>
      <c r="B1828" s="9" t="s">
        <v>102</v>
      </c>
      <c r="C1828" s="11" t="s">
        <v>113</v>
      </c>
      <c r="D1828" s="9" t="s">
        <v>7292</v>
      </c>
      <c r="E1828" s="9" t="s">
        <v>7293</v>
      </c>
      <c r="F1828" s="9" t="s">
        <v>7294</v>
      </c>
      <c r="G1828" s="9" t="s">
        <v>24</v>
      </c>
      <c r="H1828" s="14" t="s">
        <v>22</v>
      </c>
      <c r="I1828" s="9" t="s">
        <v>6863</v>
      </c>
      <c r="J1828" s="13"/>
      <c r="K1828" s="13"/>
    </row>
    <row r="1829" customFormat="false" ht="23.85" hidden="false" customHeight="false" outlineLevel="0" collapsed="false">
      <c r="A1829" s="9" t="n">
        <v>1828</v>
      </c>
      <c r="B1829" s="9" t="s">
        <v>102</v>
      </c>
      <c r="C1829" s="11" t="s">
        <v>113</v>
      </c>
      <c r="D1829" s="9" t="s">
        <v>7295</v>
      </c>
      <c r="E1829" s="9" t="s">
        <v>7296</v>
      </c>
      <c r="F1829" s="9" t="s">
        <v>7297</v>
      </c>
      <c r="G1829" s="9" t="s">
        <v>24</v>
      </c>
      <c r="H1829" s="14" t="s">
        <v>22</v>
      </c>
      <c r="I1829" s="9" t="s">
        <v>7298</v>
      </c>
      <c r="J1829" s="13"/>
      <c r="K1829" s="13"/>
    </row>
    <row r="1830" customFormat="false" ht="79.85" hidden="false" customHeight="false" outlineLevel="0" collapsed="false">
      <c r="A1830" s="9" t="n">
        <v>1829</v>
      </c>
      <c r="B1830" s="9" t="s">
        <v>102</v>
      </c>
      <c r="C1830" s="11" t="s">
        <v>113</v>
      </c>
      <c r="D1830" s="9" t="s">
        <v>7299</v>
      </c>
      <c r="E1830" s="9" t="s">
        <v>7300</v>
      </c>
      <c r="F1830" s="9" t="s">
        <v>7301</v>
      </c>
      <c r="G1830" s="9" t="s">
        <v>24</v>
      </c>
      <c r="H1830" s="14" t="s">
        <v>22</v>
      </c>
      <c r="I1830" s="9" t="s">
        <v>7302</v>
      </c>
      <c r="J1830" s="13"/>
      <c r="K1830" s="13"/>
    </row>
    <row r="1831" customFormat="false" ht="23.85" hidden="false" customHeight="false" outlineLevel="0" collapsed="false">
      <c r="A1831" s="9" t="n">
        <v>1830</v>
      </c>
      <c r="B1831" s="9" t="s">
        <v>102</v>
      </c>
      <c r="C1831" s="11" t="s">
        <v>113</v>
      </c>
      <c r="D1831" s="9" t="s">
        <v>7303</v>
      </c>
      <c r="E1831" s="9" t="s">
        <v>7304</v>
      </c>
      <c r="F1831" s="9" t="s">
        <v>7305</v>
      </c>
      <c r="G1831" s="9" t="s">
        <v>24</v>
      </c>
      <c r="H1831" s="14" t="s">
        <v>22</v>
      </c>
      <c r="I1831" s="9" t="s">
        <v>6852</v>
      </c>
      <c r="J1831" s="13"/>
      <c r="K1831" s="13"/>
    </row>
    <row r="1832" customFormat="false" ht="15" hidden="false" customHeight="false" outlineLevel="0" collapsed="false">
      <c r="A1832" s="9" t="n">
        <v>1831</v>
      </c>
      <c r="B1832" s="9" t="s">
        <v>102</v>
      </c>
      <c r="C1832" s="11" t="s">
        <v>113</v>
      </c>
      <c r="D1832" s="9" t="s">
        <v>7306</v>
      </c>
      <c r="E1832" s="9" t="s">
        <v>358</v>
      </c>
      <c r="F1832" s="9" t="s">
        <v>6633</v>
      </c>
      <c r="G1832" s="9" t="s">
        <v>24</v>
      </c>
      <c r="H1832" s="14" t="s">
        <v>22</v>
      </c>
      <c r="I1832" s="9" t="s">
        <v>6854</v>
      </c>
      <c r="J1832" s="13"/>
      <c r="K1832" s="13"/>
    </row>
    <row r="1833" customFormat="false" ht="15" hidden="false" customHeight="false" outlineLevel="0" collapsed="false">
      <c r="A1833" s="9" t="n">
        <v>1832</v>
      </c>
      <c r="B1833" s="9" t="s">
        <v>102</v>
      </c>
      <c r="C1833" s="11" t="s">
        <v>113</v>
      </c>
      <c r="D1833" s="9" t="s">
        <v>7307</v>
      </c>
      <c r="E1833" s="9" t="s">
        <v>362</v>
      </c>
      <c r="F1833" s="9" t="s">
        <v>363</v>
      </c>
      <c r="G1833" s="9" t="s">
        <v>24</v>
      </c>
      <c r="H1833" s="14" t="s">
        <v>22</v>
      </c>
      <c r="I1833" s="9" t="s">
        <v>364</v>
      </c>
      <c r="J1833" s="13"/>
      <c r="K1833" s="13"/>
    </row>
    <row r="1834" customFormat="false" ht="23.85" hidden="false" customHeight="false" outlineLevel="0" collapsed="false">
      <c r="A1834" s="9" t="n">
        <v>1833</v>
      </c>
      <c r="B1834" s="9" t="s">
        <v>102</v>
      </c>
      <c r="C1834" s="11" t="s">
        <v>113</v>
      </c>
      <c r="D1834" s="9" t="s">
        <v>7308</v>
      </c>
      <c r="E1834" s="9" t="s">
        <v>7309</v>
      </c>
      <c r="F1834" s="9" t="s">
        <v>7310</v>
      </c>
      <c r="G1834" s="9" t="s">
        <v>24</v>
      </c>
      <c r="H1834" s="15" t="s">
        <v>23</v>
      </c>
      <c r="I1834" s="9" t="s">
        <v>6863</v>
      </c>
      <c r="J1834" s="13"/>
      <c r="K1834" s="13"/>
    </row>
    <row r="1835" customFormat="false" ht="15" hidden="false" customHeight="false" outlineLevel="0" collapsed="false">
      <c r="A1835" s="9" t="n">
        <v>1834</v>
      </c>
      <c r="B1835" s="9" t="s">
        <v>102</v>
      </c>
      <c r="C1835" s="11" t="s">
        <v>113</v>
      </c>
      <c r="D1835" s="9" t="s">
        <v>7311</v>
      </c>
      <c r="E1835" s="9" t="s">
        <v>7312</v>
      </c>
      <c r="F1835" s="9" t="s">
        <v>7313</v>
      </c>
      <c r="G1835" s="9" t="s">
        <v>24</v>
      </c>
      <c r="H1835" s="15" t="s">
        <v>23</v>
      </c>
      <c r="I1835" s="9" t="s">
        <v>7298</v>
      </c>
      <c r="J1835" s="13"/>
      <c r="K1835" s="13"/>
    </row>
    <row r="1836" customFormat="false" ht="23.85" hidden="false" customHeight="false" outlineLevel="0" collapsed="false">
      <c r="A1836" s="9" t="n">
        <v>1835</v>
      </c>
      <c r="B1836" s="9" t="s">
        <v>102</v>
      </c>
      <c r="C1836" s="11" t="s">
        <v>113</v>
      </c>
      <c r="D1836" s="9" t="s">
        <v>7314</v>
      </c>
      <c r="E1836" s="9" t="s">
        <v>7315</v>
      </c>
      <c r="F1836" s="9" t="s">
        <v>7316</v>
      </c>
      <c r="G1836" s="9" t="s">
        <v>24</v>
      </c>
      <c r="H1836" s="15" t="s">
        <v>23</v>
      </c>
      <c r="I1836" s="9" t="s">
        <v>7317</v>
      </c>
      <c r="J1836" s="13"/>
      <c r="K1836" s="13"/>
    </row>
    <row r="1837" customFormat="false" ht="35.05" hidden="false" customHeight="false" outlineLevel="0" collapsed="false">
      <c r="A1837" s="9" t="n">
        <v>1836</v>
      </c>
      <c r="B1837" s="9" t="s">
        <v>102</v>
      </c>
      <c r="C1837" s="11" t="s">
        <v>113</v>
      </c>
      <c r="D1837" s="9" t="s">
        <v>7318</v>
      </c>
      <c r="E1837" s="9" t="s">
        <v>7319</v>
      </c>
      <c r="F1837" s="9" t="s">
        <v>7320</v>
      </c>
      <c r="G1837" s="9" t="s">
        <v>24</v>
      </c>
      <c r="H1837" s="15" t="s">
        <v>23</v>
      </c>
      <c r="I1837" s="9" t="s">
        <v>7321</v>
      </c>
      <c r="J1837" s="13"/>
      <c r="K1837" s="13"/>
    </row>
    <row r="1838" customFormat="false" ht="23.85" hidden="false" customHeight="false" outlineLevel="0" collapsed="false">
      <c r="A1838" s="9" t="n">
        <v>1837</v>
      </c>
      <c r="B1838" s="9" t="s">
        <v>102</v>
      </c>
      <c r="C1838" s="11" t="s">
        <v>113</v>
      </c>
      <c r="D1838" s="9" t="s">
        <v>7322</v>
      </c>
      <c r="E1838" s="9" t="s">
        <v>7323</v>
      </c>
      <c r="F1838" s="9" t="s">
        <v>7324</v>
      </c>
      <c r="G1838" s="9" t="s">
        <v>24</v>
      </c>
      <c r="H1838" s="15" t="s">
        <v>23</v>
      </c>
      <c r="I1838" s="9" t="s">
        <v>7325</v>
      </c>
      <c r="J1838" s="13"/>
      <c r="K1838" s="13"/>
    </row>
    <row r="1839" customFormat="false" ht="23.85" hidden="false" customHeight="false" outlineLevel="0" collapsed="false">
      <c r="A1839" s="9" t="n">
        <v>1838</v>
      </c>
      <c r="B1839" s="9" t="s">
        <v>102</v>
      </c>
      <c r="C1839" s="11" t="s">
        <v>113</v>
      </c>
      <c r="D1839" s="9" t="s">
        <v>7326</v>
      </c>
      <c r="E1839" s="9" t="s">
        <v>7327</v>
      </c>
      <c r="F1839" s="9" t="s">
        <v>6641</v>
      </c>
      <c r="G1839" s="9" t="s">
        <v>24</v>
      </c>
      <c r="H1839" s="15" t="s">
        <v>23</v>
      </c>
      <c r="I1839" s="9" t="s">
        <v>2846</v>
      </c>
      <c r="J1839" s="13"/>
      <c r="K1839" s="13"/>
    </row>
    <row r="1840" customFormat="false" ht="15" hidden="false" customHeight="false" outlineLevel="0" collapsed="false">
      <c r="A1840" s="9" t="n">
        <v>1839</v>
      </c>
      <c r="B1840" s="9" t="s">
        <v>102</v>
      </c>
      <c r="C1840" s="11" t="s">
        <v>113</v>
      </c>
      <c r="D1840" s="9" t="s">
        <v>7328</v>
      </c>
      <c r="E1840" s="9" t="s">
        <v>7329</v>
      </c>
      <c r="F1840" s="9" t="s">
        <v>6875</v>
      </c>
      <c r="G1840" s="9" t="s">
        <v>24</v>
      </c>
      <c r="H1840" s="15" t="s">
        <v>23</v>
      </c>
      <c r="I1840" s="9" t="s">
        <v>6653</v>
      </c>
      <c r="J1840" s="13"/>
      <c r="K1840" s="13"/>
    </row>
    <row r="1841" customFormat="false" ht="23.85" hidden="false" customHeight="false" outlineLevel="0" collapsed="false">
      <c r="A1841" s="9" t="n">
        <v>1840</v>
      </c>
      <c r="B1841" s="9" t="s">
        <v>102</v>
      </c>
      <c r="C1841" s="11" t="s">
        <v>113</v>
      </c>
      <c r="D1841" s="9" t="s">
        <v>7330</v>
      </c>
      <c r="E1841" s="9" t="s">
        <v>7331</v>
      </c>
      <c r="F1841" s="9" t="s">
        <v>7332</v>
      </c>
      <c r="G1841" s="9" t="s">
        <v>24</v>
      </c>
      <c r="H1841" s="15" t="s">
        <v>23</v>
      </c>
      <c r="I1841" s="9" t="s">
        <v>6649</v>
      </c>
      <c r="J1841" s="13"/>
      <c r="K1841" s="13"/>
    </row>
    <row r="1842" customFormat="false" ht="79.85" hidden="false" customHeight="false" outlineLevel="0" collapsed="false">
      <c r="A1842" s="9" t="n">
        <v>1841</v>
      </c>
      <c r="B1842" s="9" t="s">
        <v>102</v>
      </c>
      <c r="C1842" s="11" t="s">
        <v>115</v>
      </c>
      <c r="D1842" s="9" t="s">
        <v>7333</v>
      </c>
      <c r="E1842" s="9" t="s">
        <v>7334</v>
      </c>
      <c r="F1842" s="9" t="s">
        <v>7335</v>
      </c>
      <c r="G1842" s="9" t="s">
        <v>1284</v>
      </c>
      <c r="H1842" s="12" t="s">
        <v>21</v>
      </c>
      <c r="I1842" s="9" t="s">
        <v>7336</v>
      </c>
      <c r="J1842" s="13"/>
      <c r="K1842" s="13"/>
    </row>
    <row r="1843" customFormat="false" ht="35.05" hidden="false" customHeight="false" outlineLevel="0" collapsed="false">
      <c r="A1843" s="9" t="n">
        <v>1842</v>
      </c>
      <c r="B1843" s="9" t="s">
        <v>102</v>
      </c>
      <c r="C1843" s="11" t="s">
        <v>115</v>
      </c>
      <c r="D1843" s="9" t="s">
        <v>7337</v>
      </c>
      <c r="E1843" s="9" t="s">
        <v>7338</v>
      </c>
      <c r="F1843" s="9" t="s">
        <v>7339</v>
      </c>
      <c r="G1843" s="9" t="s">
        <v>1072</v>
      </c>
      <c r="H1843" s="12" t="s">
        <v>21</v>
      </c>
      <c r="I1843" s="9" t="s">
        <v>7340</v>
      </c>
      <c r="J1843" s="13"/>
      <c r="K1843" s="13"/>
    </row>
    <row r="1844" customFormat="false" ht="46.25" hidden="false" customHeight="false" outlineLevel="0" collapsed="false">
      <c r="A1844" s="9" t="n">
        <v>1843</v>
      </c>
      <c r="B1844" s="9" t="s">
        <v>102</v>
      </c>
      <c r="C1844" s="11" t="s">
        <v>115</v>
      </c>
      <c r="D1844" s="9" t="s">
        <v>7341</v>
      </c>
      <c r="E1844" s="9" t="s">
        <v>7342</v>
      </c>
      <c r="F1844" s="9" t="s">
        <v>7343</v>
      </c>
      <c r="G1844" s="9" t="s">
        <v>308</v>
      </c>
      <c r="H1844" s="14" t="s">
        <v>22</v>
      </c>
      <c r="I1844" s="9" t="s">
        <v>7344</v>
      </c>
      <c r="J1844" s="13"/>
      <c r="K1844" s="13"/>
    </row>
    <row r="1845" customFormat="false" ht="35.05" hidden="false" customHeight="false" outlineLevel="0" collapsed="false">
      <c r="A1845" s="9" t="n">
        <v>1844</v>
      </c>
      <c r="B1845" s="9" t="s">
        <v>102</v>
      </c>
      <c r="C1845" s="11" t="s">
        <v>115</v>
      </c>
      <c r="D1845" s="9" t="s">
        <v>7345</v>
      </c>
      <c r="E1845" s="9" t="s">
        <v>7346</v>
      </c>
      <c r="F1845" s="9" t="s">
        <v>7347</v>
      </c>
      <c r="G1845" s="9" t="s">
        <v>328</v>
      </c>
      <c r="H1845" s="14" t="s">
        <v>22</v>
      </c>
      <c r="I1845" s="9" t="s">
        <v>7348</v>
      </c>
      <c r="J1845" s="13"/>
      <c r="K1845" s="13"/>
    </row>
    <row r="1846" customFormat="false" ht="57.45" hidden="false" customHeight="false" outlineLevel="0" collapsed="false">
      <c r="A1846" s="9" t="n">
        <v>1845</v>
      </c>
      <c r="B1846" s="9" t="s">
        <v>102</v>
      </c>
      <c r="C1846" s="11" t="s">
        <v>115</v>
      </c>
      <c r="D1846" s="9" t="s">
        <v>7349</v>
      </c>
      <c r="E1846" s="9" t="s">
        <v>7350</v>
      </c>
      <c r="F1846" s="9" t="s">
        <v>7351</v>
      </c>
      <c r="G1846" s="9" t="s">
        <v>392</v>
      </c>
      <c r="H1846" s="14" t="s">
        <v>22</v>
      </c>
      <c r="I1846" s="9" t="s">
        <v>7352</v>
      </c>
      <c r="J1846" s="13"/>
      <c r="K1846" s="13"/>
    </row>
    <row r="1847" customFormat="false" ht="46.25" hidden="false" customHeight="false" outlineLevel="0" collapsed="false">
      <c r="A1847" s="9" t="n">
        <v>1846</v>
      </c>
      <c r="B1847" s="9" t="s">
        <v>102</v>
      </c>
      <c r="C1847" s="11" t="s">
        <v>115</v>
      </c>
      <c r="D1847" s="9" t="s">
        <v>7353</v>
      </c>
      <c r="E1847" s="9" t="s">
        <v>7354</v>
      </c>
      <c r="F1847" s="9" t="s">
        <v>7355</v>
      </c>
      <c r="G1847" s="9" t="s">
        <v>317</v>
      </c>
      <c r="H1847" s="15" t="s">
        <v>23</v>
      </c>
      <c r="I1847" s="9" t="s">
        <v>7356</v>
      </c>
      <c r="J1847" s="13"/>
      <c r="K1847" s="13"/>
    </row>
    <row r="1848" customFormat="false" ht="35.05" hidden="false" customHeight="false" outlineLevel="0" collapsed="false">
      <c r="A1848" s="9" t="n">
        <v>1847</v>
      </c>
      <c r="B1848" s="9" t="s">
        <v>102</v>
      </c>
      <c r="C1848" s="11" t="s">
        <v>115</v>
      </c>
      <c r="D1848" s="9" t="s">
        <v>7357</v>
      </c>
      <c r="E1848" s="9" t="s">
        <v>7358</v>
      </c>
      <c r="F1848" s="9" t="s">
        <v>7359</v>
      </c>
      <c r="G1848" s="9" t="s">
        <v>317</v>
      </c>
      <c r="H1848" s="14" t="s">
        <v>22</v>
      </c>
      <c r="I1848" s="9" t="s">
        <v>7360</v>
      </c>
      <c r="J1848" s="13"/>
      <c r="K1848" s="13"/>
    </row>
    <row r="1849" customFormat="false" ht="57.45" hidden="false" customHeight="false" outlineLevel="0" collapsed="false">
      <c r="A1849" s="9" t="n">
        <v>1848</v>
      </c>
      <c r="B1849" s="9" t="s">
        <v>102</v>
      </c>
      <c r="C1849" s="11" t="s">
        <v>115</v>
      </c>
      <c r="D1849" s="9" t="s">
        <v>7361</v>
      </c>
      <c r="E1849" s="9" t="s">
        <v>7362</v>
      </c>
      <c r="F1849" s="9" t="s">
        <v>7363</v>
      </c>
      <c r="G1849" s="9" t="s">
        <v>1072</v>
      </c>
      <c r="H1849" s="14" t="s">
        <v>22</v>
      </c>
      <c r="I1849" s="9" t="s">
        <v>7364</v>
      </c>
      <c r="J1849" s="13"/>
      <c r="K1849" s="13"/>
    </row>
    <row r="1850" customFormat="false" ht="35.05" hidden="false" customHeight="false" outlineLevel="0" collapsed="false">
      <c r="A1850" s="9" t="n">
        <v>1849</v>
      </c>
      <c r="B1850" s="9" t="s">
        <v>102</v>
      </c>
      <c r="C1850" s="11" t="s">
        <v>115</v>
      </c>
      <c r="D1850" s="9" t="s">
        <v>7365</v>
      </c>
      <c r="E1850" s="9" t="s">
        <v>7366</v>
      </c>
      <c r="F1850" s="9" t="s">
        <v>7367</v>
      </c>
      <c r="G1850" s="9" t="s">
        <v>317</v>
      </c>
      <c r="H1850" s="15" t="s">
        <v>23</v>
      </c>
      <c r="I1850" s="9" t="s">
        <v>7368</v>
      </c>
      <c r="J1850" s="13"/>
      <c r="K1850" s="13"/>
    </row>
    <row r="1851" customFormat="false" ht="57.45" hidden="false" customHeight="false" outlineLevel="0" collapsed="false">
      <c r="A1851" s="9" t="n">
        <v>1850</v>
      </c>
      <c r="B1851" s="9" t="s">
        <v>102</v>
      </c>
      <c r="C1851" s="11" t="s">
        <v>115</v>
      </c>
      <c r="D1851" s="9" t="s">
        <v>7369</v>
      </c>
      <c r="E1851" s="9" t="s">
        <v>7370</v>
      </c>
      <c r="F1851" s="9" t="s">
        <v>7371</v>
      </c>
      <c r="G1851" s="9" t="s">
        <v>392</v>
      </c>
      <c r="H1851" s="14" t="s">
        <v>22</v>
      </c>
      <c r="I1851" s="9" t="s">
        <v>7372</v>
      </c>
      <c r="J1851" s="13"/>
      <c r="K1851" s="13"/>
    </row>
    <row r="1852" customFormat="false" ht="46.25" hidden="false" customHeight="false" outlineLevel="0" collapsed="false">
      <c r="A1852" s="9" t="n">
        <v>1851</v>
      </c>
      <c r="B1852" s="9" t="s">
        <v>102</v>
      </c>
      <c r="C1852" s="11" t="s">
        <v>115</v>
      </c>
      <c r="D1852" s="9" t="s">
        <v>7373</v>
      </c>
      <c r="E1852" s="9" t="s">
        <v>7374</v>
      </c>
      <c r="F1852" s="9" t="s">
        <v>7375</v>
      </c>
      <c r="G1852" s="9" t="s">
        <v>317</v>
      </c>
      <c r="H1852" s="14" t="s">
        <v>22</v>
      </c>
      <c r="I1852" s="9" t="s">
        <v>7376</v>
      </c>
      <c r="J1852" s="13"/>
      <c r="K1852" s="13"/>
    </row>
    <row r="1853" customFormat="false" ht="46.25" hidden="false" customHeight="false" outlineLevel="0" collapsed="false">
      <c r="A1853" s="9" t="n">
        <v>1852</v>
      </c>
      <c r="B1853" s="9" t="s">
        <v>102</v>
      </c>
      <c r="C1853" s="11" t="s">
        <v>115</v>
      </c>
      <c r="D1853" s="9" t="s">
        <v>7377</v>
      </c>
      <c r="E1853" s="9" t="s">
        <v>7378</v>
      </c>
      <c r="F1853" s="9" t="s">
        <v>7379</v>
      </c>
      <c r="G1853" s="9" t="s">
        <v>1072</v>
      </c>
      <c r="H1853" s="15" t="s">
        <v>23</v>
      </c>
      <c r="I1853" s="9" t="s">
        <v>7380</v>
      </c>
      <c r="J1853" s="13"/>
      <c r="K1853" s="13"/>
    </row>
    <row r="1854" customFormat="false" ht="46.25" hidden="false" customHeight="false" outlineLevel="0" collapsed="false">
      <c r="A1854" s="9" t="n">
        <v>1853</v>
      </c>
      <c r="B1854" s="9" t="s">
        <v>102</v>
      </c>
      <c r="C1854" s="11" t="s">
        <v>115</v>
      </c>
      <c r="D1854" s="9" t="s">
        <v>7381</v>
      </c>
      <c r="E1854" s="9" t="s">
        <v>7382</v>
      </c>
      <c r="F1854" s="9" t="s">
        <v>7383</v>
      </c>
      <c r="G1854" s="9" t="s">
        <v>1421</v>
      </c>
      <c r="H1854" s="12" t="s">
        <v>21</v>
      </c>
      <c r="I1854" s="9" t="s">
        <v>7384</v>
      </c>
      <c r="J1854" s="13"/>
      <c r="K1854" s="13"/>
    </row>
    <row r="1855" customFormat="false" ht="46.25" hidden="false" customHeight="false" outlineLevel="0" collapsed="false">
      <c r="A1855" s="9" t="n">
        <v>1854</v>
      </c>
      <c r="B1855" s="9" t="s">
        <v>102</v>
      </c>
      <c r="C1855" s="11" t="s">
        <v>115</v>
      </c>
      <c r="D1855" s="9" t="s">
        <v>7385</v>
      </c>
      <c r="E1855" s="9" t="s">
        <v>7386</v>
      </c>
      <c r="F1855" s="9" t="s">
        <v>7387</v>
      </c>
      <c r="G1855" s="9" t="s">
        <v>317</v>
      </c>
      <c r="H1855" s="14" t="s">
        <v>22</v>
      </c>
      <c r="I1855" s="9" t="s">
        <v>7388</v>
      </c>
      <c r="J1855" s="13"/>
      <c r="K1855" s="13"/>
    </row>
    <row r="1856" customFormat="false" ht="46.25" hidden="false" customHeight="false" outlineLevel="0" collapsed="false">
      <c r="A1856" s="9" t="n">
        <v>1855</v>
      </c>
      <c r="B1856" s="9" t="s">
        <v>102</v>
      </c>
      <c r="C1856" s="11" t="s">
        <v>115</v>
      </c>
      <c r="D1856" s="9" t="s">
        <v>7389</v>
      </c>
      <c r="E1856" s="9" t="s">
        <v>7390</v>
      </c>
      <c r="F1856" s="9" t="s">
        <v>7391</v>
      </c>
      <c r="G1856" s="9" t="s">
        <v>317</v>
      </c>
      <c r="H1856" s="14" t="s">
        <v>22</v>
      </c>
      <c r="I1856" s="9" t="s">
        <v>7392</v>
      </c>
      <c r="J1856" s="13"/>
      <c r="K1856" s="13"/>
    </row>
    <row r="1857" customFormat="false" ht="91" hidden="false" customHeight="false" outlineLevel="0" collapsed="false">
      <c r="A1857" s="9" t="n">
        <v>1856</v>
      </c>
      <c r="B1857" s="9" t="s">
        <v>102</v>
      </c>
      <c r="C1857" s="11" t="s">
        <v>115</v>
      </c>
      <c r="D1857" s="9" t="s">
        <v>7393</v>
      </c>
      <c r="E1857" s="9" t="s">
        <v>7394</v>
      </c>
      <c r="F1857" s="9" t="s">
        <v>7395</v>
      </c>
      <c r="G1857" s="9" t="s">
        <v>4141</v>
      </c>
      <c r="H1857" s="12" t="s">
        <v>21</v>
      </c>
      <c r="I1857" s="9" t="s">
        <v>7396</v>
      </c>
      <c r="J1857" s="13"/>
      <c r="K1857" s="13"/>
    </row>
    <row r="1858" customFormat="false" ht="46.25" hidden="false" customHeight="false" outlineLevel="0" collapsed="false">
      <c r="A1858" s="9" t="n">
        <v>1857</v>
      </c>
      <c r="B1858" s="9" t="s">
        <v>102</v>
      </c>
      <c r="C1858" s="11" t="s">
        <v>115</v>
      </c>
      <c r="D1858" s="9" t="s">
        <v>7397</v>
      </c>
      <c r="E1858" s="9" t="s">
        <v>7398</v>
      </c>
      <c r="F1858" s="9" t="s">
        <v>7399</v>
      </c>
      <c r="G1858" s="9" t="s">
        <v>312</v>
      </c>
      <c r="H1858" s="14" t="s">
        <v>22</v>
      </c>
      <c r="I1858" s="9" t="s">
        <v>7400</v>
      </c>
      <c r="J1858" s="13"/>
      <c r="K1858" s="13"/>
    </row>
    <row r="1859" customFormat="false" ht="79.85" hidden="false" customHeight="false" outlineLevel="0" collapsed="false">
      <c r="A1859" s="9" t="n">
        <v>1858</v>
      </c>
      <c r="B1859" s="9" t="s">
        <v>102</v>
      </c>
      <c r="C1859" s="11" t="s">
        <v>115</v>
      </c>
      <c r="D1859" s="9" t="s">
        <v>7401</v>
      </c>
      <c r="E1859" s="9" t="s">
        <v>7402</v>
      </c>
      <c r="F1859" s="9" t="s">
        <v>7403</v>
      </c>
      <c r="G1859" s="9" t="s">
        <v>1370</v>
      </c>
      <c r="H1859" s="12" t="s">
        <v>21</v>
      </c>
      <c r="I1859" s="9" t="s">
        <v>7404</v>
      </c>
      <c r="J1859" s="13"/>
      <c r="K1859" s="13"/>
    </row>
    <row r="1860" customFormat="false" ht="57.45" hidden="false" customHeight="false" outlineLevel="0" collapsed="false">
      <c r="A1860" s="9" t="n">
        <v>1859</v>
      </c>
      <c r="B1860" s="9" t="s">
        <v>102</v>
      </c>
      <c r="C1860" s="11" t="s">
        <v>115</v>
      </c>
      <c r="D1860" s="9" t="s">
        <v>7405</v>
      </c>
      <c r="E1860" s="9" t="s">
        <v>7406</v>
      </c>
      <c r="F1860" s="9" t="s">
        <v>7407</v>
      </c>
      <c r="G1860" s="9" t="s">
        <v>317</v>
      </c>
      <c r="H1860" s="14" t="s">
        <v>22</v>
      </c>
      <c r="I1860" s="9" t="s">
        <v>7408</v>
      </c>
      <c r="J1860" s="13"/>
      <c r="K1860" s="13"/>
    </row>
    <row r="1861" customFormat="false" ht="57.45" hidden="false" customHeight="false" outlineLevel="0" collapsed="false">
      <c r="A1861" s="9" t="n">
        <v>1860</v>
      </c>
      <c r="B1861" s="9" t="s">
        <v>102</v>
      </c>
      <c r="C1861" s="11" t="s">
        <v>115</v>
      </c>
      <c r="D1861" s="9" t="s">
        <v>7409</v>
      </c>
      <c r="E1861" s="9" t="s">
        <v>7410</v>
      </c>
      <c r="F1861" s="9" t="s">
        <v>7411</v>
      </c>
      <c r="G1861" s="9" t="s">
        <v>303</v>
      </c>
      <c r="H1861" s="12" t="s">
        <v>21</v>
      </c>
      <c r="I1861" s="9" t="s">
        <v>7412</v>
      </c>
      <c r="J1861" s="13"/>
      <c r="K1861" s="13"/>
    </row>
    <row r="1862" customFormat="false" ht="46.25" hidden="false" customHeight="false" outlineLevel="0" collapsed="false">
      <c r="A1862" s="9" t="n">
        <v>1861</v>
      </c>
      <c r="B1862" s="9" t="s">
        <v>102</v>
      </c>
      <c r="C1862" s="11" t="s">
        <v>115</v>
      </c>
      <c r="D1862" s="9" t="s">
        <v>7413</v>
      </c>
      <c r="E1862" s="9" t="s">
        <v>7414</v>
      </c>
      <c r="F1862" s="9" t="s">
        <v>7415</v>
      </c>
      <c r="G1862" s="9" t="s">
        <v>392</v>
      </c>
      <c r="H1862" s="14" t="s">
        <v>22</v>
      </c>
      <c r="I1862" s="9" t="s">
        <v>7416</v>
      </c>
      <c r="J1862" s="13"/>
      <c r="K1862" s="13"/>
    </row>
    <row r="1863" customFormat="false" ht="68.65" hidden="false" customHeight="false" outlineLevel="0" collapsed="false">
      <c r="A1863" s="9" t="n">
        <v>1862</v>
      </c>
      <c r="B1863" s="9" t="s">
        <v>102</v>
      </c>
      <c r="C1863" s="11" t="s">
        <v>115</v>
      </c>
      <c r="D1863" s="9" t="s">
        <v>7417</v>
      </c>
      <c r="E1863" s="9" t="s">
        <v>7418</v>
      </c>
      <c r="F1863" s="9" t="s">
        <v>7419</v>
      </c>
      <c r="G1863" s="9" t="s">
        <v>1370</v>
      </c>
      <c r="H1863" s="12" t="s">
        <v>21</v>
      </c>
      <c r="I1863" s="9" t="s">
        <v>7420</v>
      </c>
      <c r="J1863" s="13"/>
      <c r="K1863" s="13"/>
    </row>
    <row r="1864" customFormat="false" ht="35.05" hidden="false" customHeight="false" outlineLevel="0" collapsed="false">
      <c r="A1864" s="9" t="n">
        <v>1863</v>
      </c>
      <c r="B1864" s="9" t="s">
        <v>102</v>
      </c>
      <c r="C1864" s="11" t="s">
        <v>115</v>
      </c>
      <c r="D1864" s="9" t="s">
        <v>7421</v>
      </c>
      <c r="E1864" s="9" t="s">
        <v>7422</v>
      </c>
      <c r="F1864" s="9" t="s">
        <v>7423</v>
      </c>
      <c r="G1864" s="9" t="s">
        <v>308</v>
      </c>
      <c r="H1864" s="14" t="s">
        <v>22</v>
      </c>
      <c r="I1864" s="9" t="s">
        <v>7424</v>
      </c>
      <c r="J1864" s="13"/>
      <c r="K1864" s="13"/>
    </row>
    <row r="1865" customFormat="false" ht="23.85" hidden="false" customHeight="false" outlineLevel="0" collapsed="false">
      <c r="A1865" s="9" t="n">
        <v>1864</v>
      </c>
      <c r="B1865" s="9" t="s">
        <v>102</v>
      </c>
      <c r="C1865" s="11" t="s">
        <v>115</v>
      </c>
      <c r="D1865" s="9" t="s">
        <v>7425</v>
      </c>
      <c r="E1865" s="9" t="s">
        <v>7426</v>
      </c>
      <c r="F1865" s="9" t="s">
        <v>7427</v>
      </c>
      <c r="G1865" s="9" t="s">
        <v>1072</v>
      </c>
      <c r="H1865" s="14" t="s">
        <v>22</v>
      </c>
      <c r="I1865" s="9" t="s">
        <v>7428</v>
      </c>
      <c r="J1865" s="13"/>
      <c r="K1865" s="13"/>
    </row>
    <row r="1866" customFormat="false" ht="35.05" hidden="false" customHeight="false" outlineLevel="0" collapsed="false">
      <c r="A1866" s="9" t="n">
        <v>1865</v>
      </c>
      <c r="B1866" s="9" t="s">
        <v>102</v>
      </c>
      <c r="C1866" s="11" t="s">
        <v>115</v>
      </c>
      <c r="D1866" s="9" t="s">
        <v>7429</v>
      </c>
      <c r="E1866" s="9" t="s">
        <v>7430</v>
      </c>
      <c r="F1866" s="9" t="s">
        <v>7431</v>
      </c>
      <c r="G1866" s="9" t="s">
        <v>7432</v>
      </c>
      <c r="H1866" s="14" t="s">
        <v>22</v>
      </c>
      <c r="I1866" s="9" t="s">
        <v>7433</v>
      </c>
      <c r="J1866" s="13"/>
      <c r="K1866" s="13"/>
    </row>
    <row r="1867" customFormat="false" ht="57.45" hidden="false" customHeight="false" outlineLevel="0" collapsed="false">
      <c r="A1867" s="9" t="n">
        <v>1866</v>
      </c>
      <c r="B1867" s="9" t="s">
        <v>102</v>
      </c>
      <c r="C1867" s="11" t="s">
        <v>115</v>
      </c>
      <c r="D1867" s="9" t="s">
        <v>7434</v>
      </c>
      <c r="E1867" s="9" t="s">
        <v>7435</v>
      </c>
      <c r="F1867" s="9" t="s">
        <v>7436</v>
      </c>
      <c r="G1867" s="9" t="s">
        <v>1852</v>
      </c>
      <c r="H1867" s="14" t="s">
        <v>22</v>
      </c>
      <c r="I1867" s="9" t="s">
        <v>7437</v>
      </c>
      <c r="J1867" s="13"/>
      <c r="K1867" s="13"/>
    </row>
    <row r="1868" customFormat="false" ht="57.45" hidden="false" customHeight="false" outlineLevel="0" collapsed="false">
      <c r="A1868" s="9" t="n">
        <v>1867</v>
      </c>
      <c r="B1868" s="9" t="s">
        <v>102</v>
      </c>
      <c r="C1868" s="11" t="s">
        <v>115</v>
      </c>
      <c r="D1868" s="9" t="s">
        <v>7438</v>
      </c>
      <c r="E1868" s="9" t="s">
        <v>7439</v>
      </c>
      <c r="F1868" s="9" t="s">
        <v>7440</v>
      </c>
      <c r="G1868" s="9" t="s">
        <v>392</v>
      </c>
      <c r="H1868" s="14" t="s">
        <v>22</v>
      </c>
      <c r="I1868" s="9" t="s">
        <v>7441</v>
      </c>
      <c r="J1868" s="13"/>
      <c r="K1868" s="13"/>
    </row>
    <row r="1869" customFormat="false" ht="35.05" hidden="false" customHeight="false" outlineLevel="0" collapsed="false">
      <c r="A1869" s="9" t="n">
        <v>1868</v>
      </c>
      <c r="B1869" s="9" t="s">
        <v>102</v>
      </c>
      <c r="C1869" s="11" t="s">
        <v>115</v>
      </c>
      <c r="D1869" s="9" t="s">
        <v>7442</v>
      </c>
      <c r="E1869" s="9" t="s">
        <v>7443</v>
      </c>
      <c r="F1869" s="9" t="s">
        <v>7444</v>
      </c>
      <c r="G1869" s="9" t="s">
        <v>7445</v>
      </c>
      <c r="H1869" s="15" t="s">
        <v>23</v>
      </c>
      <c r="I1869" s="9" t="s">
        <v>7446</v>
      </c>
      <c r="J1869" s="13"/>
      <c r="K1869" s="13"/>
    </row>
    <row r="1870" customFormat="false" ht="91" hidden="false" customHeight="false" outlineLevel="0" collapsed="false">
      <c r="A1870" s="9" t="n">
        <v>1869</v>
      </c>
      <c r="B1870" s="9" t="s">
        <v>102</v>
      </c>
      <c r="C1870" s="11" t="s">
        <v>115</v>
      </c>
      <c r="D1870" s="9" t="s">
        <v>7447</v>
      </c>
      <c r="E1870" s="9" t="s">
        <v>7448</v>
      </c>
      <c r="F1870" s="9" t="s">
        <v>7449</v>
      </c>
      <c r="G1870" s="9" t="s">
        <v>317</v>
      </c>
      <c r="H1870" s="12" t="s">
        <v>21</v>
      </c>
      <c r="I1870" s="9" t="s">
        <v>7450</v>
      </c>
      <c r="J1870" s="13"/>
      <c r="K1870" s="13"/>
    </row>
    <row r="1871" customFormat="false" ht="79.85" hidden="false" customHeight="false" outlineLevel="0" collapsed="false">
      <c r="A1871" s="9" t="n">
        <v>1870</v>
      </c>
      <c r="B1871" s="9" t="s">
        <v>102</v>
      </c>
      <c r="C1871" s="11" t="s">
        <v>115</v>
      </c>
      <c r="D1871" s="9" t="s">
        <v>7451</v>
      </c>
      <c r="E1871" s="9" t="s">
        <v>7452</v>
      </c>
      <c r="F1871" s="9" t="s">
        <v>7453</v>
      </c>
      <c r="G1871" s="9" t="s">
        <v>392</v>
      </c>
      <c r="H1871" s="14" t="s">
        <v>22</v>
      </c>
      <c r="I1871" s="9" t="s">
        <v>7454</v>
      </c>
      <c r="J1871" s="13"/>
      <c r="K1871" s="13"/>
    </row>
    <row r="1872" customFormat="false" ht="46.25" hidden="false" customHeight="false" outlineLevel="0" collapsed="false">
      <c r="A1872" s="9" t="n">
        <v>1871</v>
      </c>
      <c r="B1872" s="9" t="s">
        <v>102</v>
      </c>
      <c r="C1872" s="11" t="s">
        <v>115</v>
      </c>
      <c r="D1872" s="9" t="s">
        <v>7455</v>
      </c>
      <c r="E1872" s="9" t="s">
        <v>7456</v>
      </c>
      <c r="F1872" s="9" t="s">
        <v>7457</v>
      </c>
      <c r="G1872" s="9" t="s">
        <v>1072</v>
      </c>
      <c r="H1872" s="14" t="s">
        <v>22</v>
      </c>
      <c r="I1872" s="9" t="s">
        <v>7458</v>
      </c>
      <c r="J1872" s="13"/>
      <c r="K1872" s="13"/>
    </row>
    <row r="1873" customFormat="false" ht="46.25" hidden="false" customHeight="false" outlineLevel="0" collapsed="false">
      <c r="A1873" s="9" t="n">
        <v>1872</v>
      </c>
      <c r="B1873" s="9" t="s">
        <v>102</v>
      </c>
      <c r="C1873" s="11" t="s">
        <v>115</v>
      </c>
      <c r="D1873" s="9" t="s">
        <v>7459</v>
      </c>
      <c r="E1873" s="9" t="s">
        <v>7460</v>
      </c>
      <c r="F1873" s="9" t="s">
        <v>7461</v>
      </c>
      <c r="G1873" s="9" t="s">
        <v>317</v>
      </c>
      <c r="H1873" s="15" t="s">
        <v>23</v>
      </c>
      <c r="I1873" s="9" t="s">
        <v>7462</v>
      </c>
      <c r="J1873" s="13"/>
      <c r="K1873" s="13"/>
    </row>
    <row r="1874" customFormat="false" ht="35.05" hidden="false" customHeight="false" outlineLevel="0" collapsed="false">
      <c r="A1874" s="9" t="n">
        <v>1873</v>
      </c>
      <c r="B1874" s="9" t="s">
        <v>102</v>
      </c>
      <c r="C1874" s="11" t="s">
        <v>115</v>
      </c>
      <c r="D1874" s="9" t="s">
        <v>7463</v>
      </c>
      <c r="E1874" s="9" t="s">
        <v>7464</v>
      </c>
      <c r="F1874" s="9" t="s">
        <v>7465</v>
      </c>
      <c r="G1874" s="9" t="s">
        <v>328</v>
      </c>
      <c r="H1874" s="15" t="s">
        <v>23</v>
      </c>
      <c r="I1874" s="9" t="s">
        <v>7466</v>
      </c>
      <c r="J1874" s="13"/>
      <c r="K1874" s="13"/>
    </row>
    <row r="1875" customFormat="false" ht="57.45" hidden="false" customHeight="false" outlineLevel="0" collapsed="false">
      <c r="A1875" s="9" t="n">
        <v>1874</v>
      </c>
      <c r="B1875" s="9" t="s">
        <v>102</v>
      </c>
      <c r="C1875" s="11" t="s">
        <v>115</v>
      </c>
      <c r="D1875" s="9" t="s">
        <v>7467</v>
      </c>
      <c r="E1875" s="9" t="s">
        <v>7468</v>
      </c>
      <c r="F1875" s="9" t="s">
        <v>7469</v>
      </c>
      <c r="G1875" s="9" t="s">
        <v>303</v>
      </c>
      <c r="H1875" s="14" t="s">
        <v>22</v>
      </c>
      <c r="I1875" s="9" t="s">
        <v>7470</v>
      </c>
      <c r="J1875" s="13"/>
      <c r="K1875" s="13"/>
    </row>
    <row r="1876" customFormat="false" ht="57.45" hidden="false" customHeight="false" outlineLevel="0" collapsed="false">
      <c r="A1876" s="9" t="n">
        <v>1875</v>
      </c>
      <c r="B1876" s="9" t="s">
        <v>102</v>
      </c>
      <c r="C1876" s="11" t="s">
        <v>115</v>
      </c>
      <c r="D1876" s="9" t="s">
        <v>7471</v>
      </c>
      <c r="E1876" s="9" t="s">
        <v>7472</v>
      </c>
      <c r="F1876" s="9" t="s">
        <v>7473</v>
      </c>
      <c r="G1876" s="9" t="s">
        <v>317</v>
      </c>
      <c r="H1876" s="14" t="s">
        <v>22</v>
      </c>
      <c r="I1876" s="9" t="s">
        <v>7474</v>
      </c>
      <c r="J1876" s="13"/>
      <c r="K1876" s="13"/>
    </row>
    <row r="1877" customFormat="false" ht="68.65" hidden="false" customHeight="false" outlineLevel="0" collapsed="false">
      <c r="A1877" s="9" t="n">
        <v>1876</v>
      </c>
      <c r="B1877" s="9" t="s">
        <v>102</v>
      </c>
      <c r="C1877" s="11" t="s">
        <v>115</v>
      </c>
      <c r="D1877" s="9" t="s">
        <v>7475</v>
      </c>
      <c r="E1877" s="9" t="s">
        <v>7476</v>
      </c>
      <c r="F1877" s="9" t="s">
        <v>7477</v>
      </c>
      <c r="G1877" s="9" t="s">
        <v>392</v>
      </c>
      <c r="H1877" s="14" t="s">
        <v>22</v>
      </c>
      <c r="I1877" s="9" t="s">
        <v>7478</v>
      </c>
      <c r="J1877" s="13"/>
      <c r="K1877" s="13"/>
    </row>
    <row r="1878" customFormat="false" ht="35.05" hidden="false" customHeight="false" outlineLevel="0" collapsed="false">
      <c r="A1878" s="9" t="n">
        <v>1877</v>
      </c>
      <c r="B1878" s="9" t="s">
        <v>102</v>
      </c>
      <c r="C1878" s="11" t="s">
        <v>115</v>
      </c>
      <c r="D1878" s="9" t="s">
        <v>7479</v>
      </c>
      <c r="E1878" s="9" t="s">
        <v>7480</v>
      </c>
      <c r="F1878" s="9" t="s">
        <v>7481</v>
      </c>
      <c r="G1878" s="9" t="s">
        <v>1072</v>
      </c>
      <c r="H1878" s="14" t="s">
        <v>22</v>
      </c>
      <c r="I1878" s="9" t="s">
        <v>7482</v>
      </c>
      <c r="J1878" s="13"/>
      <c r="K1878" s="13"/>
    </row>
    <row r="1879" customFormat="false" ht="46.25" hidden="false" customHeight="false" outlineLevel="0" collapsed="false">
      <c r="A1879" s="9" t="n">
        <v>1878</v>
      </c>
      <c r="B1879" s="9" t="s">
        <v>102</v>
      </c>
      <c r="C1879" s="11" t="s">
        <v>115</v>
      </c>
      <c r="D1879" s="9" t="s">
        <v>7483</v>
      </c>
      <c r="E1879" s="9" t="s">
        <v>7484</v>
      </c>
      <c r="F1879" s="9" t="s">
        <v>7485</v>
      </c>
      <c r="G1879" s="9" t="s">
        <v>312</v>
      </c>
      <c r="H1879" s="14" t="s">
        <v>22</v>
      </c>
      <c r="I1879" s="9" t="s">
        <v>7486</v>
      </c>
      <c r="J1879" s="13"/>
      <c r="K1879" s="13"/>
    </row>
    <row r="1880" customFormat="false" ht="35.05" hidden="false" customHeight="false" outlineLevel="0" collapsed="false">
      <c r="A1880" s="9" t="n">
        <v>1879</v>
      </c>
      <c r="B1880" s="9" t="s">
        <v>102</v>
      </c>
      <c r="C1880" s="11" t="s">
        <v>115</v>
      </c>
      <c r="D1880" s="9" t="s">
        <v>7487</v>
      </c>
      <c r="E1880" s="9" t="s">
        <v>7488</v>
      </c>
      <c r="F1880" s="9" t="s">
        <v>7489</v>
      </c>
      <c r="G1880" s="9" t="s">
        <v>1072</v>
      </c>
      <c r="H1880" s="15" t="s">
        <v>23</v>
      </c>
      <c r="I1880" s="9" t="s">
        <v>7490</v>
      </c>
      <c r="J1880" s="13"/>
      <c r="K1880" s="13"/>
    </row>
    <row r="1881" customFormat="false" ht="46.25" hidden="false" customHeight="false" outlineLevel="0" collapsed="false">
      <c r="A1881" s="9" t="n">
        <v>1880</v>
      </c>
      <c r="B1881" s="9" t="s">
        <v>102</v>
      </c>
      <c r="C1881" s="11" t="s">
        <v>115</v>
      </c>
      <c r="D1881" s="9" t="s">
        <v>7491</v>
      </c>
      <c r="E1881" s="9" t="s">
        <v>7492</v>
      </c>
      <c r="F1881" s="9" t="s">
        <v>7493</v>
      </c>
      <c r="G1881" s="9" t="s">
        <v>312</v>
      </c>
      <c r="H1881" s="14" t="s">
        <v>22</v>
      </c>
      <c r="I1881" s="9" t="s">
        <v>7494</v>
      </c>
      <c r="J1881" s="13"/>
      <c r="K1881" s="13"/>
    </row>
    <row r="1882" customFormat="false" ht="35.05" hidden="false" customHeight="false" outlineLevel="0" collapsed="false">
      <c r="A1882" s="9" t="n">
        <v>1881</v>
      </c>
      <c r="B1882" s="9" t="s">
        <v>102</v>
      </c>
      <c r="C1882" s="11" t="s">
        <v>115</v>
      </c>
      <c r="D1882" s="9" t="s">
        <v>7495</v>
      </c>
      <c r="E1882" s="9" t="s">
        <v>7496</v>
      </c>
      <c r="F1882" s="9" t="s">
        <v>7497</v>
      </c>
      <c r="G1882" s="9" t="s">
        <v>312</v>
      </c>
      <c r="H1882" s="15" t="s">
        <v>23</v>
      </c>
      <c r="I1882" s="9" t="s">
        <v>7498</v>
      </c>
      <c r="J1882" s="13"/>
      <c r="K1882" s="13"/>
    </row>
    <row r="1883" customFormat="false" ht="35.05" hidden="false" customHeight="false" outlineLevel="0" collapsed="false">
      <c r="A1883" s="9" t="n">
        <v>1882</v>
      </c>
      <c r="B1883" s="9" t="s">
        <v>102</v>
      </c>
      <c r="C1883" s="11" t="s">
        <v>115</v>
      </c>
      <c r="D1883" s="9" t="s">
        <v>7499</v>
      </c>
      <c r="E1883" s="9" t="s">
        <v>7500</v>
      </c>
      <c r="F1883" s="9" t="s">
        <v>7501</v>
      </c>
      <c r="G1883" s="9" t="s">
        <v>308</v>
      </c>
      <c r="H1883" s="15" t="s">
        <v>23</v>
      </c>
      <c r="I1883" s="9" t="s">
        <v>7502</v>
      </c>
      <c r="J1883" s="13"/>
      <c r="K1883" s="13"/>
    </row>
    <row r="1884" customFormat="false" ht="23.85" hidden="false" customHeight="false" outlineLevel="0" collapsed="false">
      <c r="A1884" s="9" t="n">
        <v>1883</v>
      </c>
      <c r="B1884" s="9" t="s">
        <v>102</v>
      </c>
      <c r="C1884" s="11" t="s">
        <v>115</v>
      </c>
      <c r="D1884" s="9" t="s">
        <v>7503</v>
      </c>
      <c r="E1884" s="9" t="s">
        <v>7504</v>
      </c>
      <c r="F1884" s="9" t="s">
        <v>7505</v>
      </c>
      <c r="G1884" s="9" t="s">
        <v>328</v>
      </c>
      <c r="H1884" s="15" t="s">
        <v>23</v>
      </c>
      <c r="I1884" s="9" t="s">
        <v>7506</v>
      </c>
      <c r="J1884" s="13"/>
      <c r="K1884" s="13"/>
    </row>
    <row r="1885" customFormat="false" ht="23.85" hidden="false" customHeight="false" outlineLevel="0" collapsed="false">
      <c r="A1885" s="9" t="n">
        <v>1884</v>
      </c>
      <c r="B1885" s="9" t="s">
        <v>102</v>
      </c>
      <c r="C1885" s="11" t="s">
        <v>115</v>
      </c>
      <c r="D1885" s="9" t="s">
        <v>7507</v>
      </c>
      <c r="E1885" s="9" t="s">
        <v>7508</v>
      </c>
      <c r="F1885" s="9" t="s">
        <v>7509</v>
      </c>
      <c r="G1885" s="9" t="s">
        <v>328</v>
      </c>
      <c r="H1885" s="15" t="s">
        <v>23</v>
      </c>
      <c r="I1885" s="9" t="s">
        <v>7510</v>
      </c>
      <c r="J1885" s="13"/>
      <c r="K1885" s="13"/>
    </row>
    <row r="1886" customFormat="false" ht="23.85" hidden="false" customHeight="false" outlineLevel="0" collapsed="false">
      <c r="A1886" s="9" t="n">
        <v>1885</v>
      </c>
      <c r="B1886" s="9" t="s">
        <v>102</v>
      </c>
      <c r="C1886" s="11" t="s">
        <v>115</v>
      </c>
      <c r="D1886" s="9" t="s">
        <v>7511</v>
      </c>
      <c r="E1886" s="9" t="s">
        <v>7512</v>
      </c>
      <c r="F1886" s="9" t="s">
        <v>7513</v>
      </c>
      <c r="G1886" s="9" t="s">
        <v>328</v>
      </c>
      <c r="H1886" s="15" t="s">
        <v>23</v>
      </c>
      <c r="I1886" s="9" t="s">
        <v>7514</v>
      </c>
      <c r="J1886" s="13"/>
      <c r="K1886" s="13"/>
    </row>
    <row r="1887" customFormat="false" ht="57.45" hidden="false" customHeight="false" outlineLevel="0" collapsed="false">
      <c r="A1887" s="9" t="n">
        <v>1886</v>
      </c>
      <c r="B1887" s="9" t="s">
        <v>102</v>
      </c>
      <c r="C1887" s="11" t="s">
        <v>115</v>
      </c>
      <c r="D1887" s="9" t="s">
        <v>7515</v>
      </c>
      <c r="E1887" s="9" t="s">
        <v>7516</v>
      </c>
      <c r="F1887" s="9" t="s">
        <v>7517</v>
      </c>
      <c r="G1887" s="9" t="s">
        <v>1072</v>
      </c>
      <c r="H1887" s="12" t="s">
        <v>21</v>
      </c>
      <c r="I1887" s="9" t="s">
        <v>7518</v>
      </c>
      <c r="J1887" s="13"/>
      <c r="K1887" s="13"/>
    </row>
    <row r="1888" customFormat="false" ht="57.45" hidden="false" customHeight="false" outlineLevel="0" collapsed="false">
      <c r="A1888" s="9" t="n">
        <v>1887</v>
      </c>
      <c r="B1888" s="9" t="s">
        <v>102</v>
      </c>
      <c r="C1888" s="11" t="s">
        <v>115</v>
      </c>
      <c r="D1888" s="9" t="s">
        <v>7519</v>
      </c>
      <c r="E1888" s="9" t="s">
        <v>7520</v>
      </c>
      <c r="F1888" s="9" t="s">
        <v>7521</v>
      </c>
      <c r="G1888" s="9" t="s">
        <v>7522</v>
      </c>
      <c r="H1888" s="12" t="s">
        <v>21</v>
      </c>
      <c r="I1888" s="9" t="s">
        <v>7523</v>
      </c>
      <c r="J1888" s="13"/>
      <c r="K1888" s="13"/>
    </row>
    <row r="1889" customFormat="false" ht="35.05" hidden="false" customHeight="false" outlineLevel="0" collapsed="false">
      <c r="A1889" s="9" t="n">
        <v>1888</v>
      </c>
      <c r="B1889" s="9" t="s">
        <v>102</v>
      </c>
      <c r="C1889" s="11" t="s">
        <v>115</v>
      </c>
      <c r="D1889" s="9" t="s">
        <v>7524</v>
      </c>
      <c r="E1889" s="9" t="s">
        <v>7525</v>
      </c>
      <c r="F1889" s="9" t="s">
        <v>7526</v>
      </c>
      <c r="G1889" s="9" t="s">
        <v>1072</v>
      </c>
      <c r="H1889" s="14" t="s">
        <v>22</v>
      </c>
      <c r="I1889" s="9" t="s">
        <v>7527</v>
      </c>
      <c r="J1889" s="13"/>
      <c r="K1889" s="13"/>
    </row>
    <row r="1890" customFormat="false" ht="35.05" hidden="false" customHeight="false" outlineLevel="0" collapsed="false">
      <c r="A1890" s="9" t="n">
        <v>1889</v>
      </c>
      <c r="B1890" s="9" t="s">
        <v>102</v>
      </c>
      <c r="C1890" s="11" t="s">
        <v>115</v>
      </c>
      <c r="D1890" s="9" t="s">
        <v>7528</v>
      </c>
      <c r="E1890" s="9" t="s">
        <v>7529</v>
      </c>
      <c r="F1890" s="9" t="s">
        <v>7530</v>
      </c>
      <c r="G1890" s="9" t="s">
        <v>5294</v>
      </c>
      <c r="H1890" s="15" t="s">
        <v>23</v>
      </c>
      <c r="I1890" s="9" t="s">
        <v>7531</v>
      </c>
      <c r="J1890" s="13"/>
      <c r="K1890" s="13"/>
    </row>
    <row r="1891" customFormat="false" ht="35.05" hidden="false" customHeight="false" outlineLevel="0" collapsed="false">
      <c r="A1891" s="9" t="n">
        <v>1890</v>
      </c>
      <c r="B1891" s="9" t="s">
        <v>102</v>
      </c>
      <c r="C1891" s="11" t="s">
        <v>115</v>
      </c>
      <c r="D1891" s="9" t="s">
        <v>7532</v>
      </c>
      <c r="E1891" s="9" t="s">
        <v>7533</v>
      </c>
      <c r="F1891" s="9" t="s">
        <v>7534</v>
      </c>
      <c r="G1891" s="9" t="s">
        <v>1072</v>
      </c>
      <c r="H1891" s="15" t="s">
        <v>23</v>
      </c>
      <c r="I1891" s="9" t="s">
        <v>7535</v>
      </c>
      <c r="J1891" s="13"/>
      <c r="K1891" s="13"/>
    </row>
    <row r="1892" customFormat="false" ht="57.45" hidden="false" customHeight="false" outlineLevel="0" collapsed="false">
      <c r="A1892" s="9" t="n">
        <v>1891</v>
      </c>
      <c r="B1892" s="9" t="s">
        <v>102</v>
      </c>
      <c r="C1892" s="11" t="s">
        <v>115</v>
      </c>
      <c r="D1892" s="9" t="s">
        <v>7536</v>
      </c>
      <c r="E1892" s="9" t="s">
        <v>7537</v>
      </c>
      <c r="F1892" s="9" t="s">
        <v>7538</v>
      </c>
      <c r="G1892" s="9" t="s">
        <v>1284</v>
      </c>
      <c r="H1892" s="15" t="s">
        <v>23</v>
      </c>
      <c r="I1892" s="9" t="s">
        <v>7539</v>
      </c>
      <c r="J1892" s="13"/>
      <c r="K1892" s="13"/>
    </row>
    <row r="1893" customFormat="false" ht="35.05" hidden="false" customHeight="false" outlineLevel="0" collapsed="false">
      <c r="A1893" s="9" t="n">
        <v>1892</v>
      </c>
      <c r="B1893" s="9" t="s">
        <v>102</v>
      </c>
      <c r="C1893" s="11" t="s">
        <v>115</v>
      </c>
      <c r="D1893" s="9" t="s">
        <v>7540</v>
      </c>
      <c r="E1893" s="9" t="s">
        <v>7541</v>
      </c>
      <c r="F1893" s="9" t="s">
        <v>7542</v>
      </c>
      <c r="G1893" s="9" t="s">
        <v>5294</v>
      </c>
      <c r="H1893" s="15" t="s">
        <v>23</v>
      </c>
      <c r="I1893" s="9" t="s">
        <v>7543</v>
      </c>
      <c r="J1893" s="13"/>
      <c r="K1893" s="13"/>
    </row>
    <row r="1894" customFormat="false" ht="46.25" hidden="false" customHeight="false" outlineLevel="0" collapsed="false">
      <c r="A1894" s="9" t="n">
        <v>1893</v>
      </c>
      <c r="B1894" s="9" t="s">
        <v>102</v>
      </c>
      <c r="C1894" s="11" t="s">
        <v>115</v>
      </c>
      <c r="D1894" s="9" t="s">
        <v>7544</v>
      </c>
      <c r="E1894" s="9" t="s">
        <v>7545</v>
      </c>
      <c r="F1894" s="9" t="s">
        <v>7546</v>
      </c>
      <c r="G1894" s="9" t="s">
        <v>328</v>
      </c>
      <c r="H1894" s="15" t="s">
        <v>23</v>
      </c>
      <c r="I1894" s="9" t="s">
        <v>7547</v>
      </c>
      <c r="J1894" s="13"/>
      <c r="K1894" s="13"/>
    </row>
    <row r="1895" customFormat="false" ht="35.05" hidden="false" customHeight="false" outlineLevel="0" collapsed="false">
      <c r="A1895" s="9" t="n">
        <v>1894</v>
      </c>
      <c r="B1895" s="9" t="s">
        <v>102</v>
      </c>
      <c r="C1895" s="11" t="s">
        <v>115</v>
      </c>
      <c r="D1895" s="9" t="s">
        <v>7548</v>
      </c>
      <c r="E1895" s="9" t="s">
        <v>7549</v>
      </c>
      <c r="F1895" s="9" t="s">
        <v>7550</v>
      </c>
      <c r="G1895" s="9" t="s">
        <v>24</v>
      </c>
      <c r="H1895" s="12" t="s">
        <v>21</v>
      </c>
      <c r="I1895" s="9" t="s">
        <v>7551</v>
      </c>
      <c r="J1895" s="13"/>
      <c r="K1895" s="13"/>
    </row>
    <row r="1896" customFormat="false" ht="57.45" hidden="false" customHeight="false" outlineLevel="0" collapsed="false">
      <c r="A1896" s="9" t="n">
        <v>1895</v>
      </c>
      <c r="B1896" s="9" t="s">
        <v>102</v>
      </c>
      <c r="C1896" s="11" t="s">
        <v>115</v>
      </c>
      <c r="D1896" s="9" t="s">
        <v>7552</v>
      </c>
      <c r="E1896" s="9" t="s">
        <v>7553</v>
      </c>
      <c r="F1896" s="9" t="s">
        <v>7554</v>
      </c>
      <c r="G1896" s="9" t="s">
        <v>24</v>
      </c>
      <c r="H1896" s="14" t="s">
        <v>22</v>
      </c>
      <c r="I1896" s="9" t="s">
        <v>7555</v>
      </c>
      <c r="J1896" s="13"/>
      <c r="K1896" s="13"/>
    </row>
    <row r="1897" customFormat="false" ht="23.85" hidden="false" customHeight="false" outlineLevel="0" collapsed="false">
      <c r="A1897" s="9" t="n">
        <v>1896</v>
      </c>
      <c r="B1897" s="9" t="s">
        <v>102</v>
      </c>
      <c r="C1897" s="11" t="s">
        <v>115</v>
      </c>
      <c r="D1897" s="9" t="s">
        <v>7556</v>
      </c>
      <c r="E1897" s="9" t="s">
        <v>7557</v>
      </c>
      <c r="F1897" s="9" t="s">
        <v>7558</v>
      </c>
      <c r="G1897" s="9" t="s">
        <v>24</v>
      </c>
      <c r="H1897" s="14" t="s">
        <v>22</v>
      </c>
      <c r="I1897" s="9" t="s">
        <v>7559</v>
      </c>
      <c r="J1897" s="13"/>
      <c r="K1897" s="13"/>
    </row>
    <row r="1898" customFormat="false" ht="23.85" hidden="false" customHeight="false" outlineLevel="0" collapsed="false">
      <c r="A1898" s="9" t="n">
        <v>1897</v>
      </c>
      <c r="B1898" s="9" t="s">
        <v>102</v>
      </c>
      <c r="C1898" s="11" t="s">
        <v>115</v>
      </c>
      <c r="D1898" s="9" t="s">
        <v>7560</v>
      </c>
      <c r="E1898" s="9" t="s">
        <v>7561</v>
      </c>
      <c r="F1898" s="9" t="s">
        <v>7562</v>
      </c>
      <c r="G1898" s="9" t="s">
        <v>24</v>
      </c>
      <c r="H1898" s="14" t="s">
        <v>22</v>
      </c>
      <c r="I1898" s="9" t="s">
        <v>7563</v>
      </c>
      <c r="J1898" s="13"/>
      <c r="K1898" s="13"/>
    </row>
    <row r="1899" customFormat="false" ht="23.85" hidden="false" customHeight="false" outlineLevel="0" collapsed="false">
      <c r="A1899" s="9" t="n">
        <v>1898</v>
      </c>
      <c r="B1899" s="9" t="s">
        <v>102</v>
      </c>
      <c r="C1899" s="11" t="s">
        <v>115</v>
      </c>
      <c r="D1899" s="9" t="s">
        <v>7564</v>
      </c>
      <c r="E1899" s="9" t="s">
        <v>7565</v>
      </c>
      <c r="F1899" s="9" t="s">
        <v>7566</v>
      </c>
      <c r="G1899" s="9" t="s">
        <v>24</v>
      </c>
      <c r="H1899" s="14" t="s">
        <v>22</v>
      </c>
      <c r="I1899" s="9" t="s">
        <v>5149</v>
      </c>
      <c r="J1899" s="13"/>
      <c r="K1899" s="13"/>
    </row>
    <row r="1900" customFormat="false" ht="15" hidden="false" customHeight="false" outlineLevel="0" collapsed="false">
      <c r="A1900" s="9" t="n">
        <v>1899</v>
      </c>
      <c r="B1900" s="9" t="s">
        <v>102</v>
      </c>
      <c r="C1900" s="11" t="s">
        <v>115</v>
      </c>
      <c r="D1900" s="9" t="s">
        <v>7567</v>
      </c>
      <c r="E1900" s="9" t="s">
        <v>7568</v>
      </c>
      <c r="F1900" s="9" t="s">
        <v>7569</v>
      </c>
      <c r="G1900" s="9" t="s">
        <v>24</v>
      </c>
      <c r="H1900" s="14" t="s">
        <v>22</v>
      </c>
      <c r="I1900" s="9" t="s">
        <v>434</v>
      </c>
      <c r="J1900" s="13"/>
      <c r="K1900" s="13"/>
    </row>
    <row r="1901" customFormat="false" ht="35.05" hidden="false" customHeight="false" outlineLevel="0" collapsed="false">
      <c r="A1901" s="9" t="n">
        <v>1900</v>
      </c>
      <c r="B1901" s="9" t="s">
        <v>102</v>
      </c>
      <c r="C1901" s="11" t="s">
        <v>115</v>
      </c>
      <c r="D1901" s="9" t="s">
        <v>7570</v>
      </c>
      <c r="E1901" s="9" t="s">
        <v>358</v>
      </c>
      <c r="F1901" s="9" t="s">
        <v>7571</v>
      </c>
      <c r="G1901" s="9" t="s">
        <v>24</v>
      </c>
      <c r="H1901" s="14" t="s">
        <v>22</v>
      </c>
      <c r="I1901" s="9" t="s">
        <v>7572</v>
      </c>
      <c r="J1901" s="13"/>
      <c r="K1901" s="13"/>
    </row>
    <row r="1902" customFormat="false" ht="15" hidden="false" customHeight="false" outlineLevel="0" collapsed="false">
      <c r="A1902" s="9" t="n">
        <v>1901</v>
      </c>
      <c r="B1902" s="9" t="s">
        <v>102</v>
      </c>
      <c r="C1902" s="11" t="s">
        <v>115</v>
      </c>
      <c r="D1902" s="9" t="s">
        <v>7573</v>
      </c>
      <c r="E1902" s="9" t="s">
        <v>362</v>
      </c>
      <c r="F1902" s="9" t="s">
        <v>363</v>
      </c>
      <c r="G1902" s="9" t="s">
        <v>24</v>
      </c>
      <c r="H1902" s="14" t="s">
        <v>22</v>
      </c>
      <c r="I1902" s="9" t="s">
        <v>364</v>
      </c>
      <c r="J1902" s="13"/>
      <c r="K1902" s="13"/>
    </row>
    <row r="1903" customFormat="false" ht="35.05" hidden="false" customHeight="false" outlineLevel="0" collapsed="false">
      <c r="A1903" s="9" t="n">
        <v>1902</v>
      </c>
      <c r="B1903" s="9" t="s">
        <v>102</v>
      </c>
      <c r="C1903" s="11" t="s">
        <v>115</v>
      </c>
      <c r="D1903" s="9" t="s">
        <v>7574</v>
      </c>
      <c r="E1903" s="9" t="s">
        <v>7575</v>
      </c>
      <c r="F1903" s="9" t="s">
        <v>7576</v>
      </c>
      <c r="G1903" s="9" t="s">
        <v>24</v>
      </c>
      <c r="H1903" s="15" t="s">
        <v>23</v>
      </c>
      <c r="I1903" s="9" t="s">
        <v>7577</v>
      </c>
      <c r="J1903" s="13"/>
      <c r="K1903" s="13"/>
    </row>
    <row r="1904" customFormat="false" ht="35.05" hidden="false" customHeight="false" outlineLevel="0" collapsed="false">
      <c r="A1904" s="9" t="n">
        <v>1903</v>
      </c>
      <c r="B1904" s="9" t="s">
        <v>102</v>
      </c>
      <c r="C1904" s="11" t="s">
        <v>115</v>
      </c>
      <c r="D1904" s="9" t="s">
        <v>7578</v>
      </c>
      <c r="E1904" s="9" t="s">
        <v>7579</v>
      </c>
      <c r="F1904" s="9" t="s">
        <v>7580</v>
      </c>
      <c r="G1904" s="9" t="s">
        <v>24</v>
      </c>
      <c r="H1904" s="15" t="s">
        <v>23</v>
      </c>
      <c r="I1904" s="9" t="s">
        <v>7581</v>
      </c>
      <c r="J1904" s="13"/>
      <c r="K1904" s="13"/>
    </row>
    <row r="1905" customFormat="false" ht="23.85" hidden="false" customHeight="false" outlineLevel="0" collapsed="false">
      <c r="A1905" s="9" t="n">
        <v>1904</v>
      </c>
      <c r="B1905" s="9" t="s">
        <v>102</v>
      </c>
      <c r="C1905" s="11" t="s">
        <v>115</v>
      </c>
      <c r="D1905" s="9" t="s">
        <v>7582</v>
      </c>
      <c r="E1905" s="9" t="s">
        <v>7583</v>
      </c>
      <c r="F1905" s="9" t="s">
        <v>7584</v>
      </c>
      <c r="G1905" s="9" t="s">
        <v>24</v>
      </c>
      <c r="H1905" s="15" t="s">
        <v>23</v>
      </c>
      <c r="I1905" s="9" t="s">
        <v>7585</v>
      </c>
      <c r="J1905" s="13"/>
      <c r="K1905" s="13"/>
    </row>
    <row r="1906" customFormat="false" ht="23.85" hidden="false" customHeight="false" outlineLevel="0" collapsed="false">
      <c r="A1906" s="9" t="n">
        <v>1905</v>
      </c>
      <c r="B1906" s="9" t="s">
        <v>102</v>
      </c>
      <c r="C1906" s="11" t="s">
        <v>115</v>
      </c>
      <c r="D1906" s="9" t="s">
        <v>7586</v>
      </c>
      <c r="E1906" s="9" t="s">
        <v>7587</v>
      </c>
      <c r="F1906" s="9" t="s">
        <v>7588</v>
      </c>
      <c r="G1906" s="9" t="s">
        <v>24</v>
      </c>
      <c r="H1906" s="15" t="s">
        <v>23</v>
      </c>
      <c r="I1906" s="9" t="s">
        <v>7589</v>
      </c>
      <c r="J1906" s="13"/>
      <c r="K1906" s="13"/>
    </row>
    <row r="1907" customFormat="false" ht="102.2" hidden="false" customHeight="false" outlineLevel="0" collapsed="false">
      <c r="A1907" s="9" t="n">
        <v>1906</v>
      </c>
      <c r="B1907" s="9" t="s">
        <v>102</v>
      </c>
      <c r="C1907" s="11" t="s">
        <v>117</v>
      </c>
      <c r="D1907" s="9" t="s">
        <v>7590</v>
      </c>
      <c r="E1907" s="9" t="s">
        <v>7591</v>
      </c>
      <c r="F1907" s="9" t="s">
        <v>7592</v>
      </c>
      <c r="G1907" s="9" t="s">
        <v>1852</v>
      </c>
      <c r="H1907" s="12" t="s">
        <v>21</v>
      </c>
      <c r="I1907" s="9" t="s">
        <v>7593</v>
      </c>
      <c r="J1907" s="13"/>
      <c r="K1907" s="13"/>
    </row>
    <row r="1908" customFormat="false" ht="68.65" hidden="false" customHeight="false" outlineLevel="0" collapsed="false">
      <c r="A1908" s="9" t="n">
        <v>1907</v>
      </c>
      <c r="B1908" s="9" t="s">
        <v>102</v>
      </c>
      <c r="C1908" s="11" t="s">
        <v>117</v>
      </c>
      <c r="D1908" s="9" t="s">
        <v>7594</v>
      </c>
      <c r="E1908" s="9" t="s">
        <v>7595</v>
      </c>
      <c r="F1908" s="9" t="s">
        <v>7596</v>
      </c>
      <c r="G1908" s="9" t="s">
        <v>317</v>
      </c>
      <c r="H1908" s="14" t="s">
        <v>22</v>
      </c>
      <c r="I1908" s="9" t="s">
        <v>7597</v>
      </c>
      <c r="J1908" s="13"/>
      <c r="K1908" s="13"/>
    </row>
    <row r="1909" customFormat="false" ht="102.2" hidden="false" customHeight="false" outlineLevel="0" collapsed="false">
      <c r="A1909" s="9" t="n">
        <v>1908</v>
      </c>
      <c r="B1909" s="9" t="s">
        <v>102</v>
      </c>
      <c r="C1909" s="11" t="s">
        <v>117</v>
      </c>
      <c r="D1909" s="9" t="s">
        <v>7598</v>
      </c>
      <c r="E1909" s="9" t="s">
        <v>7599</v>
      </c>
      <c r="F1909" s="9" t="s">
        <v>7600</v>
      </c>
      <c r="G1909" s="9" t="s">
        <v>317</v>
      </c>
      <c r="H1909" s="12" t="s">
        <v>21</v>
      </c>
      <c r="I1909" s="9" t="s">
        <v>7601</v>
      </c>
      <c r="J1909" s="13"/>
      <c r="K1909" s="13"/>
    </row>
    <row r="1910" customFormat="false" ht="57.45" hidden="false" customHeight="false" outlineLevel="0" collapsed="false">
      <c r="A1910" s="9" t="n">
        <v>1909</v>
      </c>
      <c r="B1910" s="9" t="s">
        <v>102</v>
      </c>
      <c r="C1910" s="11" t="s">
        <v>117</v>
      </c>
      <c r="D1910" s="9" t="s">
        <v>7602</v>
      </c>
      <c r="E1910" s="9" t="s">
        <v>7603</v>
      </c>
      <c r="F1910" s="9" t="s">
        <v>7604</v>
      </c>
      <c r="G1910" s="9" t="s">
        <v>392</v>
      </c>
      <c r="H1910" s="14" t="s">
        <v>22</v>
      </c>
      <c r="I1910" s="9" t="s">
        <v>7605</v>
      </c>
      <c r="J1910" s="13"/>
      <c r="K1910" s="13"/>
    </row>
    <row r="1911" customFormat="false" ht="57.45" hidden="false" customHeight="false" outlineLevel="0" collapsed="false">
      <c r="A1911" s="9" t="n">
        <v>1910</v>
      </c>
      <c r="B1911" s="9" t="s">
        <v>102</v>
      </c>
      <c r="C1911" s="11" t="s">
        <v>117</v>
      </c>
      <c r="D1911" s="9" t="s">
        <v>7606</v>
      </c>
      <c r="E1911" s="9" t="s">
        <v>7607</v>
      </c>
      <c r="F1911" s="9" t="s">
        <v>7608</v>
      </c>
      <c r="G1911" s="9" t="s">
        <v>847</v>
      </c>
      <c r="H1911" s="14" t="s">
        <v>22</v>
      </c>
      <c r="I1911" s="9" t="s">
        <v>7609</v>
      </c>
      <c r="J1911" s="13"/>
      <c r="K1911" s="13"/>
    </row>
    <row r="1912" customFormat="false" ht="68.65" hidden="false" customHeight="false" outlineLevel="0" collapsed="false">
      <c r="A1912" s="9" t="n">
        <v>1911</v>
      </c>
      <c r="B1912" s="9" t="s">
        <v>102</v>
      </c>
      <c r="C1912" s="11" t="s">
        <v>117</v>
      </c>
      <c r="D1912" s="9" t="s">
        <v>7610</v>
      </c>
      <c r="E1912" s="9" t="s">
        <v>7611</v>
      </c>
      <c r="F1912" s="9" t="s">
        <v>7612</v>
      </c>
      <c r="G1912" s="9" t="s">
        <v>1284</v>
      </c>
      <c r="H1912" s="12" t="s">
        <v>21</v>
      </c>
      <c r="I1912" s="9" t="s">
        <v>7613</v>
      </c>
      <c r="J1912" s="13"/>
      <c r="K1912" s="13"/>
    </row>
    <row r="1913" customFormat="false" ht="68.65" hidden="false" customHeight="false" outlineLevel="0" collapsed="false">
      <c r="A1913" s="9" t="n">
        <v>1912</v>
      </c>
      <c r="B1913" s="9" t="s">
        <v>102</v>
      </c>
      <c r="C1913" s="11" t="s">
        <v>117</v>
      </c>
      <c r="D1913" s="9" t="s">
        <v>7614</v>
      </c>
      <c r="E1913" s="9" t="s">
        <v>7615</v>
      </c>
      <c r="F1913" s="9" t="s">
        <v>7616</v>
      </c>
      <c r="G1913" s="9" t="s">
        <v>861</v>
      </c>
      <c r="H1913" s="14" t="s">
        <v>22</v>
      </c>
      <c r="I1913" s="9" t="s">
        <v>7617</v>
      </c>
      <c r="J1913" s="13"/>
      <c r="K1913" s="13"/>
    </row>
    <row r="1914" customFormat="false" ht="57.45" hidden="false" customHeight="false" outlineLevel="0" collapsed="false">
      <c r="A1914" s="9" t="n">
        <v>1913</v>
      </c>
      <c r="B1914" s="9" t="s">
        <v>102</v>
      </c>
      <c r="C1914" s="11" t="s">
        <v>117</v>
      </c>
      <c r="D1914" s="9" t="s">
        <v>7618</v>
      </c>
      <c r="E1914" s="9" t="s">
        <v>7619</v>
      </c>
      <c r="F1914" s="9" t="s">
        <v>7620</v>
      </c>
      <c r="G1914" s="9" t="s">
        <v>312</v>
      </c>
      <c r="H1914" s="14" t="s">
        <v>22</v>
      </c>
      <c r="I1914" s="9" t="s">
        <v>7621</v>
      </c>
      <c r="J1914" s="13"/>
      <c r="K1914" s="13"/>
    </row>
    <row r="1915" customFormat="false" ht="57.45" hidden="false" customHeight="false" outlineLevel="0" collapsed="false">
      <c r="A1915" s="9" t="n">
        <v>1914</v>
      </c>
      <c r="B1915" s="9" t="s">
        <v>102</v>
      </c>
      <c r="C1915" s="11" t="s">
        <v>117</v>
      </c>
      <c r="D1915" s="9" t="s">
        <v>7622</v>
      </c>
      <c r="E1915" s="9" t="s">
        <v>7623</v>
      </c>
      <c r="F1915" s="9" t="s">
        <v>7624</v>
      </c>
      <c r="G1915" s="9" t="s">
        <v>317</v>
      </c>
      <c r="H1915" s="14" t="s">
        <v>22</v>
      </c>
      <c r="I1915" s="9" t="s">
        <v>7625</v>
      </c>
      <c r="J1915" s="13"/>
      <c r="K1915" s="13"/>
    </row>
    <row r="1916" customFormat="false" ht="23.85" hidden="false" customHeight="false" outlineLevel="0" collapsed="false">
      <c r="A1916" s="9" t="n">
        <v>1915</v>
      </c>
      <c r="B1916" s="9" t="s">
        <v>102</v>
      </c>
      <c r="C1916" s="11" t="s">
        <v>117</v>
      </c>
      <c r="D1916" s="9" t="s">
        <v>7626</v>
      </c>
      <c r="E1916" s="9" t="s">
        <v>7627</v>
      </c>
      <c r="F1916" s="9" t="s">
        <v>7628</v>
      </c>
      <c r="G1916" s="9" t="s">
        <v>308</v>
      </c>
      <c r="H1916" s="14" t="s">
        <v>22</v>
      </c>
      <c r="I1916" s="9" t="s">
        <v>7629</v>
      </c>
      <c r="J1916" s="13"/>
      <c r="K1916" s="13"/>
    </row>
    <row r="1917" customFormat="false" ht="68.65" hidden="false" customHeight="false" outlineLevel="0" collapsed="false">
      <c r="A1917" s="9" t="n">
        <v>1916</v>
      </c>
      <c r="B1917" s="9" t="s">
        <v>102</v>
      </c>
      <c r="C1917" s="11" t="s">
        <v>117</v>
      </c>
      <c r="D1917" s="9" t="s">
        <v>7630</v>
      </c>
      <c r="E1917" s="9" t="s">
        <v>7631</v>
      </c>
      <c r="F1917" s="9" t="s">
        <v>7632</v>
      </c>
      <c r="G1917" s="9" t="s">
        <v>392</v>
      </c>
      <c r="H1917" s="14" t="s">
        <v>22</v>
      </c>
      <c r="I1917" s="9" t="s">
        <v>7633</v>
      </c>
      <c r="J1917" s="13"/>
      <c r="K1917" s="13"/>
    </row>
    <row r="1918" customFormat="false" ht="35.05" hidden="false" customHeight="false" outlineLevel="0" collapsed="false">
      <c r="A1918" s="9" t="n">
        <v>1917</v>
      </c>
      <c r="B1918" s="9" t="s">
        <v>102</v>
      </c>
      <c r="C1918" s="11" t="s">
        <v>117</v>
      </c>
      <c r="D1918" s="9" t="s">
        <v>7634</v>
      </c>
      <c r="E1918" s="9" t="s">
        <v>7635</v>
      </c>
      <c r="F1918" s="9" t="s">
        <v>7636</v>
      </c>
      <c r="G1918" s="9" t="s">
        <v>328</v>
      </c>
      <c r="H1918" s="15" t="s">
        <v>23</v>
      </c>
      <c r="I1918" s="9" t="s">
        <v>7637</v>
      </c>
      <c r="J1918" s="13"/>
      <c r="K1918" s="13"/>
    </row>
    <row r="1919" customFormat="false" ht="23.85" hidden="false" customHeight="false" outlineLevel="0" collapsed="false">
      <c r="A1919" s="9" t="n">
        <v>1918</v>
      </c>
      <c r="B1919" s="9" t="s">
        <v>102</v>
      </c>
      <c r="C1919" s="11" t="s">
        <v>117</v>
      </c>
      <c r="D1919" s="9" t="s">
        <v>7638</v>
      </c>
      <c r="E1919" s="9" t="s">
        <v>7639</v>
      </c>
      <c r="F1919" s="9" t="s">
        <v>7640</v>
      </c>
      <c r="G1919" s="9" t="s">
        <v>328</v>
      </c>
      <c r="H1919" s="14" t="s">
        <v>22</v>
      </c>
      <c r="I1919" s="9" t="s">
        <v>7641</v>
      </c>
      <c r="J1919" s="13"/>
      <c r="K1919" s="13"/>
    </row>
    <row r="1920" customFormat="false" ht="57.45" hidden="false" customHeight="false" outlineLevel="0" collapsed="false">
      <c r="A1920" s="9" t="n">
        <v>1919</v>
      </c>
      <c r="B1920" s="9" t="s">
        <v>102</v>
      </c>
      <c r="C1920" s="11" t="s">
        <v>117</v>
      </c>
      <c r="D1920" s="9" t="s">
        <v>7642</v>
      </c>
      <c r="E1920" s="9" t="s">
        <v>7643</v>
      </c>
      <c r="F1920" s="9" t="s">
        <v>7644</v>
      </c>
      <c r="G1920" s="9" t="s">
        <v>1063</v>
      </c>
      <c r="H1920" s="14" t="s">
        <v>22</v>
      </c>
      <c r="I1920" s="9" t="s">
        <v>7645</v>
      </c>
      <c r="J1920" s="13"/>
      <c r="K1920" s="13"/>
    </row>
    <row r="1921" customFormat="false" ht="57.45" hidden="false" customHeight="false" outlineLevel="0" collapsed="false">
      <c r="A1921" s="9" t="n">
        <v>1920</v>
      </c>
      <c r="B1921" s="9" t="s">
        <v>102</v>
      </c>
      <c r="C1921" s="11" t="s">
        <v>117</v>
      </c>
      <c r="D1921" s="9" t="s">
        <v>7646</v>
      </c>
      <c r="E1921" s="9" t="s">
        <v>7647</v>
      </c>
      <c r="F1921" s="9" t="s">
        <v>7648</v>
      </c>
      <c r="G1921" s="9" t="s">
        <v>1421</v>
      </c>
      <c r="H1921" s="14" t="s">
        <v>22</v>
      </c>
      <c r="I1921" s="9" t="s">
        <v>7649</v>
      </c>
      <c r="J1921" s="13"/>
      <c r="K1921" s="13"/>
    </row>
    <row r="1922" customFormat="false" ht="23.85" hidden="false" customHeight="false" outlineLevel="0" collapsed="false">
      <c r="A1922" s="9" t="n">
        <v>1921</v>
      </c>
      <c r="B1922" s="9" t="s">
        <v>102</v>
      </c>
      <c r="C1922" s="11" t="s">
        <v>117</v>
      </c>
      <c r="D1922" s="9" t="s">
        <v>7650</v>
      </c>
      <c r="E1922" s="9" t="s">
        <v>7651</v>
      </c>
      <c r="F1922" s="9" t="s">
        <v>7652</v>
      </c>
      <c r="G1922" s="9" t="s">
        <v>7432</v>
      </c>
      <c r="H1922" s="15" t="s">
        <v>23</v>
      </c>
      <c r="I1922" s="9" t="s">
        <v>7653</v>
      </c>
      <c r="J1922" s="13"/>
      <c r="K1922" s="13"/>
    </row>
    <row r="1923" customFormat="false" ht="57.45" hidden="false" customHeight="false" outlineLevel="0" collapsed="false">
      <c r="A1923" s="9" t="n">
        <v>1922</v>
      </c>
      <c r="B1923" s="9" t="s">
        <v>102</v>
      </c>
      <c r="C1923" s="11" t="s">
        <v>117</v>
      </c>
      <c r="D1923" s="9" t="s">
        <v>7654</v>
      </c>
      <c r="E1923" s="9" t="s">
        <v>7655</v>
      </c>
      <c r="F1923" s="9" t="s">
        <v>7656</v>
      </c>
      <c r="G1923" s="9" t="s">
        <v>7657</v>
      </c>
      <c r="H1923" s="15" t="s">
        <v>23</v>
      </c>
      <c r="I1923" s="9" t="s">
        <v>7658</v>
      </c>
      <c r="J1923" s="13"/>
      <c r="K1923" s="13"/>
    </row>
    <row r="1924" customFormat="false" ht="57.45" hidden="false" customHeight="false" outlineLevel="0" collapsed="false">
      <c r="A1924" s="9" t="n">
        <v>1923</v>
      </c>
      <c r="B1924" s="9" t="s">
        <v>102</v>
      </c>
      <c r="C1924" s="11" t="s">
        <v>117</v>
      </c>
      <c r="D1924" s="9" t="s">
        <v>7659</v>
      </c>
      <c r="E1924" s="9" t="s">
        <v>7660</v>
      </c>
      <c r="F1924" s="9" t="s">
        <v>7661</v>
      </c>
      <c r="G1924" s="9" t="s">
        <v>5294</v>
      </c>
      <c r="H1924" s="14" t="s">
        <v>22</v>
      </c>
      <c r="I1924" s="9" t="s">
        <v>7662</v>
      </c>
      <c r="J1924" s="13"/>
      <c r="K1924" s="13"/>
    </row>
    <row r="1925" customFormat="false" ht="46.25" hidden="false" customHeight="false" outlineLevel="0" collapsed="false">
      <c r="A1925" s="9" t="n">
        <v>1924</v>
      </c>
      <c r="B1925" s="9" t="s">
        <v>102</v>
      </c>
      <c r="C1925" s="11" t="s">
        <v>117</v>
      </c>
      <c r="D1925" s="9" t="s">
        <v>7663</v>
      </c>
      <c r="E1925" s="9" t="s">
        <v>7664</v>
      </c>
      <c r="F1925" s="9" t="s">
        <v>7665</v>
      </c>
      <c r="G1925" s="9" t="s">
        <v>312</v>
      </c>
      <c r="H1925" s="14" t="s">
        <v>22</v>
      </c>
      <c r="I1925" s="9" t="s">
        <v>7666</v>
      </c>
      <c r="J1925" s="13"/>
      <c r="K1925" s="13"/>
    </row>
    <row r="1926" customFormat="false" ht="46.25" hidden="false" customHeight="false" outlineLevel="0" collapsed="false">
      <c r="A1926" s="9" t="n">
        <v>1925</v>
      </c>
      <c r="B1926" s="9" t="s">
        <v>102</v>
      </c>
      <c r="C1926" s="11" t="s">
        <v>117</v>
      </c>
      <c r="D1926" s="9" t="s">
        <v>7667</v>
      </c>
      <c r="E1926" s="9" t="s">
        <v>7668</v>
      </c>
      <c r="F1926" s="9" t="s">
        <v>7669</v>
      </c>
      <c r="G1926" s="9" t="s">
        <v>317</v>
      </c>
      <c r="H1926" s="15" t="s">
        <v>23</v>
      </c>
      <c r="I1926" s="9" t="s">
        <v>7670</v>
      </c>
      <c r="J1926" s="13"/>
      <c r="K1926" s="13"/>
    </row>
    <row r="1927" customFormat="false" ht="57.45" hidden="false" customHeight="false" outlineLevel="0" collapsed="false">
      <c r="A1927" s="9" t="n">
        <v>1926</v>
      </c>
      <c r="B1927" s="9" t="s">
        <v>102</v>
      </c>
      <c r="C1927" s="11" t="s">
        <v>117</v>
      </c>
      <c r="D1927" s="9" t="s">
        <v>7671</v>
      </c>
      <c r="E1927" s="9" t="s">
        <v>7672</v>
      </c>
      <c r="F1927" s="9" t="s">
        <v>7673</v>
      </c>
      <c r="G1927" s="9" t="s">
        <v>3343</v>
      </c>
      <c r="H1927" s="14" t="s">
        <v>22</v>
      </c>
      <c r="I1927" s="9" t="s">
        <v>7674</v>
      </c>
      <c r="J1927" s="13"/>
      <c r="K1927" s="13"/>
    </row>
    <row r="1928" customFormat="false" ht="46.25" hidden="false" customHeight="false" outlineLevel="0" collapsed="false">
      <c r="A1928" s="9" t="n">
        <v>1927</v>
      </c>
      <c r="B1928" s="9" t="s">
        <v>102</v>
      </c>
      <c r="C1928" s="11" t="s">
        <v>117</v>
      </c>
      <c r="D1928" s="9" t="s">
        <v>7675</v>
      </c>
      <c r="E1928" s="9" t="s">
        <v>7676</v>
      </c>
      <c r="F1928" s="9" t="s">
        <v>7677</v>
      </c>
      <c r="G1928" s="9" t="s">
        <v>392</v>
      </c>
      <c r="H1928" s="15" t="s">
        <v>23</v>
      </c>
      <c r="I1928" s="9" t="s">
        <v>7678</v>
      </c>
      <c r="J1928" s="13"/>
      <c r="K1928" s="13"/>
    </row>
    <row r="1929" customFormat="false" ht="35.05" hidden="false" customHeight="false" outlineLevel="0" collapsed="false">
      <c r="A1929" s="9" t="n">
        <v>1928</v>
      </c>
      <c r="B1929" s="9" t="s">
        <v>102</v>
      </c>
      <c r="C1929" s="11" t="s">
        <v>117</v>
      </c>
      <c r="D1929" s="9" t="s">
        <v>7679</v>
      </c>
      <c r="E1929" s="9" t="s">
        <v>7680</v>
      </c>
      <c r="F1929" s="9" t="s">
        <v>7681</v>
      </c>
      <c r="G1929" s="9" t="s">
        <v>1404</v>
      </c>
      <c r="H1929" s="14" t="s">
        <v>22</v>
      </c>
      <c r="I1929" s="9" t="s">
        <v>7682</v>
      </c>
      <c r="J1929" s="13"/>
      <c r="K1929" s="13"/>
    </row>
    <row r="1930" customFormat="false" ht="46.25" hidden="false" customHeight="false" outlineLevel="0" collapsed="false">
      <c r="A1930" s="9" t="n">
        <v>1929</v>
      </c>
      <c r="B1930" s="9" t="s">
        <v>102</v>
      </c>
      <c r="C1930" s="11" t="s">
        <v>117</v>
      </c>
      <c r="D1930" s="9" t="s">
        <v>7683</v>
      </c>
      <c r="E1930" s="9" t="s">
        <v>7684</v>
      </c>
      <c r="F1930" s="9" t="s">
        <v>7685</v>
      </c>
      <c r="G1930" s="9" t="s">
        <v>312</v>
      </c>
      <c r="H1930" s="14" t="s">
        <v>22</v>
      </c>
      <c r="I1930" s="9" t="s">
        <v>7686</v>
      </c>
      <c r="J1930" s="13"/>
      <c r="K1930" s="13"/>
    </row>
    <row r="1931" customFormat="false" ht="35.05" hidden="false" customHeight="false" outlineLevel="0" collapsed="false">
      <c r="A1931" s="9" t="n">
        <v>1930</v>
      </c>
      <c r="B1931" s="9" t="s">
        <v>102</v>
      </c>
      <c r="C1931" s="11" t="s">
        <v>117</v>
      </c>
      <c r="D1931" s="9" t="s">
        <v>7687</v>
      </c>
      <c r="E1931" s="9" t="s">
        <v>7688</v>
      </c>
      <c r="F1931" s="9" t="s">
        <v>7689</v>
      </c>
      <c r="G1931" s="9" t="s">
        <v>312</v>
      </c>
      <c r="H1931" s="15" t="s">
        <v>23</v>
      </c>
      <c r="I1931" s="9" t="s">
        <v>7690</v>
      </c>
      <c r="J1931" s="13"/>
      <c r="K1931" s="13"/>
    </row>
    <row r="1932" customFormat="false" ht="68.65" hidden="false" customHeight="false" outlineLevel="0" collapsed="false">
      <c r="A1932" s="9" t="n">
        <v>1931</v>
      </c>
      <c r="B1932" s="9" t="s">
        <v>102</v>
      </c>
      <c r="C1932" s="11" t="s">
        <v>117</v>
      </c>
      <c r="D1932" s="9" t="s">
        <v>7691</v>
      </c>
      <c r="E1932" s="9" t="s">
        <v>7692</v>
      </c>
      <c r="F1932" s="9" t="s">
        <v>7693</v>
      </c>
      <c r="G1932" s="9" t="s">
        <v>392</v>
      </c>
      <c r="H1932" s="15" t="s">
        <v>23</v>
      </c>
      <c r="I1932" s="9" t="s">
        <v>7694</v>
      </c>
      <c r="J1932" s="13"/>
      <c r="K1932" s="13"/>
    </row>
    <row r="1933" customFormat="false" ht="46.25" hidden="false" customHeight="false" outlineLevel="0" collapsed="false">
      <c r="A1933" s="9" t="n">
        <v>1932</v>
      </c>
      <c r="B1933" s="9" t="s">
        <v>102</v>
      </c>
      <c r="C1933" s="11" t="s">
        <v>117</v>
      </c>
      <c r="D1933" s="9" t="s">
        <v>7695</v>
      </c>
      <c r="E1933" s="9" t="s">
        <v>7696</v>
      </c>
      <c r="F1933" s="9" t="s">
        <v>7697</v>
      </c>
      <c r="G1933" s="9" t="s">
        <v>392</v>
      </c>
      <c r="H1933" s="15" t="s">
        <v>23</v>
      </c>
      <c r="I1933" s="9" t="s">
        <v>7698</v>
      </c>
      <c r="J1933" s="13"/>
      <c r="K1933" s="13"/>
    </row>
    <row r="1934" customFormat="false" ht="35.05" hidden="false" customHeight="false" outlineLevel="0" collapsed="false">
      <c r="A1934" s="9" t="n">
        <v>1933</v>
      </c>
      <c r="B1934" s="9" t="s">
        <v>102</v>
      </c>
      <c r="C1934" s="11" t="s">
        <v>117</v>
      </c>
      <c r="D1934" s="9" t="s">
        <v>7699</v>
      </c>
      <c r="E1934" s="9" t="s">
        <v>7700</v>
      </c>
      <c r="F1934" s="9" t="s">
        <v>7701</v>
      </c>
      <c r="G1934" s="9" t="s">
        <v>312</v>
      </c>
      <c r="H1934" s="15" t="s">
        <v>23</v>
      </c>
      <c r="I1934" s="9" t="s">
        <v>7702</v>
      </c>
      <c r="J1934" s="13"/>
      <c r="K1934" s="13"/>
    </row>
    <row r="1935" customFormat="false" ht="46.25" hidden="false" customHeight="false" outlineLevel="0" collapsed="false">
      <c r="A1935" s="9" t="n">
        <v>1934</v>
      </c>
      <c r="B1935" s="9" t="s">
        <v>102</v>
      </c>
      <c r="C1935" s="11" t="s">
        <v>117</v>
      </c>
      <c r="D1935" s="9" t="s">
        <v>7703</v>
      </c>
      <c r="E1935" s="9" t="s">
        <v>7704</v>
      </c>
      <c r="F1935" s="9" t="s">
        <v>7705</v>
      </c>
      <c r="G1935" s="9" t="s">
        <v>312</v>
      </c>
      <c r="H1935" s="15" t="s">
        <v>23</v>
      </c>
      <c r="I1935" s="9" t="s">
        <v>7706</v>
      </c>
      <c r="J1935" s="13"/>
      <c r="K1935" s="13"/>
    </row>
    <row r="1936" customFormat="false" ht="46.25" hidden="false" customHeight="false" outlineLevel="0" collapsed="false">
      <c r="A1936" s="9" t="n">
        <v>1935</v>
      </c>
      <c r="B1936" s="9" t="s">
        <v>102</v>
      </c>
      <c r="C1936" s="11" t="s">
        <v>117</v>
      </c>
      <c r="D1936" s="9" t="s">
        <v>7707</v>
      </c>
      <c r="E1936" s="9" t="s">
        <v>7708</v>
      </c>
      <c r="F1936" s="9" t="s">
        <v>7709</v>
      </c>
      <c r="G1936" s="9" t="s">
        <v>308</v>
      </c>
      <c r="H1936" s="15" t="s">
        <v>23</v>
      </c>
      <c r="I1936" s="9" t="s">
        <v>7710</v>
      </c>
      <c r="J1936" s="13"/>
      <c r="K1936" s="13"/>
    </row>
    <row r="1937" customFormat="false" ht="57.45" hidden="false" customHeight="false" outlineLevel="0" collapsed="false">
      <c r="A1937" s="9" t="n">
        <v>1936</v>
      </c>
      <c r="B1937" s="9" t="s">
        <v>102</v>
      </c>
      <c r="C1937" s="11" t="s">
        <v>117</v>
      </c>
      <c r="D1937" s="9" t="s">
        <v>7711</v>
      </c>
      <c r="E1937" s="9" t="s">
        <v>7712</v>
      </c>
      <c r="F1937" s="9" t="s">
        <v>7713</v>
      </c>
      <c r="G1937" s="9" t="s">
        <v>7522</v>
      </c>
      <c r="H1937" s="12" t="s">
        <v>21</v>
      </c>
      <c r="I1937" s="9" t="s">
        <v>7714</v>
      </c>
      <c r="J1937" s="13"/>
      <c r="K1937" s="13"/>
    </row>
    <row r="1938" customFormat="false" ht="68.65" hidden="false" customHeight="false" outlineLevel="0" collapsed="false">
      <c r="A1938" s="9" t="n">
        <v>1937</v>
      </c>
      <c r="B1938" s="9" t="s">
        <v>102</v>
      </c>
      <c r="C1938" s="11" t="s">
        <v>117</v>
      </c>
      <c r="D1938" s="9" t="s">
        <v>7715</v>
      </c>
      <c r="E1938" s="9" t="s">
        <v>7716</v>
      </c>
      <c r="F1938" s="9" t="s">
        <v>7717</v>
      </c>
      <c r="G1938" s="9" t="s">
        <v>7522</v>
      </c>
      <c r="H1938" s="14" t="s">
        <v>22</v>
      </c>
      <c r="I1938" s="9" t="s">
        <v>7718</v>
      </c>
      <c r="J1938" s="13"/>
      <c r="K1938" s="13"/>
    </row>
    <row r="1939" customFormat="false" ht="35.05" hidden="false" customHeight="false" outlineLevel="0" collapsed="false">
      <c r="A1939" s="9" t="n">
        <v>1938</v>
      </c>
      <c r="B1939" s="9" t="s">
        <v>102</v>
      </c>
      <c r="C1939" s="11" t="s">
        <v>117</v>
      </c>
      <c r="D1939" s="9" t="s">
        <v>7719</v>
      </c>
      <c r="E1939" s="9" t="s">
        <v>7720</v>
      </c>
      <c r="F1939" s="9" t="s">
        <v>7721</v>
      </c>
      <c r="G1939" s="9" t="s">
        <v>1072</v>
      </c>
      <c r="H1939" s="14" t="s">
        <v>22</v>
      </c>
      <c r="I1939" s="9" t="s">
        <v>7722</v>
      </c>
      <c r="J1939" s="13"/>
      <c r="K1939" s="13"/>
    </row>
    <row r="1940" customFormat="false" ht="35.05" hidden="false" customHeight="false" outlineLevel="0" collapsed="false">
      <c r="A1940" s="9" t="n">
        <v>1939</v>
      </c>
      <c r="B1940" s="9" t="s">
        <v>102</v>
      </c>
      <c r="C1940" s="11" t="s">
        <v>117</v>
      </c>
      <c r="D1940" s="9" t="s">
        <v>7723</v>
      </c>
      <c r="E1940" s="9" t="s">
        <v>7724</v>
      </c>
      <c r="F1940" s="9" t="s">
        <v>7725</v>
      </c>
      <c r="G1940" s="9" t="s">
        <v>5832</v>
      </c>
      <c r="H1940" s="15" t="s">
        <v>23</v>
      </c>
      <c r="I1940" s="9" t="s">
        <v>7726</v>
      </c>
      <c r="J1940" s="13"/>
      <c r="K1940" s="13"/>
    </row>
    <row r="1941" customFormat="false" ht="35.05" hidden="false" customHeight="false" outlineLevel="0" collapsed="false">
      <c r="A1941" s="9" t="n">
        <v>1940</v>
      </c>
      <c r="B1941" s="9" t="s">
        <v>102</v>
      </c>
      <c r="C1941" s="11" t="s">
        <v>117</v>
      </c>
      <c r="D1941" s="9" t="s">
        <v>7727</v>
      </c>
      <c r="E1941" s="9" t="s">
        <v>7728</v>
      </c>
      <c r="F1941" s="9" t="s">
        <v>7729</v>
      </c>
      <c r="G1941" s="9" t="s">
        <v>1072</v>
      </c>
      <c r="H1941" s="15" t="s">
        <v>23</v>
      </c>
      <c r="I1941" s="9" t="s">
        <v>7730</v>
      </c>
      <c r="J1941" s="13"/>
      <c r="K1941" s="13"/>
    </row>
    <row r="1942" customFormat="false" ht="23.85" hidden="false" customHeight="false" outlineLevel="0" collapsed="false">
      <c r="A1942" s="9" t="n">
        <v>1941</v>
      </c>
      <c r="B1942" s="9" t="s">
        <v>102</v>
      </c>
      <c r="C1942" s="11" t="s">
        <v>117</v>
      </c>
      <c r="D1942" s="9" t="s">
        <v>7731</v>
      </c>
      <c r="E1942" s="9" t="s">
        <v>7732</v>
      </c>
      <c r="F1942" s="9" t="s">
        <v>7733</v>
      </c>
      <c r="G1942" s="9" t="s">
        <v>317</v>
      </c>
      <c r="H1942" s="15" t="s">
        <v>23</v>
      </c>
      <c r="I1942" s="9" t="s">
        <v>7734</v>
      </c>
      <c r="J1942" s="13"/>
      <c r="K1942" s="13"/>
    </row>
    <row r="1943" customFormat="false" ht="23.85" hidden="false" customHeight="false" outlineLevel="0" collapsed="false">
      <c r="A1943" s="9" t="n">
        <v>1942</v>
      </c>
      <c r="B1943" s="9" t="s">
        <v>102</v>
      </c>
      <c r="C1943" s="11" t="s">
        <v>117</v>
      </c>
      <c r="D1943" s="9" t="s">
        <v>7735</v>
      </c>
      <c r="E1943" s="9" t="s">
        <v>7512</v>
      </c>
      <c r="F1943" s="9" t="s">
        <v>7513</v>
      </c>
      <c r="G1943" s="9" t="s">
        <v>328</v>
      </c>
      <c r="H1943" s="15" t="s">
        <v>23</v>
      </c>
      <c r="I1943" s="9" t="s">
        <v>2298</v>
      </c>
      <c r="J1943" s="13"/>
      <c r="K1943" s="13"/>
    </row>
    <row r="1944" customFormat="false" ht="23.85" hidden="false" customHeight="false" outlineLevel="0" collapsed="false">
      <c r="A1944" s="9" t="n">
        <v>1943</v>
      </c>
      <c r="B1944" s="9" t="s">
        <v>102</v>
      </c>
      <c r="C1944" s="11" t="s">
        <v>117</v>
      </c>
      <c r="D1944" s="9" t="s">
        <v>7736</v>
      </c>
      <c r="E1944" s="9" t="s">
        <v>7737</v>
      </c>
      <c r="F1944" s="9" t="s">
        <v>7738</v>
      </c>
      <c r="G1944" s="9" t="s">
        <v>328</v>
      </c>
      <c r="H1944" s="15" t="s">
        <v>23</v>
      </c>
      <c r="I1944" s="9" t="s">
        <v>7739</v>
      </c>
      <c r="J1944" s="13"/>
      <c r="K1944" s="13"/>
    </row>
    <row r="1945" customFormat="false" ht="46.25" hidden="false" customHeight="false" outlineLevel="0" collapsed="false">
      <c r="A1945" s="9" t="n">
        <v>1944</v>
      </c>
      <c r="B1945" s="9" t="s">
        <v>102</v>
      </c>
      <c r="C1945" s="11" t="s">
        <v>117</v>
      </c>
      <c r="D1945" s="9" t="s">
        <v>7740</v>
      </c>
      <c r="E1945" s="9" t="s">
        <v>7741</v>
      </c>
      <c r="F1945" s="9" t="s">
        <v>7742</v>
      </c>
      <c r="G1945" s="9" t="s">
        <v>24</v>
      </c>
      <c r="H1945" s="12" t="s">
        <v>21</v>
      </c>
      <c r="I1945" s="9" t="s">
        <v>7743</v>
      </c>
      <c r="J1945" s="13"/>
      <c r="K1945" s="13"/>
    </row>
    <row r="1946" customFormat="false" ht="23.85" hidden="false" customHeight="false" outlineLevel="0" collapsed="false">
      <c r="A1946" s="9" t="n">
        <v>1945</v>
      </c>
      <c r="B1946" s="9" t="s">
        <v>102</v>
      </c>
      <c r="C1946" s="11" t="s">
        <v>117</v>
      </c>
      <c r="D1946" s="9" t="s">
        <v>7744</v>
      </c>
      <c r="E1946" s="9" t="s">
        <v>7745</v>
      </c>
      <c r="F1946" s="9" t="s">
        <v>7746</v>
      </c>
      <c r="G1946" s="9" t="s">
        <v>24</v>
      </c>
      <c r="H1946" s="14" t="s">
        <v>22</v>
      </c>
      <c r="I1946" s="9" t="s">
        <v>7747</v>
      </c>
      <c r="J1946" s="13"/>
      <c r="K1946" s="13"/>
    </row>
    <row r="1947" customFormat="false" ht="23.85" hidden="false" customHeight="false" outlineLevel="0" collapsed="false">
      <c r="A1947" s="9" t="n">
        <v>1946</v>
      </c>
      <c r="B1947" s="9" t="s">
        <v>102</v>
      </c>
      <c r="C1947" s="11" t="s">
        <v>117</v>
      </c>
      <c r="D1947" s="9" t="s">
        <v>7748</v>
      </c>
      <c r="E1947" s="9" t="s">
        <v>7749</v>
      </c>
      <c r="F1947" s="9" t="s">
        <v>7750</v>
      </c>
      <c r="G1947" s="9" t="s">
        <v>24</v>
      </c>
      <c r="H1947" s="14" t="s">
        <v>22</v>
      </c>
      <c r="I1947" s="9" t="s">
        <v>7751</v>
      </c>
      <c r="J1947" s="13"/>
      <c r="K1947" s="13"/>
    </row>
    <row r="1948" customFormat="false" ht="23.85" hidden="false" customHeight="false" outlineLevel="0" collapsed="false">
      <c r="A1948" s="9" t="n">
        <v>1947</v>
      </c>
      <c r="B1948" s="9" t="s">
        <v>102</v>
      </c>
      <c r="C1948" s="11" t="s">
        <v>117</v>
      </c>
      <c r="D1948" s="9" t="s">
        <v>7752</v>
      </c>
      <c r="E1948" s="9" t="s">
        <v>7753</v>
      </c>
      <c r="F1948" s="9" t="s">
        <v>7754</v>
      </c>
      <c r="G1948" s="9" t="s">
        <v>24</v>
      </c>
      <c r="H1948" s="14" t="s">
        <v>22</v>
      </c>
      <c r="I1948" s="9" t="s">
        <v>7755</v>
      </c>
      <c r="J1948" s="13"/>
      <c r="K1948" s="13"/>
    </row>
    <row r="1949" customFormat="false" ht="23.85" hidden="false" customHeight="false" outlineLevel="0" collapsed="false">
      <c r="A1949" s="9" t="n">
        <v>1948</v>
      </c>
      <c r="B1949" s="9" t="s">
        <v>102</v>
      </c>
      <c r="C1949" s="11" t="s">
        <v>117</v>
      </c>
      <c r="D1949" s="9" t="s">
        <v>7756</v>
      </c>
      <c r="E1949" s="9" t="s">
        <v>7757</v>
      </c>
      <c r="F1949" s="9" t="s">
        <v>7758</v>
      </c>
      <c r="G1949" s="9" t="s">
        <v>24</v>
      </c>
      <c r="H1949" s="14" t="s">
        <v>22</v>
      </c>
      <c r="I1949" s="9" t="s">
        <v>7759</v>
      </c>
      <c r="J1949" s="13"/>
      <c r="K1949" s="13"/>
    </row>
    <row r="1950" customFormat="false" ht="23.85" hidden="false" customHeight="false" outlineLevel="0" collapsed="false">
      <c r="A1950" s="9" t="n">
        <v>1949</v>
      </c>
      <c r="B1950" s="9" t="s">
        <v>102</v>
      </c>
      <c r="C1950" s="11" t="s">
        <v>117</v>
      </c>
      <c r="D1950" s="9" t="s">
        <v>7760</v>
      </c>
      <c r="E1950" s="9" t="s">
        <v>358</v>
      </c>
      <c r="F1950" s="9" t="s">
        <v>7761</v>
      </c>
      <c r="G1950" s="9" t="s">
        <v>24</v>
      </c>
      <c r="H1950" s="14" t="s">
        <v>22</v>
      </c>
      <c r="I1950" s="9" t="s">
        <v>7762</v>
      </c>
      <c r="J1950" s="13"/>
      <c r="K1950" s="13"/>
    </row>
    <row r="1951" customFormat="false" ht="15" hidden="false" customHeight="false" outlineLevel="0" collapsed="false">
      <c r="A1951" s="9" t="n">
        <v>1950</v>
      </c>
      <c r="B1951" s="9" t="s">
        <v>102</v>
      </c>
      <c r="C1951" s="11" t="s">
        <v>117</v>
      </c>
      <c r="D1951" s="9" t="s">
        <v>7763</v>
      </c>
      <c r="E1951" s="9" t="s">
        <v>362</v>
      </c>
      <c r="F1951" s="9" t="s">
        <v>363</v>
      </c>
      <c r="G1951" s="9" t="s">
        <v>24</v>
      </c>
      <c r="H1951" s="14" t="s">
        <v>22</v>
      </c>
      <c r="I1951" s="9" t="s">
        <v>364</v>
      </c>
      <c r="J1951" s="13"/>
      <c r="K1951" s="13"/>
    </row>
    <row r="1952" customFormat="false" ht="35.05" hidden="false" customHeight="false" outlineLevel="0" collapsed="false">
      <c r="A1952" s="9" t="n">
        <v>1951</v>
      </c>
      <c r="B1952" s="9" t="s">
        <v>102</v>
      </c>
      <c r="C1952" s="11" t="s">
        <v>117</v>
      </c>
      <c r="D1952" s="9" t="s">
        <v>7764</v>
      </c>
      <c r="E1952" s="9" t="s">
        <v>7765</v>
      </c>
      <c r="F1952" s="9" t="s">
        <v>7766</v>
      </c>
      <c r="G1952" s="9" t="s">
        <v>24</v>
      </c>
      <c r="H1952" s="15" t="s">
        <v>23</v>
      </c>
      <c r="I1952" s="9" t="s">
        <v>7767</v>
      </c>
      <c r="J1952" s="13"/>
      <c r="K1952" s="13"/>
    </row>
    <row r="1953" customFormat="false" ht="15" hidden="false" customHeight="false" outlineLevel="0" collapsed="false">
      <c r="A1953" s="9" t="n">
        <v>1952</v>
      </c>
      <c r="B1953" s="9" t="s">
        <v>102</v>
      </c>
      <c r="C1953" s="11" t="s">
        <v>117</v>
      </c>
      <c r="D1953" s="9" t="s">
        <v>7768</v>
      </c>
      <c r="E1953" s="9" t="s">
        <v>7769</v>
      </c>
      <c r="F1953" s="9" t="s">
        <v>7770</v>
      </c>
      <c r="G1953" s="9" t="s">
        <v>24</v>
      </c>
      <c r="H1953" s="15" t="s">
        <v>23</v>
      </c>
      <c r="I1953" s="9" t="s">
        <v>7771</v>
      </c>
      <c r="J1953" s="13"/>
      <c r="K1953" s="13"/>
    </row>
    <row r="1954" customFormat="false" ht="23.85" hidden="false" customHeight="false" outlineLevel="0" collapsed="false">
      <c r="A1954" s="9" t="n">
        <v>1953</v>
      </c>
      <c r="B1954" s="9" t="s">
        <v>102</v>
      </c>
      <c r="C1954" s="11" t="s">
        <v>117</v>
      </c>
      <c r="D1954" s="9" t="s">
        <v>7772</v>
      </c>
      <c r="E1954" s="9" t="s">
        <v>7773</v>
      </c>
      <c r="F1954" s="9" t="s">
        <v>7774</v>
      </c>
      <c r="G1954" s="9" t="s">
        <v>24</v>
      </c>
      <c r="H1954" s="15" t="s">
        <v>23</v>
      </c>
      <c r="I1954" s="9" t="s">
        <v>7775</v>
      </c>
      <c r="J1954" s="13"/>
      <c r="K1954" s="13"/>
    </row>
    <row r="1955" customFormat="false" ht="113.4" hidden="false" customHeight="false" outlineLevel="0" collapsed="false">
      <c r="A1955" s="9" t="n">
        <v>1954</v>
      </c>
      <c r="B1955" s="9" t="s">
        <v>102</v>
      </c>
      <c r="C1955" s="11" t="s">
        <v>119</v>
      </c>
      <c r="D1955" s="9" t="s">
        <v>7776</v>
      </c>
      <c r="E1955" s="9" t="s">
        <v>7777</v>
      </c>
      <c r="F1955" s="9" t="s">
        <v>7778</v>
      </c>
      <c r="G1955" s="9" t="s">
        <v>1843</v>
      </c>
      <c r="H1955" s="12" t="s">
        <v>21</v>
      </c>
      <c r="I1955" s="9" t="s">
        <v>7779</v>
      </c>
      <c r="J1955" s="13"/>
      <c r="K1955" s="13"/>
    </row>
    <row r="1956" customFormat="false" ht="135.8" hidden="false" customHeight="false" outlineLevel="0" collapsed="false">
      <c r="A1956" s="9" t="n">
        <v>1955</v>
      </c>
      <c r="B1956" s="9" t="s">
        <v>102</v>
      </c>
      <c r="C1956" s="11" t="s">
        <v>119</v>
      </c>
      <c r="D1956" s="9" t="s">
        <v>7780</v>
      </c>
      <c r="E1956" s="9" t="s">
        <v>7781</v>
      </c>
      <c r="F1956" s="9" t="s">
        <v>7782</v>
      </c>
      <c r="G1956" s="9" t="s">
        <v>2044</v>
      </c>
      <c r="H1956" s="12" t="s">
        <v>21</v>
      </c>
      <c r="I1956" s="9" t="s">
        <v>7783</v>
      </c>
      <c r="J1956" s="13"/>
      <c r="K1956" s="13"/>
    </row>
    <row r="1957" customFormat="false" ht="124.6" hidden="false" customHeight="false" outlineLevel="0" collapsed="false">
      <c r="A1957" s="9" t="n">
        <v>1956</v>
      </c>
      <c r="B1957" s="9" t="s">
        <v>102</v>
      </c>
      <c r="C1957" s="11" t="s">
        <v>119</v>
      </c>
      <c r="D1957" s="9" t="s">
        <v>7784</v>
      </c>
      <c r="E1957" s="9" t="s">
        <v>7785</v>
      </c>
      <c r="F1957" s="9" t="s">
        <v>7786</v>
      </c>
      <c r="G1957" s="9" t="s">
        <v>1843</v>
      </c>
      <c r="H1957" s="12" t="s">
        <v>21</v>
      </c>
      <c r="I1957" s="9" t="s">
        <v>7787</v>
      </c>
      <c r="J1957" s="13"/>
      <c r="K1957" s="13"/>
    </row>
    <row r="1958" customFormat="false" ht="79.85" hidden="false" customHeight="false" outlineLevel="0" collapsed="false">
      <c r="A1958" s="9" t="n">
        <v>1957</v>
      </c>
      <c r="B1958" s="9" t="s">
        <v>102</v>
      </c>
      <c r="C1958" s="11" t="s">
        <v>119</v>
      </c>
      <c r="D1958" s="9" t="s">
        <v>7788</v>
      </c>
      <c r="E1958" s="9" t="s">
        <v>7789</v>
      </c>
      <c r="F1958" s="9" t="s">
        <v>7790</v>
      </c>
      <c r="G1958" s="9" t="s">
        <v>1072</v>
      </c>
      <c r="H1958" s="14" t="s">
        <v>22</v>
      </c>
      <c r="I1958" s="9" t="s">
        <v>7791</v>
      </c>
      <c r="J1958" s="13"/>
      <c r="K1958" s="13"/>
    </row>
    <row r="1959" customFormat="false" ht="46.25" hidden="false" customHeight="false" outlineLevel="0" collapsed="false">
      <c r="A1959" s="9" t="n">
        <v>1958</v>
      </c>
      <c r="B1959" s="9" t="s">
        <v>102</v>
      </c>
      <c r="C1959" s="11" t="s">
        <v>119</v>
      </c>
      <c r="D1959" s="9" t="s">
        <v>7792</v>
      </c>
      <c r="E1959" s="9" t="s">
        <v>7793</v>
      </c>
      <c r="F1959" s="9" t="s">
        <v>7794</v>
      </c>
      <c r="G1959" s="9" t="s">
        <v>3266</v>
      </c>
      <c r="H1959" s="14" t="s">
        <v>22</v>
      </c>
      <c r="I1959" s="9" t="s">
        <v>7795</v>
      </c>
      <c r="J1959" s="13"/>
      <c r="K1959" s="13"/>
    </row>
    <row r="1960" customFormat="false" ht="102.2" hidden="false" customHeight="false" outlineLevel="0" collapsed="false">
      <c r="A1960" s="9" t="n">
        <v>1959</v>
      </c>
      <c r="B1960" s="9" t="s">
        <v>102</v>
      </c>
      <c r="C1960" s="11" t="s">
        <v>119</v>
      </c>
      <c r="D1960" s="9" t="s">
        <v>7796</v>
      </c>
      <c r="E1960" s="9" t="s">
        <v>7797</v>
      </c>
      <c r="F1960" s="9" t="s">
        <v>7798</v>
      </c>
      <c r="G1960" s="9" t="s">
        <v>1072</v>
      </c>
      <c r="H1960" s="12" t="s">
        <v>21</v>
      </c>
      <c r="I1960" s="9" t="s">
        <v>7799</v>
      </c>
      <c r="J1960" s="13"/>
      <c r="K1960" s="13"/>
    </row>
    <row r="1961" customFormat="false" ht="79.85" hidden="false" customHeight="false" outlineLevel="0" collapsed="false">
      <c r="A1961" s="9" t="n">
        <v>1960</v>
      </c>
      <c r="B1961" s="9" t="s">
        <v>102</v>
      </c>
      <c r="C1961" s="11" t="s">
        <v>119</v>
      </c>
      <c r="D1961" s="9" t="s">
        <v>7800</v>
      </c>
      <c r="E1961" s="9" t="s">
        <v>7801</v>
      </c>
      <c r="F1961" s="9" t="s">
        <v>7802</v>
      </c>
      <c r="G1961" s="9" t="s">
        <v>1072</v>
      </c>
      <c r="H1961" s="12" t="s">
        <v>21</v>
      </c>
      <c r="I1961" s="9" t="s">
        <v>7803</v>
      </c>
      <c r="J1961" s="13"/>
      <c r="K1961" s="13"/>
    </row>
    <row r="1962" customFormat="false" ht="68.65" hidden="false" customHeight="false" outlineLevel="0" collapsed="false">
      <c r="A1962" s="9" t="n">
        <v>1961</v>
      </c>
      <c r="B1962" s="9" t="s">
        <v>102</v>
      </c>
      <c r="C1962" s="11" t="s">
        <v>119</v>
      </c>
      <c r="D1962" s="9" t="s">
        <v>7804</v>
      </c>
      <c r="E1962" s="9" t="s">
        <v>7805</v>
      </c>
      <c r="F1962" s="9" t="s">
        <v>7806</v>
      </c>
      <c r="G1962" s="9" t="s">
        <v>1852</v>
      </c>
      <c r="H1962" s="14" t="s">
        <v>22</v>
      </c>
      <c r="I1962" s="9" t="s">
        <v>7807</v>
      </c>
      <c r="J1962" s="13"/>
      <c r="K1962" s="13"/>
    </row>
    <row r="1963" customFormat="false" ht="102.2" hidden="false" customHeight="false" outlineLevel="0" collapsed="false">
      <c r="A1963" s="9" t="n">
        <v>1962</v>
      </c>
      <c r="B1963" s="9" t="s">
        <v>102</v>
      </c>
      <c r="C1963" s="11" t="s">
        <v>119</v>
      </c>
      <c r="D1963" s="9" t="s">
        <v>7808</v>
      </c>
      <c r="E1963" s="9" t="s">
        <v>7809</v>
      </c>
      <c r="F1963" s="9" t="s">
        <v>7810</v>
      </c>
      <c r="G1963" s="9" t="s">
        <v>2044</v>
      </c>
      <c r="H1963" s="12" t="s">
        <v>21</v>
      </c>
      <c r="I1963" s="9" t="s">
        <v>7811</v>
      </c>
      <c r="J1963" s="13"/>
      <c r="K1963" s="13"/>
    </row>
    <row r="1964" customFormat="false" ht="68.65" hidden="false" customHeight="false" outlineLevel="0" collapsed="false">
      <c r="A1964" s="9" t="n">
        <v>1963</v>
      </c>
      <c r="B1964" s="9" t="s">
        <v>102</v>
      </c>
      <c r="C1964" s="11" t="s">
        <v>119</v>
      </c>
      <c r="D1964" s="9" t="s">
        <v>7812</v>
      </c>
      <c r="E1964" s="9" t="s">
        <v>7813</v>
      </c>
      <c r="F1964" s="9" t="s">
        <v>7814</v>
      </c>
      <c r="G1964" s="9" t="s">
        <v>6059</v>
      </c>
      <c r="H1964" s="12" t="s">
        <v>21</v>
      </c>
      <c r="I1964" s="9" t="s">
        <v>7815</v>
      </c>
      <c r="J1964" s="13"/>
      <c r="K1964" s="13"/>
    </row>
    <row r="1965" customFormat="false" ht="79.85" hidden="false" customHeight="false" outlineLevel="0" collapsed="false">
      <c r="A1965" s="9" t="n">
        <v>1964</v>
      </c>
      <c r="B1965" s="9" t="s">
        <v>102</v>
      </c>
      <c r="C1965" s="11" t="s">
        <v>119</v>
      </c>
      <c r="D1965" s="9" t="s">
        <v>7816</v>
      </c>
      <c r="E1965" s="9" t="s">
        <v>7817</v>
      </c>
      <c r="F1965" s="9" t="s">
        <v>7818</v>
      </c>
      <c r="G1965" s="9" t="s">
        <v>2044</v>
      </c>
      <c r="H1965" s="14" t="s">
        <v>22</v>
      </c>
      <c r="I1965" s="9" t="s">
        <v>7819</v>
      </c>
      <c r="J1965" s="13"/>
      <c r="K1965" s="13"/>
    </row>
    <row r="1966" customFormat="false" ht="68.65" hidden="false" customHeight="false" outlineLevel="0" collapsed="false">
      <c r="A1966" s="9" t="n">
        <v>1965</v>
      </c>
      <c r="B1966" s="9" t="s">
        <v>102</v>
      </c>
      <c r="C1966" s="11" t="s">
        <v>119</v>
      </c>
      <c r="D1966" s="9" t="s">
        <v>7820</v>
      </c>
      <c r="E1966" s="9" t="s">
        <v>7821</v>
      </c>
      <c r="F1966" s="9" t="s">
        <v>7822</v>
      </c>
      <c r="G1966" s="9" t="s">
        <v>3279</v>
      </c>
      <c r="H1966" s="12" t="s">
        <v>21</v>
      </c>
      <c r="I1966" s="9" t="s">
        <v>7823</v>
      </c>
      <c r="J1966" s="13"/>
      <c r="K1966" s="13"/>
    </row>
    <row r="1967" customFormat="false" ht="79.85" hidden="false" customHeight="false" outlineLevel="0" collapsed="false">
      <c r="A1967" s="9" t="n">
        <v>1966</v>
      </c>
      <c r="B1967" s="9" t="s">
        <v>102</v>
      </c>
      <c r="C1967" s="11" t="s">
        <v>119</v>
      </c>
      <c r="D1967" s="9" t="s">
        <v>7824</v>
      </c>
      <c r="E1967" s="9" t="s">
        <v>7825</v>
      </c>
      <c r="F1967" s="9" t="s">
        <v>7826</v>
      </c>
      <c r="G1967" s="9" t="s">
        <v>3266</v>
      </c>
      <c r="H1967" s="14" t="s">
        <v>22</v>
      </c>
      <c r="I1967" s="9" t="s">
        <v>7827</v>
      </c>
      <c r="J1967" s="13"/>
      <c r="K1967" s="13"/>
    </row>
    <row r="1968" customFormat="false" ht="23.85" hidden="false" customHeight="false" outlineLevel="0" collapsed="false">
      <c r="A1968" s="9" t="n">
        <v>1967</v>
      </c>
      <c r="B1968" s="9" t="s">
        <v>102</v>
      </c>
      <c r="C1968" s="11" t="s">
        <v>119</v>
      </c>
      <c r="D1968" s="9" t="s">
        <v>7828</v>
      </c>
      <c r="E1968" s="9" t="s">
        <v>7829</v>
      </c>
      <c r="F1968" s="9" t="s">
        <v>7830</v>
      </c>
      <c r="G1968" s="9" t="s">
        <v>328</v>
      </c>
      <c r="H1968" s="15" t="s">
        <v>23</v>
      </c>
      <c r="I1968" s="9" t="s">
        <v>7831</v>
      </c>
      <c r="J1968" s="13"/>
      <c r="K1968" s="13"/>
    </row>
    <row r="1969" customFormat="false" ht="35.05" hidden="false" customHeight="false" outlineLevel="0" collapsed="false">
      <c r="A1969" s="9" t="n">
        <v>1968</v>
      </c>
      <c r="B1969" s="9" t="s">
        <v>102</v>
      </c>
      <c r="C1969" s="11" t="s">
        <v>119</v>
      </c>
      <c r="D1969" s="9" t="s">
        <v>7832</v>
      </c>
      <c r="E1969" s="9" t="s">
        <v>7833</v>
      </c>
      <c r="F1969" s="9" t="s">
        <v>7834</v>
      </c>
      <c r="G1969" s="9" t="s">
        <v>4146</v>
      </c>
      <c r="H1969" s="15" t="s">
        <v>23</v>
      </c>
      <c r="I1969" s="9" t="s">
        <v>7835</v>
      </c>
      <c r="J1969" s="13"/>
      <c r="K1969" s="13"/>
    </row>
    <row r="1970" customFormat="false" ht="46.25" hidden="false" customHeight="false" outlineLevel="0" collapsed="false">
      <c r="A1970" s="9" t="n">
        <v>1969</v>
      </c>
      <c r="B1970" s="9" t="s">
        <v>102</v>
      </c>
      <c r="C1970" s="11" t="s">
        <v>119</v>
      </c>
      <c r="D1970" s="9" t="s">
        <v>7836</v>
      </c>
      <c r="E1970" s="9" t="s">
        <v>7837</v>
      </c>
      <c r="F1970" s="9" t="s">
        <v>7838</v>
      </c>
      <c r="G1970" s="9" t="s">
        <v>7839</v>
      </c>
      <c r="H1970" s="14" t="s">
        <v>22</v>
      </c>
      <c r="I1970" s="9" t="s">
        <v>7840</v>
      </c>
      <c r="J1970" s="13"/>
      <c r="K1970" s="13"/>
    </row>
    <row r="1971" customFormat="false" ht="35.05" hidden="false" customHeight="false" outlineLevel="0" collapsed="false">
      <c r="A1971" s="9" t="n">
        <v>1970</v>
      </c>
      <c r="B1971" s="9" t="s">
        <v>102</v>
      </c>
      <c r="C1971" s="11" t="s">
        <v>119</v>
      </c>
      <c r="D1971" s="9" t="s">
        <v>7841</v>
      </c>
      <c r="E1971" s="9" t="s">
        <v>7842</v>
      </c>
      <c r="F1971" s="9" t="s">
        <v>7843</v>
      </c>
      <c r="G1971" s="9" t="s">
        <v>317</v>
      </c>
      <c r="H1971" s="15" t="s">
        <v>23</v>
      </c>
      <c r="I1971" s="9" t="s">
        <v>7844</v>
      </c>
      <c r="J1971" s="13"/>
      <c r="K1971" s="13"/>
    </row>
    <row r="1972" customFormat="false" ht="46.25" hidden="false" customHeight="false" outlineLevel="0" collapsed="false">
      <c r="A1972" s="9" t="n">
        <v>1971</v>
      </c>
      <c r="B1972" s="9" t="s">
        <v>102</v>
      </c>
      <c r="C1972" s="11" t="s">
        <v>119</v>
      </c>
      <c r="D1972" s="9" t="s">
        <v>7845</v>
      </c>
      <c r="E1972" s="9" t="s">
        <v>7846</v>
      </c>
      <c r="F1972" s="9" t="s">
        <v>7847</v>
      </c>
      <c r="G1972" s="9" t="s">
        <v>317</v>
      </c>
      <c r="H1972" s="14" t="s">
        <v>22</v>
      </c>
      <c r="I1972" s="9" t="s">
        <v>7848</v>
      </c>
      <c r="J1972" s="13"/>
      <c r="K1972" s="13"/>
    </row>
    <row r="1973" customFormat="false" ht="46.25" hidden="false" customHeight="false" outlineLevel="0" collapsed="false">
      <c r="A1973" s="9" t="n">
        <v>1972</v>
      </c>
      <c r="B1973" s="9" t="s">
        <v>102</v>
      </c>
      <c r="C1973" s="11" t="s">
        <v>119</v>
      </c>
      <c r="D1973" s="9" t="s">
        <v>7849</v>
      </c>
      <c r="E1973" s="9" t="s">
        <v>7850</v>
      </c>
      <c r="F1973" s="9" t="s">
        <v>7851</v>
      </c>
      <c r="G1973" s="9" t="s">
        <v>3220</v>
      </c>
      <c r="H1973" s="14" t="s">
        <v>22</v>
      </c>
      <c r="I1973" s="9" t="s">
        <v>7852</v>
      </c>
      <c r="J1973" s="13"/>
      <c r="K1973" s="13"/>
    </row>
    <row r="1974" customFormat="false" ht="57.45" hidden="false" customHeight="false" outlineLevel="0" collapsed="false">
      <c r="A1974" s="9" t="n">
        <v>1973</v>
      </c>
      <c r="B1974" s="9" t="s">
        <v>102</v>
      </c>
      <c r="C1974" s="11" t="s">
        <v>119</v>
      </c>
      <c r="D1974" s="9" t="s">
        <v>7853</v>
      </c>
      <c r="E1974" s="9" t="s">
        <v>7854</v>
      </c>
      <c r="F1974" s="9" t="s">
        <v>7855</v>
      </c>
      <c r="G1974" s="9" t="s">
        <v>2044</v>
      </c>
      <c r="H1974" s="14" t="s">
        <v>22</v>
      </c>
      <c r="I1974" s="9" t="s">
        <v>7856</v>
      </c>
      <c r="J1974" s="13"/>
      <c r="K1974" s="13"/>
    </row>
    <row r="1975" customFormat="false" ht="46.25" hidden="false" customHeight="false" outlineLevel="0" collapsed="false">
      <c r="A1975" s="9" t="n">
        <v>1974</v>
      </c>
      <c r="B1975" s="9" t="s">
        <v>102</v>
      </c>
      <c r="C1975" s="11" t="s">
        <v>119</v>
      </c>
      <c r="D1975" s="9" t="s">
        <v>7857</v>
      </c>
      <c r="E1975" s="9" t="s">
        <v>7858</v>
      </c>
      <c r="F1975" s="9" t="s">
        <v>7859</v>
      </c>
      <c r="G1975" s="9" t="s">
        <v>317</v>
      </c>
      <c r="H1975" s="14" t="s">
        <v>22</v>
      </c>
      <c r="I1975" s="9" t="s">
        <v>7860</v>
      </c>
      <c r="J1975" s="13"/>
      <c r="K1975" s="13"/>
    </row>
    <row r="1976" customFormat="false" ht="35.05" hidden="false" customHeight="false" outlineLevel="0" collapsed="false">
      <c r="A1976" s="9" t="n">
        <v>1975</v>
      </c>
      <c r="B1976" s="9" t="s">
        <v>102</v>
      </c>
      <c r="C1976" s="11" t="s">
        <v>119</v>
      </c>
      <c r="D1976" s="9" t="s">
        <v>7861</v>
      </c>
      <c r="E1976" s="9" t="s">
        <v>7862</v>
      </c>
      <c r="F1976" s="9" t="s">
        <v>7863</v>
      </c>
      <c r="G1976" s="9" t="s">
        <v>6425</v>
      </c>
      <c r="H1976" s="15" t="s">
        <v>23</v>
      </c>
      <c r="I1976" s="9" t="s">
        <v>7864</v>
      </c>
      <c r="J1976" s="13"/>
      <c r="K1976" s="13"/>
    </row>
    <row r="1977" customFormat="false" ht="35.05" hidden="false" customHeight="false" outlineLevel="0" collapsed="false">
      <c r="A1977" s="9" t="n">
        <v>1976</v>
      </c>
      <c r="B1977" s="9" t="s">
        <v>102</v>
      </c>
      <c r="C1977" s="11" t="s">
        <v>119</v>
      </c>
      <c r="D1977" s="9" t="s">
        <v>7865</v>
      </c>
      <c r="E1977" s="9" t="s">
        <v>7039</v>
      </c>
      <c r="F1977" s="9" t="s">
        <v>5737</v>
      </c>
      <c r="G1977" s="9" t="s">
        <v>328</v>
      </c>
      <c r="H1977" s="15" t="s">
        <v>23</v>
      </c>
      <c r="I1977" s="9" t="s">
        <v>7866</v>
      </c>
      <c r="J1977" s="13"/>
      <c r="K1977" s="13"/>
    </row>
    <row r="1978" customFormat="false" ht="46.25" hidden="false" customHeight="false" outlineLevel="0" collapsed="false">
      <c r="A1978" s="9" t="n">
        <v>1977</v>
      </c>
      <c r="B1978" s="9" t="s">
        <v>102</v>
      </c>
      <c r="C1978" s="11" t="s">
        <v>119</v>
      </c>
      <c r="D1978" s="9" t="s">
        <v>7867</v>
      </c>
      <c r="E1978" s="9" t="s">
        <v>7868</v>
      </c>
      <c r="F1978" s="9" t="s">
        <v>7869</v>
      </c>
      <c r="G1978" s="9" t="s">
        <v>7870</v>
      </c>
      <c r="H1978" s="15" t="s">
        <v>23</v>
      </c>
      <c r="I1978" s="9" t="s">
        <v>7871</v>
      </c>
      <c r="J1978" s="13"/>
      <c r="K1978" s="13"/>
    </row>
    <row r="1979" customFormat="false" ht="57.45" hidden="false" customHeight="false" outlineLevel="0" collapsed="false">
      <c r="A1979" s="9" t="n">
        <v>1978</v>
      </c>
      <c r="B1979" s="9" t="s">
        <v>102</v>
      </c>
      <c r="C1979" s="11" t="s">
        <v>119</v>
      </c>
      <c r="D1979" s="9" t="s">
        <v>7872</v>
      </c>
      <c r="E1979" s="9" t="s">
        <v>7873</v>
      </c>
      <c r="F1979" s="9" t="s">
        <v>7874</v>
      </c>
      <c r="G1979" s="9" t="s">
        <v>2044</v>
      </c>
      <c r="H1979" s="14" t="s">
        <v>22</v>
      </c>
      <c r="I1979" s="9" t="s">
        <v>7875</v>
      </c>
      <c r="J1979" s="13"/>
      <c r="K1979" s="13"/>
    </row>
    <row r="1980" customFormat="false" ht="46.25" hidden="false" customHeight="false" outlineLevel="0" collapsed="false">
      <c r="A1980" s="9" t="n">
        <v>1979</v>
      </c>
      <c r="B1980" s="9" t="s">
        <v>102</v>
      </c>
      <c r="C1980" s="11" t="s">
        <v>119</v>
      </c>
      <c r="D1980" s="9" t="s">
        <v>7876</v>
      </c>
      <c r="E1980" s="9" t="s">
        <v>7877</v>
      </c>
      <c r="F1980" s="9" t="s">
        <v>7878</v>
      </c>
      <c r="G1980" s="9" t="s">
        <v>7879</v>
      </c>
      <c r="H1980" s="14" t="s">
        <v>22</v>
      </c>
      <c r="I1980" s="9" t="s">
        <v>7880</v>
      </c>
      <c r="J1980" s="13"/>
      <c r="K1980" s="13"/>
    </row>
    <row r="1981" customFormat="false" ht="57.45" hidden="false" customHeight="false" outlineLevel="0" collapsed="false">
      <c r="A1981" s="9" t="n">
        <v>1980</v>
      </c>
      <c r="B1981" s="9" t="s">
        <v>102</v>
      </c>
      <c r="C1981" s="11" t="s">
        <v>119</v>
      </c>
      <c r="D1981" s="9" t="s">
        <v>7881</v>
      </c>
      <c r="E1981" s="9" t="s">
        <v>7882</v>
      </c>
      <c r="F1981" s="9" t="s">
        <v>7883</v>
      </c>
      <c r="G1981" s="9" t="s">
        <v>7839</v>
      </c>
      <c r="H1981" s="14" t="s">
        <v>22</v>
      </c>
      <c r="I1981" s="9" t="s">
        <v>7884</v>
      </c>
      <c r="J1981" s="13"/>
      <c r="K1981" s="13"/>
    </row>
    <row r="1982" customFormat="false" ht="35.05" hidden="false" customHeight="false" outlineLevel="0" collapsed="false">
      <c r="A1982" s="9" t="n">
        <v>1981</v>
      </c>
      <c r="B1982" s="9" t="s">
        <v>102</v>
      </c>
      <c r="C1982" s="11" t="s">
        <v>119</v>
      </c>
      <c r="D1982" s="9" t="s">
        <v>7885</v>
      </c>
      <c r="E1982" s="9" t="s">
        <v>7886</v>
      </c>
      <c r="F1982" s="9" t="s">
        <v>7887</v>
      </c>
      <c r="G1982" s="9" t="s">
        <v>7888</v>
      </c>
      <c r="H1982" s="15" t="s">
        <v>23</v>
      </c>
      <c r="I1982" s="9" t="s">
        <v>7889</v>
      </c>
      <c r="J1982" s="13"/>
      <c r="K1982" s="13"/>
    </row>
    <row r="1983" customFormat="false" ht="35.05" hidden="false" customHeight="false" outlineLevel="0" collapsed="false">
      <c r="A1983" s="9" t="n">
        <v>1982</v>
      </c>
      <c r="B1983" s="9" t="s">
        <v>102</v>
      </c>
      <c r="C1983" s="11" t="s">
        <v>119</v>
      </c>
      <c r="D1983" s="9" t="s">
        <v>7890</v>
      </c>
      <c r="E1983" s="9" t="s">
        <v>7891</v>
      </c>
      <c r="F1983" s="9" t="s">
        <v>7892</v>
      </c>
      <c r="G1983" s="9" t="s">
        <v>312</v>
      </c>
      <c r="H1983" s="15" t="s">
        <v>23</v>
      </c>
      <c r="I1983" s="9" t="s">
        <v>7893</v>
      </c>
      <c r="J1983" s="13"/>
      <c r="K1983" s="13"/>
    </row>
    <row r="1984" customFormat="false" ht="46.25" hidden="false" customHeight="false" outlineLevel="0" collapsed="false">
      <c r="A1984" s="9" t="n">
        <v>1983</v>
      </c>
      <c r="B1984" s="9" t="s">
        <v>102</v>
      </c>
      <c r="C1984" s="11" t="s">
        <v>119</v>
      </c>
      <c r="D1984" s="9" t="s">
        <v>7894</v>
      </c>
      <c r="E1984" s="9" t="s">
        <v>7895</v>
      </c>
      <c r="F1984" s="9" t="s">
        <v>7896</v>
      </c>
      <c r="G1984" s="9" t="s">
        <v>308</v>
      </c>
      <c r="H1984" s="15" t="s">
        <v>23</v>
      </c>
      <c r="I1984" s="9" t="s">
        <v>7897</v>
      </c>
      <c r="J1984" s="13"/>
      <c r="K1984" s="13"/>
    </row>
    <row r="1985" customFormat="false" ht="35.05" hidden="false" customHeight="false" outlineLevel="0" collapsed="false">
      <c r="A1985" s="9" t="n">
        <v>1984</v>
      </c>
      <c r="B1985" s="9" t="s">
        <v>102</v>
      </c>
      <c r="C1985" s="11" t="s">
        <v>119</v>
      </c>
      <c r="D1985" s="9" t="s">
        <v>7898</v>
      </c>
      <c r="E1985" s="9" t="s">
        <v>7899</v>
      </c>
      <c r="F1985" s="9" t="s">
        <v>7900</v>
      </c>
      <c r="G1985" s="9" t="s">
        <v>312</v>
      </c>
      <c r="H1985" s="15" t="s">
        <v>23</v>
      </c>
      <c r="I1985" s="9" t="s">
        <v>7901</v>
      </c>
      <c r="J1985" s="13"/>
      <c r="K1985" s="13"/>
    </row>
    <row r="1986" customFormat="false" ht="57.45" hidden="false" customHeight="false" outlineLevel="0" collapsed="false">
      <c r="A1986" s="9" t="n">
        <v>1985</v>
      </c>
      <c r="B1986" s="9" t="s">
        <v>102</v>
      </c>
      <c r="C1986" s="11" t="s">
        <v>119</v>
      </c>
      <c r="D1986" s="9" t="s">
        <v>7902</v>
      </c>
      <c r="E1986" s="9" t="s">
        <v>7903</v>
      </c>
      <c r="F1986" s="9" t="s">
        <v>7904</v>
      </c>
      <c r="G1986" s="9" t="s">
        <v>4998</v>
      </c>
      <c r="H1986" s="14" t="s">
        <v>22</v>
      </c>
      <c r="I1986" s="9" t="s">
        <v>7905</v>
      </c>
      <c r="J1986" s="13"/>
      <c r="K1986" s="13"/>
    </row>
    <row r="1987" customFormat="false" ht="35.05" hidden="false" customHeight="false" outlineLevel="0" collapsed="false">
      <c r="A1987" s="9" t="n">
        <v>1986</v>
      </c>
      <c r="B1987" s="9" t="s">
        <v>102</v>
      </c>
      <c r="C1987" s="11" t="s">
        <v>119</v>
      </c>
      <c r="D1987" s="9" t="s">
        <v>7906</v>
      </c>
      <c r="E1987" s="9" t="s">
        <v>7907</v>
      </c>
      <c r="F1987" s="9" t="s">
        <v>7908</v>
      </c>
      <c r="G1987" s="9" t="s">
        <v>2044</v>
      </c>
      <c r="H1987" s="15" t="s">
        <v>23</v>
      </c>
      <c r="I1987" s="9" t="s">
        <v>7909</v>
      </c>
      <c r="J1987" s="13"/>
      <c r="K1987" s="13"/>
    </row>
    <row r="1988" customFormat="false" ht="35.05" hidden="false" customHeight="false" outlineLevel="0" collapsed="false">
      <c r="A1988" s="9" t="n">
        <v>1987</v>
      </c>
      <c r="B1988" s="9" t="s">
        <v>102</v>
      </c>
      <c r="C1988" s="11" t="s">
        <v>119</v>
      </c>
      <c r="D1988" s="9" t="s">
        <v>7910</v>
      </c>
      <c r="E1988" s="9" t="s">
        <v>7911</v>
      </c>
      <c r="F1988" s="9" t="s">
        <v>7912</v>
      </c>
      <c r="G1988" s="9" t="s">
        <v>24</v>
      </c>
      <c r="H1988" s="14" t="s">
        <v>22</v>
      </c>
      <c r="I1988" s="9" t="s">
        <v>7913</v>
      </c>
      <c r="J1988" s="13"/>
      <c r="K1988" s="13"/>
    </row>
    <row r="1989" customFormat="false" ht="23.85" hidden="false" customHeight="false" outlineLevel="0" collapsed="false">
      <c r="A1989" s="9" t="n">
        <v>1988</v>
      </c>
      <c r="B1989" s="9" t="s">
        <v>102</v>
      </c>
      <c r="C1989" s="11" t="s">
        <v>119</v>
      </c>
      <c r="D1989" s="9" t="s">
        <v>7914</v>
      </c>
      <c r="E1989" s="9" t="s">
        <v>7915</v>
      </c>
      <c r="F1989" s="9" t="s">
        <v>7916</v>
      </c>
      <c r="G1989" s="9" t="s">
        <v>24</v>
      </c>
      <c r="H1989" s="14" t="s">
        <v>22</v>
      </c>
      <c r="I1989" s="9" t="s">
        <v>7917</v>
      </c>
      <c r="J1989" s="13"/>
      <c r="K1989" s="13"/>
    </row>
    <row r="1990" customFormat="false" ht="23.85" hidden="false" customHeight="false" outlineLevel="0" collapsed="false">
      <c r="A1990" s="9" t="n">
        <v>1989</v>
      </c>
      <c r="B1990" s="9" t="s">
        <v>102</v>
      </c>
      <c r="C1990" s="11" t="s">
        <v>119</v>
      </c>
      <c r="D1990" s="9" t="s">
        <v>7918</v>
      </c>
      <c r="E1990" s="9" t="s">
        <v>7919</v>
      </c>
      <c r="F1990" s="9" t="s">
        <v>7920</v>
      </c>
      <c r="G1990" s="9" t="s">
        <v>24</v>
      </c>
      <c r="H1990" s="14" t="s">
        <v>22</v>
      </c>
      <c r="I1990" s="9" t="s">
        <v>434</v>
      </c>
      <c r="J1990" s="13"/>
      <c r="K1990" s="13"/>
    </row>
    <row r="1991" customFormat="false" ht="23.85" hidden="false" customHeight="false" outlineLevel="0" collapsed="false">
      <c r="A1991" s="9" t="n">
        <v>1990</v>
      </c>
      <c r="B1991" s="9" t="s">
        <v>102</v>
      </c>
      <c r="C1991" s="11" t="s">
        <v>119</v>
      </c>
      <c r="D1991" s="9" t="s">
        <v>7921</v>
      </c>
      <c r="E1991" s="9" t="s">
        <v>7922</v>
      </c>
      <c r="F1991" s="9" t="s">
        <v>7923</v>
      </c>
      <c r="G1991" s="9" t="s">
        <v>24</v>
      </c>
      <c r="H1991" s="14" t="s">
        <v>22</v>
      </c>
      <c r="I1991" s="9" t="s">
        <v>7924</v>
      </c>
      <c r="J1991" s="13"/>
      <c r="K1991" s="13"/>
    </row>
    <row r="1992" customFormat="false" ht="23.85" hidden="false" customHeight="false" outlineLevel="0" collapsed="false">
      <c r="A1992" s="9" t="n">
        <v>1991</v>
      </c>
      <c r="B1992" s="9" t="s">
        <v>102</v>
      </c>
      <c r="C1992" s="11" t="s">
        <v>119</v>
      </c>
      <c r="D1992" s="9" t="s">
        <v>7925</v>
      </c>
      <c r="E1992" s="9" t="s">
        <v>358</v>
      </c>
      <c r="F1992" s="9" t="s">
        <v>7926</v>
      </c>
      <c r="G1992" s="9" t="s">
        <v>24</v>
      </c>
      <c r="H1992" s="14" t="s">
        <v>22</v>
      </c>
      <c r="I1992" s="9" t="s">
        <v>7762</v>
      </c>
      <c r="J1992" s="13"/>
      <c r="K1992" s="13"/>
    </row>
    <row r="1993" customFormat="false" ht="15" hidden="false" customHeight="false" outlineLevel="0" collapsed="false">
      <c r="A1993" s="9" t="n">
        <v>1992</v>
      </c>
      <c r="B1993" s="9" t="s">
        <v>102</v>
      </c>
      <c r="C1993" s="11" t="s">
        <v>119</v>
      </c>
      <c r="D1993" s="9" t="s">
        <v>7927</v>
      </c>
      <c r="E1993" s="9" t="s">
        <v>362</v>
      </c>
      <c r="F1993" s="9" t="s">
        <v>363</v>
      </c>
      <c r="G1993" s="9" t="s">
        <v>24</v>
      </c>
      <c r="H1993" s="14" t="s">
        <v>22</v>
      </c>
      <c r="I1993" s="9" t="s">
        <v>364</v>
      </c>
      <c r="J1993" s="13"/>
      <c r="K1993" s="13"/>
    </row>
    <row r="1994" customFormat="false" ht="35.05" hidden="false" customHeight="false" outlineLevel="0" collapsed="false">
      <c r="A1994" s="9" t="n">
        <v>1993</v>
      </c>
      <c r="B1994" s="9" t="s">
        <v>102</v>
      </c>
      <c r="C1994" s="11" t="s">
        <v>119</v>
      </c>
      <c r="D1994" s="9" t="s">
        <v>7928</v>
      </c>
      <c r="E1994" s="9" t="s">
        <v>7929</v>
      </c>
      <c r="F1994" s="9" t="s">
        <v>7930</v>
      </c>
      <c r="G1994" s="9" t="s">
        <v>24</v>
      </c>
      <c r="H1994" s="15" t="s">
        <v>23</v>
      </c>
      <c r="I1994" s="9" t="s">
        <v>7931</v>
      </c>
      <c r="J1994" s="13"/>
      <c r="K1994" s="13"/>
    </row>
    <row r="1995" customFormat="false" ht="35.05" hidden="false" customHeight="false" outlineLevel="0" collapsed="false">
      <c r="A1995" s="9" t="n">
        <v>1994</v>
      </c>
      <c r="B1995" s="9" t="s">
        <v>102</v>
      </c>
      <c r="C1995" s="11" t="s">
        <v>119</v>
      </c>
      <c r="D1995" s="9" t="s">
        <v>7932</v>
      </c>
      <c r="E1995" s="9" t="s">
        <v>7933</v>
      </c>
      <c r="F1995" s="9" t="s">
        <v>7934</v>
      </c>
      <c r="G1995" s="9" t="s">
        <v>24</v>
      </c>
      <c r="H1995" s="15" t="s">
        <v>23</v>
      </c>
      <c r="I1995" s="9" t="s">
        <v>7935</v>
      </c>
      <c r="J1995" s="13"/>
      <c r="K1995" s="13"/>
    </row>
    <row r="1996" customFormat="false" ht="35.05" hidden="false" customHeight="false" outlineLevel="0" collapsed="false">
      <c r="A1996" s="9" t="n">
        <v>1995</v>
      </c>
      <c r="B1996" s="9" t="s">
        <v>102</v>
      </c>
      <c r="C1996" s="11" t="s">
        <v>119</v>
      </c>
      <c r="D1996" s="9" t="s">
        <v>7936</v>
      </c>
      <c r="E1996" s="9" t="s">
        <v>7937</v>
      </c>
      <c r="F1996" s="9" t="s">
        <v>7938</v>
      </c>
      <c r="G1996" s="9" t="s">
        <v>24</v>
      </c>
      <c r="H1996" s="15" t="s">
        <v>23</v>
      </c>
      <c r="I1996" s="9" t="s">
        <v>7939</v>
      </c>
      <c r="J1996" s="13"/>
      <c r="K1996" s="13"/>
    </row>
    <row r="1997" customFormat="false" ht="15" hidden="false" customHeight="false" outlineLevel="0" collapsed="false">
      <c r="A1997" s="9" t="n">
        <v>1996</v>
      </c>
      <c r="B1997" s="9" t="s">
        <v>102</v>
      </c>
      <c r="C1997" s="11" t="s">
        <v>119</v>
      </c>
      <c r="D1997" s="9" t="s">
        <v>7940</v>
      </c>
      <c r="E1997" s="9" t="s">
        <v>7941</v>
      </c>
      <c r="F1997" s="9" t="s">
        <v>7942</v>
      </c>
      <c r="G1997" s="9" t="s">
        <v>24</v>
      </c>
      <c r="H1997" s="15" t="s">
        <v>23</v>
      </c>
      <c r="I1997" s="9" t="s">
        <v>7943</v>
      </c>
      <c r="J1997" s="13"/>
      <c r="K1997" s="13"/>
    </row>
    <row r="1998" customFormat="false" ht="124.6" hidden="false" customHeight="false" outlineLevel="0" collapsed="false">
      <c r="A1998" s="9" t="n">
        <v>1997</v>
      </c>
      <c r="B1998" s="9" t="s">
        <v>102</v>
      </c>
      <c r="C1998" s="11" t="s">
        <v>121</v>
      </c>
      <c r="D1998" s="9" t="s">
        <v>7944</v>
      </c>
      <c r="E1998" s="9" t="s">
        <v>7945</v>
      </c>
      <c r="F1998" s="9" t="s">
        <v>7946</v>
      </c>
      <c r="G1998" s="9" t="s">
        <v>6487</v>
      </c>
      <c r="H1998" s="12" t="s">
        <v>21</v>
      </c>
      <c r="I1998" s="9" t="s">
        <v>7947</v>
      </c>
      <c r="J1998" s="13"/>
      <c r="K1998" s="13"/>
    </row>
    <row r="1999" customFormat="false" ht="79.85" hidden="false" customHeight="false" outlineLevel="0" collapsed="false">
      <c r="A1999" s="9" t="n">
        <v>1998</v>
      </c>
      <c r="B1999" s="9" t="s">
        <v>102</v>
      </c>
      <c r="C1999" s="11" t="s">
        <v>121</v>
      </c>
      <c r="D1999" s="9" t="s">
        <v>7948</v>
      </c>
      <c r="E1999" s="9" t="s">
        <v>7949</v>
      </c>
      <c r="F1999" s="9" t="s">
        <v>7950</v>
      </c>
      <c r="G1999" s="9" t="s">
        <v>1072</v>
      </c>
      <c r="H1999" s="12" t="s">
        <v>21</v>
      </c>
      <c r="I1999" s="9" t="s">
        <v>7951</v>
      </c>
      <c r="J1999" s="13"/>
      <c r="K1999" s="13"/>
    </row>
    <row r="2000" customFormat="false" ht="102.2" hidden="false" customHeight="false" outlineLevel="0" collapsed="false">
      <c r="A2000" s="9" t="n">
        <v>1999</v>
      </c>
      <c r="B2000" s="9" t="s">
        <v>102</v>
      </c>
      <c r="C2000" s="11" t="s">
        <v>121</v>
      </c>
      <c r="D2000" s="9" t="s">
        <v>7952</v>
      </c>
      <c r="E2000" s="9" t="s">
        <v>7953</v>
      </c>
      <c r="F2000" s="9" t="s">
        <v>7954</v>
      </c>
      <c r="G2000" s="9" t="s">
        <v>1643</v>
      </c>
      <c r="H2000" s="12" t="s">
        <v>21</v>
      </c>
      <c r="I2000" s="9" t="s">
        <v>7955</v>
      </c>
      <c r="J2000" s="13"/>
      <c r="K2000" s="13"/>
    </row>
    <row r="2001" customFormat="false" ht="102.2" hidden="false" customHeight="false" outlineLevel="0" collapsed="false">
      <c r="A2001" s="9" t="n">
        <v>2000</v>
      </c>
      <c r="B2001" s="9" t="s">
        <v>102</v>
      </c>
      <c r="C2001" s="11" t="s">
        <v>121</v>
      </c>
      <c r="D2001" s="9" t="s">
        <v>7956</v>
      </c>
      <c r="E2001" s="9" t="s">
        <v>7957</v>
      </c>
      <c r="F2001" s="9" t="s">
        <v>7958</v>
      </c>
      <c r="G2001" s="9" t="s">
        <v>1638</v>
      </c>
      <c r="H2001" s="14" t="s">
        <v>22</v>
      </c>
      <c r="I2001" s="9" t="s">
        <v>7959</v>
      </c>
      <c r="J2001" s="13"/>
      <c r="K2001" s="13"/>
    </row>
    <row r="2002" customFormat="false" ht="68.65" hidden="false" customHeight="false" outlineLevel="0" collapsed="false">
      <c r="A2002" s="9" t="n">
        <v>2001</v>
      </c>
      <c r="B2002" s="9" t="s">
        <v>102</v>
      </c>
      <c r="C2002" s="11" t="s">
        <v>121</v>
      </c>
      <c r="D2002" s="9" t="s">
        <v>7960</v>
      </c>
      <c r="E2002" s="9" t="s">
        <v>7961</v>
      </c>
      <c r="F2002" s="9" t="s">
        <v>7962</v>
      </c>
      <c r="G2002" s="9" t="s">
        <v>7963</v>
      </c>
      <c r="H2002" s="14" t="s">
        <v>22</v>
      </c>
      <c r="I2002" s="9" t="s">
        <v>7964</v>
      </c>
      <c r="J2002" s="13"/>
      <c r="K2002" s="13"/>
    </row>
    <row r="2003" customFormat="false" ht="57.45" hidden="false" customHeight="false" outlineLevel="0" collapsed="false">
      <c r="A2003" s="9" t="n">
        <v>2002</v>
      </c>
      <c r="B2003" s="9" t="s">
        <v>102</v>
      </c>
      <c r="C2003" s="11" t="s">
        <v>121</v>
      </c>
      <c r="D2003" s="9" t="s">
        <v>7965</v>
      </c>
      <c r="E2003" s="9" t="s">
        <v>7966</v>
      </c>
      <c r="F2003" s="9" t="s">
        <v>7967</v>
      </c>
      <c r="G2003" s="9" t="s">
        <v>7968</v>
      </c>
      <c r="H2003" s="14" t="s">
        <v>22</v>
      </c>
      <c r="I2003" s="9" t="s">
        <v>7969</v>
      </c>
      <c r="J2003" s="13"/>
      <c r="K2003" s="13"/>
    </row>
    <row r="2004" customFormat="false" ht="35.05" hidden="false" customHeight="false" outlineLevel="0" collapsed="false">
      <c r="A2004" s="9" t="n">
        <v>2003</v>
      </c>
      <c r="B2004" s="9" t="s">
        <v>102</v>
      </c>
      <c r="C2004" s="11" t="s">
        <v>121</v>
      </c>
      <c r="D2004" s="9" t="s">
        <v>7970</v>
      </c>
      <c r="E2004" s="9" t="s">
        <v>7971</v>
      </c>
      <c r="F2004" s="9" t="s">
        <v>7972</v>
      </c>
      <c r="G2004" s="9" t="s">
        <v>312</v>
      </c>
      <c r="H2004" s="15" t="s">
        <v>23</v>
      </c>
      <c r="I2004" s="9" t="s">
        <v>7973</v>
      </c>
      <c r="J2004" s="13"/>
      <c r="K2004" s="13"/>
    </row>
    <row r="2005" customFormat="false" ht="68.65" hidden="false" customHeight="false" outlineLevel="0" collapsed="false">
      <c r="A2005" s="9" t="n">
        <v>2004</v>
      </c>
      <c r="B2005" s="9" t="s">
        <v>102</v>
      </c>
      <c r="C2005" s="11" t="s">
        <v>121</v>
      </c>
      <c r="D2005" s="9" t="s">
        <v>7974</v>
      </c>
      <c r="E2005" s="9" t="s">
        <v>7975</v>
      </c>
      <c r="F2005" s="9" t="s">
        <v>7976</v>
      </c>
      <c r="G2005" s="9" t="s">
        <v>312</v>
      </c>
      <c r="H2005" s="15" t="s">
        <v>23</v>
      </c>
      <c r="I2005" s="9" t="s">
        <v>7977</v>
      </c>
      <c r="J2005" s="13"/>
      <c r="K2005" s="13"/>
    </row>
    <row r="2006" customFormat="false" ht="57.45" hidden="false" customHeight="false" outlineLevel="0" collapsed="false">
      <c r="A2006" s="9" t="n">
        <v>2005</v>
      </c>
      <c r="B2006" s="9" t="s">
        <v>102</v>
      </c>
      <c r="C2006" s="11" t="s">
        <v>121</v>
      </c>
      <c r="D2006" s="9" t="s">
        <v>7978</v>
      </c>
      <c r="E2006" s="9" t="s">
        <v>7979</v>
      </c>
      <c r="F2006" s="9" t="s">
        <v>7980</v>
      </c>
      <c r="G2006" s="9" t="s">
        <v>7981</v>
      </c>
      <c r="H2006" s="14" t="s">
        <v>22</v>
      </c>
      <c r="I2006" s="9" t="s">
        <v>7982</v>
      </c>
      <c r="J2006" s="13"/>
      <c r="K2006" s="13"/>
    </row>
    <row r="2007" customFormat="false" ht="57.45" hidden="false" customHeight="false" outlineLevel="0" collapsed="false">
      <c r="A2007" s="9" t="n">
        <v>2006</v>
      </c>
      <c r="B2007" s="9" t="s">
        <v>102</v>
      </c>
      <c r="C2007" s="11" t="s">
        <v>121</v>
      </c>
      <c r="D2007" s="9" t="s">
        <v>7983</v>
      </c>
      <c r="E2007" s="9" t="s">
        <v>7984</v>
      </c>
      <c r="F2007" s="9" t="s">
        <v>7985</v>
      </c>
      <c r="G2007" s="9" t="s">
        <v>7986</v>
      </c>
      <c r="H2007" s="14" t="s">
        <v>22</v>
      </c>
      <c r="I2007" s="9" t="s">
        <v>7987</v>
      </c>
      <c r="J2007" s="13"/>
      <c r="K2007" s="13"/>
    </row>
    <row r="2008" customFormat="false" ht="46.25" hidden="false" customHeight="false" outlineLevel="0" collapsed="false">
      <c r="A2008" s="9" t="n">
        <v>2007</v>
      </c>
      <c r="B2008" s="9" t="s">
        <v>102</v>
      </c>
      <c r="C2008" s="11" t="s">
        <v>121</v>
      </c>
      <c r="D2008" s="9" t="s">
        <v>7988</v>
      </c>
      <c r="E2008" s="9" t="s">
        <v>7989</v>
      </c>
      <c r="F2008" s="9" t="s">
        <v>7990</v>
      </c>
      <c r="G2008" s="9" t="s">
        <v>7991</v>
      </c>
      <c r="H2008" s="14" t="s">
        <v>22</v>
      </c>
      <c r="I2008" s="9" t="s">
        <v>7992</v>
      </c>
      <c r="J2008" s="13"/>
      <c r="K2008" s="13"/>
    </row>
    <row r="2009" customFormat="false" ht="46.25" hidden="false" customHeight="false" outlineLevel="0" collapsed="false">
      <c r="A2009" s="9" t="n">
        <v>2008</v>
      </c>
      <c r="B2009" s="9" t="s">
        <v>102</v>
      </c>
      <c r="C2009" s="11" t="s">
        <v>121</v>
      </c>
      <c r="D2009" s="9" t="s">
        <v>7993</v>
      </c>
      <c r="E2009" s="9" t="s">
        <v>7994</v>
      </c>
      <c r="F2009" s="9" t="s">
        <v>7995</v>
      </c>
      <c r="G2009" s="9" t="s">
        <v>7996</v>
      </c>
      <c r="H2009" s="14" t="s">
        <v>22</v>
      </c>
      <c r="I2009" s="9" t="s">
        <v>7997</v>
      </c>
      <c r="J2009" s="13"/>
      <c r="K2009" s="13"/>
    </row>
    <row r="2010" customFormat="false" ht="57.45" hidden="false" customHeight="false" outlineLevel="0" collapsed="false">
      <c r="A2010" s="9" t="n">
        <v>2009</v>
      </c>
      <c r="B2010" s="9" t="s">
        <v>102</v>
      </c>
      <c r="C2010" s="11" t="s">
        <v>121</v>
      </c>
      <c r="D2010" s="9" t="s">
        <v>7998</v>
      </c>
      <c r="E2010" s="9" t="s">
        <v>7999</v>
      </c>
      <c r="F2010" s="9" t="s">
        <v>8000</v>
      </c>
      <c r="G2010" s="9" t="s">
        <v>3343</v>
      </c>
      <c r="H2010" s="14" t="s">
        <v>22</v>
      </c>
      <c r="I2010" s="9" t="s">
        <v>8001</v>
      </c>
      <c r="J2010" s="13"/>
      <c r="K2010" s="13"/>
    </row>
    <row r="2011" customFormat="false" ht="57.45" hidden="false" customHeight="false" outlineLevel="0" collapsed="false">
      <c r="A2011" s="9" t="n">
        <v>2010</v>
      </c>
      <c r="B2011" s="9" t="s">
        <v>102</v>
      </c>
      <c r="C2011" s="11" t="s">
        <v>121</v>
      </c>
      <c r="D2011" s="9" t="s">
        <v>8002</v>
      </c>
      <c r="E2011" s="9" t="s">
        <v>8003</v>
      </c>
      <c r="F2011" s="9" t="s">
        <v>8004</v>
      </c>
      <c r="G2011" s="9" t="s">
        <v>1072</v>
      </c>
      <c r="H2011" s="14" t="s">
        <v>22</v>
      </c>
      <c r="I2011" s="9" t="s">
        <v>8005</v>
      </c>
      <c r="J2011" s="13"/>
      <c r="K2011" s="13"/>
    </row>
    <row r="2012" customFormat="false" ht="91" hidden="false" customHeight="false" outlineLevel="0" collapsed="false">
      <c r="A2012" s="9" t="n">
        <v>2011</v>
      </c>
      <c r="B2012" s="9" t="s">
        <v>102</v>
      </c>
      <c r="C2012" s="11" t="s">
        <v>121</v>
      </c>
      <c r="D2012" s="9" t="s">
        <v>8006</v>
      </c>
      <c r="E2012" s="9" t="s">
        <v>8007</v>
      </c>
      <c r="F2012" s="9" t="s">
        <v>8008</v>
      </c>
      <c r="G2012" s="9" t="s">
        <v>312</v>
      </c>
      <c r="H2012" s="15" t="s">
        <v>23</v>
      </c>
      <c r="I2012" s="9" t="s">
        <v>8009</v>
      </c>
      <c r="J2012" s="13"/>
      <c r="K2012" s="13"/>
    </row>
    <row r="2013" customFormat="false" ht="57.45" hidden="false" customHeight="false" outlineLevel="0" collapsed="false">
      <c r="A2013" s="9" t="n">
        <v>2012</v>
      </c>
      <c r="B2013" s="9" t="s">
        <v>102</v>
      </c>
      <c r="C2013" s="11" t="s">
        <v>121</v>
      </c>
      <c r="D2013" s="9" t="s">
        <v>8010</v>
      </c>
      <c r="E2013" s="9" t="s">
        <v>8011</v>
      </c>
      <c r="F2013" s="9" t="s">
        <v>8012</v>
      </c>
      <c r="G2013" s="9" t="s">
        <v>8013</v>
      </c>
      <c r="H2013" s="14" t="s">
        <v>22</v>
      </c>
      <c r="I2013" s="9" t="s">
        <v>8014</v>
      </c>
      <c r="J2013" s="13"/>
      <c r="K2013" s="13"/>
    </row>
    <row r="2014" customFormat="false" ht="79.85" hidden="false" customHeight="false" outlineLevel="0" collapsed="false">
      <c r="A2014" s="9" t="n">
        <v>2013</v>
      </c>
      <c r="B2014" s="9" t="s">
        <v>102</v>
      </c>
      <c r="C2014" s="11" t="s">
        <v>121</v>
      </c>
      <c r="D2014" s="9" t="s">
        <v>8015</v>
      </c>
      <c r="E2014" s="9" t="s">
        <v>8016</v>
      </c>
      <c r="F2014" s="9" t="s">
        <v>8017</v>
      </c>
      <c r="G2014" s="9" t="s">
        <v>8018</v>
      </c>
      <c r="H2014" s="14" t="s">
        <v>22</v>
      </c>
      <c r="I2014" s="9" t="s">
        <v>8019</v>
      </c>
      <c r="J2014" s="13"/>
      <c r="K2014" s="13"/>
    </row>
    <row r="2015" customFormat="false" ht="68.65" hidden="false" customHeight="false" outlineLevel="0" collapsed="false">
      <c r="A2015" s="9" t="n">
        <v>2014</v>
      </c>
      <c r="B2015" s="9" t="s">
        <v>102</v>
      </c>
      <c r="C2015" s="11" t="s">
        <v>121</v>
      </c>
      <c r="D2015" s="9" t="s">
        <v>8020</v>
      </c>
      <c r="E2015" s="9" t="s">
        <v>8021</v>
      </c>
      <c r="F2015" s="9" t="s">
        <v>8022</v>
      </c>
      <c r="G2015" s="9" t="s">
        <v>8023</v>
      </c>
      <c r="H2015" s="12" t="s">
        <v>21</v>
      </c>
      <c r="I2015" s="9" t="s">
        <v>8024</v>
      </c>
      <c r="J2015" s="13"/>
      <c r="K2015" s="13"/>
    </row>
    <row r="2016" customFormat="false" ht="23.85" hidden="false" customHeight="false" outlineLevel="0" collapsed="false">
      <c r="A2016" s="9" t="n">
        <v>2015</v>
      </c>
      <c r="B2016" s="9" t="s">
        <v>102</v>
      </c>
      <c r="C2016" s="11" t="s">
        <v>121</v>
      </c>
      <c r="D2016" s="9" t="s">
        <v>8025</v>
      </c>
      <c r="E2016" s="9" t="s">
        <v>8026</v>
      </c>
      <c r="F2016" s="9" t="s">
        <v>8027</v>
      </c>
      <c r="G2016" s="9" t="s">
        <v>328</v>
      </c>
      <c r="H2016" s="15" t="s">
        <v>23</v>
      </c>
      <c r="I2016" s="9" t="s">
        <v>8028</v>
      </c>
      <c r="J2016" s="13"/>
      <c r="K2016" s="13"/>
    </row>
    <row r="2017" customFormat="false" ht="35.05" hidden="false" customHeight="false" outlineLevel="0" collapsed="false">
      <c r="A2017" s="9" t="n">
        <v>2016</v>
      </c>
      <c r="B2017" s="9" t="s">
        <v>102</v>
      </c>
      <c r="C2017" s="11" t="s">
        <v>121</v>
      </c>
      <c r="D2017" s="9" t="s">
        <v>8029</v>
      </c>
      <c r="E2017" s="9" t="s">
        <v>8030</v>
      </c>
      <c r="F2017" s="9" t="s">
        <v>8031</v>
      </c>
      <c r="G2017" s="9" t="s">
        <v>1643</v>
      </c>
      <c r="H2017" s="14" t="s">
        <v>22</v>
      </c>
      <c r="I2017" s="9" t="s">
        <v>8032</v>
      </c>
      <c r="J2017" s="13"/>
      <c r="K2017" s="13"/>
    </row>
    <row r="2018" customFormat="false" ht="46.25" hidden="false" customHeight="false" outlineLevel="0" collapsed="false">
      <c r="A2018" s="9" t="n">
        <v>2017</v>
      </c>
      <c r="B2018" s="9" t="s">
        <v>102</v>
      </c>
      <c r="C2018" s="11" t="s">
        <v>121</v>
      </c>
      <c r="D2018" s="9" t="s">
        <v>8033</v>
      </c>
      <c r="E2018" s="9" t="s">
        <v>8034</v>
      </c>
      <c r="F2018" s="9" t="s">
        <v>8035</v>
      </c>
      <c r="G2018" s="9" t="s">
        <v>328</v>
      </c>
      <c r="H2018" s="15" t="s">
        <v>23</v>
      </c>
      <c r="I2018" s="9" t="s">
        <v>8036</v>
      </c>
      <c r="J2018" s="13"/>
      <c r="K2018" s="13"/>
    </row>
    <row r="2019" customFormat="false" ht="46.25" hidden="false" customHeight="false" outlineLevel="0" collapsed="false">
      <c r="A2019" s="9" t="n">
        <v>2018</v>
      </c>
      <c r="B2019" s="9" t="s">
        <v>102</v>
      </c>
      <c r="C2019" s="11" t="s">
        <v>121</v>
      </c>
      <c r="D2019" s="9" t="s">
        <v>8037</v>
      </c>
      <c r="E2019" s="9" t="s">
        <v>8038</v>
      </c>
      <c r="F2019" s="9" t="s">
        <v>8039</v>
      </c>
      <c r="G2019" s="9" t="s">
        <v>328</v>
      </c>
      <c r="H2019" s="15" t="s">
        <v>23</v>
      </c>
      <c r="I2019" s="9" t="s">
        <v>8040</v>
      </c>
      <c r="J2019" s="13"/>
      <c r="K2019" s="13"/>
    </row>
    <row r="2020" customFormat="false" ht="35.05" hidden="false" customHeight="false" outlineLevel="0" collapsed="false">
      <c r="A2020" s="9" t="n">
        <v>2019</v>
      </c>
      <c r="B2020" s="9" t="s">
        <v>102</v>
      </c>
      <c r="C2020" s="11" t="s">
        <v>121</v>
      </c>
      <c r="D2020" s="9" t="s">
        <v>8041</v>
      </c>
      <c r="E2020" s="9" t="s">
        <v>8042</v>
      </c>
      <c r="F2020" s="9" t="s">
        <v>8043</v>
      </c>
      <c r="G2020" s="9" t="s">
        <v>2044</v>
      </c>
      <c r="H2020" s="15" t="s">
        <v>23</v>
      </c>
      <c r="I2020" s="9" t="s">
        <v>8044</v>
      </c>
      <c r="J2020" s="13"/>
      <c r="K2020" s="13"/>
    </row>
    <row r="2021" customFormat="false" ht="46.25" hidden="false" customHeight="false" outlineLevel="0" collapsed="false">
      <c r="A2021" s="9" t="n">
        <v>2020</v>
      </c>
      <c r="B2021" s="9" t="s">
        <v>102</v>
      </c>
      <c r="C2021" s="11" t="s">
        <v>121</v>
      </c>
      <c r="D2021" s="9" t="s">
        <v>8045</v>
      </c>
      <c r="E2021" s="9" t="s">
        <v>8046</v>
      </c>
      <c r="F2021" s="9" t="s">
        <v>8047</v>
      </c>
      <c r="G2021" s="9" t="s">
        <v>312</v>
      </c>
      <c r="H2021" s="15" t="s">
        <v>23</v>
      </c>
      <c r="I2021" s="9" t="s">
        <v>8048</v>
      </c>
      <c r="J2021" s="13"/>
      <c r="K2021" s="13"/>
    </row>
    <row r="2022" customFormat="false" ht="35.05" hidden="false" customHeight="false" outlineLevel="0" collapsed="false">
      <c r="A2022" s="9" t="n">
        <v>2021</v>
      </c>
      <c r="B2022" s="9" t="s">
        <v>102</v>
      </c>
      <c r="C2022" s="11" t="s">
        <v>121</v>
      </c>
      <c r="D2022" s="9" t="s">
        <v>8049</v>
      </c>
      <c r="E2022" s="9" t="s">
        <v>8050</v>
      </c>
      <c r="F2022" s="9" t="s">
        <v>8051</v>
      </c>
      <c r="G2022" s="9" t="s">
        <v>312</v>
      </c>
      <c r="H2022" s="15" t="s">
        <v>23</v>
      </c>
      <c r="I2022" s="9" t="s">
        <v>8052</v>
      </c>
      <c r="J2022" s="13"/>
      <c r="K2022" s="13"/>
    </row>
    <row r="2023" customFormat="false" ht="35.05" hidden="false" customHeight="false" outlineLevel="0" collapsed="false">
      <c r="A2023" s="9" t="n">
        <v>2022</v>
      </c>
      <c r="B2023" s="9" t="s">
        <v>102</v>
      </c>
      <c r="C2023" s="11" t="s">
        <v>121</v>
      </c>
      <c r="D2023" s="9" t="s">
        <v>8053</v>
      </c>
      <c r="E2023" s="9" t="s">
        <v>8054</v>
      </c>
      <c r="F2023" s="9" t="s">
        <v>8055</v>
      </c>
      <c r="G2023" s="9" t="s">
        <v>1072</v>
      </c>
      <c r="H2023" s="15" t="s">
        <v>23</v>
      </c>
      <c r="I2023" s="9" t="s">
        <v>8056</v>
      </c>
      <c r="J2023" s="13"/>
      <c r="K2023" s="13"/>
    </row>
    <row r="2024" customFormat="false" ht="35.05" hidden="false" customHeight="false" outlineLevel="0" collapsed="false">
      <c r="A2024" s="9" t="n">
        <v>2023</v>
      </c>
      <c r="B2024" s="9" t="s">
        <v>102</v>
      </c>
      <c r="C2024" s="11" t="s">
        <v>121</v>
      </c>
      <c r="D2024" s="9" t="s">
        <v>8057</v>
      </c>
      <c r="E2024" s="9" t="s">
        <v>8058</v>
      </c>
      <c r="F2024" s="9" t="s">
        <v>8059</v>
      </c>
      <c r="G2024" s="9" t="s">
        <v>24</v>
      </c>
      <c r="H2024" s="14" t="s">
        <v>22</v>
      </c>
      <c r="I2024" s="9" t="s">
        <v>8060</v>
      </c>
      <c r="J2024" s="13"/>
      <c r="K2024" s="13"/>
    </row>
    <row r="2025" customFormat="false" ht="23.85" hidden="false" customHeight="false" outlineLevel="0" collapsed="false">
      <c r="A2025" s="9" t="n">
        <v>2024</v>
      </c>
      <c r="B2025" s="9" t="s">
        <v>102</v>
      </c>
      <c r="C2025" s="11" t="s">
        <v>121</v>
      </c>
      <c r="D2025" s="9" t="s">
        <v>8061</v>
      </c>
      <c r="E2025" s="9" t="s">
        <v>8062</v>
      </c>
      <c r="F2025" s="9" t="s">
        <v>8063</v>
      </c>
      <c r="G2025" s="9" t="s">
        <v>24</v>
      </c>
      <c r="H2025" s="14" t="s">
        <v>22</v>
      </c>
      <c r="I2025" s="9" t="s">
        <v>8064</v>
      </c>
      <c r="J2025" s="13"/>
      <c r="K2025" s="13"/>
    </row>
    <row r="2026" customFormat="false" ht="23.85" hidden="false" customHeight="false" outlineLevel="0" collapsed="false">
      <c r="A2026" s="9" t="n">
        <v>2025</v>
      </c>
      <c r="B2026" s="9" t="s">
        <v>102</v>
      </c>
      <c r="C2026" s="11" t="s">
        <v>121</v>
      </c>
      <c r="D2026" s="9" t="s">
        <v>8065</v>
      </c>
      <c r="E2026" s="9" t="s">
        <v>8066</v>
      </c>
      <c r="F2026" s="9" t="s">
        <v>8067</v>
      </c>
      <c r="G2026" s="9" t="s">
        <v>24</v>
      </c>
      <c r="H2026" s="14" t="s">
        <v>22</v>
      </c>
      <c r="I2026" s="9" t="s">
        <v>434</v>
      </c>
      <c r="J2026" s="13"/>
      <c r="K2026" s="13"/>
    </row>
    <row r="2027" customFormat="false" ht="15" hidden="false" customHeight="false" outlineLevel="0" collapsed="false">
      <c r="A2027" s="9" t="n">
        <v>2026</v>
      </c>
      <c r="B2027" s="9" t="s">
        <v>102</v>
      </c>
      <c r="C2027" s="11" t="s">
        <v>121</v>
      </c>
      <c r="D2027" s="9" t="s">
        <v>8068</v>
      </c>
      <c r="E2027" s="9" t="s">
        <v>8069</v>
      </c>
      <c r="F2027" s="9" t="s">
        <v>8070</v>
      </c>
      <c r="G2027" s="9" t="s">
        <v>24</v>
      </c>
      <c r="H2027" s="14" t="s">
        <v>22</v>
      </c>
      <c r="I2027" s="9" t="s">
        <v>434</v>
      </c>
      <c r="J2027" s="13"/>
      <c r="K2027" s="13"/>
    </row>
    <row r="2028" customFormat="false" ht="15" hidden="false" customHeight="false" outlineLevel="0" collapsed="false">
      <c r="A2028" s="9" t="n">
        <v>2027</v>
      </c>
      <c r="B2028" s="9" t="s">
        <v>102</v>
      </c>
      <c r="C2028" s="11" t="s">
        <v>121</v>
      </c>
      <c r="D2028" s="9" t="s">
        <v>8071</v>
      </c>
      <c r="E2028" s="9" t="s">
        <v>8072</v>
      </c>
      <c r="F2028" s="9" t="s">
        <v>8073</v>
      </c>
      <c r="G2028" s="9" t="s">
        <v>24</v>
      </c>
      <c r="H2028" s="14" t="s">
        <v>22</v>
      </c>
      <c r="I2028" s="9" t="s">
        <v>434</v>
      </c>
      <c r="J2028" s="13"/>
      <c r="K2028" s="13"/>
    </row>
    <row r="2029" customFormat="false" ht="46.25" hidden="false" customHeight="false" outlineLevel="0" collapsed="false">
      <c r="A2029" s="9" t="n">
        <v>2028</v>
      </c>
      <c r="B2029" s="9" t="s">
        <v>102</v>
      </c>
      <c r="C2029" s="11" t="s">
        <v>121</v>
      </c>
      <c r="D2029" s="9" t="s">
        <v>8074</v>
      </c>
      <c r="E2029" s="9" t="s">
        <v>358</v>
      </c>
      <c r="F2029" s="9" t="s">
        <v>8075</v>
      </c>
      <c r="G2029" s="9" t="s">
        <v>24</v>
      </c>
      <c r="H2029" s="14" t="s">
        <v>22</v>
      </c>
      <c r="I2029" s="9" t="s">
        <v>8076</v>
      </c>
      <c r="J2029" s="13"/>
      <c r="K2029" s="13"/>
    </row>
    <row r="2030" customFormat="false" ht="15" hidden="false" customHeight="false" outlineLevel="0" collapsed="false">
      <c r="A2030" s="9" t="n">
        <v>2029</v>
      </c>
      <c r="B2030" s="9" t="s">
        <v>102</v>
      </c>
      <c r="C2030" s="11" t="s">
        <v>121</v>
      </c>
      <c r="D2030" s="9" t="s">
        <v>8077</v>
      </c>
      <c r="E2030" s="9" t="s">
        <v>362</v>
      </c>
      <c r="F2030" s="9" t="s">
        <v>363</v>
      </c>
      <c r="G2030" s="9" t="s">
        <v>24</v>
      </c>
      <c r="H2030" s="14" t="s">
        <v>22</v>
      </c>
      <c r="I2030" s="9" t="s">
        <v>364</v>
      </c>
      <c r="J2030" s="13"/>
      <c r="K2030" s="13"/>
    </row>
    <row r="2031" customFormat="false" ht="23.85" hidden="false" customHeight="false" outlineLevel="0" collapsed="false">
      <c r="A2031" s="9" t="n">
        <v>2030</v>
      </c>
      <c r="B2031" s="9" t="s">
        <v>102</v>
      </c>
      <c r="C2031" s="11" t="s">
        <v>121</v>
      </c>
      <c r="D2031" s="9" t="s">
        <v>8078</v>
      </c>
      <c r="E2031" s="9" t="s">
        <v>8079</v>
      </c>
      <c r="F2031" s="9" t="s">
        <v>8080</v>
      </c>
      <c r="G2031" s="9" t="s">
        <v>24</v>
      </c>
      <c r="H2031" s="15" t="s">
        <v>23</v>
      </c>
      <c r="I2031" s="9" t="s">
        <v>8081</v>
      </c>
      <c r="J2031" s="13"/>
      <c r="K2031" s="13"/>
    </row>
    <row r="2032" customFormat="false" ht="23.85" hidden="false" customHeight="false" outlineLevel="0" collapsed="false">
      <c r="A2032" s="9" t="n">
        <v>2031</v>
      </c>
      <c r="B2032" s="9" t="s">
        <v>102</v>
      </c>
      <c r="C2032" s="11" t="s">
        <v>121</v>
      </c>
      <c r="D2032" s="9" t="s">
        <v>8082</v>
      </c>
      <c r="E2032" s="9" t="s">
        <v>8083</v>
      </c>
      <c r="F2032" s="9" t="s">
        <v>8084</v>
      </c>
      <c r="G2032" s="9" t="s">
        <v>24</v>
      </c>
      <c r="H2032" s="15" t="s">
        <v>23</v>
      </c>
      <c r="I2032" s="9" t="s">
        <v>8085</v>
      </c>
      <c r="J2032" s="13"/>
      <c r="K2032" s="13"/>
    </row>
    <row r="2033" customFormat="false" ht="15" hidden="false" customHeight="false" outlineLevel="0" collapsed="false">
      <c r="A2033" s="9" t="n">
        <v>2032</v>
      </c>
      <c r="B2033" s="9" t="s">
        <v>102</v>
      </c>
      <c r="C2033" s="11" t="s">
        <v>121</v>
      </c>
      <c r="D2033" s="9" t="s">
        <v>8086</v>
      </c>
      <c r="E2033" s="9" t="s">
        <v>8087</v>
      </c>
      <c r="F2033" s="9" t="s">
        <v>8088</v>
      </c>
      <c r="G2033" s="9" t="s">
        <v>24</v>
      </c>
      <c r="H2033" s="15" t="s">
        <v>23</v>
      </c>
      <c r="I2033" s="9" t="s">
        <v>8089</v>
      </c>
      <c r="J2033" s="13"/>
      <c r="K2033" s="13"/>
    </row>
    <row r="2034" customFormat="false" ht="359.7" hidden="false" customHeight="false" outlineLevel="0" collapsed="false">
      <c r="A2034" s="9" t="n">
        <v>2033</v>
      </c>
      <c r="B2034" s="9" t="s">
        <v>123</v>
      </c>
      <c r="C2034" s="11" t="s">
        <v>124</v>
      </c>
      <c r="D2034" s="9" t="s">
        <v>8090</v>
      </c>
      <c r="E2034" s="9" t="s">
        <v>8091</v>
      </c>
      <c r="F2034" s="9" t="s">
        <v>8092</v>
      </c>
      <c r="G2034" s="9" t="s">
        <v>303</v>
      </c>
      <c r="H2034" s="12" t="s">
        <v>21</v>
      </c>
      <c r="I2034" s="9" t="s">
        <v>8093</v>
      </c>
      <c r="J2034" s="13"/>
      <c r="K2034" s="13"/>
    </row>
    <row r="2035" customFormat="false" ht="91" hidden="false" customHeight="false" outlineLevel="0" collapsed="false">
      <c r="A2035" s="9" t="n">
        <v>2034</v>
      </c>
      <c r="B2035" s="9" t="s">
        <v>123</v>
      </c>
      <c r="C2035" s="11" t="s">
        <v>124</v>
      </c>
      <c r="D2035" s="9" t="s">
        <v>8094</v>
      </c>
      <c r="E2035" s="9" t="s">
        <v>8095</v>
      </c>
      <c r="F2035" s="9" t="s">
        <v>8096</v>
      </c>
      <c r="G2035" s="9" t="s">
        <v>1370</v>
      </c>
      <c r="H2035" s="12" t="s">
        <v>21</v>
      </c>
      <c r="I2035" s="9" t="s">
        <v>8097</v>
      </c>
      <c r="J2035" s="13"/>
      <c r="K2035" s="13"/>
    </row>
    <row r="2036" customFormat="false" ht="68.65" hidden="false" customHeight="false" outlineLevel="0" collapsed="false">
      <c r="A2036" s="9" t="n">
        <v>2035</v>
      </c>
      <c r="B2036" s="9" t="s">
        <v>123</v>
      </c>
      <c r="C2036" s="11" t="s">
        <v>124</v>
      </c>
      <c r="D2036" s="9" t="s">
        <v>8098</v>
      </c>
      <c r="E2036" s="9" t="s">
        <v>8099</v>
      </c>
      <c r="F2036" s="9" t="s">
        <v>8100</v>
      </c>
      <c r="G2036" s="9" t="s">
        <v>1421</v>
      </c>
      <c r="H2036" s="14" t="s">
        <v>22</v>
      </c>
      <c r="I2036" s="9" t="s">
        <v>8101</v>
      </c>
      <c r="J2036" s="13"/>
      <c r="K2036" s="13"/>
    </row>
    <row r="2037" customFormat="false" ht="35.05" hidden="false" customHeight="false" outlineLevel="0" collapsed="false">
      <c r="A2037" s="9" t="n">
        <v>2036</v>
      </c>
      <c r="B2037" s="9" t="s">
        <v>123</v>
      </c>
      <c r="C2037" s="11" t="s">
        <v>124</v>
      </c>
      <c r="D2037" s="9" t="s">
        <v>8102</v>
      </c>
      <c r="E2037" s="9" t="s">
        <v>8103</v>
      </c>
      <c r="F2037" s="9" t="s">
        <v>8104</v>
      </c>
      <c r="G2037" s="9" t="s">
        <v>6425</v>
      </c>
      <c r="H2037" s="14" t="s">
        <v>22</v>
      </c>
      <c r="I2037" s="9" t="s">
        <v>8105</v>
      </c>
      <c r="J2037" s="13"/>
      <c r="K2037" s="13"/>
    </row>
    <row r="2038" customFormat="false" ht="68.65" hidden="false" customHeight="false" outlineLevel="0" collapsed="false">
      <c r="A2038" s="9" t="n">
        <v>2037</v>
      </c>
      <c r="B2038" s="9" t="s">
        <v>123</v>
      </c>
      <c r="C2038" s="11" t="s">
        <v>124</v>
      </c>
      <c r="D2038" s="9" t="s">
        <v>8106</v>
      </c>
      <c r="E2038" s="9" t="s">
        <v>8107</v>
      </c>
      <c r="F2038" s="9" t="s">
        <v>8108</v>
      </c>
      <c r="G2038" s="9" t="s">
        <v>392</v>
      </c>
      <c r="H2038" s="14" t="s">
        <v>22</v>
      </c>
      <c r="I2038" s="9" t="s">
        <v>8109</v>
      </c>
      <c r="J2038" s="13"/>
      <c r="K2038" s="13"/>
    </row>
    <row r="2039" customFormat="false" ht="91" hidden="false" customHeight="false" outlineLevel="0" collapsed="false">
      <c r="A2039" s="9" t="n">
        <v>2038</v>
      </c>
      <c r="B2039" s="9" t="s">
        <v>123</v>
      </c>
      <c r="C2039" s="11" t="s">
        <v>124</v>
      </c>
      <c r="D2039" s="9" t="s">
        <v>8110</v>
      </c>
      <c r="E2039" s="9" t="s">
        <v>8111</v>
      </c>
      <c r="F2039" s="9" t="s">
        <v>8112</v>
      </c>
      <c r="G2039" s="9" t="s">
        <v>847</v>
      </c>
      <c r="H2039" s="14" t="s">
        <v>22</v>
      </c>
      <c r="I2039" s="9" t="s">
        <v>8113</v>
      </c>
      <c r="J2039" s="13"/>
      <c r="K2039" s="13"/>
    </row>
    <row r="2040" customFormat="false" ht="68.65" hidden="false" customHeight="false" outlineLevel="0" collapsed="false">
      <c r="A2040" s="9" t="n">
        <v>2039</v>
      </c>
      <c r="B2040" s="9" t="s">
        <v>123</v>
      </c>
      <c r="C2040" s="11" t="s">
        <v>124</v>
      </c>
      <c r="D2040" s="9" t="s">
        <v>8114</v>
      </c>
      <c r="E2040" s="9" t="s">
        <v>8115</v>
      </c>
      <c r="F2040" s="9" t="s">
        <v>8116</v>
      </c>
      <c r="G2040" s="9" t="s">
        <v>1072</v>
      </c>
      <c r="H2040" s="14" t="s">
        <v>22</v>
      </c>
      <c r="I2040" s="9" t="s">
        <v>8117</v>
      </c>
      <c r="J2040" s="13"/>
      <c r="K2040" s="13"/>
    </row>
    <row r="2041" customFormat="false" ht="46.25" hidden="false" customHeight="false" outlineLevel="0" collapsed="false">
      <c r="A2041" s="9" t="n">
        <v>2040</v>
      </c>
      <c r="B2041" s="9" t="s">
        <v>123</v>
      </c>
      <c r="C2041" s="11" t="s">
        <v>124</v>
      </c>
      <c r="D2041" s="9" t="s">
        <v>8118</v>
      </c>
      <c r="E2041" s="9" t="s">
        <v>8119</v>
      </c>
      <c r="F2041" s="9" t="s">
        <v>8120</v>
      </c>
      <c r="G2041" s="9" t="s">
        <v>312</v>
      </c>
      <c r="H2041" s="15" t="s">
        <v>23</v>
      </c>
      <c r="I2041" s="9" t="s">
        <v>8121</v>
      </c>
      <c r="J2041" s="13"/>
      <c r="K2041" s="13"/>
    </row>
    <row r="2042" customFormat="false" ht="79.85" hidden="false" customHeight="false" outlineLevel="0" collapsed="false">
      <c r="A2042" s="9" t="n">
        <v>2041</v>
      </c>
      <c r="B2042" s="9" t="s">
        <v>123</v>
      </c>
      <c r="C2042" s="11" t="s">
        <v>124</v>
      </c>
      <c r="D2042" s="9" t="s">
        <v>8122</v>
      </c>
      <c r="E2042" s="9" t="s">
        <v>8123</v>
      </c>
      <c r="F2042" s="9" t="s">
        <v>8124</v>
      </c>
      <c r="G2042" s="9" t="s">
        <v>317</v>
      </c>
      <c r="H2042" s="14" t="s">
        <v>22</v>
      </c>
      <c r="I2042" s="9" t="s">
        <v>8125</v>
      </c>
      <c r="J2042" s="13"/>
      <c r="K2042" s="13"/>
    </row>
    <row r="2043" customFormat="false" ht="68.65" hidden="false" customHeight="false" outlineLevel="0" collapsed="false">
      <c r="A2043" s="9" t="n">
        <v>2042</v>
      </c>
      <c r="B2043" s="9" t="s">
        <v>123</v>
      </c>
      <c r="C2043" s="11" t="s">
        <v>124</v>
      </c>
      <c r="D2043" s="9" t="s">
        <v>8126</v>
      </c>
      <c r="E2043" s="9" t="s">
        <v>8127</v>
      </c>
      <c r="F2043" s="9" t="s">
        <v>8128</v>
      </c>
      <c r="G2043" s="9" t="s">
        <v>3257</v>
      </c>
      <c r="H2043" s="14" t="s">
        <v>22</v>
      </c>
      <c r="I2043" s="9" t="s">
        <v>8129</v>
      </c>
      <c r="J2043" s="13"/>
      <c r="K2043" s="13"/>
    </row>
    <row r="2044" customFormat="false" ht="35.05" hidden="false" customHeight="false" outlineLevel="0" collapsed="false">
      <c r="A2044" s="9" t="n">
        <v>2043</v>
      </c>
      <c r="B2044" s="9" t="s">
        <v>123</v>
      </c>
      <c r="C2044" s="11" t="s">
        <v>124</v>
      </c>
      <c r="D2044" s="9" t="s">
        <v>8130</v>
      </c>
      <c r="E2044" s="9" t="s">
        <v>8131</v>
      </c>
      <c r="F2044" s="9" t="s">
        <v>8132</v>
      </c>
      <c r="G2044" s="9" t="s">
        <v>4232</v>
      </c>
      <c r="H2044" s="15" t="s">
        <v>23</v>
      </c>
      <c r="I2044" s="9" t="s">
        <v>8133</v>
      </c>
      <c r="J2044" s="13"/>
      <c r="K2044" s="13"/>
    </row>
    <row r="2045" customFormat="false" ht="79.85" hidden="false" customHeight="false" outlineLevel="0" collapsed="false">
      <c r="A2045" s="9" t="n">
        <v>2044</v>
      </c>
      <c r="B2045" s="9" t="s">
        <v>123</v>
      </c>
      <c r="C2045" s="11" t="s">
        <v>124</v>
      </c>
      <c r="D2045" s="9" t="s">
        <v>8134</v>
      </c>
      <c r="E2045" s="9" t="s">
        <v>8135</v>
      </c>
      <c r="F2045" s="9" t="s">
        <v>8136</v>
      </c>
      <c r="G2045" s="9" t="s">
        <v>1072</v>
      </c>
      <c r="H2045" s="14" t="s">
        <v>22</v>
      </c>
      <c r="I2045" s="9" t="s">
        <v>8137</v>
      </c>
      <c r="J2045" s="13"/>
      <c r="K2045" s="13"/>
    </row>
    <row r="2046" customFormat="false" ht="35.05" hidden="false" customHeight="false" outlineLevel="0" collapsed="false">
      <c r="A2046" s="9" t="n">
        <v>2045</v>
      </c>
      <c r="B2046" s="9" t="s">
        <v>123</v>
      </c>
      <c r="C2046" s="11" t="s">
        <v>124</v>
      </c>
      <c r="D2046" s="9" t="s">
        <v>8138</v>
      </c>
      <c r="E2046" s="9" t="s">
        <v>8139</v>
      </c>
      <c r="F2046" s="9" t="s">
        <v>8140</v>
      </c>
      <c r="G2046" s="9" t="s">
        <v>8141</v>
      </c>
      <c r="H2046" s="15" t="s">
        <v>23</v>
      </c>
      <c r="I2046" s="9" t="s">
        <v>8142</v>
      </c>
      <c r="J2046" s="13"/>
      <c r="K2046" s="13"/>
    </row>
    <row r="2047" customFormat="false" ht="68.65" hidden="false" customHeight="false" outlineLevel="0" collapsed="false">
      <c r="A2047" s="9" t="n">
        <v>2046</v>
      </c>
      <c r="B2047" s="9" t="s">
        <v>123</v>
      </c>
      <c r="C2047" s="11" t="s">
        <v>124</v>
      </c>
      <c r="D2047" s="9" t="s">
        <v>8143</v>
      </c>
      <c r="E2047" s="9" t="s">
        <v>8144</v>
      </c>
      <c r="F2047" s="9" t="s">
        <v>8145</v>
      </c>
      <c r="G2047" s="9" t="s">
        <v>1072</v>
      </c>
      <c r="H2047" s="14" t="s">
        <v>22</v>
      </c>
      <c r="I2047" s="9" t="s">
        <v>8146</v>
      </c>
      <c r="J2047" s="13"/>
      <c r="K2047" s="13"/>
    </row>
    <row r="2048" customFormat="false" ht="57.45" hidden="false" customHeight="false" outlineLevel="0" collapsed="false">
      <c r="A2048" s="9" t="n">
        <v>2047</v>
      </c>
      <c r="B2048" s="9" t="s">
        <v>123</v>
      </c>
      <c r="C2048" s="11" t="s">
        <v>124</v>
      </c>
      <c r="D2048" s="9" t="s">
        <v>8147</v>
      </c>
      <c r="E2048" s="9" t="s">
        <v>8148</v>
      </c>
      <c r="F2048" s="9" t="s">
        <v>8149</v>
      </c>
      <c r="G2048" s="9" t="s">
        <v>392</v>
      </c>
      <c r="H2048" s="14" t="s">
        <v>22</v>
      </c>
      <c r="I2048" s="9" t="s">
        <v>8150</v>
      </c>
      <c r="J2048" s="13"/>
      <c r="K2048" s="13"/>
    </row>
    <row r="2049" customFormat="false" ht="79.85" hidden="false" customHeight="false" outlineLevel="0" collapsed="false">
      <c r="A2049" s="9" t="n">
        <v>2048</v>
      </c>
      <c r="B2049" s="9" t="s">
        <v>123</v>
      </c>
      <c r="C2049" s="11" t="s">
        <v>124</v>
      </c>
      <c r="D2049" s="9" t="s">
        <v>8151</v>
      </c>
      <c r="E2049" s="9" t="s">
        <v>8152</v>
      </c>
      <c r="F2049" s="9" t="s">
        <v>8153</v>
      </c>
      <c r="G2049" s="9" t="s">
        <v>317</v>
      </c>
      <c r="H2049" s="14" t="s">
        <v>22</v>
      </c>
      <c r="I2049" s="9" t="s">
        <v>8154</v>
      </c>
      <c r="J2049" s="13"/>
      <c r="K2049" s="13"/>
    </row>
    <row r="2050" customFormat="false" ht="57.45" hidden="false" customHeight="false" outlineLevel="0" collapsed="false">
      <c r="A2050" s="9" t="n">
        <v>2049</v>
      </c>
      <c r="B2050" s="9" t="s">
        <v>123</v>
      </c>
      <c r="C2050" s="11" t="s">
        <v>124</v>
      </c>
      <c r="D2050" s="9" t="s">
        <v>8155</v>
      </c>
      <c r="E2050" s="9" t="s">
        <v>8156</v>
      </c>
      <c r="F2050" s="9" t="s">
        <v>8157</v>
      </c>
      <c r="G2050" s="9" t="s">
        <v>392</v>
      </c>
      <c r="H2050" s="14" t="s">
        <v>22</v>
      </c>
      <c r="I2050" s="9" t="s">
        <v>8158</v>
      </c>
      <c r="J2050" s="13"/>
      <c r="K2050" s="13"/>
    </row>
    <row r="2051" customFormat="false" ht="46.25" hidden="false" customHeight="false" outlineLevel="0" collapsed="false">
      <c r="A2051" s="9" t="n">
        <v>2050</v>
      </c>
      <c r="B2051" s="9" t="s">
        <v>123</v>
      </c>
      <c r="C2051" s="11" t="s">
        <v>124</v>
      </c>
      <c r="D2051" s="9" t="s">
        <v>8159</v>
      </c>
      <c r="E2051" s="9" t="s">
        <v>8160</v>
      </c>
      <c r="F2051" s="9" t="s">
        <v>8161</v>
      </c>
      <c r="G2051" s="9" t="s">
        <v>317</v>
      </c>
      <c r="H2051" s="15" t="s">
        <v>23</v>
      </c>
      <c r="I2051" s="9" t="s">
        <v>8162</v>
      </c>
      <c r="J2051" s="13"/>
      <c r="K2051" s="13"/>
    </row>
    <row r="2052" customFormat="false" ht="57.45" hidden="false" customHeight="false" outlineLevel="0" collapsed="false">
      <c r="A2052" s="9" t="n">
        <v>2051</v>
      </c>
      <c r="B2052" s="9" t="s">
        <v>123</v>
      </c>
      <c r="C2052" s="11" t="s">
        <v>124</v>
      </c>
      <c r="D2052" s="9" t="s">
        <v>8163</v>
      </c>
      <c r="E2052" s="9" t="s">
        <v>8164</v>
      </c>
      <c r="F2052" s="9" t="s">
        <v>8165</v>
      </c>
      <c r="G2052" s="9" t="s">
        <v>3352</v>
      </c>
      <c r="H2052" s="14" t="s">
        <v>22</v>
      </c>
      <c r="I2052" s="9" t="s">
        <v>8166</v>
      </c>
      <c r="J2052" s="13"/>
      <c r="K2052" s="13"/>
    </row>
    <row r="2053" customFormat="false" ht="68.65" hidden="false" customHeight="false" outlineLevel="0" collapsed="false">
      <c r="A2053" s="9" t="n">
        <v>2052</v>
      </c>
      <c r="B2053" s="9" t="s">
        <v>123</v>
      </c>
      <c r="C2053" s="11" t="s">
        <v>124</v>
      </c>
      <c r="D2053" s="9" t="s">
        <v>8167</v>
      </c>
      <c r="E2053" s="9" t="s">
        <v>8168</v>
      </c>
      <c r="F2053" s="9" t="s">
        <v>8169</v>
      </c>
      <c r="G2053" s="9" t="s">
        <v>1072</v>
      </c>
      <c r="H2053" s="14" t="s">
        <v>22</v>
      </c>
      <c r="I2053" s="9" t="s">
        <v>8170</v>
      </c>
      <c r="J2053" s="13"/>
      <c r="K2053" s="13"/>
    </row>
    <row r="2054" customFormat="false" ht="68.65" hidden="false" customHeight="false" outlineLevel="0" collapsed="false">
      <c r="A2054" s="9" t="n">
        <v>2053</v>
      </c>
      <c r="B2054" s="9" t="s">
        <v>123</v>
      </c>
      <c r="C2054" s="11" t="s">
        <v>124</v>
      </c>
      <c r="D2054" s="9" t="s">
        <v>8171</v>
      </c>
      <c r="E2054" s="9" t="s">
        <v>8172</v>
      </c>
      <c r="F2054" s="9" t="s">
        <v>8173</v>
      </c>
      <c r="G2054" s="9" t="s">
        <v>1638</v>
      </c>
      <c r="H2054" s="14" t="s">
        <v>22</v>
      </c>
      <c r="I2054" s="9" t="s">
        <v>8174</v>
      </c>
      <c r="J2054" s="13"/>
      <c r="K2054" s="13"/>
    </row>
    <row r="2055" customFormat="false" ht="35.05" hidden="false" customHeight="false" outlineLevel="0" collapsed="false">
      <c r="A2055" s="9" t="n">
        <v>2054</v>
      </c>
      <c r="B2055" s="9" t="s">
        <v>123</v>
      </c>
      <c r="C2055" s="11" t="s">
        <v>124</v>
      </c>
      <c r="D2055" s="9" t="s">
        <v>8175</v>
      </c>
      <c r="E2055" s="9" t="s">
        <v>8176</v>
      </c>
      <c r="F2055" s="9" t="s">
        <v>8177</v>
      </c>
      <c r="G2055" s="9" t="s">
        <v>392</v>
      </c>
      <c r="H2055" s="15" t="s">
        <v>23</v>
      </c>
      <c r="I2055" s="9" t="s">
        <v>8178</v>
      </c>
      <c r="J2055" s="13"/>
      <c r="K2055" s="13"/>
    </row>
    <row r="2056" customFormat="false" ht="35.05" hidden="false" customHeight="false" outlineLevel="0" collapsed="false">
      <c r="A2056" s="9" t="n">
        <v>2055</v>
      </c>
      <c r="B2056" s="9" t="s">
        <v>123</v>
      </c>
      <c r="C2056" s="11" t="s">
        <v>124</v>
      </c>
      <c r="D2056" s="9" t="s">
        <v>8179</v>
      </c>
      <c r="E2056" s="9" t="s">
        <v>8180</v>
      </c>
      <c r="F2056" s="9" t="s">
        <v>8181</v>
      </c>
      <c r="G2056" s="9" t="s">
        <v>8182</v>
      </c>
      <c r="H2056" s="14" t="s">
        <v>22</v>
      </c>
      <c r="I2056" s="9" t="s">
        <v>8183</v>
      </c>
      <c r="J2056" s="13"/>
      <c r="K2056" s="13"/>
    </row>
    <row r="2057" customFormat="false" ht="79.85" hidden="false" customHeight="false" outlineLevel="0" collapsed="false">
      <c r="A2057" s="9" t="n">
        <v>2056</v>
      </c>
      <c r="B2057" s="9" t="s">
        <v>123</v>
      </c>
      <c r="C2057" s="11" t="s">
        <v>124</v>
      </c>
      <c r="D2057" s="9" t="s">
        <v>8184</v>
      </c>
      <c r="E2057" s="9" t="s">
        <v>8185</v>
      </c>
      <c r="F2057" s="9" t="s">
        <v>8186</v>
      </c>
      <c r="G2057" s="9" t="s">
        <v>1072</v>
      </c>
      <c r="H2057" s="14" t="s">
        <v>22</v>
      </c>
      <c r="I2057" s="9" t="s">
        <v>8187</v>
      </c>
      <c r="J2057" s="13"/>
      <c r="K2057" s="13"/>
    </row>
    <row r="2058" customFormat="false" ht="68.65" hidden="false" customHeight="false" outlineLevel="0" collapsed="false">
      <c r="A2058" s="9" t="n">
        <v>2057</v>
      </c>
      <c r="B2058" s="9" t="s">
        <v>123</v>
      </c>
      <c r="C2058" s="11" t="s">
        <v>124</v>
      </c>
      <c r="D2058" s="9" t="s">
        <v>8188</v>
      </c>
      <c r="E2058" s="9" t="s">
        <v>8189</v>
      </c>
      <c r="F2058" s="9" t="s">
        <v>8190</v>
      </c>
      <c r="G2058" s="9" t="s">
        <v>1638</v>
      </c>
      <c r="H2058" s="14" t="s">
        <v>22</v>
      </c>
      <c r="I2058" s="9" t="s">
        <v>8191</v>
      </c>
      <c r="J2058" s="13"/>
      <c r="K2058" s="13"/>
    </row>
    <row r="2059" customFormat="false" ht="35.05" hidden="false" customHeight="false" outlineLevel="0" collapsed="false">
      <c r="A2059" s="9" t="n">
        <v>2058</v>
      </c>
      <c r="B2059" s="9" t="s">
        <v>123</v>
      </c>
      <c r="C2059" s="11" t="s">
        <v>124</v>
      </c>
      <c r="D2059" s="9" t="s">
        <v>8192</v>
      </c>
      <c r="E2059" s="9" t="s">
        <v>8193</v>
      </c>
      <c r="F2059" s="9" t="s">
        <v>8194</v>
      </c>
      <c r="G2059" s="9" t="s">
        <v>8195</v>
      </c>
      <c r="H2059" s="15" t="s">
        <v>23</v>
      </c>
      <c r="I2059" s="9" t="s">
        <v>8196</v>
      </c>
      <c r="J2059" s="13"/>
      <c r="K2059" s="13"/>
    </row>
    <row r="2060" customFormat="false" ht="23.85" hidden="false" customHeight="false" outlineLevel="0" collapsed="false">
      <c r="A2060" s="9" t="n">
        <v>2059</v>
      </c>
      <c r="B2060" s="9" t="s">
        <v>123</v>
      </c>
      <c r="C2060" s="11" t="s">
        <v>124</v>
      </c>
      <c r="D2060" s="9" t="s">
        <v>8197</v>
      </c>
      <c r="E2060" s="9" t="s">
        <v>8198</v>
      </c>
      <c r="F2060" s="9" t="s">
        <v>8199</v>
      </c>
      <c r="G2060" s="9" t="s">
        <v>312</v>
      </c>
      <c r="H2060" s="15" t="s">
        <v>23</v>
      </c>
      <c r="I2060" s="9" t="s">
        <v>8200</v>
      </c>
      <c r="J2060" s="13"/>
      <c r="K2060" s="13"/>
    </row>
    <row r="2061" customFormat="false" ht="35.05" hidden="false" customHeight="false" outlineLevel="0" collapsed="false">
      <c r="A2061" s="9" t="n">
        <v>2060</v>
      </c>
      <c r="B2061" s="9" t="s">
        <v>123</v>
      </c>
      <c r="C2061" s="11" t="s">
        <v>124</v>
      </c>
      <c r="D2061" s="9" t="s">
        <v>8201</v>
      </c>
      <c r="E2061" s="9" t="s">
        <v>8202</v>
      </c>
      <c r="F2061" s="9" t="s">
        <v>8203</v>
      </c>
      <c r="G2061" s="9" t="s">
        <v>312</v>
      </c>
      <c r="H2061" s="14" t="s">
        <v>22</v>
      </c>
      <c r="I2061" s="9" t="s">
        <v>8204</v>
      </c>
      <c r="J2061" s="13"/>
      <c r="K2061" s="13"/>
    </row>
    <row r="2062" customFormat="false" ht="46.25" hidden="false" customHeight="false" outlineLevel="0" collapsed="false">
      <c r="A2062" s="9" t="n">
        <v>2061</v>
      </c>
      <c r="B2062" s="9" t="s">
        <v>123</v>
      </c>
      <c r="C2062" s="11" t="s">
        <v>124</v>
      </c>
      <c r="D2062" s="9" t="s">
        <v>8205</v>
      </c>
      <c r="E2062" s="9" t="s">
        <v>8206</v>
      </c>
      <c r="F2062" s="9" t="s">
        <v>8207</v>
      </c>
      <c r="G2062" s="9" t="s">
        <v>392</v>
      </c>
      <c r="H2062" s="15" t="s">
        <v>23</v>
      </c>
      <c r="I2062" s="9" t="s">
        <v>8208</v>
      </c>
      <c r="J2062" s="13"/>
      <c r="K2062" s="13"/>
    </row>
    <row r="2063" customFormat="false" ht="35.05" hidden="false" customHeight="false" outlineLevel="0" collapsed="false">
      <c r="A2063" s="9" t="n">
        <v>2062</v>
      </c>
      <c r="B2063" s="9" t="s">
        <v>123</v>
      </c>
      <c r="C2063" s="11" t="s">
        <v>124</v>
      </c>
      <c r="D2063" s="9" t="s">
        <v>8209</v>
      </c>
      <c r="E2063" s="9" t="s">
        <v>8210</v>
      </c>
      <c r="F2063" s="9" t="s">
        <v>8211</v>
      </c>
      <c r="G2063" s="9" t="s">
        <v>8212</v>
      </c>
      <c r="H2063" s="15" t="s">
        <v>23</v>
      </c>
      <c r="I2063" s="9" t="s">
        <v>8213</v>
      </c>
      <c r="J2063" s="13"/>
      <c r="K2063" s="13"/>
    </row>
    <row r="2064" customFormat="false" ht="46.25" hidden="false" customHeight="false" outlineLevel="0" collapsed="false">
      <c r="A2064" s="9" t="n">
        <v>2063</v>
      </c>
      <c r="B2064" s="9" t="s">
        <v>123</v>
      </c>
      <c r="C2064" s="11" t="s">
        <v>124</v>
      </c>
      <c r="D2064" s="9" t="s">
        <v>8214</v>
      </c>
      <c r="E2064" s="9" t="s">
        <v>8215</v>
      </c>
      <c r="F2064" s="9" t="s">
        <v>8216</v>
      </c>
      <c r="G2064" s="9" t="s">
        <v>3352</v>
      </c>
      <c r="H2064" s="14" t="s">
        <v>22</v>
      </c>
      <c r="I2064" s="9" t="s">
        <v>8217</v>
      </c>
      <c r="J2064" s="13"/>
      <c r="K2064" s="13"/>
    </row>
    <row r="2065" customFormat="false" ht="23.85" hidden="false" customHeight="false" outlineLevel="0" collapsed="false">
      <c r="A2065" s="9" t="n">
        <v>2064</v>
      </c>
      <c r="B2065" s="9" t="s">
        <v>123</v>
      </c>
      <c r="C2065" s="11" t="s">
        <v>124</v>
      </c>
      <c r="D2065" s="9" t="s">
        <v>8218</v>
      </c>
      <c r="E2065" s="9" t="s">
        <v>2094</v>
      </c>
      <c r="F2065" s="9" t="s">
        <v>1703</v>
      </c>
      <c r="G2065" s="9" t="s">
        <v>328</v>
      </c>
      <c r="H2065" s="15" t="s">
        <v>23</v>
      </c>
      <c r="I2065" s="9" t="s">
        <v>2298</v>
      </c>
      <c r="J2065" s="13"/>
      <c r="K2065" s="13"/>
    </row>
    <row r="2066" customFormat="false" ht="79.85" hidden="false" customHeight="false" outlineLevel="0" collapsed="false">
      <c r="A2066" s="9" t="n">
        <v>2065</v>
      </c>
      <c r="B2066" s="9" t="s">
        <v>123</v>
      </c>
      <c r="C2066" s="11" t="s">
        <v>124</v>
      </c>
      <c r="D2066" s="9" t="s">
        <v>8219</v>
      </c>
      <c r="E2066" s="9" t="s">
        <v>8220</v>
      </c>
      <c r="F2066" s="9" t="s">
        <v>8221</v>
      </c>
      <c r="G2066" s="9" t="s">
        <v>1072</v>
      </c>
      <c r="H2066" s="14" t="s">
        <v>22</v>
      </c>
      <c r="I2066" s="9" t="s">
        <v>8222</v>
      </c>
      <c r="J2066" s="13"/>
      <c r="K2066" s="13"/>
    </row>
    <row r="2067" customFormat="false" ht="23.85" hidden="false" customHeight="false" outlineLevel="0" collapsed="false">
      <c r="A2067" s="9" t="n">
        <v>2066</v>
      </c>
      <c r="B2067" s="9" t="s">
        <v>123</v>
      </c>
      <c r="C2067" s="11" t="s">
        <v>124</v>
      </c>
      <c r="D2067" s="9" t="s">
        <v>8223</v>
      </c>
      <c r="E2067" s="9" t="s">
        <v>8224</v>
      </c>
      <c r="F2067" s="9" t="s">
        <v>8225</v>
      </c>
      <c r="G2067" s="9" t="s">
        <v>312</v>
      </c>
      <c r="H2067" s="15" t="s">
        <v>23</v>
      </c>
      <c r="I2067" s="9" t="s">
        <v>8226</v>
      </c>
      <c r="J2067" s="13"/>
      <c r="K2067" s="13"/>
    </row>
    <row r="2068" customFormat="false" ht="35.05" hidden="false" customHeight="false" outlineLevel="0" collapsed="false">
      <c r="A2068" s="9" t="n">
        <v>2067</v>
      </c>
      <c r="B2068" s="9" t="s">
        <v>123</v>
      </c>
      <c r="C2068" s="11" t="s">
        <v>124</v>
      </c>
      <c r="D2068" s="9" t="s">
        <v>8227</v>
      </c>
      <c r="E2068" s="9" t="s">
        <v>8228</v>
      </c>
      <c r="F2068" s="9" t="s">
        <v>8229</v>
      </c>
      <c r="G2068" s="9" t="s">
        <v>1072</v>
      </c>
      <c r="H2068" s="15" t="s">
        <v>23</v>
      </c>
      <c r="I2068" s="9" t="s">
        <v>8230</v>
      </c>
      <c r="J2068" s="13"/>
      <c r="K2068" s="13"/>
    </row>
    <row r="2069" customFormat="false" ht="57.45" hidden="false" customHeight="false" outlineLevel="0" collapsed="false">
      <c r="A2069" s="9" t="n">
        <v>2068</v>
      </c>
      <c r="B2069" s="9" t="s">
        <v>123</v>
      </c>
      <c r="C2069" s="11" t="s">
        <v>124</v>
      </c>
      <c r="D2069" s="9" t="s">
        <v>8231</v>
      </c>
      <c r="E2069" s="9" t="s">
        <v>8232</v>
      </c>
      <c r="F2069" s="9" t="s">
        <v>8233</v>
      </c>
      <c r="G2069" s="9" t="s">
        <v>312</v>
      </c>
      <c r="H2069" s="15" t="s">
        <v>23</v>
      </c>
      <c r="I2069" s="9" t="s">
        <v>8234</v>
      </c>
      <c r="J2069" s="13"/>
      <c r="K2069" s="13"/>
    </row>
    <row r="2070" customFormat="false" ht="35.05" hidden="false" customHeight="false" outlineLevel="0" collapsed="false">
      <c r="A2070" s="9" t="n">
        <v>2069</v>
      </c>
      <c r="B2070" s="9" t="s">
        <v>123</v>
      </c>
      <c r="C2070" s="11" t="s">
        <v>124</v>
      </c>
      <c r="D2070" s="9" t="s">
        <v>8235</v>
      </c>
      <c r="E2070" s="9" t="s">
        <v>8236</v>
      </c>
      <c r="F2070" s="9" t="s">
        <v>8237</v>
      </c>
      <c r="G2070" s="9" t="s">
        <v>308</v>
      </c>
      <c r="H2070" s="15" t="s">
        <v>23</v>
      </c>
      <c r="I2070" s="9" t="s">
        <v>8238</v>
      </c>
      <c r="J2070" s="13"/>
      <c r="K2070" s="13"/>
    </row>
    <row r="2071" customFormat="false" ht="46.25" hidden="false" customHeight="false" outlineLevel="0" collapsed="false">
      <c r="A2071" s="9" t="n">
        <v>2070</v>
      </c>
      <c r="B2071" s="9" t="s">
        <v>123</v>
      </c>
      <c r="C2071" s="11" t="s">
        <v>124</v>
      </c>
      <c r="D2071" s="9" t="s">
        <v>8239</v>
      </c>
      <c r="E2071" s="9" t="s">
        <v>8240</v>
      </c>
      <c r="F2071" s="9" t="s">
        <v>8241</v>
      </c>
      <c r="G2071" s="9" t="s">
        <v>1284</v>
      </c>
      <c r="H2071" s="14" t="s">
        <v>22</v>
      </c>
      <c r="I2071" s="9" t="s">
        <v>8242</v>
      </c>
      <c r="J2071" s="13"/>
      <c r="K2071" s="13"/>
    </row>
    <row r="2072" customFormat="false" ht="35.05" hidden="false" customHeight="false" outlineLevel="0" collapsed="false">
      <c r="A2072" s="9" t="n">
        <v>2071</v>
      </c>
      <c r="B2072" s="9" t="s">
        <v>123</v>
      </c>
      <c r="C2072" s="11" t="s">
        <v>124</v>
      </c>
      <c r="D2072" s="9" t="s">
        <v>8243</v>
      </c>
      <c r="E2072" s="9" t="s">
        <v>8244</v>
      </c>
      <c r="F2072" s="9" t="s">
        <v>8245</v>
      </c>
      <c r="G2072" s="9" t="s">
        <v>392</v>
      </c>
      <c r="H2072" s="15" t="s">
        <v>23</v>
      </c>
      <c r="I2072" s="9" t="s">
        <v>8246</v>
      </c>
      <c r="J2072" s="13"/>
      <c r="K2072" s="13"/>
    </row>
    <row r="2073" customFormat="false" ht="35.05" hidden="false" customHeight="false" outlineLevel="0" collapsed="false">
      <c r="A2073" s="9" t="n">
        <v>2072</v>
      </c>
      <c r="B2073" s="9" t="s">
        <v>123</v>
      </c>
      <c r="C2073" s="11" t="s">
        <v>124</v>
      </c>
      <c r="D2073" s="9" t="s">
        <v>8247</v>
      </c>
      <c r="E2073" s="9" t="s">
        <v>8248</v>
      </c>
      <c r="F2073" s="9" t="s">
        <v>8249</v>
      </c>
      <c r="G2073" s="9" t="s">
        <v>24</v>
      </c>
      <c r="H2073" s="14" t="s">
        <v>22</v>
      </c>
      <c r="I2073" s="9" t="s">
        <v>8250</v>
      </c>
      <c r="J2073" s="13"/>
      <c r="K2073" s="13"/>
    </row>
    <row r="2074" customFormat="false" ht="46.25" hidden="false" customHeight="false" outlineLevel="0" collapsed="false">
      <c r="A2074" s="9" t="n">
        <v>2073</v>
      </c>
      <c r="B2074" s="9" t="s">
        <v>123</v>
      </c>
      <c r="C2074" s="11" t="s">
        <v>124</v>
      </c>
      <c r="D2074" s="9" t="s">
        <v>8251</v>
      </c>
      <c r="E2074" s="9" t="s">
        <v>8252</v>
      </c>
      <c r="F2074" s="9" t="s">
        <v>8253</v>
      </c>
      <c r="G2074" s="9" t="s">
        <v>24</v>
      </c>
      <c r="H2074" s="14" t="s">
        <v>22</v>
      </c>
      <c r="I2074" s="9" t="s">
        <v>8254</v>
      </c>
      <c r="J2074" s="13"/>
      <c r="K2074" s="13"/>
    </row>
    <row r="2075" customFormat="false" ht="46.25" hidden="false" customHeight="false" outlineLevel="0" collapsed="false">
      <c r="A2075" s="9" t="n">
        <v>2074</v>
      </c>
      <c r="B2075" s="9" t="s">
        <v>123</v>
      </c>
      <c r="C2075" s="11" t="s">
        <v>124</v>
      </c>
      <c r="D2075" s="9" t="s">
        <v>8255</v>
      </c>
      <c r="E2075" s="9" t="s">
        <v>8256</v>
      </c>
      <c r="F2075" s="9" t="s">
        <v>8257</v>
      </c>
      <c r="G2075" s="9" t="s">
        <v>24</v>
      </c>
      <c r="H2075" s="14" t="s">
        <v>22</v>
      </c>
      <c r="I2075" s="9" t="s">
        <v>8258</v>
      </c>
      <c r="J2075" s="13"/>
      <c r="K2075" s="13"/>
    </row>
    <row r="2076" customFormat="false" ht="23.85" hidden="false" customHeight="false" outlineLevel="0" collapsed="false">
      <c r="A2076" s="9" t="n">
        <v>2075</v>
      </c>
      <c r="B2076" s="9" t="s">
        <v>123</v>
      </c>
      <c r="C2076" s="11" t="s">
        <v>124</v>
      </c>
      <c r="D2076" s="9" t="s">
        <v>8259</v>
      </c>
      <c r="E2076" s="9" t="s">
        <v>8260</v>
      </c>
      <c r="F2076" s="9" t="s">
        <v>8261</v>
      </c>
      <c r="G2076" s="9" t="s">
        <v>24</v>
      </c>
      <c r="H2076" s="14" t="s">
        <v>22</v>
      </c>
      <c r="I2076" s="9" t="s">
        <v>8262</v>
      </c>
      <c r="J2076" s="13"/>
      <c r="K2076" s="13"/>
    </row>
    <row r="2077" customFormat="false" ht="23.85" hidden="false" customHeight="false" outlineLevel="0" collapsed="false">
      <c r="A2077" s="9" t="n">
        <v>2076</v>
      </c>
      <c r="B2077" s="9" t="s">
        <v>123</v>
      </c>
      <c r="C2077" s="11" t="s">
        <v>124</v>
      </c>
      <c r="D2077" s="9" t="s">
        <v>8263</v>
      </c>
      <c r="E2077" s="9" t="s">
        <v>8264</v>
      </c>
      <c r="F2077" s="9" t="s">
        <v>8265</v>
      </c>
      <c r="G2077" s="9" t="s">
        <v>24</v>
      </c>
      <c r="H2077" s="14" t="s">
        <v>22</v>
      </c>
      <c r="I2077" s="9" t="s">
        <v>8266</v>
      </c>
      <c r="J2077" s="13"/>
      <c r="K2077" s="13"/>
    </row>
    <row r="2078" customFormat="false" ht="23.85" hidden="false" customHeight="false" outlineLevel="0" collapsed="false">
      <c r="A2078" s="9" t="n">
        <v>2077</v>
      </c>
      <c r="B2078" s="9" t="s">
        <v>123</v>
      </c>
      <c r="C2078" s="11" t="s">
        <v>124</v>
      </c>
      <c r="D2078" s="9" t="s">
        <v>8267</v>
      </c>
      <c r="E2078" s="9" t="s">
        <v>8268</v>
      </c>
      <c r="F2078" s="9" t="s">
        <v>8269</v>
      </c>
      <c r="G2078" s="9" t="s">
        <v>24</v>
      </c>
      <c r="H2078" s="14" t="s">
        <v>22</v>
      </c>
      <c r="I2078" s="9" t="s">
        <v>8270</v>
      </c>
      <c r="J2078" s="13"/>
      <c r="K2078" s="13"/>
    </row>
    <row r="2079" customFormat="false" ht="46.25" hidden="false" customHeight="false" outlineLevel="0" collapsed="false">
      <c r="A2079" s="9" t="n">
        <v>2078</v>
      </c>
      <c r="B2079" s="9" t="s">
        <v>123</v>
      </c>
      <c r="C2079" s="11" t="s">
        <v>124</v>
      </c>
      <c r="D2079" s="9" t="s">
        <v>8271</v>
      </c>
      <c r="E2079" s="9" t="s">
        <v>8272</v>
      </c>
      <c r="F2079" s="9" t="s">
        <v>8273</v>
      </c>
      <c r="G2079" s="9" t="s">
        <v>24</v>
      </c>
      <c r="H2079" s="14" t="s">
        <v>22</v>
      </c>
      <c r="I2079" s="9" t="s">
        <v>8274</v>
      </c>
      <c r="J2079" s="13"/>
      <c r="K2079" s="13"/>
    </row>
    <row r="2080" customFormat="false" ht="23.85" hidden="false" customHeight="false" outlineLevel="0" collapsed="false">
      <c r="A2080" s="9" t="n">
        <v>2079</v>
      </c>
      <c r="B2080" s="9" t="s">
        <v>123</v>
      </c>
      <c r="C2080" s="11" t="s">
        <v>124</v>
      </c>
      <c r="D2080" s="9" t="s">
        <v>8275</v>
      </c>
      <c r="E2080" s="9" t="s">
        <v>8276</v>
      </c>
      <c r="F2080" s="9" t="s">
        <v>8277</v>
      </c>
      <c r="G2080" s="9" t="s">
        <v>24</v>
      </c>
      <c r="H2080" s="14" t="s">
        <v>22</v>
      </c>
      <c r="I2080" s="9" t="s">
        <v>434</v>
      </c>
      <c r="J2080" s="13"/>
      <c r="K2080" s="13"/>
    </row>
    <row r="2081" customFormat="false" ht="35.05" hidden="false" customHeight="false" outlineLevel="0" collapsed="false">
      <c r="A2081" s="9" t="n">
        <v>2080</v>
      </c>
      <c r="B2081" s="9" t="s">
        <v>123</v>
      </c>
      <c r="C2081" s="11" t="s">
        <v>124</v>
      </c>
      <c r="D2081" s="9" t="s">
        <v>8278</v>
      </c>
      <c r="E2081" s="9" t="s">
        <v>358</v>
      </c>
      <c r="F2081" s="9" t="s">
        <v>8279</v>
      </c>
      <c r="G2081" s="9" t="s">
        <v>24</v>
      </c>
      <c r="H2081" s="14" t="s">
        <v>22</v>
      </c>
      <c r="I2081" s="9" t="s">
        <v>8280</v>
      </c>
      <c r="J2081" s="13"/>
      <c r="K2081" s="13"/>
    </row>
    <row r="2082" customFormat="false" ht="15" hidden="false" customHeight="false" outlineLevel="0" collapsed="false">
      <c r="A2082" s="9" t="n">
        <v>2081</v>
      </c>
      <c r="B2082" s="9" t="s">
        <v>123</v>
      </c>
      <c r="C2082" s="11" t="s">
        <v>124</v>
      </c>
      <c r="D2082" s="9" t="s">
        <v>8281</v>
      </c>
      <c r="E2082" s="9" t="s">
        <v>362</v>
      </c>
      <c r="F2082" s="9" t="s">
        <v>363</v>
      </c>
      <c r="G2082" s="9" t="s">
        <v>24</v>
      </c>
      <c r="H2082" s="14" t="s">
        <v>22</v>
      </c>
      <c r="I2082" s="9" t="s">
        <v>364</v>
      </c>
      <c r="J2082" s="13"/>
      <c r="K2082" s="13"/>
    </row>
    <row r="2083" customFormat="false" ht="23.85" hidden="false" customHeight="false" outlineLevel="0" collapsed="false">
      <c r="A2083" s="9" t="n">
        <v>2082</v>
      </c>
      <c r="B2083" s="9" t="s">
        <v>123</v>
      </c>
      <c r="C2083" s="11" t="s">
        <v>124</v>
      </c>
      <c r="D2083" s="9" t="s">
        <v>8282</v>
      </c>
      <c r="E2083" s="9" t="s">
        <v>8283</v>
      </c>
      <c r="F2083" s="9" t="s">
        <v>8284</v>
      </c>
      <c r="G2083" s="9" t="s">
        <v>24</v>
      </c>
      <c r="H2083" s="15" t="s">
        <v>23</v>
      </c>
      <c r="I2083" s="9" t="s">
        <v>7092</v>
      </c>
      <c r="J2083" s="13"/>
      <c r="K2083" s="13"/>
    </row>
    <row r="2084" customFormat="false" ht="23.85" hidden="false" customHeight="false" outlineLevel="0" collapsed="false">
      <c r="A2084" s="9" t="n">
        <v>2083</v>
      </c>
      <c r="B2084" s="9" t="s">
        <v>123</v>
      </c>
      <c r="C2084" s="11" t="s">
        <v>124</v>
      </c>
      <c r="D2084" s="9" t="s">
        <v>8285</v>
      </c>
      <c r="E2084" s="9" t="s">
        <v>8286</v>
      </c>
      <c r="F2084" s="9" t="s">
        <v>8287</v>
      </c>
      <c r="G2084" s="9" t="s">
        <v>24</v>
      </c>
      <c r="H2084" s="15" t="s">
        <v>23</v>
      </c>
      <c r="I2084" s="9" t="s">
        <v>8288</v>
      </c>
      <c r="J2084" s="13"/>
      <c r="K2084" s="13"/>
    </row>
    <row r="2085" customFormat="false" ht="23.85" hidden="false" customHeight="false" outlineLevel="0" collapsed="false">
      <c r="A2085" s="9" t="n">
        <v>2084</v>
      </c>
      <c r="B2085" s="9" t="s">
        <v>123</v>
      </c>
      <c r="C2085" s="11" t="s">
        <v>124</v>
      </c>
      <c r="D2085" s="9" t="s">
        <v>8289</v>
      </c>
      <c r="E2085" s="9" t="s">
        <v>8290</v>
      </c>
      <c r="F2085" s="9" t="s">
        <v>8291</v>
      </c>
      <c r="G2085" s="9" t="s">
        <v>24</v>
      </c>
      <c r="H2085" s="15" t="s">
        <v>23</v>
      </c>
      <c r="I2085" s="9" t="s">
        <v>8292</v>
      </c>
      <c r="J2085" s="13"/>
      <c r="K2085" s="13"/>
    </row>
    <row r="2086" customFormat="false" ht="124.6" hidden="false" customHeight="false" outlineLevel="0" collapsed="false">
      <c r="A2086" s="9" t="n">
        <v>2085</v>
      </c>
      <c r="B2086" s="9" t="s">
        <v>123</v>
      </c>
      <c r="C2086" s="11" t="s">
        <v>126</v>
      </c>
      <c r="D2086" s="9" t="s">
        <v>8293</v>
      </c>
      <c r="E2086" s="9" t="s">
        <v>8294</v>
      </c>
      <c r="F2086" s="9" t="s">
        <v>8295</v>
      </c>
      <c r="G2086" s="9" t="s">
        <v>1072</v>
      </c>
      <c r="H2086" s="12" t="s">
        <v>21</v>
      </c>
      <c r="I2086" s="9" t="s">
        <v>8296</v>
      </c>
      <c r="J2086" s="13"/>
      <c r="K2086" s="13"/>
    </row>
    <row r="2087" customFormat="false" ht="91" hidden="false" customHeight="false" outlineLevel="0" collapsed="false">
      <c r="A2087" s="9" t="n">
        <v>2086</v>
      </c>
      <c r="B2087" s="9" t="s">
        <v>123</v>
      </c>
      <c r="C2087" s="11" t="s">
        <v>126</v>
      </c>
      <c r="D2087" s="9" t="s">
        <v>8297</v>
      </c>
      <c r="E2087" s="9" t="s">
        <v>8298</v>
      </c>
      <c r="F2087" s="9" t="s">
        <v>8299</v>
      </c>
      <c r="G2087" s="9" t="s">
        <v>1843</v>
      </c>
      <c r="H2087" s="12" t="s">
        <v>21</v>
      </c>
      <c r="I2087" s="9" t="s">
        <v>8300</v>
      </c>
      <c r="J2087" s="13"/>
      <c r="K2087" s="13"/>
    </row>
    <row r="2088" customFormat="false" ht="124.6" hidden="false" customHeight="false" outlineLevel="0" collapsed="false">
      <c r="A2088" s="9" t="n">
        <v>2087</v>
      </c>
      <c r="B2088" s="9" t="s">
        <v>123</v>
      </c>
      <c r="C2088" s="11" t="s">
        <v>126</v>
      </c>
      <c r="D2088" s="9" t="s">
        <v>8301</v>
      </c>
      <c r="E2088" s="9" t="s">
        <v>8302</v>
      </c>
      <c r="F2088" s="9" t="s">
        <v>8303</v>
      </c>
      <c r="G2088" s="9" t="s">
        <v>1643</v>
      </c>
      <c r="H2088" s="12" t="s">
        <v>21</v>
      </c>
      <c r="I2088" s="9" t="s">
        <v>8304</v>
      </c>
      <c r="J2088" s="13"/>
      <c r="K2088" s="13"/>
    </row>
    <row r="2089" customFormat="false" ht="102.2" hidden="false" customHeight="false" outlineLevel="0" collapsed="false">
      <c r="A2089" s="9" t="n">
        <v>2088</v>
      </c>
      <c r="B2089" s="9" t="s">
        <v>123</v>
      </c>
      <c r="C2089" s="11" t="s">
        <v>126</v>
      </c>
      <c r="D2089" s="9" t="s">
        <v>8305</v>
      </c>
      <c r="E2089" s="9" t="s">
        <v>8306</v>
      </c>
      <c r="F2089" s="9" t="s">
        <v>8307</v>
      </c>
      <c r="G2089" s="9" t="s">
        <v>1058</v>
      </c>
      <c r="H2089" s="12" t="s">
        <v>21</v>
      </c>
      <c r="I2089" s="9" t="s">
        <v>8308</v>
      </c>
      <c r="J2089" s="13"/>
      <c r="K2089" s="13"/>
    </row>
    <row r="2090" customFormat="false" ht="91" hidden="false" customHeight="false" outlineLevel="0" collapsed="false">
      <c r="A2090" s="9" t="n">
        <v>2089</v>
      </c>
      <c r="B2090" s="9" t="s">
        <v>123</v>
      </c>
      <c r="C2090" s="11" t="s">
        <v>126</v>
      </c>
      <c r="D2090" s="9" t="s">
        <v>8309</v>
      </c>
      <c r="E2090" s="9" t="s">
        <v>8310</v>
      </c>
      <c r="F2090" s="9" t="s">
        <v>8311</v>
      </c>
      <c r="G2090" s="9" t="s">
        <v>1852</v>
      </c>
      <c r="H2090" s="14" t="s">
        <v>22</v>
      </c>
      <c r="I2090" s="9" t="s">
        <v>8312</v>
      </c>
      <c r="J2090" s="13"/>
      <c r="K2090" s="13"/>
    </row>
    <row r="2091" customFormat="false" ht="79.85" hidden="false" customHeight="false" outlineLevel="0" collapsed="false">
      <c r="A2091" s="9" t="n">
        <v>2090</v>
      </c>
      <c r="B2091" s="9" t="s">
        <v>123</v>
      </c>
      <c r="C2091" s="11" t="s">
        <v>126</v>
      </c>
      <c r="D2091" s="9" t="s">
        <v>8313</v>
      </c>
      <c r="E2091" s="9" t="s">
        <v>8314</v>
      </c>
      <c r="F2091" s="9" t="s">
        <v>8315</v>
      </c>
      <c r="G2091" s="9" t="s">
        <v>8316</v>
      </c>
      <c r="H2091" s="14" t="s">
        <v>22</v>
      </c>
      <c r="I2091" s="9" t="s">
        <v>8317</v>
      </c>
      <c r="J2091" s="13"/>
      <c r="K2091" s="13"/>
    </row>
    <row r="2092" customFormat="false" ht="46.25" hidden="false" customHeight="false" outlineLevel="0" collapsed="false">
      <c r="A2092" s="9" t="n">
        <v>2091</v>
      </c>
      <c r="B2092" s="9" t="s">
        <v>123</v>
      </c>
      <c r="C2092" s="11" t="s">
        <v>126</v>
      </c>
      <c r="D2092" s="9" t="s">
        <v>8318</v>
      </c>
      <c r="E2092" s="9" t="s">
        <v>8319</v>
      </c>
      <c r="F2092" s="9" t="s">
        <v>8320</v>
      </c>
      <c r="G2092" s="9" t="s">
        <v>1852</v>
      </c>
      <c r="H2092" s="14" t="s">
        <v>22</v>
      </c>
      <c r="I2092" s="9" t="s">
        <v>8321</v>
      </c>
      <c r="J2092" s="13"/>
      <c r="K2092" s="13"/>
    </row>
    <row r="2093" customFormat="false" ht="57.45" hidden="false" customHeight="false" outlineLevel="0" collapsed="false">
      <c r="A2093" s="9" t="n">
        <v>2092</v>
      </c>
      <c r="B2093" s="9" t="s">
        <v>123</v>
      </c>
      <c r="C2093" s="11" t="s">
        <v>126</v>
      </c>
      <c r="D2093" s="9" t="s">
        <v>8322</v>
      </c>
      <c r="E2093" s="9" t="s">
        <v>8323</v>
      </c>
      <c r="F2093" s="9" t="s">
        <v>8324</v>
      </c>
      <c r="G2093" s="9" t="s">
        <v>1058</v>
      </c>
      <c r="H2093" s="14" t="s">
        <v>22</v>
      </c>
      <c r="I2093" s="9" t="s">
        <v>8325</v>
      </c>
      <c r="J2093" s="13"/>
      <c r="K2093" s="13"/>
    </row>
    <row r="2094" customFormat="false" ht="68.65" hidden="false" customHeight="false" outlineLevel="0" collapsed="false">
      <c r="A2094" s="9" t="n">
        <v>2093</v>
      </c>
      <c r="B2094" s="9" t="s">
        <v>123</v>
      </c>
      <c r="C2094" s="11" t="s">
        <v>126</v>
      </c>
      <c r="D2094" s="9" t="s">
        <v>8326</v>
      </c>
      <c r="E2094" s="9" t="s">
        <v>8327</v>
      </c>
      <c r="F2094" s="9" t="s">
        <v>8328</v>
      </c>
      <c r="G2094" s="9" t="s">
        <v>8329</v>
      </c>
      <c r="H2094" s="14" t="s">
        <v>22</v>
      </c>
      <c r="I2094" s="9" t="s">
        <v>8330</v>
      </c>
      <c r="J2094" s="13"/>
      <c r="K2094" s="13"/>
    </row>
    <row r="2095" customFormat="false" ht="79.85" hidden="false" customHeight="false" outlineLevel="0" collapsed="false">
      <c r="A2095" s="9" t="n">
        <v>2094</v>
      </c>
      <c r="B2095" s="9" t="s">
        <v>123</v>
      </c>
      <c r="C2095" s="11" t="s">
        <v>126</v>
      </c>
      <c r="D2095" s="9" t="s">
        <v>8331</v>
      </c>
      <c r="E2095" s="9" t="s">
        <v>8332</v>
      </c>
      <c r="F2095" s="9" t="s">
        <v>8333</v>
      </c>
      <c r="G2095" s="9" t="s">
        <v>1085</v>
      </c>
      <c r="H2095" s="14" t="s">
        <v>22</v>
      </c>
      <c r="I2095" s="9" t="s">
        <v>8334</v>
      </c>
      <c r="J2095" s="13"/>
      <c r="K2095" s="13"/>
    </row>
    <row r="2096" customFormat="false" ht="79.85" hidden="false" customHeight="false" outlineLevel="0" collapsed="false">
      <c r="A2096" s="9" t="n">
        <v>2095</v>
      </c>
      <c r="B2096" s="9" t="s">
        <v>123</v>
      </c>
      <c r="C2096" s="11" t="s">
        <v>126</v>
      </c>
      <c r="D2096" s="9" t="s">
        <v>8335</v>
      </c>
      <c r="E2096" s="9" t="s">
        <v>8336</v>
      </c>
      <c r="F2096" s="9" t="s">
        <v>8337</v>
      </c>
      <c r="G2096" s="9" t="s">
        <v>1058</v>
      </c>
      <c r="H2096" s="14" t="s">
        <v>22</v>
      </c>
      <c r="I2096" s="9" t="s">
        <v>8338</v>
      </c>
      <c r="J2096" s="13"/>
      <c r="K2096" s="13"/>
    </row>
    <row r="2097" customFormat="false" ht="57.45" hidden="false" customHeight="false" outlineLevel="0" collapsed="false">
      <c r="A2097" s="9" t="n">
        <v>2096</v>
      </c>
      <c r="B2097" s="9" t="s">
        <v>123</v>
      </c>
      <c r="C2097" s="11" t="s">
        <v>126</v>
      </c>
      <c r="D2097" s="9" t="s">
        <v>8339</v>
      </c>
      <c r="E2097" s="9" t="s">
        <v>8340</v>
      </c>
      <c r="F2097" s="9" t="s">
        <v>8341</v>
      </c>
      <c r="G2097" s="9" t="s">
        <v>1072</v>
      </c>
      <c r="H2097" s="14" t="s">
        <v>22</v>
      </c>
      <c r="I2097" s="9" t="s">
        <v>8342</v>
      </c>
      <c r="J2097" s="13"/>
      <c r="K2097" s="13"/>
    </row>
    <row r="2098" customFormat="false" ht="46.25" hidden="false" customHeight="false" outlineLevel="0" collapsed="false">
      <c r="A2098" s="9" t="n">
        <v>2097</v>
      </c>
      <c r="B2098" s="9" t="s">
        <v>123</v>
      </c>
      <c r="C2098" s="11" t="s">
        <v>126</v>
      </c>
      <c r="D2098" s="9" t="s">
        <v>8343</v>
      </c>
      <c r="E2098" s="9" t="s">
        <v>8344</v>
      </c>
      <c r="F2098" s="9" t="s">
        <v>8345</v>
      </c>
      <c r="G2098" s="9" t="s">
        <v>312</v>
      </c>
      <c r="H2098" s="14" t="s">
        <v>22</v>
      </c>
      <c r="I2098" s="9" t="s">
        <v>8346</v>
      </c>
      <c r="J2098" s="13"/>
      <c r="K2098" s="13"/>
    </row>
    <row r="2099" customFormat="false" ht="68.65" hidden="false" customHeight="false" outlineLevel="0" collapsed="false">
      <c r="A2099" s="9" t="n">
        <v>2098</v>
      </c>
      <c r="B2099" s="9" t="s">
        <v>123</v>
      </c>
      <c r="C2099" s="11" t="s">
        <v>126</v>
      </c>
      <c r="D2099" s="9" t="s">
        <v>8347</v>
      </c>
      <c r="E2099" s="9" t="s">
        <v>8348</v>
      </c>
      <c r="F2099" s="9" t="s">
        <v>8349</v>
      </c>
      <c r="G2099" s="9" t="s">
        <v>861</v>
      </c>
      <c r="H2099" s="14" t="s">
        <v>22</v>
      </c>
      <c r="I2099" s="9" t="s">
        <v>8350</v>
      </c>
      <c r="J2099" s="13"/>
      <c r="K2099" s="13"/>
    </row>
    <row r="2100" customFormat="false" ht="57.45" hidden="false" customHeight="false" outlineLevel="0" collapsed="false">
      <c r="A2100" s="9" t="n">
        <v>2099</v>
      </c>
      <c r="B2100" s="9" t="s">
        <v>123</v>
      </c>
      <c r="C2100" s="11" t="s">
        <v>126</v>
      </c>
      <c r="D2100" s="9" t="s">
        <v>8351</v>
      </c>
      <c r="E2100" s="9" t="s">
        <v>8352</v>
      </c>
      <c r="F2100" s="9" t="s">
        <v>8353</v>
      </c>
      <c r="G2100" s="9" t="s">
        <v>317</v>
      </c>
      <c r="H2100" s="14" t="s">
        <v>22</v>
      </c>
      <c r="I2100" s="9" t="s">
        <v>8354</v>
      </c>
      <c r="J2100" s="13"/>
      <c r="K2100" s="13"/>
    </row>
    <row r="2101" customFormat="false" ht="124.6" hidden="false" customHeight="false" outlineLevel="0" collapsed="false">
      <c r="A2101" s="9" t="n">
        <v>2100</v>
      </c>
      <c r="B2101" s="9" t="s">
        <v>123</v>
      </c>
      <c r="C2101" s="11" t="s">
        <v>126</v>
      </c>
      <c r="D2101" s="9" t="s">
        <v>8355</v>
      </c>
      <c r="E2101" s="9" t="s">
        <v>8356</v>
      </c>
      <c r="F2101" s="9" t="s">
        <v>8357</v>
      </c>
      <c r="G2101" s="9" t="s">
        <v>1843</v>
      </c>
      <c r="H2101" s="14" t="s">
        <v>22</v>
      </c>
      <c r="I2101" s="9" t="s">
        <v>8358</v>
      </c>
      <c r="J2101" s="13"/>
      <c r="K2101" s="13"/>
    </row>
    <row r="2102" customFormat="false" ht="79.85" hidden="false" customHeight="false" outlineLevel="0" collapsed="false">
      <c r="A2102" s="9" t="n">
        <v>2101</v>
      </c>
      <c r="B2102" s="9" t="s">
        <v>123</v>
      </c>
      <c r="C2102" s="11" t="s">
        <v>126</v>
      </c>
      <c r="D2102" s="9" t="s">
        <v>8359</v>
      </c>
      <c r="E2102" s="9" t="s">
        <v>8360</v>
      </c>
      <c r="F2102" s="9" t="s">
        <v>8361</v>
      </c>
      <c r="G2102" s="9" t="s">
        <v>1843</v>
      </c>
      <c r="H2102" s="14" t="s">
        <v>22</v>
      </c>
      <c r="I2102" s="9" t="s">
        <v>8362</v>
      </c>
      <c r="J2102" s="13"/>
      <c r="K2102" s="13"/>
    </row>
    <row r="2103" customFormat="false" ht="68.65" hidden="false" customHeight="false" outlineLevel="0" collapsed="false">
      <c r="A2103" s="9" t="n">
        <v>2102</v>
      </c>
      <c r="B2103" s="9" t="s">
        <v>123</v>
      </c>
      <c r="C2103" s="11" t="s">
        <v>126</v>
      </c>
      <c r="D2103" s="9" t="s">
        <v>8363</v>
      </c>
      <c r="E2103" s="9" t="s">
        <v>8364</v>
      </c>
      <c r="F2103" s="9" t="s">
        <v>8365</v>
      </c>
      <c r="G2103" s="9" t="s">
        <v>1852</v>
      </c>
      <c r="H2103" s="14" t="s">
        <v>22</v>
      </c>
      <c r="I2103" s="9" t="s">
        <v>8366</v>
      </c>
      <c r="J2103" s="13"/>
      <c r="K2103" s="13"/>
    </row>
    <row r="2104" customFormat="false" ht="46.25" hidden="false" customHeight="false" outlineLevel="0" collapsed="false">
      <c r="A2104" s="9" t="n">
        <v>2103</v>
      </c>
      <c r="B2104" s="9" t="s">
        <v>123</v>
      </c>
      <c r="C2104" s="11" t="s">
        <v>126</v>
      </c>
      <c r="D2104" s="9" t="s">
        <v>8367</v>
      </c>
      <c r="E2104" s="9" t="s">
        <v>8368</v>
      </c>
      <c r="F2104" s="9" t="s">
        <v>8369</v>
      </c>
      <c r="G2104" s="9" t="s">
        <v>303</v>
      </c>
      <c r="H2104" s="14" t="s">
        <v>22</v>
      </c>
      <c r="I2104" s="9" t="s">
        <v>8370</v>
      </c>
      <c r="J2104" s="13"/>
      <c r="K2104" s="13"/>
    </row>
    <row r="2105" customFormat="false" ht="46.25" hidden="false" customHeight="false" outlineLevel="0" collapsed="false">
      <c r="A2105" s="9" t="n">
        <v>2104</v>
      </c>
      <c r="B2105" s="9" t="s">
        <v>123</v>
      </c>
      <c r="C2105" s="11" t="s">
        <v>126</v>
      </c>
      <c r="D2105" s="9" t="s">
        <v>8371</v>
      </c>
      <c r="E2105" s="9" t="s">
        <v>8372</v>
      </c>
      <c r="F2105" s="9" t="s">
        <v>8373</v>
      </c>
      <c r="G2105" s="9" t="s">
        <v>4840</v>
      </c>
      <c r="H2105" s="15" t="s">
        <v>23</v>
      </c>
      <c r="I2105" s="9" t="s">
        <v>8374</v>
      </c>
      <c r="J2105" s="13"/>
      <c r="K2105" s="13"/>
    </row>
    <row r="2106" customFormat="false" ht="23.85" hidden="false" customHeight="false" outlineLevel="0" collapsed="false">
      <c r="A2106" s="9" t="n">
        <v>2105</v>
      </c>
      <c r="B2106" s="9" t="s">
        <v>123</v>
      </c>
      <c r="C2106" s="11" t="s">
        <v>126</v>
      </c>
      <c r="D2106" s="9" t="s">
        <v>8375</v>
      </c>
      <c r="E2106" s="9" t="s">
        <v>8376</v>
      </c>
      <c r="F2106" s="9" t="s">
        <v>8377</v>
      </c>
      <c r="G2106" s="9" t="s">
        <v>1072</v>
      </c>
      <c r="H2106" s="15" t="s">
        <v>23</v>
      </c>
      <c r="I2106" s="9" t="s">
        <v>8378</v>
      </c>
      <c r="J2106" s="13"/>
      <c r="K2106" s="13"/>
    </row>
    <row r="2107" customFormat="false" ht="46.25" hidden="false" customHeight="false" outlineLevel="0" collapsed="false">
      <c r="A2107" s="9" t="n">
        <v>2106</v>
      </c>
      <c r="B2107" s="9" t="s">
        <v>123</v>
      </c>
      <c r="C2107" s="11" t="s">
        <v>126</v>
      </c>
      <c r="D2107" s="9" t="s">
        <v>8379</v>
      </c>
      <c r="E2107" s="9" t="s">
        <v>8380</v>
      </c>
      <c r="F2107" s="9" t="s">
        <v>8381</v>
      </c>
      <c r="G2107" s="9" t="s">
        <v>392</v>
      </c>
      <c r="H2107" s="15" t="s">
        <v>23</v>
      </c>
      <c r="I2107" s="9" t="s">
        <v>8382</v>
      </c>
      <c r="J2107" s="13"/>
      <c r="K2107" s="13"/>
    </row>
    <row r="2108" customFormat="false" ht="68.65" hidden="false" customHeight="false" outlineLevel="0" collapsed="false">
      <c r="A2108" s="9" t="n">
        <v>2107</v>
      </c>
      <c r="B2108" s="9" t="s">
        <v>123</v>
      </c>
      <c r="C2108" s="11" t="s">
        <v>126</v>
      </c>
      <c r="D2108" s="9" t="s">
        <v>8383</v>
      </c>
      <c r="E2108" s="9" t="s">
        <v>8384</v>
      </c>
      <c r="F2108" s="9" t="s">
        <v>8385</v>
      </c>
      <c r="G2108" s="9" t="s">
        <v>8386</v>
      </c>
      <c r="H2108" s="14" t="s">
        <v>22</v>
      </c>
      <c r="I2108" s="9" t="s">
        <v>8387</v>
      </c>
      <c r="J2108" s="13"/>
      <c r="K2108" s="13"/>
    </row>
    <row r="2109" customFormat="false" ht="68.65" hidden="false" customHeight="false" outlineLevel="0" collapsed="false">
      <c r="A2109" s="9" t="n">
        <v>2108</v>
      </c>
      <c r="B2109" s="9" t="s">
        <v>123</v>
      </c>
      <c r="C2109" s="11" t="s">
        <v>126</v>
      </c>
      <c r="D2109" s="9" t="s">
        <v>8388</v>
      </c>
      <c r="E2109" s="9" t="s">
        <v>8389</v>
      </c>
      <c r="F2109" s="9" t="s">
        <v>8390</v>
      </c>
      <c r="G2109" s="9" t="s">
        <v>1421</v>
      </c>
      <c r="H2109" s="15" t="s">
        <v>23</v>
      </c>
      <c r="I2109" s="9" t="s">
        <v>8391</v>
      </c>
      <c r="J2109" s="13"/>
      <c r="K2109" s="13"/>
    </row>
    <row r="2110" customFormat="false" ht="57.45" hidden="false" customHeight="false" outlineLevel="0" collapsed="false">
      <c r="A2110" s="9" t="n">
        <v>2109</v>
      </c>
      <c r="B2110" s="9" t="s">
        <v>123</v>
      </c>
      <c r="C2110" s="11" t="s">
        <v>126</v>
      </c>
      <c r="D2110" s="9" t="s">
        <v>8392</v>
      </c>
      <c r="E2110" s="9" t="s">
        <v>8393</v>
      </c>
      <c r="F2110" s="9" t="s">
        <v>8394</v>
      </c>
      <c r="G2110" s="9" t="s">
        <v>8395</v>
      </c>
      <c r="H2110" s="15" t="s">
        <v>23</v>
      </c>
      <c r="I2110" s="9" t="s">
        <v>8396</v>
      </c>
      <c r="J2110" s="13"/>
      <c r="K2110" s="13"/>
    </row>
    <row r="2111" customFormat="false" ht="35.05" hidden="false" customHeight="false" outlineLevel="0" collapsed="false">
      <c r="A2111" s="9" t="n">
        <v>2110</v>
      </c>
      <c r="B2111" s="9" t="s">
        <v>123</v>
      </c>
      <c r="C2111" s="11" t="s">
        <v>126</v>
      </c>
      <c r="D2111" s="9" t="s">
        <v>8397</v>
      </c>
      <c r="E2111" s="9" t="s">
        <v>8398</v>
      </c>
      <c r="F2111" s="9" t="s">
        <v>8399</v>
      </c>
      <c r="G2111" s="9" t="s">
        <v>312</v>
      </c>
      <c r="H2111" s="15" t="s">
        <v>23</v>
      </c>
      <c r="I2111" s="9" t="s">
        <v>8400</v>
      </c>
      <c r="J2111" s="13"/>
      <c r="K2111" s="13"/>
    </row>
    <row r="2112" customFormat="false" ht="23.85" hidden="false" customHeight="false" outlineLevel="0" collapsed="false">
      <c r="A2112" s="9" t="n">
        <v>2111</v>
      </c>
      <c r="B2112" s="9" t="s">
        <v>123</v>
      </c>
      <c r="C2112" s="11" t="s">
        <v>126</v>
      </c>
      <c r="D2112" s="9" t="s">
        <v>8401</v>
      </c>
      <c r="E2112" s="9" t="s">
        <v>8402</v>
      </c>
      <c r="F2112" s="9" t="s">
        <v>8403</v>
      </c>
      <c r="G2112" s="9" t="s">
        <v>328</v>
      </c>
      <c r="H2112" s="15" t="s">
        <v>23</v>
      </c>
      <c r="I2112" s="9" t="s">
        <v>8404</v>
      </c>
      <c r="J2112" s="13"/>
      <c r="K2112" s="13"/>
    </row>
    <row r="2113" customFormat="false" ht="57.45" hidden="false" customHeight="false" outlineLevel="0" collapsed="false">
      <c r="A2113" s="9" t="n">
        <v>2112</v>
      </c>
      <c r="B2113" s="9" t="s">
        <v>123</v>
      </c>
      <c r="C2113" s="11" t="s">
        <v>126</v>
      </c>
      <c r="D2113" s="9" t="s">
        <v>8405</v>
      </c>
      <c r="E2113" s="9" t="s">
        <v>8406</v>
      </c>
      <c r="F2113" s="9" t="s">
        <v>8407</v>
      </c>
      <c r="G2113" s="9" t="s">
        <v>312</v>
      </c>
      <c r="H2113" s="15" t="s">
        <v>23</v>
      </c>
      <c r="I2113" s="9" t="s">
        <v>8408</v>
      </c>
      <c r="J2113" s="13"/>
      <c r="K2113" s="13"/>
    </row>
    <row r="2114" customFormat="false" ht="35.05" hidden="false" customHeight="false" outlineLevel="0" collapsed="false">
      <c r="A2114" s="9" t="n">
        <v>2113</v>
      </c>
      <c r="B2114" s="9" t="s">
        <v>123</v>
      </c>
      <c r="C2114" s="11" t="s">
        <v>126</v>
      </c>
      <c r="D2114" s="9" t="s">
        <v>8409</v>
      </c>
      <c r="E2114" s="9" t="s">
        <v>8410</v>
      </c>
      <c r="F2114" s="9" t="s">
        <v>8411</v>
      </c>
      <c r="G2114" s="9" t="s">
        <v>392</v>
      </c>
      <c r="H2114" s="15" t="s">
        <v>23</v>
      </c>
      <c r="I2114" s="9" t="s">
        <v>8412</v>
      </c>
      <c r="J2114" s="13"/>
      <c r="K2114" s="13"/>
    </row>
    <row r="2115" customFormat="false" ht="35.05" hidden="false" customHeight="false" outlineLevel="0" collapsed="false">
      <c r="A2115" s="9" t="n">
        <v>2114</v>
      </c>
      <c r="B2115" s="9" t="s">
        <v>123</v>
      </c>
      <c r="C2115" s="11" t="s">
        <v>126</v>
      </c>
      <c r="D2115" s="9" t="s">
        <v>8413</v>
      </c>
      <c r="E2115" s="9" t="s">
        <v>8414</v>
      </c>
      <c r="F2115" s="9" t="s">
        <v>8415</v>
      </c>
      <c r="G2115" s="9" t="s">
        <v>6425</v>
      </c>
      <c r="H2115" s="15" t="s">
        <v>23</v>
      </c>
      <c r="I2115" s="9" t="s">
        <v>8416</v>
      </c>
      <c r="J2115" s="13"/>
      <c r="K2115" s="13"/>
    </row>
    <row r="2116" customFormat="false" ht="23.85" hidden="false" customHeight="false" outlineLevel="0" collapsed="false">
      <c r="A2116" s="9" t="n">
        <v>2115</v>
      </c>
      <c r="B2116" s="9" t="s">
        <v>123</v>
      </c>
      <c r="C2116" s="11" t="s">
        <v>126</v>
      </c>
      <c r="D2116" s="9" t="s">
        <v>8417</v>
      </c>
      <c r="E2116" s="9" t="s">
        <v>8418</v>
      </c>
      <c r="F2116" s="9" t="s">
        <v>8419</v>
      </c>
      <c r="G2116" s="9" t="s">
        <v>312</v>
      </c>
      <c r="H2116" s="15" t="s">
        <v>23</v>
      </c>
      <c r="I2116" s="9" t="s">
        <v>8420</v>
      </c>
      <c r="J2116" s="13"/>
      <c r="K2116" s="13"/>
    </row>
    <row r="2117" customFormat="false" ht="23.85" hidden="false" customHeight="false" outlineLevel="0" collapsed="false">
      <c r="A2117" s="9" t="n">
        <v>2116</v>
      </c>
      <c r="B2117" s="9" t="s">
        <v>123</v>
      </c>
      <c r="C2117" s="11" t="s">
        <v>126</v>
      </c>
      <c r="D2117" s="9" t="s">
        <v>8421</v>
      </c>
      <c r="E2117" s="9" t="s">
        <v>2094</v>
      </c>
      <c r="F2117" s="9" t="s">
        <v>1925</v>
      </c>
      <c r="G2117" s="9" t="s">
        <v>328</v>
      </c>
      <c r="H2117" s="15" t="s">
        <v>23</v>
      </c>
      <c r="I2117" s="9" t="s">
        <v>2298</v>
      </c>
      <c r="J2117" s="13"/>
      <c r="K2117" s="13"/>
    </row>
    <row r="2118" customFormat="false" ht="23.85" hidden="false" customHeight="false" outlineLevel="0" collapsed="false">
      <c r="A2118" s="9" t="n">
        <v>2117</v>
      </c>
      <c r="B2118" s="9" t="s">
        <v>123</v>
      </c>
      <c r="C2118" s="11" t="s">
        <v>126</v>
      </c>
      <c r="D2118" s="9" t="s">
        <v>8422</v>
      </c>
      <c r="E2118" s="9" t="s">
        <v>8423</v>
      </c>
      <c r="F2118" s="9" t="s">
        <v>8424</v>
      </c>
      <c r="G2118" s="9" t="s">
        <v>24</v>
      </c>
      <c r="H2118" s="14" t="s">
        <v>22</v>
      </c>
      <c r="I2118" s="9" t="s">
        <v>8425</v>
      </c>
      <c r="J2118" s="13"/>
      <c r="K2118" s="13"/>
    </row>
    <row r="2119" customFormat="false" ht="35.05" hidden="false" customHeight="false" outlineLevel="0" collapsed="false">
      <c r="A2119" s="9" t="n">
        <v>2118</v>
      </c>
      <c r="B2119" s="9" t="s">
        <v>123</v>
      </c>
      <c r="C2119" s="11" t="s">
        <v>126</v>
      </c>
      <c r="D2119" s="9" t="s">
        <v>8426</v>
      </c>
      <c r="E2119" s="9" t="s">
        <v>8427</v>
      </c>
      <c r="F2119" s="9" t="s">
        <v>8428</v>
      </c>
      <c r="G2119" s="9" t="s">
        <v>24</v>
      </c>
      <c r="H2119" s="14" t="s">
        <v>22</v>
      </c>
      <c r="I2119" s="9" t="s">
        <v>8429</v>
      </c>
      <c r="J2119" s="13"/>
      <c r="K2119" s="13"/>
    </row>
    <row r="2120" customFormat="false" ht="35.05" hidden="false" customHeight="false" outlineLevel="0" collapsed="false">
      <c r="A2120" s="9" t="n">
        <v>2119</v>
      </c>
      <c r="B2120" s="9" t="s">
        <v>123</v>
      </c>
      <c r="C2120" s="11" t="s">
        <v>126</v>
      </c>
      <c r="D2120" s="9" t="s">
        <v>8430</v>
      </c>
      <c r="E2120" s="9" t="s">
        <v>8431</v>
      </c>
      <c r="F2120" s="9" t="s">
        <v>8432</v>
      </c>
      <c r="G2120" s="9" t="s">
        <v>24</v>
      </c>
      <c r="H2120" s="14" t="s">
        <v>22</v>
      </c>
      <c r="I2120" s="9" t="s">
        <v>8433</v>
      </c>
      <c r="J2120" s="13"/>
      <c r="K2120" s="13"/>
    </row>
    <row r="2121" customFormat="false" ht="23.85" hidden="false" customHeight="false" outlineLevel="0" collapsed="false">
      <c r="A2121" s="9" t="n">
        <v>2120</v>
      </c>
      <c r="B2121" s="9" t="s">
        <v>123</v>
      </c>
      <c r="C2121" s="11" t="s">
        <v>126</v>
      </c>
      <c r="D2121" s="9" t="s">
        <v>8434</v>
      </c>
      <c r="E2121" s="9" t="s">
        <v>8435</v>
      </c>
      <c r="F2121" s="9" t="s">
        <v>8436</v>
      </c>
      <c r="G2121" s="9" t="s">
        <v>24</v>
      </c>
      <c r="H2121" s="14" t="s">
        <v>22</v>
      </c>
      <c r="I2121" s="9" t="s">
        <v>8437</v>
      </c>
      <c r="J2121" s="13"/>
      <c r="K2121" s="13"/>
    </row>
    <row r="2122" customFormat="false" ht="35.05" hidden="false" customHeight="false" outlineLevel="0" collapsed="false">
      <c r="A2122" s="9" t="n">
        <v>2121</v>
      </c>
      <c r="B2122" s="9" t="s">
        <v>123</v>
      </c>
      <c r="C2122" s="11" t="s">
        <v>126</v>
      </c>
      <c r="D2122" s="9" t="s">
        <v>8438</v>
      </c>
      <c r="E2122" s="9" t="s">
        <v>8439</v>
      </c>
      <c r="F2122" s="9" t="s">
        <v>8440</v>
      </c>
      <c r="G2122" s="9" t="s">
        <v>24</v>
      </c>
      <c r="H2122" s="14" t="s">
        <v>22</v>
      </c>
      <c r="I2122" s="9" t="s">
        <v>8441</v>
      </c>
      <c r="J2122" s="13"/>
      <c r="K2122" s="13"/>
    </row>
    <row r="2123" customFormat="false" ht="35.05" hidden="false" customHeight="false" outlineLevel="0" collapsed="false">
      <c r="A2123" s="9" t="n">
        <v>2122</v>
      </c>
      <c r="B2123" s="9" t="s">
        <v>123</v>
      </c>
      <c r="C2123" s="11" t="s">
        <v>126</v>
      </c>
      <c r="D2123" s="9" t="s">
        <v>8442</v>
      </c>
      <c r="E2123" s="9" t="s">
        <v>8443</v>
      </c>
      <c r="F2123" s="9" t="s">
        <v>8444</v>
      </c>
      <c r="G2123" s="9" t="s">
        <v>24</v>
      </c>
      <c r="H2123" s="14" t="s">
        <v>22</v>
      </c>
      <c r="I2123" s="9" t="s">
        <v>8445</v>
      </c>
      <c r="J2123" s="13"/>
      <c r="K2123" s="13"/>
    </row>
    <row r="2124" customFormat="false" ht="46.25" hidden="false" customHeight="false" outlineLevel="0" collapsed="false">
      <c r="A2124" s="9" t="n">
        <v>2123</v>
      </c>
      <c r="B2124" s="9" t="s">
        <v>123</v>
      </c>
      <c r="C2124" s="11" t="s">
        <v>126</v>
      </c>
      <c r="D2124" s="9" t="s">
        <v>8446</v>
      </c>
      <c r="E2124" s="9" t="s">
        <v>8447</v>
      </c>
      <c r="F2124" s="9" t="s">
        <v>8448</v>
      </c>
      <c r="G2124" s="9" t="s">
        <v>24</v>
      </c>
      <c r="H2124" s="14" t="s">
        <v>22</v>
      </c>
      <c r="I2124" s="9" t="s">
        <v>8449</v>
      </c>
      <c r="J2124" s="13"/>
      <c r="K2124" s="13"/>
    </row>
    <row r="2125" customFormat="false" ht="23.85" hidden="false" customHeight="false" outlineLevel="0" collapsed="false">
      <c r="A2125" s="9" t="n">
        <v>2124</v>
      </c>
      <c r="B2125" s="9" t="s">
        <v>123</v>
      </c>
      <c r="C2125" s="11" t="s">
        <v>126</v>
      </c>
      <c r="D2125" s="9" t="s">
        <v>8450</v>
      </c>
      <c r="E2125" s="9" t="s">
        <v>8451</v>
      </c>
      <c r="F2125" s="9" t="s">
        <v>8452</v>
      </c>
      <c r="G2125" s="9" t="s">
        <v>24</v>
      </c>
      <c r="H2125" s="14" t="s">
        <v>22</v>
      </c>
      <c r="I2125" s="9" t="s">
        <v>6339</v>
      </c>
      <c r="J2125" s="13"/>
      <c r="K2125" s="13"/>
    </row>
    <row r="2126" customFormat="false" ht="23.85" hidden="false" customHeight="false" outlineLevel="0" collapsed="false">
      <c r="A2126" s="9" t="n">
        <v>2125</v>
      </c>
      <c r="B2126" s="9" t="s">
        <v>123</v>
      </c>
      <c r="C2126" s="11" t="s">
        <v>126</v>
      </c>
      <c r="D2126" s="9" t="s">
        <v>8453</v>
      </c>
      <c r="E2126" s="9" t="s">
        <v>8454</v>
      </c>
      <c r="F2126" s="9" t="s">
        <v>8455</v>
      </c>
      <c r="G2126" s="9" t="s">
        <v>24</v>
      </c>
      <c r="H2126" s="14" t="s">
        <v>22</v>
      </c>
      <c r="I2126" s="9" t="s">
        <v>8456</v>
      </c>
      <c r="J2126" s="13"/>
      <c r="K2126" s="13"/>
    </row>
    <row r="2127" customFormat="false" ht="46.25" hidden="false" customHeight="false" outlineLevel="0" collapsed="false">
      <c r="A2127" s="9" t="n">
        <v>2126</v>
      </c>
      <c r="B2127" s="9" t="s">
        <v>123</v>
      </c>
      <c r="C2127" s="11" t="s">
        <v>126</v>
      </c>
      <c r="D2127" s="9" t="s">
        <v>8457</v>
      </c>
      <c r="E2127" s="9" t="s">
        <v>8458</v>
      </c>
      <c r="F2127" s="9" t="s">
        <v>8459</v>
      </c>
      <c r="G2127" s="9" t="s">
        <v>24</v>
      </c>
      <c r="H2127" s="14" t="s">
        <v>22</v>
      </c>
      <c r="I2127" s="9" t="s">
        <v>8460</v>
      </c>
      <c r="J2127" s="13"/>
      <c r="K2127" s="13"/>
    </row>
    <row r="2128" customFormat="false" ht="23.85" hidden="false" customHeight="false" outlineLevel="0" collapsed="false">
      <c r="A2128" s="9" t="n">
        <v>2127</v>
      </c>
      <c r="B2128" s="9" t="s">
        <v>123</v>
      </c>
      <c r="C2128" s="11" t="s">
        <v>126</v>
      </c>
      <c r="D2128" s="9" t="s">
        <v>8461</v>
      </c>
      <c r="E2128" s="9" t="s">
        <v>358</v>
      </c>
      <c r="F2128" s="9" t="s">
        <v>8462</v>
      </c>
      <c r="G2128" s="9" t="s">
        <v>24</v>
      </c>
      <c r="H2128" s="14" t="s">
        <v>22</v>
      </c>
      <c r="I2128" s="9" t="s">
        <v>8463</v>
      </c>
      <c r="J2128" s="13"/>
      <c r="K2128" s="13"/>
    </row>
    <row r="2129" customFormat="false" ht="15" hidden="false" customHeight="false" outlineLevel="0" collapsed="false">
      <c r="A2129" s="9" t="n">
        <v>2128</v>
      </c>
      <c r="B2129" s="9" t="s">
        <v>123</v>
      </c>
      <c r="C2129" s="11" t="s">
        <v>126</v>
      </c>
      <c r="D2129" s="9" t="s">
        <v>8464</v>
      </c>
      <c r="E2129" s="9" t="s">
        <v>362</v>
      </c>
      <c r="F2129" s="9" t="s">
        <v>363</v>
      </c>
      <c r="G2129" s="9" t="s">
        <v>24</v>
      </c>
      <c r="H2129" s="14" t="s">
        <v>22</v>
      </c>
      <c r="I2129" s="9" t="s">
        <v>364</v>
      </c>
      <c r="J2129" s="13"/>
      <c r="K2129" s="13"/>
    </row>
    <row r="2130" customFormat="false" ht="23.85" hidden="false" customHeight="false" outlineLevel="0" collapsed="false">
      <c r="A2130" s="9" t="n">
        <v>2129</v>
      </c>
      <c r="B2130" s="9" t="s">
        <v>123</v>
      </c>
      <c r="C2130" s="11" t="s">
        <v>126</v>
      </c>
      <c r="D2130" s="9" t="s">
        <v>8465</v>
      </c>
      <c r="E2130" s="9" t="s">
        <v>8466</v>
      </c>
      <c r="F2130" s="9" t="s">
        <v>8467</v>
      </c>
      <c r="G2130" s="9" t="s">
        <v>24</v>
      </c>
      <c r="H2130" s="15" t="s">
        <v>23</v>
      </c>
      <c r="I2130" s="9" t="s">
        <v>8468</v>
      </c>
      <c r="J2130" s="13"/>
      <c r="K2130" s="13"/>
    </row>
    <row r="2131" customFormat="false" ht="35.05" hidden="false" customHeight="false" outlineLevel="0" collapsed="false">
      <c r="A2131" s="9" t="n">
        <v>2130</v>
      </c>
      <c r="B2131" s="9" t="s">
        <v>123</v>
      </c>
      <c r="C2131" s="11" t="s">
        <v>126</v>
      </c>
      <c r="D2131" s="9" t="s">
        <v>8469</v>
      </c>
      <c r="E2131" s="9" t="s">
        <v>8470</v>
      </c>
      <c r="F2131" s="9" t="s">
        <v>8471</v>
      </c>
      <c r="G2131" s="9" t="s">
        <v>24</v>
      </c>
      <c r="H2131" s="15" t="s">
        <v>23</v>
      </c>
      <c r="I2131" s="9" t="s">
        <v>8472</v>
      </c>
      <c r="J2131" s="13"/>
      <c r="K2131" s="13"/>
    </row>
    <row r="2132" customFormat="false" ht="15" hidden="false" customHeight="false" outlineLevel="0" collapsed="false">
      <c r="A2132" s="9" t="n">
        <v>2131</v>
      </c>
      <c r="B2132" s="9" t="s">
        <v>123</v>
      </c>
      <c r="C2132" s="11" t="s">
        <v>126</v>
      </c>
      <c r="D2132" s="9" t="s">
        <v>8473</v>
      </c>
      <c r="E2132" s="9" t="s">
        <v>8474</v>
      </c>
      <c r="F2132" s="9" t="s">
        <v>445</v>
      </c>
      <c r="G2132" s="9" t="s">
        <v>24</v>
      </c>
      <c r="H2132" s="15" t="s">
        <v>23</v>
      </c>
      <c r="I2132" s="9" t="s">
        <v>7943</v>
      </c>
      <c r="J2132" s="13"/>
      <c r="K2132" s="13"/>
    </row>
    <row r="2133" customFormat="false" ht="102.2" hidden="false" customHeight="false" outlineLevel="0" collapsed="false">
      <c r="A2133" s="9" t="n">
        <v>2132</v>
      </c>
      <c r="B2133" s="9" t="s">
        <v>123</v>
      </c>
      <c r="C2133" s="11" t="s">
        <v>128</v>
      </c>
      <c r="D2133" s="9" t="s">
        <v>8475</v>
      </c>
      <c r="E2133" s="9" t="s">
        <v>8476</v>
      </c>
      <c r="F2133" s="9" t="s">
        <v>8477</v>
      </c>
      <c r="G2133" s="9" t="s">
        <v>1072</v>
      </c>
      <c r="H2133" s="12" t="s">
        <v>21</v>
      </c>
      <c r="I2133" s="9" t="s">
        <v>8478</v>
      </c>
      <c r="J2133" s="13"/>
      <c r="K2133" s="13"/>
    </row>
    <row r="2134" customFormat="false" ht="57.45" hidden="false" customHeight="false" outlineLevel="0" collapsed="false">
      <c r="A2134" s="9" t="n">
        <v>2133</v>
      </c>
      <c r="B2134" s="9" t="s">
        <v>123</v>
      </c>
      <c r="C2134" s="11" t="s">
        <v>128</v>
      </c>
      <c r="D2134" s="9" t="s">
        <v>8479</v>
      </c>
      <c r="E2134" s="9" t="s">
        <v>8480</v>
      </c>
      <c r="F2134" s="9" t="s">
        <v>8481</v>
      </c>
      <c r="G2134" s="9" t="s">
        <v>1072</v>
      </c>
      <c r="H2134" s="14" t="s">
        <v>22</v>
      </c>
      <c r="I2134" s="9" t="s">
        <v>8482</v>
      </c>
      <c r="J2134" s="13"/>
      <c r="K2134" s="13"/>
    </row>
    <row r="2135" customFormat="false" ht="79.85" hidden="false" customHeight="false" outlineLevel="0" collapsed="false">
      <c r="A2135" s="9" t="n">
        <v>2134</v>
      </c>
      <c r="B2135" s="9" t="s">
        <v>123</v>
      </c>
      <c r="C2135" s="11" t="s">
        <v>128</v>
      </c>
      <c r="D2135" s="9" t="s">
        <v>8483</v>
      </c>
      <c r="E2135" s="9" t="s">
        <v>8484</v>
      </c>
      <c r="F2135" s="9" t="s">
        <v>8485</v>
      </c>
      <c r="G2135" s="9" t="s">
        <v>312</v>
      </c>
      <c r="H2135" s="14" t="s">
        <v>22</v>
      </c>
      <c r="I2135" s="9" t="s">
        <v>8486</v>
      </c>
      <c r="J2135" s="13"/>
      <c r="K2135" s="13"/>
    </row>
    <row r="2136" customFormat="false" ht="102.2" hidden="false" customHeight="false" outlineLevel="0" collapsed="false">
      <c r="A2136" s="9" t="n">
        <v>2135</v>
      </c>
      <c r="B2136" s="9" t="s">
        <v>123</v>
      </c>
      <c r="C2136" s="11" t="s">
        <v>128</v>
      </c>
      <c r="D2136" s="9" t="s">
        <v>8487</v>
      </c>
      <c r="E2136" s="9" t="s">
        <v>8488</v>
      </c>
      <c r="F2136" s="9" t="s">
        <v>8489</v>
      </c>
      <c r="G2136" s="9" t="s">
        <v>1072</v>
      </c>
      <c r="H2136" s="14" t="s">
        <v>22</v>
      </c>
      <c r="I2136" s="9" t="s">
        <v>8490</v>
      </c>
      <c r="J2136" s="13"/>
      <c r="K2136" s="13"/>
    </row>
    <row r="2137" customFormat="false" ht="135.8" hidden="false" customHeight="false" outlineLevel="0" collapsed="false">
      <c r="A2137" s="9" t="n">
        <v>2136</v>
      </c>
      <c r="B2137" s="9" t="s">
        <v>123</v>
      </c>
      <c r="C2137" s="11" t="s">
        <v>128</v>
      </c>
      <c r="D2137" s="9" t="s">
        <v>8491</v>
      </c>
      <c r="E2137" s="9" t="s">
        <v>8492</v>
      </c>
      <c r="F2137" s="9" t="s">
        <v>8493</v>
      </c>
      <c r="G2137" s="9" t="s">
        <v>2044</v>
      </c>
      <c r="H2137" s="12" t="s">
        <v>21</v>
      </c>
      <c r="I2137" s="9" t="s">
        <v>8494</v>
      </c>
      <c r="J2137" s="13"/>
      <c r="K2137" s="13"/>
    </row>
    <row r="2138" customFormat="false" ht="79.85" hidden="false" customHeight="false" outlineLevel="0" collapsed="false">
      <c r="A2138" s="9" t="n">
        <v>2137</v>
      </c>
      <c r="B2138" s="9" t="s">
        <v>123</v>
      </c>
      <c r="C2138" s="11" t="s">
        <v>128</v>
      </c>
      <c r="D2138" s="9" t="s">
        <v>8495</v>
      </c>
      <c r="E2138" s="9" t="s">
        <v>8496</v>
      </c>
      <c r="F2138" s="9" t="s">
        <v>8497</v>
      </c>
      <c r="G2138" s="9" t="s">
        <v>308</v>
      </c>
      <c r="H2138" s="14" t="s">
        <v>22</v>
      </c>
      <c r="I2138" s="9" t="s">
        <v>8498</v>
      </c>
      <c r="J2138" s="13"/>
      <c r="K2138" s="13"/>
    </row>
    <row r="2139" customFormat="false" ht="46.25" hidden="false" customHeight="false" outlineLevel="0" collapsed="false">
      <c r="A2139" s="9" t="n">
        <v>2138</v>
      </c>
      <c r="B2139" s="9" t="s">
        <v>123</v>
      </c>
      <c r="C2139" s="11" t="s">
        <v>128</v>
      </c>
      <c r="D2139" s="9" t="s">
        <v>8499</v>
      </c>
      <c r="E2139" s="9" t="s">
        <v>8500</v>
      </c>
      <c r="F2139" s="9" t="s">
        <v>8501</v>
      </c>
      <c r="G2139" s="9" t="s">
        <v>1072</v>
      </c>
      <c r="H2139" s="14" t="s">
        <v>22</v>
      </c>
      <c r="I2139" s="9" t="s">
        <v>8502</v>
      </c>
      <c r="J2139" s="13"/>
      <c r="K2139" s="13"/>
    </row>
    <row r="2140" customFormat="false" ht="79.85" hidden="false" customHeight="false" outlineLevel="0" collapsed="false">
      <c r="A2140" s="9" t="n">
        <v>2139</v>
      </c>
      <c r="B2140" s="9" t="s">
        <v>123</v>
      </c>
      <c r="C2140" s="11" t="s">
        <v>128</v>
      </c>
      <c r="D2140" s="9" t="s">
        <v>8503</v>
      </c>
      <c r="E2140" s="9" t="s">
        <v>8504</v>
      </c>
      <c r="F2140" s="9" t="s">
        <v>8505</v>
      </c>
      <c r="G2140" s="9" t="s">
        <v>2044</v>
      </c>
      <c r="H2140" s="14" t="s">
        <v>22</v>
      </c>
      <c r="I2140" s="9" t="s">
        <v>8506</v>
      </c>
      <c r="J2140" s="13"/>
      <c r="K2140" s="13"/>
    </row>
    <row r="2141" customFormat="false" ht="68.65" hidden="false" customHeight="false" outlineLevel="0" collapsed="false">
      <c r="A2141" s="9" t="n">
        <v>2140</v>
      </c>
      <c r="B2141" s="9" t="s">
        <v>123</v>
      </c>
      <c r="C2141" s="11" t="s">
        <v>128</v>
      </c>
      <c r="D2141" s="9" t="s">
        <v>8507</v>
      </c>
      <c r="E2141" s="9" t="s">
        <v>8508</v>
      </c>
      <c r="F2141" s="9" t="s">
        <v>8509</v>
      </c>
      <c r="G2141" s="9" t="s">
        <v>2044</v>
      </c>
      <c r="H2141" s="14" t="s">
        <v>22</v>
      </c>
      <c r="I2141" s="9" t="s">
        <v>8510</v>
      </c>
      <c r="J2141" s="13"/>
      <c r="K2141" s="13"/>
    </row>
    <row r="2142" customFormat="false" ht="68.65" hidden="false" customHeight="false" outlineLevel="0" collapsed="false">
      <c r="A2142" s="9" t="n">
        <v>2141</v>
      </c>
      <c r="B2142" s="9" t="s">
        <v>123</v>
      </c>
      <c r="C2142" s="11" t="s">
        <v>128</v>
      </c>
      <c r="D2142" s="9" t="s">
        <v>8511</v>
      </c>
      <c r="E2142" s="9" t="s">
        <v>8512</v>
      </c>
      <c r="F2142" s="9" t="s">
        <v>8513</v>
      </c>
      <c r="G2142" s="9" t="s">
        <v>2044</v>
      </c>
      <c r="H2142" s="14" t="s">
        <v>22</v>
      </c>
      <c r="I2142" s="9" t="s">
        <v>8514</v>
      </c>
      <c r="J2142" s="13"/>
      <c r="K2142" s="13"/>
    </row>
    <row r="2143" customFormat="false" ht="68.65" hidden="false" customHeight="false" outlineLevel="0" collapsed="false">
      <c r="A2143" s="9" t="n">
        <v>2142</v>
      </c>
      <c r="B2143" s="9" t="s">
        <v>123</v>
      </c>
      <c r="C2143" s="11" t="s">
        <v>128</v>
      </c>
      <c r="D2143" s="9" t="s">
        <v>8515</v>
      </c>
      <c r="E2143" s="9" t="s">
        <v>8516</v>
      </c>
      <c r="F2143" s="9" t="s">
        <v>8517</v>
      </c>
      <c r="G2143" s="9" t="s">
        <v>312</v>
      </c>
      <c r="H2143" s="14" t="s">
        <v>22</v>
      </c>
      <c r="I2143" s="9" t="s">
        <v>8518</v>
      </c>
      <c r="J2143" s="13"/>
      <c r="K2143" s="13"/>
    </row>
    <row r="2144" customFormat="false" ht="79.85" hidden="false" customHeight="false" outlineLevel="0" collapsed="false">
      <c r="A2144" s="9" t="n">
        <v>2143</v>
      </c>
      <c r="B2144" s="9" t="s">
        <v>123</v>
      </c>
      <c r="C2144" s="11" t="s">
        <v>128</v>
      </c>
      <c r="D2144" s="9" t="s">
        <v>8519</v>
      </c>
      <c r="E2144" s="9" t="s">
        <v>8520</v>
      </c>
      <c r="F2144" s="9" t="s">
        <v>8521</v>
      </c>
      <c r="G2144" s="9" t="s">
        <v>2044</v>
      </c>
      <c r="H2144" s="14" t="s">
        <v>22</v>
      </c>
      <c r="I2144" s="9" t="s">
        <v>8522</v>
      </c>
      <c r="J2144" s="13"/>
      <c r="K2144" s="13"/>
    </row>
    <row r="2145" customFormat="false" ht="102.2" hidden="false" customHeight="false" outlineLevel="0" collapsed="false">
      <c r="A2145" s="9" t="n">
        <v>2144</v>
      </c>
      <c r="B2145" s="9" t="s">
        <v>123</v>
      </c>
      <c r="C2145" s="11" t="s">
        <v>128</v>
      </c>
      <c r="D2145" s="9" t="s">
        <v>8523</v>
      </c>
      <c r="E2145" s="9" t="s">
        <v>8524</v>
      </c>
      <c r="F2145" s="9" t="s">
        <v>8525</v>
      </c>
      <c r="G2145" s="9" t="s">
        <v>1399</v>
      </c>
      <c r="H2145" s="14" t="s">
        <v>22</v>
      </c>
      <c r="I2145" s="9" t="s">
        <v>8526</v>
      </c>
      <c r="J2145" s="13"/>
      <c r="K2145" s="13"/>
    </row>
    <row r="2146" customFormat="false" ht="57.45" hidden="false" customHeight="false" outlineLevel="0" collapsed="false">
      <c r="A2146" s="9" t="n">
        <v>2145</v>
      </c>
      <c r="B2146" s="9" t="s">
        <v>123</v>
      </c>
      <c r="C2146" s="11" t="s">
        <v>128</v>
      </c>
      <c r="D2146" s="9" t="s">
        <v>8527</v>
      </c>
      <c r="E2146" s="9" t="s">
        <v>8528</v>
      </c>
      <c r="F2146" s="9" t="s">
        <v>8529</v>
      </c>
      <c r="G2146" s="9" t="s">
        <v>2044</v>
      </c>
      <c r="H2146" s="14" t="s">
        <v>22</v>
      </c>
      <c r="I2146" s="9" t="s">
        <v>8530</v>
      </c>
      <c r="J2146" s="13"/>
      <c r="K2146" s="13"/>
    </row>
    <row r="2147" customFormat="false" ht="46.25" hidden="false" customHeight="false" outlineLevel="0" collapsed="false">
      <c r="A2147" s="9" t="n">
        <v>2146</v>
      </c>
      <c r="B2147" s="9" t="s">
        <v>123</v>
      </c>
      <c r="C2147" s="11" t="s">
        <v>128</v>
      </c>
      <c r="D2147" s="9" t="s">
        <v>8531</v>
      </c>
      <c r="E2147" s="9" t="s">
        <v>8532</v>
      </c>
      <c r="F2147" s="9" t="s">
        <v>8533</v>
      </c>
      <c r="G2147" s="9" t="s">
        <v>303</v>
      </c>
      <c r="H2147" s="14" t="s">
        <v>22</v>
      </c>
      <c r="I2147" s="9" t="s">
        <v>8534</v>
      </c>
      <c r="J2147" s="13"/>
      <c r="K2147" s="13"/>
    </row>
    <row r="2148" customFormat="false" ht="57.45" hidden="false" customHeight="false" outlineLevel="0" collapsed="false">
      <c r="A2148" s="9" t="n">
        <v>2147</v>
      </c>
      <c r="B2148" s="9" t="s">
        <v>123</v>
      </c>
      <c r="C2148" s="11" t="s">
        <v>128</v>
      </c>
      <c r="D2148" s="9" t="s">
        <v>8535</v>
      </c>
      <c r="E2148" s="9" t="s">
        <v>8536</v>
      </c>
      <c r="F2148" s="9" t="s">
        <v>8537</v>
      </c>
      <c r="G2148" s="9" t="s">
        <v>312</v>
      </c>
      <c r="H2148" s="15" t="s">
        <v>23</v>
      </c>
      <c r="I2148" s="9" t="s">
        <v>8538</v>
      </c>
      <c r="J2148" s="13"/>
      <c r="K2148" s="13"/>
    </row>
    <row r="2149" customFormat="false" ht="68.65" hidden="false" customHeight="false" outlineLevel="0" collapsed="false">
      <c r="A2149" s="9" t="n">
        <v>2148</v>
      </c>
      <c r="B2149" s="9" t="s">
        <v>123</v>
      </c>
      <c r="C2149" s="11" t="s">
        <v>128</v>
      </c>
      <c r="D2149" s="9" t="s">
        <v>8539</v>
      </c>
      <c r="E2149" s="9" t="s">
        <v>8540</v>
      </c>
      <c r="F2149" s="9" t="s">
        <v>8541</v>
      </c>
      <c r="G2149" s="9" t="s">
        <v>2044</v>
      </c>
      <c r="H2149" s="14" t="s">
        <v>22</v>
      </c>
      <c r="I2149" s="9" t="s">
        <v>8542</v>
      </c>
      <c r="J2149" s="13"/>
      <c r="K2149" s="13"/>
    </row>
    <row r="2150" customFormat="false" ht="102.2" hidden="false" customHeight="false" outlineLevel="0" collapsed="false">
      <c r="A2150" s="9" t="n">
        <v>2149</v>
      </c>
      <c r="B2150" s="9" t="s">
        <v>123</v>
      </c>
      <c r="C2150" s="11" t="s">
        <v>128</v>
      </c>
      <c r="D2150" s="9" t="s">
        <v>8543</v>
      </c>
      <c r="E2150" s="9" t="s">
        <v>8544</v>
      </c>
      <c r="F2150" s="9" t="s">
        <v>8545</v>
      </c>
      <c r="G2150" s="9" t="s">
        <v>6420</v>
      </c>
      <c r="H2150" s="14" t="s">
        <v>22</v>
      </c>
      <c r="I2150" s="9" t="s">
        <v>8546</v>
      </c>
      <c r="J2150" s="13"/>
      <c r="K2150" s="13"/>
    </row>
    <row r="2151" customFormat="false" ht="102.2" hidden="false" customHeight="false" outlineLevel="0" collapsed="false">
      <c r="A2151" s="9" t="n">
        <v>2150</v>
      </c>
      <c r="B2151" s="9" t="s">
        <v>123</v>
      </c>
      <c r="C2151" s="11" t="s">
        <v>128</v>
      </c>
      <c r="D2151" s="9" t="s">
        <v>8547</v>
      </c>
      <c r="E2151" s="9" t="s">
        <v>8548</v>
      </c>
      <c r="F2151" s="9" t="s">
        <v>8549</v>
      </c>
      <c r="G2151" s="9" t="s">
        <v>3726</v>
      </c>
      <c r="H2151" s="14" t="s">
        <v>22</v>
      </c>
      <c r="I2151" s="9" t="s">
        <v>8550</v>
      </c>
      <c r="J2151" s="13"/>
      <c r="K2151" s="13"/>
    </row>
    <row r="2152" customFormat="false" ht="79.85" hidden="false" customHeight="false" outlineLevel="0" collapsed="false">
      <c r="A2152" s="9" t="n">
        <v>2151</v>
      </c>
      <c r="B2152" s="9" t="s">
        <v>123</v>
      </c>
      <c r="C2152" s="11" t="s">
        <v>128</v>
      </c>
      <c r="D2152" s="9" t="s">
        <v>8551</v>
      </c>
      <c r="E2152" s="9" t="s">
        <v>8552</v>
      </c>
      <c r="F2152" s="9" t="s">
        <v>8553</v>
      </c>
      <c r="G2152" s="9" t="s">
        <v>3701</v>
      </c>
      <c r="H2152" s="14" t="s">
        <v>22</v>
      </c>
      <c r="I2152" s="9" t="s">
        <v>8554</v>
      </c>
      <c r="J2152" s="13"/>
      <c r="K2152" s="13"/>
    </row>
    <row r="2153" customFormat="false" ht="46.25" hidden="false" customHeight="false" outlineLevel="0" collapsed="false">
      <c r="A2153" s="9" t="n">
        <v>2152</v>
      </c>
      <c r="B2153" s="9" t="s">
        <v>123</v>
      </c>
      <c r="C2153" s="11" t="s">
        <v>128</v>
      </c>
      <c r="D2153" s="9" t="s">
        <v>8555</v>
      </c>
      <c r="E2153" s="9" t="s">
        <v>8556</v>
      </c>
      <c r="F2153" s="9" t="s">
        <v>8557</v>
      </c>
      <c r="G2153" s="9" t="s">
        <v>312</v>
      </c>
      <c r="H2153" s="15" t="s">
        <v>23</v>
      </c>
      <c r="I2153" s="9" t="s">
        <v>8558</v>
      </c>
      <c r="J2153" s="13"/>
      <c r="K2153" s="13"/>
    </row>
    <row r="2154" customFormat="false" ht="35.05" hidden="false" customHeight="false" outlineLevel="0" collapsed="false">
      <c r="A2154" s="9" t="n">
        <v>2153</v>
      </c>
      <c r="B2154" s="9" t="s">
        <v>123</v>
      </c>
      <c r="C2154" s="11" t="s">
        <v>128</v>
      </c>
      <c r="D2154" s="9" t="s">
        <v>8559</v>
      </c>
      <c r="E2154" s="9" t="s">
        <v>8560</v>
      </c>
      <c r="F2154" s="9" t="s">
        <v>8561</v>
      </c>
      <c r="G2154" s="9" t="s">
        <v>312</v>
      </c>
      <c r="H2154" s="15" t="s">
        <v>23</v>
      </c>
      <c r="I2154" s="9" t="s">
        <v>8562</v>
      </c>
      <c r="J2154" s="13"/>
      <c r="K2154" s="13"/>
    </row>
    <row r="2155" customFormat="false" ht="35.05" hidden="false" customHeight="false" outlineLevel="0" collapsed="false">
      <c r="A2155" s="9" t="n">
        <v>2154</v>
      </c>
      <c r="B2155" s="9" t="s">
        <v>123</v>
      </c>
      <c r="C2155" s="11" t="s">
        <v>128</v>
      </c>
      <c r="D2155" s="9" t="s">
        <v>8563</v>
      </c>
      <c r="E2155" s="9" t="s">
        <v>8564</v>
      </c>
      <c r="F2155" s="9" t="s">
        <v>8565</v>
      </c>
      <c r="G2155" s="9" t="s">
        <v>312</v>
      </c>
      <c r="H2155" s="15" t="s">
        <v>23</v>
      </c>
      <c r="I2155" s="9" t="s">
        <v>8566</v>
      </c>
      <c r="J2155" s="13"/>
      <c r="K2155" s="13"/>
    </row>
    <row r="2156" customFormat="false" ht="46.25" hidden="false" customHeight="false" outlineLevel="0" collapsed="false">
      <c r="A2156" s="9" t="n">
        <v>2155</v>
      </c>
      <c r="B2156" s="9" t="s">
        <v>123</v>
      </c>
      <c r="C2156" s="11" t="s">
        <v>128</v>
      </c>
      <c r="D2156" s="9" t="s">
        <v>8567</v>
      </c>
      <c r="E2156" s="9" t="s">
        <v>8568</v>
      </c>
      <c r="F2156" s="9" t="s">
        <v>8569</v>
      </c>
      <c r="G2156" s="9" t="s">
        <v>317</v>
      </c>
      <c r="H2156" s="15" t="s">
        <v>23</v>
      </c>
      <c r="I2156" s="9" t="s">
        <v>8570</v>
      </c>
      <c r="J2156" s="13"/>
      <c r="K2156" s="13"/>
    </row>
    <row r="2157" customFormat="false" ht="46.25" hidden="false" customHeight="false" outlineLevel="0" collapsed="false">
      <c r="A2157" s="9" t="n">
        <v>2156</v>
      </c>
      <c r="B2157" s="9" t="s">
        <v>123</v>
      </c>
      <c r="C2157" s="11" t="s">
        <v>128</v>
      </c>
      <c r="D2157" s="9" t="s">
        <v>8571</v>
      </c>
      <c r="E2157" s="9" t="s">
        <v>8572</v>
      </c>
      <c r="F2157" s="9" t="s">
        <v>8573</v>
      </c>
      <c r="G2157" s="9" t="s">
        <v>312</v>
      </c>
      <c r="H2157" s="15" t="s">
        <v>23</v>
      </c>
      <c r="I2157" s="9" t="s">
        <v>8574</v>
      </c>
      <c r="J2157" s="13"/>
      <c r="K2157" s="13"/>
    </row>
    <row r="2158" customFormat="false" ht="35.05" hidden="false" customHeight="false" outlineLevel="0" collapsed="false">
      <c r="A2158" s="9" t="n">
        <v>2157</v>
      </c>
      <c r="B2158" s="9" t="s">
        <v>123</v>
      </c>
      <c r="C2158" s="11" t="s">
        <v>128</v>
      </c>
      <c r="D2158" s="9" t="s">
        <v>8575</v>
      </c>
      <c r="E2158" s="9" t="s">
        <v>8576</v>
      </c>
      <c r="F2158" s="9" t="s">
        <v>8577</v>
      </c>
      <c r="G2158" s="9" t="s">
        <v>2044</v>
      </c>
      <c r="H2158" s="15" t="s">
        <v>23</v>
      </c>
      <c r="I2158" s="9" t="s">
        <v>8578</v>
      </c>
      <c r="J2158" s="13"/>
      <c r="K2158" s="13"/>
    </row>
    <row r="2159" customFormat="false" ht="46.25" hidden="false" customHeight="false" outlineLevel="0" collapsed="false">
      <c r="A2159" s="9" t="n">
        <v>2158</v>
      </c>
      <c r="B2159" s="9" t="s">
        <v>123</v>
      </c>
      <c r="C2159" s="11" t="s">
        <v>128</v>
      </c>
      <c r="D2159" s="9" t="s">
        <v>8579</v>
      </c>
      <c r="E2159" s="9" t="s">
        <v>8580</v>
      </c>
      <c r="F2159" s="9" t="s">
        <v>8581</v>
      </c>
      <c r="G2159" s="9" t="s">
        <v>312</v>
      </c>
      <c r="H2159" s="14" t="s">
        <v>22</v>
      </c>
      <c r="I2159" s="9" t="s">
        <v>8582</v>
      </c>
      <c r="J2159" s="13"/>
      <c r="K2159" s="13"/>
    </row>
    <row r="2160" customFormat="false" ht="46.25" hidden="false" customHeight="false" outlineLevel="0" collapsed="false">
      <c r="A2160" s="9" t="n">
        <v>2159</v>
      </c>
      <c r="B2160" s="9" t="s">
        <v>123</v>
      </c>
      <c r="C2160" s="11" t="s">
        <v>128</v>
      </c>
      <c r="D2160" s="9" t="s">
        <v>8583</v>
      </c>
      <c r="E2160" s="9" t="s">
        <v>8584</v>
      </c>
      <c r="F2160" s="9" t="s">
        <v>8585</v>
      </c>
      <c r="G2160" s="9" t="s">
        <v>1072</v>
      </c>
      <c r="H2160" s="15" t="s">
        <v>23</v>
      </c>
      <c r="I2160" s="9" t="s">
        <v>8586</v>
      </c>
      <c r="J2160" s="13"/>
      <c r="K2160" s="13"/>
    </row>
    <row r="2161" customFormat="false" ht="35.05" hidden="false" customHeight="false" outlineLevel="0" collapsed="false">
      <c r="A2161" s="9" t="n">
        <v>2160</v>
      </c>
      <c r="B2161" s="9" t="s">
        <v>123</v>
      </c>
      <c r="C2161" s="11" t="s">
        <v>128</v>
      </c>
      <c r="D2161" s="9" t="s">
        <v>8587</v>
      </c>
      <c r="E2161" s="9" t="s">
        <v>8588</v>
      </c>
      <c r="F2161" s="9" t="s">
        <v>8589</v>
      </c>
      <c r="G2161" s="9" t="s">
        <v>312</v>
      </c>
      <c r="H2161" s="15" t="s">
        <v>23</v>
      </c>
      <c r="I2161" s="9" t="s">
        <v>8590</v>
      </c>
      <c r="J2161" s="13"/>
      <c r="K2161" s="13"/>
    </row>
    <row r="2162" customFormat="false" ht="23.85" hidden="false" customHeight="false" outlineLevel="0" collapsed="false">
      <c r="A2162" s="9" t="n">
        <v>2161</v>
      </c>
      <c r="B2162" s="9" t="s">
        <v>123</v>
      </c>
      <c r="C2162" s="11" t="s">
        <v>128</v>
      </c>
      <c r="D2162" s="9" t="s">
        <v>8591</v>
      </c>
      <c r="E2162" s="9" t="s">
        <v>8592</v>
      </c>
      <c r="F2162" s="9" t="s">
        <v>8593</v>
      </c>
      <c r="G2162" s="9" t="s">
        <v>1072</v>
      </c>
      <c r="H2162" s="15" t="s">
        <v>23</v>
      </c>
      <c r="I2162" s="9" t="s">
        <v>8594</v>
      </c>
      <c r="J2162" s="13"/>
      <c r="K2162" s="13"/>
    </row>
    <row r="2163" customFormat="false" ht="23.85" hidden="false" customHeight="false" outlineLevel="0" collapsed="false">
      <c r="A2163" s="9" t="n">
        <v>2162</v>
      </c>
      <c r="B2163" s="9" t="s">
        <v>123</v>
      </c>
      <c r="C2163" s="11" t="s">
        <v>128</v>
      </c>
      <c r="D2163" s="9" t="s">
        <v>8595</v>
      </c>
      <c r="E2163" s="9" t="s">
        <v>8596</v>
      </c>
      <c r="F2163" s="9" t="s">
        <v>4608</v>
      </c>
      <c r="G2163" s="9" t="s">
        <v>328</v>
      </c>
      <c r="H2163" s="15" t="s">
        <v>23</v>
      </c>
      <c r="I2163" s="9" t="s">
        <v>8597</v>
      </c>
      <c r="J2163" s="13"/>
      <c r="K2163" s="13"/>
    </row>
    <row r="2164" customFormat="false" ht="35.05" hidden="false" customHeight="false" outlineLevel="0" collapsed="false">
      <c r="A2164" s="9" t="n">
        <v>2163</v>
      </c>
      <c r="B2164" s="9" t="s">
        <v>123</v>
      </c>
      <c r="C2164" s="11" t="s">
        <v>128</v>
      </c>
      <c r="D2164" s="9" t="s">
        <v>8598</v>
      </c>
      <c r="E2164" s="9" t="s">
        <v>8599</v>
      </c>
      <c r="F2164" s="9" t="s">
        <v>8600</v>
      </c>
      <c r="G2164" s="9" t="s">
        <v>317</v>
      </c>
      <c r="H2164" s="15" t="s">
        <v>23</v>
      </c>
      <c r="I2164" s="9" t="s">
        <v>8601</v>
      </c>
      <c r="J2164" s="13"/>
      <c r="K2164" s="13"/>
    </row>
    <row r="2165" customFormat="false" ht="35.05" hidden="false" customHeight="false" outlineLevel="0" collapsed="false">
      <c r="A2165" s="9" t="n">
        <v>2164</v>
      </c>
      <c r="B2165" s="9" t="s">
        <v>123</v>
      </c>
      <c r="C2165" s="11" t="s">
        <v>128</v>
      </c>
      <c r="D2165" s="9" t="s">
        <v>8602</v>
      </c>
      <c r="E2165" s="9" t="s">
        <v>8603</v>
      </c>
      <c r="F2165" s="9" t="s">
        <v>8604</v>
      </c>
      <c r="G2165" s="9" t="s">
        <v>24</v>
      </c>
      <c r="H2165" s="14" t="s">
        <v>22</v>
      </c>
      <c r="I2165" s="9" t="s">
        <v>8605</v>
      </c>
      <c r="J2165" s="13"/>
      <c r="K2165" s="13"/>
    </row>
    <row r="2166" customFormat="false" ht="23.85" hidden="false" customHeight="false" outlineLevel="0" collapsed="false">
      <c r="A2166" s="9" t="n">
        <v>2165</v>
      </c>
      <c r="B2166" s="9" t="s">
        <v>123</v>
      </c>
      <c r="C2166" s="11" t="s">
        <v>128</v>
      </c>
      <c r="D2166" s="9" t="s">
        <v>8606</v>
      </c>
      <c r="E2166" s="9" t="s">
        <v>8607</v>
      </c>
      <c r="F2166" s="9" t="s">
        <v>8608</v>
      </c>
      <c r="G2166" s="9" t="s">
        <v>24</v>
      </c>
      <c r="H2166" s="14" t="s">
        <v>22</v>
      </c>
      <c r="I2166" s="9" t="s">
        <v>8609</v>
      </c>
      <c r="J2166" s="13"/>
      <c r="K2166" s="13"/>
    </row>
    <row r="2167" customFormat="false" ht="23.85" hidden="false" customHeight="false" outlineLevel="0" collapsed="false">
      <c r="A2167" s="9" t="n">
        <v>2166</v>
      </c>
      <c r="B2167" s="9" t="s">
        <v>123</v>
      </c>
      <c r="C2167" s="11" t="s">
        <v>128</v>
      </c>
      <c r="D2167" s="9" t="s">
        <v>8610</v>
      </c>
      <c r="E2167" s="9" t="s">
        <v>8611</v>
      </c>
      <c r="F2167" s="9" t="s">
        <v>8612</v>
      </c>
      <c r="G2167" s="9" t="s">
        <v>24</v>
      </c>
      <c r="H2167" s="14" t="s">
        <v>22</v>
      </c>
      <c r="I2167" s="9" t="s">
        <v>8613</v>
      </c>
      <c r="J2167" s="13"/>
      <c r="K2167" s="13"/>
    </row>
    <row r="2168" customFormat="false" ht="23.85" hidden="false" customHeight="false" outlineLevel="0" collapsed="false">
      <c r="A2168" s="9" t="n">
        <v>2167</v>
      </c>
      <c r="B2168" s="9" t="s">
        <v>123</v>
      </c>
      <c r="C2168" s="11" t="s">
        <v>128</v>
      </c>
      <c r="D2168" s="9" t="s">
        <v>8614</v>
      </c>
      <c r="E2168" s="9" t="s">
        <v>8615</v>
      </c>
      <c r="F2168" s="9" t="s">
        <v>8616</v>
      </c>
      <c r="G2168" s="9" t="s">
        <v>24</v>
      </c>
      <c r="H2168" s="14" t="s">
        <v>22</v>
      </c>
      <c r="I2168" s="9" t="s">
        <v>8617</v>
      </c>
      <c r="J2168" s="13"/>
      <c r="K2168" s="13"/>
    </row>
    <row r="2169" customFormat="false" ht="23.85" hidden="false" customHeight="false" outlineLevel="0" collapsed="false">
      <c r="A2169" s="9" t="n">
        <v>2168</v>
      </c>
      <c r="B2169" s="9" t="s">
        <v>123</v>
      </c>
      <c r="C2169" s="11" t="s">
        <v>128</v>
      </c>
      <c r="D2169" s="9" t="s">
        <v>8618</v>
      </c>
      <c r="E2169" s="9" t="s">
        <v>8619</v>
      </c>
      <c r="F2169" s="9" t="s">
        <v>8620</v>
      </c>
      <c r="G2169" s="9" t="s">
        <v>24</v>
      </c>
      <c r="H2169" s="14" t="s">
        <v>22</v>
      </c>
      <c r="I2169" s="9" t="s">
        <v>434</v>
      </c>
      <c r="J2169" s="13"/>
      <c r="K2169" s="13"/>
    </row>
    <row r="2170" customFormat="false" ht="23.85" hidden="false" customHeight="false" outlineLevel="0" collapsed="false">
      <c r="A2170" s="9" t="n">
        <v>2169</v>
      </c>
      <c r="B2170" s="9" t="s">
        <v>123</v>
      </c>
      <c r="C2170" s="11" t="s">
        <v>128</v>
      </c>
      <c r="D2170" s="9" t="s">
        <v>8621</v>
      </c>
      <c r="E2170" s="9" t="s">
        <v>8622</v>
      </c>
      <c r="F2170" s="9" t="s">
        <v>8623</v>
      </c>
      <c r="G2170" s="9" t="s">
        <v>24</v>
      </c>
      <c r="H2170" s="14" t="s">
        <v>22</v>
      </c>
      <c r="I2170" s="9" t="s">
        <v>8624</v>
      </c>
      <c r="J2170" s="13"/>
      <c r="K2170" s="13"/>
    </row>
    <row r="2171" customFormat="false" ht="23.85" hidden="false" customHeight="false" outlineLevel="0" collapsed="false">
      <c r="A2171" s="9" t="n">
        <v>2170</v>
      </c>
      <c r="B2171" s="9" t="s">
        <v>123</v>
      </c>
      <c r="C2171" s="11" t="s">
        <v>128</v>
      </c>
      <c r="D2171" s="9" t="s">
        <v>8625</v>
      </c>
      <c r="E2171" s="9" t="s">
        <v>8626</v>
      </c>
      <c r="F2171" s="9" t="s">
        <v>8627</v>
      </c>
      <c r="G2171" s="9" t="s">
        <v>24</v>
      </c>
      <c r="H2171" s="14" t="s">
        <v>22</v>
      </c>
      <c r="I2171" s="9" t="s">
        <v>8628</v>
      </c>
      <c r="J2171" s="13"/>
      <c r="K2171" s="13"/>
    </row>
    <row r="2172" customFormat="false" ht="23.85" hidden="false" customHeight="false" outlineLevel="0" collapsed="false">
      <c r="A2172" s="9" t="n">
        <v>2171</v>
      </c>
      <c r="B2172" s="9" t="s">
        <v>123</v>
      </c>
      <c r="C2172" s="11" t="s">
        <v>128</v>
      </c>
      <c r="D2172" s="9" t="s">
        <v>8629</v>
      </c>
      <c r="E2172" s="9" t="s">
        <v>358</v>
      </c>
      <c r="F2172" s="9" t="s">
        <v>8462</v>
      </c>
      <c r="G2172" s="9" t="s">
        <v>24</v>
      </c>
      <c r="H2172" s="14" t="s">
        <v>22</v>
      </c>
      <c r="I2172" s="9" t="s">
        <v>8463</v>
      </c>
      <c r="J2172" s="13"/>
      <c r="K2172" s="13"/>
    </row>
    <row r="2173" customFormat="false" ht="15" hidden="false" customHeight="false" outlineLevel="0" collapsed="false">
      <c r="A2173" s="9" t="n">
        <v>2172</v>
      </c>
      <c r="B2173" s="9" t="s">
        <v>123</v>
      </c>
      <c r="C2173" s="11" t="s">
        <v>128</v>
      </c>
      <c r="D2173" s="9" t="s">
        <v>8630</v>
      </c>
      <c r="E2173" s="9" t="s">
        <v>362</v>
      </c>
      <c r="F2173" s="9" t="s">
        <v>363</v>
      </c>
      <c r="G2173" s="9" t="s">
        <v>24</v>
      </c>
      <c r="H2173" s="14" t="s">
        <v>22</v>
      </c>
      <c r="I2173" s="9" t="s">
        <v>364</v>
      </c>
      <c r="J2173" s="13"/>
      <c r="K2173" s="13"/>
    </row>
    <row r="2174" customFormat="false" ht="35.05" hidden="false" customHeight="false" outlineLevel="0" collapsed="false">
      <c r="A2174" s="9" t="n">
        <v>2173</v>
      </c>
      <c r="B2174" s="9" t="s">
        <v>123</v>
      </c>
      <c r="C2174" s="11" t="s">
        <v>128</v>
      </c>
      <c r="D2174" s="9" t="s">
        <v>8631</v>
      </c>
      <c r="E2174" s="9" t="s">
        <v>8632</v>
      </c>
      <c r="F2174" s="9" t="s">
        <v>8633</v>
      </c>
      <c r="G2174" s="9" t="s">
        <v>24</v>
      </c>
      <c r="H2174" s="14" t="s">
        <v>22</v>
      </c>
      <c r="I2174" s="9" t="s">
        <v>8449</v>
      </c>
      <c r="J2174" s="13"/>
      <c r="K2174" s="13"/>
    </row>
    <row r="2175" customFormat="false" ht="23.85" hidden="false" customHeight="false" outlineLevel="0" collapsed="false">
      <c r="A2175" s="9" t="n">
        <v>2174</v>
      </c>
      <c r="B2175" s="9" t="s">
        <v>123</v>
      </c>
      <c r="C2175" s="11" t="s">
        <v>128</v>
      </c>
      <c r="D2175" s="9" t="s">
        <v>8634</v>
      </c>
      <c r="E2175" s="9" t="s">
        <v>8635</v>
      </c>
      <c r="F2175" s="9" t="s">
        <v>8636</v>
      </c>
      <c r="G2175" s="9" t="s">
        <v>24</v>
      </c>
      <c r="H2175" s="15" t="s">
        <v>23</v>
      </c>
      <c r="I2175" s="9" t="s">
        <v>8637</v>
      </c>
      <c r="J2175" s="13"/>
      <c r="K2175" s="13"/>
    </row>
    <row r="2176" customFormat="false" ht="35.05" hidden="false" customHeight="false" outlineLevel="0" collapsed="false">
      <c r="A2176" s="9" t="n">
        <v>2175</v>
      </c>
      <c r="B2176" s="9" t="s">
        <v>123</v>
      </c>
      <c r="C2176" s="11" t="s">
        <v>128</v>
      </c>
      <c r="D2176" s="9" t="s">
        <v>8638</v>
      </c>
      <c r="E2176" s="9" t="s">
        <v>8639</v>
      </c>
      <c r="F2176" s="9" t="s">
        <v>8640</v>
      </c>
      <c r="G2176" s="9" t="s">
        <v>24</v>
      </c>
      <c r="H2176" s="15" t="s">
        <v>23</v>
      </c>
      <c r="I2176" s="9" t="s">
        <v>8641</v>
      </c>
      <c r="J2176" s="13"/>
      <c r="K2176" s="13"/>
    </row>
    <row r="2177" customFormat="false" ht="15" hidden="false" customHeight="false" outlineLevel="0" collapsed="false">
      <c r="A2177" s="9" t="n">
        <v>2176</v>
      </c>
      <c r="B2177" s="9" t="s">
        <v>123</v>
      </c>
      <c r="C2177" s="11" t="s">
        <v>128</v>
      </c>
      <c r="D2177" s="9" t="s">
        <v>8642</v>
      </c>
      <c r="E2177" s="9" t="s">
        <v>8643</v>
      </c>
      <c r="F2177" s="9" t="s">
        <v>445</v>
      </c>
      <c r="G2177" s="9" t="s">
        <v>24</v>
      </c>
      <c r="H2177" s="15" t="s">
        <v>23</v>
      </c>
      <c r="I2177" s="9" t="s">
        <v>7943</v>
      </c>
      <c r="J2177" s="13"/>
      <c r="K2177" s="13"/>
    </row>
    <row r="2178" customFormat="false" ht="124.6" hidden="false" customHeight="false" outlineLevel="0" collapsed="false">
      <c r="A2178" s="9" t="n">
        <v>2177</v>
      </c>
      <c r="B2178" s="9" t="s">
        <v>123</v>
      </c>
      <c r="C2178" s="11" t="s">
        <v>130</v>
      </c>
      <c r="D2178" s="9" t="s">
        <v>8644</v>
      </c>
      <c r="E2178" s="9" t="s">
        <v>8645</v>
      </c>
      <c r="F2178" s="9" t="s">
        <v>8646</v>
      </c>
      <c r="G2178" s="9" t="s">
        <v>1370</v>
      </c>
      <c r="H2178" s="12" t="s">
        <v>21</v>
      </c>
      <c r="I2178" s="9" t="s">
        <v>8647</v>
      </c>
      <c r="J2178" s="13"/>
      <c r="K2178" s="13"/>
    </row>
    <row r="2179" customFormat="false" ht="113.4" hidden="false" customHeight="false" outlineLevel="0" collapsed="false">
      <c r="A2179" s="9" t="n">
        <v>2178</v>
      </c>
      <c r="B2179" s="9" t="s">
        <v>123</v>
      </c>
      <c r="C2179" s="11" t="s">
        <v>130</v>
      </c>
      <c r="D2179" s="9" t="s">
        <v>8648</v>
      </c>
      <c r="E2179" s="9" t="s">
        <v>8649</v>
      </c>
      <c r="F2179" s="9" t="s">
        <v>8650</v>
      </c>
      <c r="G2179" s="9" t="s">
        <v>303</v>
      </c>
      <c r="H2179" s="12" t="s">
        <v>21</v>
      </c>
      <c r="I2179" s="9" t="s">
        <v>8651</v>
      </c>
      <c r="J2179" s="13"/>
      <c r="K2179" s="13"/>
    </row>
    <row r="2180" customFormat="false" ht="124.6" hidden="false" customHeight="false" outlineLevel="0" collapsed="false">
      <c r="A2180" s="9" t="n">
        <v>2179</v>
      </c>
      <c r="B2180" s="9" t="s">
        <v>123</v>
      </c>
      <c r="C2180" s="11" t="s">
        <v>130</v>
      </c>
      <c r="D2180" s="9" t="s">
        <v>8652</v>
      </c>
      <c r="E2180" s="9" t="s">
        <v>8653</v>
      </c>
      <c r="F2180" s="9" t="s">
        <v>8654</v>
      </c>
      <c r="G2180" s="9" t="s">
        <v>3498</v>
      </c>
      <c r="H2180" s="12" t="s">
        <v>21</v>
      </c>
      <c r="I2180" s="9" t="s">
        <v>8655</v>
      </c>
      <c r="J2180" s="13"/>
      <c r="K2180" s="13"/>
    </row>
    <row r="2181" customFormat="false" ht="91" hidden="false" customHeight="false" outlineLevel="0" collapsed="false">
      <c r="A2181" s="9" t="n">
        <v>2180</v>
      </c>
      <c r="B2181" s="9" t="s">
        <v>123</v>
      </c>
      <c r="C2181" s="11" t="s">
        <v>130</v>
      </c>
      <c r="D2181" s="9" t="s">
        <v>8656</v>
      </c>
      <c r="E2181" s="9" t="s">
        <v>8657</v>
      </c>
      <c r="F2181" s="9" t="s">
        <v>8658</v>
      </c>
      <c r="G2181" s="9" t="s">
        <v>1072</v>
      </c>
      <c r="H2181" s="12" t="s">
        <v>21</v>
      </c>
      <c r="I2181" s="9" t="s">
        <v>8659</v>
      </c>
      <c r="J2181" s="13"/>
      <c r="K2181" s="13"/>
    </row>
    <row r="2182" customFormat="false" ht="147" hidden="false" customHeight="false" outlineLevel="0" collapsed="false">
      <c r="A2182" s="9" t="n">
        <v>2181</v>
      </c>
      <c r="B2182" s="9" t="s">
        <v>123</v>
      </c>
      <c r="C2182" s="11" t="s">
        <v>130</v>
      </c>
      <c r="D2182" s="9" t="s">
        <v>8660</v>
      </c>
      <c r="E2182" s="9" t="s">
        <v>8661</v>
      </c>
      <c r="F2182" s="9" t="s">
        <v>8662</v>
      </c>
      <c r="G2182" s="9" t="s">
        <v>312</v>
      </c>
      <c r="H2182" s="12" t="s">
        <v>21</v>
      </c>
      <c r="I2182" s="9" t="s">
        <v>8663</v>
      </c>
      <c r="J2182" s="13"/>
      <c r="K2182" s="13"/>
    </row>
    <row r="2183" customFormat="false" ht="35.05" hidden="false" customHeight="false" outlineLevel="0" collapsed="false">
      <c r="A2183" s="9" t="n">
        <v>2182</v>
      </c>
      <c r="B2183" s="9" t="s">
        <v>123</v>
      </c>
      <c r="C2183" s="11" t="s">
        <v>130</v>
      </c>
      <c r="D2183" s="9" t="s">
        <v>8664</v>
      </c>
      <c r="E2183" s="9" t="s">
        <v>8665</v>
      </c>
      <c r="F2183" s="9" t="s">
        <v>8666</v>
      </c>
      <c r="G2183" s="9" t="s">
        <v>328</v>
      </c>
      <c r="H2183" s="15" t="s">
        <v>23</v>
      </c>
      <c r="I2183" s="9" t="s">
        <v>8667</v>
      </c>
      <c r="J2183" s="13"/>
      <c r="K2183" s="13"/>
    </row>
    <row r="2184" customFormat="false" ht="35.05" hidden="false" customHeight="false" outlineLevel="0" collapsed="false">
      <c r="A2184" s="9" t="n">
        <v>2183</v>
      </c>
      <c r="B2184" s="9" t="s">
        <v>123</v>
      </c>
      <c r="C2184" s="11" t="s">
        <v>130</v>
      </c>
      <c r="D2184" s="9" t="s">
        <v>8668</v>
      </c>
      <c r="E2184" s="9" t="s">
        <v>8669</v>
      </c>
      <c r="F2184" s="9" t="s">
        <v>8670</v>
      </c>
      <c r="G2184" s="9" t="s">
        <v>328</v>
      </c>
      <c r="H2184" s="15" t="s">
        <v>23</v>
      </c>
      <c r="I2184" s="9" t="s">
        <v>8671</v>
      </c>
      <c r="J2184" s="13"/>
      <c r="K2184" s="13"/>
    </row>
    <row r="2185" customFormat="false" ht="35.05" hidden="false" customHeight="false" outlineLevel="0" collapsed="false">
      <c r="A2185" s="9" t="n">
        <v>2184</v>
      </c>
      <c r="B2185" s="9" t="s">
        <v>123</v>
      </c>
      <c r="C2185" s="11" t="s">
        <v>130</v>
      </c>
      <c r="D2185" s="9" t="s">
        <v>8672</v>
      </c>
      <c r="E2185" s="9" t="s">
        <v>8673</v>
      </c>
      <c r="F2185" s="9" t="s">
        <v>8674</v>
      </c>
      <c r="G2185" s="9" t="s">
        <v>328</v>
      </c>
      <c r="H2185" s="15" t="s">
        <v>23</v>
      </c>
      <c r="I2185" s="9" t="s">
        <v>8675</v>
      </c>
      <c r="J2185" s="13"/>
      <c r="K2185" s="13"/>
    </row>
    <row r="2186" customFormat="false" ht="113.4" hidden="false" customHeight="false" outlineLevel="0" collapsed="false">
      <c r="A2186" s="9" t="n">
        <v>2185</v>
      </c>
      <c r="B2186" s="9" t="s">
        <v>123</v>
      </c>
      <c r="C2186" s="11" t="s">
        <v>130</v>
      </c>
      <c r="D2186" s="9" t="s">
        <v>8676</v>
      </c>
      <c r="E2186" s="9" t="s">
        <v>8677</v>
      </c>
      <c r="F2186" s="9" t="s">
        <v>8678</v>
      </c>
      <c r="G2186" s="9" t="s">
        <v>2044</v>
      </c>
      <c r="H2186" s="14" t="s">
        <v>22</v>
      </c>
      <c r="I2186" s="9" t="s">
        <v>8679</v>
      </c>
      <c r="J2186" s="13"/>
      <c r="K2186" s="13"/>
    </row>
    <row r="2187" customFormat="false" ht="79.85" hidden="false" customHeight="false" outlineLevel="0" collapsed="false">
      <c r="A2187" s="9" t="n">
        <v>2186</v>
      </c>
      <c r="B2187" s="9" t="s">
        <v>123</v>
      </c>
      <c r="C2187" s="11" t="s">
        <v>130</v>
      </c>
      <c r="D2187" s="9" t="s">
        <v>8680</v>
      </c>
      <c r="E2187" s="9" t="s">
        <v>8681</v>
      </c>
      <c r="F2187" s="9" t="s">
        <v>8682</v>
      </c>
      <c r="G2187" s="9" t="s">
        <v>317</v>
      </c>
      <c r="H2187" s="14" t="s">
        <v>22</v>
      </c>
      <c r="I2187" s="9" t="s">
        <v>8683</v>
      </c>
      <c r="J2187" s="13"/>
      <c r="K2187" s="13"/>
    </row>
    <row r="2188" customFormat="false" ht="79.85" hidden="false" customHeight="false" outlineLevel="0" collapsed="false">
      <c r="A2188" s="9" t="n">
        <v>2187</v>
      </c>
      <c r="B2188" s="9" t="s">
        <v>123</v>
      </c>
      <c r="C2188" s="11" t="s">
        <v>130</v>
      </c>
      <c r="D2188" s="9" t="s">
        <v>8684</v>
      </c>
      <c r="E2188" s="9" t="s">
        <v>8685</v>
      </c>
      <c r="F2188" s="9" t="s">
        <v>8686</v>
      </c>
      <c r="G2188" s="9" t="s">
        <v>2044</v>
      </c>
      <c r="H2188" s="14" t="s">
        <v>22</v>
      </c>
      <c r="I2188" s="9" t="s">
        <v>8687</v>
      </c>
      <c r="J2188" s="13"/>
      <c r="K2188" s="13"/>
    </row>
    <row r="2189" customFormat="false" ht="57.45" hidden="false" customHeight="false" outlineLevel="0" collapsed="false">
      <c r="A2189" s="9" t="n">
        <v>2188</v>
      </c>
      <c r="B2189" s="9" t="s">
        <v>123</v>
      </c>
      <c r="C2189" s="11" t="s">
        <v>130</v>
      </c>
      <c r="D2189" s="9" t="s">
        <v>8688</v>
      </c>
      <c r="E2189" s="9" t="s">
        <v>8689</v>
      </c>
      <c r="F2189" s="9" t="s">
        <v>8690</v>
      </c>
      <c r="G2189" s="9" t="s">
        <v>2044</v>
      </c>
      <c r="H2189" s="14" t="s">
        <v>22</v>
      </c>
      <c r="I2189" s="9" t="s">
        <v>8691</v>
      </c>
      <c r="J2189" s="13"/>
      <c r="K2189" s="13"/>
    </row>
    <row r="2190" customFormat="false" ht="79.85" hidden="false" customHeight="false" outlineLevel="0" collapsed="false">
      <c r="A2190" s="9" t="n">
        <v>2189</v>
      </c>
      <c r="B2190" s="9" t="s">
        <v>123</v>
      </c>
      <c r="C2190" s="11" t="s">
        <v>130</v>
      </c>
      <c r="D2190" s="9" t="s">
        <v>8692</v>
      </c>
      <c r="E2190" s="9" t="s">
        <v>8693</v>
      </c>
      <c r="F2190" s="9" t="s">
        <v>8694</v>
      </c>
      <c r="G2190" s="9" t="s">
        <v>1072</v>
      </c>
      <c r="H2190" s="14" t="s">
        <v>22</v>
      </c>
      <c r="I2190" s="9" t="s">
        <v>8695</v>
      </c>
      <c r="J2190" s="13"/>
      <c r="K2190" s="13"/>
    </row>
    <row r="2191" customFormat="false" ht="79.85" hidden="false" customHeight="false" outlineLevel="0" collapsed="false">
      <c r="A2191" s="9" t="n">
        <v>2190</v>
      </c>
      <c r="B2191" s="9" t="s">
        <v>123</v>
      </c>
      <c r="C2191" s="11" t="s">
        <v>130</v>
      </c>
      <c r="D2191" s="9" t="s">
        <v>8696</v>
      </c>
      <c r="E2191" s="9" t="s">
        <v>8697</v>
      </c>
      <c r="F2191" s="9" t="s">
        <v>8698</v>
      </c>
      <c r="G2191" s="9" t="s">
        <v>2044</v>
      </c>
      <c r="H2191" s="14" t="s">
        <v>22</v>
      </c>
      <c r="I2191" s="9" t="s">
        <v>8699</v>
      </c>
      <c r="J2191" s="13"/>
      <c r="K2191" s="13"/>
    </row>
    <row r="2192" customFormat="false" ht="68.65" hidden="false" customHeight="false" outlineLevel="0" collapsed="false">
      <c r="A2192" s="9" t="n">
        <v>2191</v>
      </c>
      <c r="B2192" s="9" t="s">
        <v>123</v>
      </c>
      <c r="C2192" s="11" t="s">
        <v>130</v>
      </c>
      <c r="D2192" s="9" t="s">
        <v>8700</v>
      </c>
      <c r="E2192" s="9" t="s">
        <v>8701</v>
      </c>
      <c r="F2192" s="9" t="s">
        <v>8702</v>
      </c>
      <c r="G2192" s="9" t="s">
        <v>3726</v>
      </c>
      <c r="H2192" s="14" t="s">
        <v>22</v>
      </c>
      <c r="I2192" s="9" t="s">
        <v>8703</v>
      </c>
      <c r="J2192" s="13"/>
      <c r="K2192" s="13"/>
    </row>
    <row r="2193" customFormat="false" ht="68.65" hidden="false" customHeight="false" outlineLevel="0" collapsed="false">
      <c r="A2193" s="9" t="n">
        <v>2192</v>
      </c>
      <c r="B2193" s="9" t="s">
        <v>123</v>
      </c>
      <c r="C2193" s="11" t="s">
        <v>130</v>
      </c>
      <c r="D2193" s="9" t="s">
        <v>8704</v>
      </c>
      <c r="E2193" s="9" t="s">
        <v>8705</v>
      </c>
      <c r="F2193" s="9" t="s">
        <v>8706</v>
      </c>
      <c r="G2193" s="9" t="s">
        <v>1072</v>
      </c>
      <c r="H2193" s="14" t="s">
        <v>22</v>
      </c>
      <c r="I2193" s="9" t="s">
        <v>8707</v>
      </c>
      <c r="J2193" s="13"/>
      <c r="K2193" s="13"/>
    </row>
    <row r="2194" customFormat="false" ht="79.85" hidden="false" customHeight="false" outlineLevel="0" collapsed="false">
      <c r="A2194" s="9" t="n">
        <v>2193</v>
      </c>
      <c r="B2194" s="9" t="s">
        <v>123</v>
      </c>
      <c r="C2194" s="11" t="s">
        <v>130</v>
      </c>
      <c r="D2194" s="9" t="s">
        <v>8708</v>
      </c>
      <c r="E2194" s="9" t="s">
        <v>8709</v>
      </c>
      <c r="F2194" s="9" t="s">
        <v>8710</v>
      </c>
      <c r="G2194" s="9" t="s">
        <v>308</v>
      </c>
      <c r="H2194" s="14" t="s">
        <v>22</v>
      </c>
      <c r="I2194" s="9" t="s">
        <v>8711</v>
      </c>
      <c r="J2194" s="13"/>
      <c r="K2194" s="13"/>
    </row>
    <row r="2195" customFormat="false" ht="79.85" hidden="false" customHeight="false" outlineLevel="0" collapsed="false">
      <c r="A2195" s="9" t="n">
        <v>2194</v>
      </c>
      <c r="B2195" s="9" t="s">
        <v>123</v>
      </c>
      <c r="C2195" s="11" t="s">
        <v>130</v>
      </c>
      <c r="D2195" s="9" t="s">
        <v>8712</v>
      </c>
      <c r="E2195" s="9" t="s">
        <v>8713</v>
      </c>
      <c r="F2195" s="9" t="s">
        <v>8714</v>
      </c>
      <c r="G2195" s="9" t="s">
        <v>312</v>
      </c>
      <c r="H2195" s="14" t="s">
        <v>22</v>
      </c>
      <c r="I2195" s="9" t="s">
        <v>8715</v>
      </c>
      <c r="J2195" s="13"/>
      <c r="K2195" s="13"/>
    </row>
    <row r="2196" customFormat="false" ht="57.45" hidden="false" customHeight="false" outlineLevel="0" collapsed="false">
      <c r="A2196" s="9" t="n">
        <v>2195</v>
      </c>
      <c r="B2196" s="9" t="s">
        <v>123</v>
      </c>
      <c r="C2196" s="11" t="s">
        <v>130</v>
      </c>
      <c r="D2196" s="9" t="s">
        <v>8716</v>
      </c>
      <c r="E2196" s="9" t="s">
        <v>8717</v>
      </c>
      <c r="F2196" s="9" t="s">
        <v>8718</v>
      </c>
      <c r="G2196" s="9" t="s">
        <v>2044</v>
      </c>
      <c r="H2196" s="15" t="s">
        <v>23</v>
      </c>
      <c r="I2196" s="9" t="s">
        <v>8719</v>
      </c>
      <c r="J2196" s="13"/>
      <c r="K2196" s="13"/>
    </row>
    <row r="2197" customFormat="false" ht="35.05" hidden="false" customHeight="false" outlineLevel="0" collapsed="false">
      <c r="A2197" s="9" t="n">
        <v>2196</v>
      </c>
      <c r="B2197" s="9" t="s">
        <v>123</v>
      </c>
      <c r="C2197" s="11" t="s">
        <v>130</v>
      </c>
      <c r="D2197" s="9" t="s">
        <v>8720</v>
      </c>
      <c r="E2197" s="9" t="s">
        <v>8721</v>
      </c>
      <c r="F2197" s="9" t="s">
        <v>8722</v>
      </c>
      <c r="G2197" s="9" t="s">
        <v>1072</v>
      </c>
      <c r="H2197" s="15" t="s">
        <v>23</v>
      </c>
      <c r="I2197" s="9" t="s">
        <v>8723</v>
      </c>
      <c r="J2197" s="13"/>
      <c r="K2197" s="13"/>
    </row>
    <row r="2198" customFormat="false" ht="57.45" hidden="false" customHeight="false" outlineLevel="0" collapsed="false">
      <c r="A2198" s="9" t="n">
        <v>2197</v>
      </c>
      <c r="B2198" s="9" t="s">
        <v>123</v>
      </c>
      <c r="C2198" s="11" t="s">
        <v>130</v>
      </c>
      <c r="D2198" s="9" t="s">
        <v>8724</v>
      </c>
      <c r="E2198" s="9" t="s">
        <v>8725</v>
      </c>
      <c r="F2198" s="9" t="s">
        <v>8726</v>
      </c>
      <c r="G2198" s="9" t="s">
        <v>1072</v>
      </c>
      <c r="H2198" s="15" t="s">
        <v>23</v>
      </c>
      <c r="I2198" s="9" t="s">
        <v>8727</v>
      </c>
      <c r="J2198" s="13"/>
      <c r="K2198" s="13"/>
    </row>
    <row r="2199" customFormat="false" ht="46.25" hidden="false" customHeight="false" outlineLevel="0" collapsed="false">
      <c r="A2199" s="9" t="n">
        <v>2198</v>
      </c>
      <c r="B2199" s="9" t="s">
        <v>123</v>
      </c>
      <c r="C2199" s="11" t="s">
        <v>130</v>
      </c>
      <c r="D2199" s="9" t="s">
        <v>8728</v>
      </c>
      <c r="E2199" s="9" t="s">
        <v>8729</v>
      </c>
      <c r="F2199" s="9" t="s">
        <v>8730</v>
      </c>
      <c r="G2199" s="9" t="s">
        <v>312</v>
      </c>
      <c r="H2199" s="15" t="s">
        <v>23</v>
      </c>
      <c r="I2199" s="9" t="s">
        <v>8731</v>
      </c>
      <c r="J2199" s="13"/>
      <c r="K2199" s="13"/>
    </row>
    <row r="2200" customFormat="false" ht="35.05" hidden="false" customHeight="false" outlineLevel="0" collapsed="false">
      <c r="A2200" s="9" t="n">
        <v>2199</v>
      </c>
      <c r="B2200" s="9" t="s">
        <v>123</v>
      </c>
      <c r="C2200" s="11" t="s">
        <v>130</v>
      </c>
      <c r="D2200" s="9" t="s">
        <v>8732</v>
      </c>
      <c r="E2200" s="9" t="s">
        <v>8733</v>
      </c>
      <c r="F2200" s="9" t="s">
        <v>8734</v>
      </c>
      <c r="G2200" s="9" t="s">
        <v>312</v>
      </c>
      <c r="H2200" s="15" t="s">
        <v>23</v>
      </c>
      <c r="I2200" s="9" t="s">
        <v>8735</v>
      </c>
      <c r="J2200" s="13"/>
      <c r="K2200" s="13"/>
    </row>
    <row r="2201" customFormat="false" ht="35.05" hidden="false" customHeight="false" outlineLevel="0" collapsed="false">
      <c r="A2201" s="9" t="n">
        <v>2200</v>
      </c>
      <c r="B2201" s="9" t="s">
        <v>123</v>
      </c>
      <c r="C2201" s="11" t="s">
        <v>130</v>
      </c>
      <c r="D2201" s="9" t="s">
        <v>8736</v>
      </c>
      <c r="E2201" s="9" t="s">
        <v>8737</v>
      </c>
      <c r="F2201" s="9" t="s">
        <v>8738</v>
      </c>
      <c r="G2201" s="9" t="s">
        <v>312</v>
      </c>
      <c r="H2201" s="15" t="s">
        <v>23</v>
      </c>
      <c r="I2201" s="9" t="s">
        <v>8739</v>
      </c>
      <c r="J2201" s="13"/>
      <c r="K2201" s="13"/>
    </row>
    <row r="2202" customFormat="false" ht="46.25" hidden="false" customHeight="false" outlineLevel="0" collapsed="false">
      <c r="A2202" s="9" t="n">
        <v>2201</v>
      </c>
      <c r="B2202" s="9" t="s">
        <v>123</v>
      </c>
      <c r="C2202" s="11" t="s">
        <v>130</v>
      </c>
      <c r="D2202" s="9" t="s">
        <v>8740</v>
      </c>
      <c r="E2202" s="9" t="s">
        <v>8741</v>
      </c>
      <c r="F2202" s="9" t="s">
        <v>8742</v>
      </c>
      <c r="G2202" s="9" t="s">
        <v>303</v>
      </c>
      <c r="H2202" s="15" t="s">
        <v>23</v>
      </c>
      <c r="I2202" s="9" t="s">
        <v>8743</v>
      </c>
      <c r="J2202" s="13"/>
      <c r="K2202" s="13"/>
    </row>
    <row r="2203" customFormat="false" ht="68.65" hidden="false" customHeight="false" outlineLevel="0" collapsed="false">
      <c r="A2203" s="9" t="n">
        <v>2202</v>
      </c>
      <c r="B2203" s="9" t="s">
        <v>123</v>
      </c>
      <c r="C2203" s="11" t="s">
        <v>130</v>
      </c>
      <c r="D2203" s="9" t="s">
        <v>8744</v>
      </c>
      <c r="E2203" s="9" t="s">
        <v>8745</v>
      </c>
      <c r="F2203" s="9" t="s">
        <v>8746</v>
      </c>
      <c r="G2203" s="9" t="s">
        <v>2044</v>
      </c>
      <c r="H2203" s="15" t="s">
        <v>23</v>
      </c>
      <c r="I2203" s="9" t="s">
        <v>8747</v>
      </c>
      <c r="J2203" s="13"/>
      <c r="K2203" s="13"/>
    </row>
    <row r="2204" customFormat="false" ht="57.45" hidden="false" customHeight="false" outlineLevel="0" collapsed="false">
      <c r="A2204" s="9" t="n">
        <v>2203</v>
      </c>
      <c r="B2204" s="9" t="s">
        <v>123</v>
      </c>
      <c r="C2204" s="11" t="s">
        <v>130</v>
      </c>
      <c r="D2204" s="9" t="s">
        <v>8748</v>
      </c>
      <c r="E2204" s="9" t="s">
        <v>8749</v>
      </c>
      <c r="F2204" s="9" t="s">
        <v>8750</v>
      </c>
      <c r="G2204" s="9" t="s">
        <v>2044</v>
      </c>
      <c r="H2204" s="15" t="s">
        <v>23</v>
      </c>
      <c r="I2204" s="9" t="s">
        <v>8751</v>
      </c>
      <c r="J2204" s="13"/>
      <c r="K2204" s="13"/>
    </row>
    <row r="2205" customFormat="false" ht="35.05" hidden="false" customHeight="false" outlineLevel="0" collapsed="false">
      <c r="A2205" s="9" t="n">
        <v>2204</v>
      </c>
      <c r="B2205" s="9" t="s">
        <v>123</v>
      </c>
      <c r="C2205" s="11" t="s">
        <v>130</v>
      </c>
      <c r="D2205" s="9" t="s">
        <v>8752</v>
      </c>
      <c r="E2205" s="9" t="s">
        <v>8753</v>
      </c>
      <c r="F2205" s="9" t="s">
        <v>8754</v>
      </c>
      <c r="G2205" s="9" t="s">
        <v>308</v>
      </c>
      <c r="H2205" s="15" t="s">
        <v>23</v>
      </c>
      <c r="I2205" s="9" t="s">
        <v>8755</v>
      </c>
      <c r="J2205" s="13"/>
      <c r="K2205" s="13"/>
    </row>
    <row r="2206" customFormat="false" ht="23.85" hidden="false" customHeight="false" outlineLevel="0" collapsed="false">
      <c r="A2206" s="9" t="n">
        <v>2205</v>
      </c>
      <c r="B2206" s="9" t="s">
        <v>123</v>
      </c>
      <c r="C2206" s="11" t="s">
        <v>130</v>
      </c>
      <c r="D2206" s="9" t="s">
        <v>8756</v>
      </c>
      <c r="E2206" s="9" t="s">
        <v>8757</v>
      </c>
      <c r="F2206" s="9" t="s">
        <v>8758</v>
      </c>
      <c r="G2206" s="9" t="s">
        <v>317</v>
      </c>
      <c r="H2206" s="15" t="s">
        <v>23</v>
      </c>
      <c r="I2206" s="9" t="s">
        <v>8759</v>
      </c>
      <c r="J2206" s="13"/>
      <c r="K2206" s="13"/>
    </row>
    <row r="2207" customFormat="false" ht="57.45" hidden="false" customHeight="false" outlineLevel="0" collapsed="false">
      <c r="A2207" s="9" t="n">
        <v>2206</v>
      </c>
      <c r="B2207" s="9" t="s">
        <v>123</v>
      </c>
      <c r="C2207" s="11" t="s">
        <v>130</v>
      </c>
      <c r="D2207" s="9" t="s">
        <v>8760</v>
      </c>
      <c r="E2207" s="9" t="s">
        <v>8761</v>
      </c>
      <c r="F2207" s="9" t="s">
        <v>8762</v>
      </c>
      <c r="G2207" s="9" t="s">
        <v>1072</v>
      </c>
      <c r="H2207" s="15" t="s">
        <v>23</v>
      </c>
      <c r="I2207" s="9" t="s">
        <v>8763</v>
      </c>
      <c r="J2207" s="13"/>
      <c r="K2207" s="13"/>
    </row>
    <row r="2208" customFormat="false" ht="23.85" hidden="false" customHeight="false" outlineLevel="0" collapsed="false">
      <c r="A2208" s="9" t="n">
        <v>2207</v>
      </c>
      <c r="B2208" s="9" t="s">
        <v>123</v>
      </c>
      <c r="C2208" s="11" t="s">
        <v>130</v>
      </c>
      <c r="D2208" s="9" t="s">
        <v>8764</v>
      </c>
      <c r="E2208" s="9" t="s">
        <v>8596</v>
      </c>
      <c r="F2208" s="9" t="s">
        <v>4608</v>
      </c>
      <c r="G2208" s="9" t="s">
        <v>328</v>
      </c>
      <c r="H2208" s="15" t="s">
        <v>23</v>
      </c>
      <c r="I2208" s="9" t="s">
        <v>8765</v>
      </c>
      <c r="J2208" s="13"/>
      <c r="K2208" s="13"/>
    </row>
    <row r="2209" customFormat="false" ht="46.25" hidden="false" customHeight="false" outlineLevel="0" collapsed="false">
      <c r="A2209" s="9" t="n">
        <v>2208</v>
      </c>
      <c r="B2209" s="9" t="s">
        <v>123</v>
      </c>
      <c r="C2209" s="11" t="s">
        <v>130</v>
      </c>
      <c r="D2209" s="9" t="s">
        <v>8766</v>
      </c>
      <c r="E2209" s="9" t="s">
        <v>8767</v>
      </c>
      <c r="F2209" s="9" t="s">
        <v>8768</v>
      </c>
      <c r="G2209" s="9" t="s">
        <v>24</v>
      </c>
      <c r="H2209" s="12" t="s">
        <v>21</v>
      </c>
      <c r="I2209" s="9" t="s">
        <v>8769</v>
      </c>
      <c r="J2209" s="13"/>
      <c r="K2209" s="13"/>
    </row>
    <row r="2210" customFormat="false" ht="35.05" hidden="false" customHeight="false" outlineLevel="0" collapsed="false">
      <c r="A2210" s="9" t="n">
        <v>2209</v>
      </c>
      <c r="B2210" s="9" t="s">
        <v>123</v>
      </c>
      <c r="C2210" s="11" t="s">
        <v>130</v>
      </c>
      <c r="D2210" s="9" t="s">
        <v>8770</v>
      </c>
      <c r="E2210" s="9" t="s">
        <v>8771</v>
      </c>
      <c r="F2210" s="9" t="s">
        <v>8772</v>
      </c>
      <c r="G2210" s="9" t="s">
        <v>24</v>
      </c>
      <c r="H2210" s="14" t="s">
        <v>22</v>
      </c>
      <c r="I2210" s="9" t="s">
        <v>8773</v>
      </c>
      <c r="J2210" s="13"/>
      <c r="K2210" s="13"/>
    </row>
    <row r="2211" customFormat="false" ht="46.25" hidden="false" customHeight="false" outlineLevel="0" collapsed="false">
      <c r="A2211" s="9" t="n">
        <v>2210</v>
      </c>
      <c r="B2211" s="9" t="s">
        <v>123</v>
      </c>
      <c r="C2211" s="11" t="s">
        <v>130</v>
      </c>
      <c r="D2211" s="9" t="s">
        <v>8774</v>
      </c>
      <c r="E2211" s="9" t="s">
        <v>8775</v>
      </c>
      <c r="F2211" s="9" t="s">
        <v>8776</v>
      </c>
      <c r="G2211" s="9" t="s">
        <v>24</v>
      </c>
      <c r="H2211" s="14" t="s">
        <v>22</v>
      </c>
      <c r="I2211" s="9" t="s">
        <v>8777</v>
      </c>
      <c r="J2211" s="13"/>
      <c r="K2211" s="13"/>
    </row>
    <row r="2212" customFormat="false" ht="15" hidden="false" customHeight="false" outlineLevel="0" collapsed="false">
      <c r="A2212" s="9" t="n">
        <v>2211</v>
      </c>
      <c r="B2212" s="9" t="s">
        <v>123</v>
      </c>
      <c r="C2212" s="11" t="s">
        <v>130</v>
      </c>
      <c r="D2212" s="9" t="s">
        <v>8778</v>
      </c>
      <c r="E2212" s="9" t="s">
        <v>8779</v>
      </c>
      <c r="F2212" s="9" t="s">
        <v>8780</v>
      </c>
      <c r="G2212" s="9" t="s">
        <v>24</v>
      </c>
      <c r="H2212" s="14" t="s">
        <v>22</v>
      </c>
      <c r="I2212" s="9" t="s">
        <v>8781</v>
      </c>
      <c r="J2212" s="13"/>
      <c r="K2212" s="13"/>
    </row>
    <row r="2213" customFormat="false" ht="23.85" hidden="false" customHeight="false" outlineLevel="0" collapsed="false">
      <c r="A2213" s="9" t="n">
        <v>2212</v>
      </c>
      <c r="B2213" s="9" t="s">
        <v>123</v>
      </c>
      <c r="C2213" s="11" t="s">
        <v>130</v>
      </c>
      <c r="D2213" s="9" t="s">
        <v>8782</v>
      </c>
      <c r="E2213" s="9" t="s">
        <v>8783</v>
      </c>
      <c r="F2213" s="9" t="s">
        <v>8784</v>
      </c>
      <c r="G2213" s="9" t="s">
        <v>24</v>
      </c>
      <c r="H2213" s="14" t="s">
        <v>22</v>
      </c>
      <c r="I2213" s="9" t="s">
        <v>8785</v>
      </c>
      <c r="J2213" s="13"/>
      <c r="K2213" s="13"/>
    </row>
    <row r="2214" customFormat="false" ht="23.85" hidden="false" customHeight="false" outlineLevel="0" collapsed="false">
      <c r="A2214" s="9" t="n">
        <v>2213</v>
      </c>
      <c r="B2214" s="9" t="s">
        <v>123</v>
      </c>
      <c r="C2214" s="11" t="s">
        <v>130</v>
      </c>
      <c r="D2214" s="9" t="s">
        <v>8786</v>
      </c>
      <c r="E2214" s="9" t="s">
        <v>8787</v>
      </c>
      <c r="F2214" s="9" t="s">
        <v>8788</v>
      </c>
      <c r="G2214" s="9" t="s">
        <v>24</v>
      </c>
      <c r="H2214" s="14" t="s">
        <v>22</v>
      </c>
      <c r="I2214" s="9" t="s">
        <v>8789</v>
      </c>
      <c r="J2214" s="13"/>
      <c r="K2214" s="13"/>
    </row>
    <row r="2215" customFormat="false" ht="23.85" hidden="false" customHeight="false" outlineLevel="0" collapsed="false">
      <c r="A2215" s="9" t="n">
        <v>2214</v>
      </c>
      <c r="B2215" s="9" t="s">
        <v>123</v>
      </c>
      <c r="C2215" s="11" t="s">
        <v>130</v>
      </c>
      <c r="D2215" s="9" t="s">
        <v>8790</v>
      </c>
      <c r="E2215" s="9" t="s">
        <v>8791</v>
      </c>
      <c r="F2215" s="9" t="s">
        <v>8792</v>
      </c>
      <c r="G2215" s="9" t="s">
        <v>24</v>
      </c>
      <c r="H2215" s="14" t="s">
        <v>22</v>
      </c>
      <c r="I2215" s="9" t="s">
        <v>8793</v>
      </c>
      <c r="J2215" s="13"/>
      <c r="K2215" s="13"/>
    </row>
    <row r="2216" customFormat="false" ht="23.85" hidden="false" customHeight="false" outlineLevel="0" collapsed="false">
      <c r="A2216" s="9" t="n">
        <v>2215</v>
      </c>
      <c r="B2216" s="9" t="s">
        <v>123</v>
      </c>
      <c r="C2216" s="11" t="s">
        <v>130</v>
      </c>
      <c r="D2216" s="9" t="s">
        <v>8794</v>
      </c>
      <c r="E2216" s="9" t="s">
        <v>358</v>
      </c>
      <c r="F2216" s="9" t="s">
        <v>8795</v>
      </c>
      <c r="G2216" s="9" t="s">
        <v>24</v>
      </c>
      <c r="H2216" s="14" t="s">
        <v>22</v>
      </c>
      <c r="I2216" s="9" t="s">
        <v>8463</v>
      </c>
      <c r="J2216" s="13"/>
      <c r="K2216" s="13"/>
    </row>
    <row r="2217" customFormat="false" ht="15" hidden="false" customHeight="false" outlineLevel="0" collapsed="false">
      <c r="A2217" s="9" t="n">
        <v>2216</v>
      </c>
      <c r="B2217" s="9" t="s">
        <v>123</v>
      </c>
      <c r="C2217" s="11" t="s">
        <v>130</v>
      </c>
      <c r="D2217" s="9" t="s">
        <v>8796</v>
      </c>
      <c r="E2217" s="9" t="s">
        <v>362</v>
      </c>
      <c r="F2217" s="9" t="s">
        <v>363</v>
      </c>
      <c r="G2217" s="9" t="s">
        <v>24</v>
      </c>
      <c r="H2217" s="14" t="s">
        <v>22</v>
      </c>
      <c r="I2217" s="9" t="s">
        <v>364</v>
      </c>
      <c r="J2217" s="13"/>
      <c r="K2217" s="13"/>
    </row>
    <row r="2218" customFormat="false" ht="35.05" hidden="false" customHeight="false" outlineLevel="0" collapsed="false">
      <c r="A2218" s="9" t="n">
        <v>2217</v>
      </c>
      <c r="B2218" s="9" t="s">
        <v>123</v>
      </c>
      <c r="C2218" s="11" t="s">
        <v>130</v>
      </c>
      <c r="D2218" s="9" t="s">
        <v>8797</v>
      </c>
      <c r="E2218" s="9" t="s">
        <v>8798</v>
      </c>
      <c r="F2218" s="9" t="s">
        <v>8799</v>
      </c>
      <c r="G2218" s="9" t="s">
        <v>24</v>
      </c>
      <c r="H2218" s="15" t="s">
        <v>23</v>
      </c>
      <c r="I2218" s="9" t="s">
        <v>8800</v>
      </c>
      <c r="J2218" s="13"/>
      <c r="K2218" s="13"/>
    </row>
    <row r="2219" customFormat="false" ht="15" hidden="false" customHeight="false" outlineLevel="0" collapsed="false">
      <c r="A2219" s="9" t="n">
        <v>2218</v>
      </c>
      <c r="B2219" s="9" t="s">
        <v>123</v>
      </c>
      <c r="C2219" s="11" t="s">
        <v>130</v>
      </c>
      <c r="D2219" s="9" t="s">
        <v>8801</v>
      </c>
      <c r="E2219" s="9" t="s">
        <v>8802</v>
      </c>
      <c r="F2219" s="9" t="s">
        <v>8803</v>
      </c>
      <c r="G2219" s="9" t="s">
        <v>24</v>
      </c>
      <c r="H2219" s="15" t="s">
        <v>23</v>
      </c>
      <c r="I2219" s="9" t="s">
        <v>8804</v>
      </c>
      <c r="J2219" s="13"/>
      <c r="K2219" s="13"/>
    </row>
    <row r="2220" customFormat="false" ht="15" hidden="false" customHeight="false" outlineLevel="0" collapsed="false">
      <c r="A2220" s="9" t="n">
        <v>2219</v>
      </c>
      <c r="B2220" s="9" t="s">
        <v>123</v>
      </c>
      <c r="C2220" s="11" t="s">
        <v>130</v>
      </c>
      <c r="D2220" s="9" t="s">
        <v>8805</v>
      </c>
      <c r="E2220" s="9" t="s">
        <v>8806</v>
      </c>
      <c r="F2220" s="9" t="s">
        <v>445</v>
      </c>
      <c r="G2220" s="9" t="s">
        <v>24</v>
      </c>
      <c r="H2220" s="15" t="s">
        <v>23</v>
      </c>
      <c r="I2220" s="9" t="s">
        <v>7943</v>
      </c>
      <c r="J2220" s="13"/>
      <c r="K2220" s="13"/>
    </row>
    <row r="2221" customFormat="false" ht="102.2" hidden="false" customHeight="false" outlineLevel="0" collapsed="false">
      <c r="A2221" s="9" t="n">
        <v>2220</v>
      </c>
      <c r="B2221" s="9" t="s">
        <v>123</v>
      </c>
      <c r="C2221" s="11" t="s">
        <v>132</v>
      </c>
      <c r="D2221" s="9" t="s">
        <v>8807</v>
      </c>
      <c r="E2221" s="9" t="s">
        <v>8808</v>
      </c>
      <c r="F2221" s="9" t="s">
        <v>8809</v>
      </c>
      <c r="G2221" s="9" t="s">
        <v>1072</v>
      </c>
      <c r="H2221" s="12" t="s">
        <v>21</v>
      </c>
      <c r="I2221" s="9" t="s">
        <v>8810</v>
      </c>
      <c r="J2221" s="13"/>
      <c r="K2221" s="13"/>
    </row>
    <row r="2222" customFormat="false" ht="68.65" hidden="false" customHeight="false" outlineLevel="0" collapsed="false">
      <c r="A2222" s="9" t="n">
        <v>2221</v>
      </c>
      <c r="B2222" s="9" t="s">
        <v>123</v>
      </c>
      <c r="C2222" s="11" t="s">
        <v>132</v>
      </c>
      <c r="D2222" s="9" t="s">
        <v>8811</v>
      </c>
      <c r="E2222" s="9" t="s">
        <v>8812</v>
      </c>
      <c r="F2222" s="9" t="s">
        <v>8813</v>
      </c>
      <c r="G2222" s="9" t="s">
        <v>4358</v>
      </c>
      <c r="H2222" s="12" t="s">
        <v>21</v>
      </c>
      <c r="I2222" s="9" t="s">
        <v>8814</v>
      </c>
      <c r="J2222" s="13"/>
      <c r="K2222" s="13"/>
    </row>
    <row r="2223" customFormat="false" ht="102.2" hidden="false" customHeight="false" outlineLevel="0" collapsed="false">
      <c r="A2223" s="9" t="n">
        <v>2222</v>
      </c>
      <c r="B2223" s="9" t="s">
        <v>123</v>
      </c>
      <c r="C2223" s="11" t="s">
        <v>132</v>
      </c>
      <c r="D2223" s="9" t="s">
        <v>8815</v>
      </c>
      <c r="E2223" s="9" t="s">
        <v>8816</v>
      </c>
      <c r="F2223" s="9" t="s">
        <v>8817</v>
      </c>
      <c r="G2223" s="9" t="s">
        <v>1072</v>
      </c>
      <c r="H2223" s="12" t="s">
        <v>21</v>
      </c>
      <c r="I2223" s="9" t="s">
        <v>8818</v>
      </c>
      <c r="J2223" s="13"/>
      <c r="K2223" s="13"/>
    </row>
    <row r="2224" customFormat="false" ht="79.85" hidden="false" customHeight="false" outlineLevel="0" collapsed="false">
      <c r="A2224" s="9" t="n">
        <v>2223</v>
      </c>
      <c r="B2224" s="9" t="s">
        <v>123</v>
      </c>
      <c r="C2224" s="11" t="s">
        <v>132</v>
      </c>
      <c r="D2224" s="9" t="s">
        <v>8819</v>
      </c>
      <c r="E2224" s="9" t="s">
        <v>8820</v>
      </c>
      <c r="F2224" s="9" t="s">
        <v>8821</v>
      </c>
      <c r="G2224" s="9" t="s">
        <v>1072</v>
      </c>
      <c r="H2224" s="12" t="s">
        <v>21</v>
      </c>
      <c r="I2224" s="9" t="s">
        <v>8822</v>
      </c>
      <c r="J2224" s="13"/>
      <c r="K2224" s="13"/>
    </row>
    <row r="2225" customFormat="false" ht="46.25" hidden="false" customHeight="false" outlineLevel="0" collapsed="false">
      <c r="A2225" s="9" t="n">
        <v>2224</v>
      </c>
      <c r="B2225" s="9" t="s">
        <v>123</v>
      </c>
      <c r="C2225" s="11" t="s">
        <v>132</v>
      </c>
      <c r="D2225" s="9" t="s">
        <v>8823</v>
      </c>
      <c r="E2225" s="9" t="s">
        <v>8824</v>
      </c>
      <c r="F2225" s="9" t="s">
        <v>8825</v>
      </c>
      <c r="G2225" s="9" t="s">
        <v>1072</v>
      </c>
      <c r="H2225" s="14" t="s">
        <v>22</v>
      </c>
      <c r="I2225" s="9" t="s">
        <v>8826</v>
      </c>
      <c r="J2225" s="13"/>
      <c r="K2225" s="13"/>
    </row>
    <row r="2226" customFormat="false" ht="91" hidden="false" customHeight="false" outlineLevel="0" collapsed="false">
      <c r="A2226" s="9" t="n">
        <v>2225</v>
      </c>
      <c r="B2226" s="9" t="s">
        <v>123</v>
      </c>
      <c r="C2226" s="11" t="s">
        <v>132</v>
      </c>
      <c r="D2226" s="9" t="s">
        <v>8827</v>
      </c>
      <c r="E2226" s="9" t="s">
        <v>8828</v>
      </c>
      <c r="F2226" s="9" t="s">
        <v>8829</v>
      </c>
      <c r="G2226" s="9" t="s">
        <v>317</v>
      </c>
      <c r="H2226" s="12" t="s">
        <v>21</v>
      </c>
      <c r="I2226" s="9" t="s">
        <v>8830</v>
      </c>
      <c r="J2226" s="13"/>
      <c r="K2226" s="13"/>
    </row>
    <row r="2227" customFormat="false" ht="180.55" hidden="false" customHeight="false" outlineLevel="0" collapsed="false">
      <c r="A2227" s="9" t="n">
        <v>2226</v>
      </c>
      <c r="B2227" s="9" t="s">
        <v>123</v>
      </c>
      <c r="C2227" s="11" t="s">
        <v>132</v>
      </c>
      <c r="D2227" s="9" t="s">
        <v>8831</v>
      </c>
      <c r="E2227" s="9" t="s">
        <v>8832</v>
      </c>
      <c r="F2227" s="9" t="s">
        <v>8833</v>
      </c>
      <c r="G2227" s="9" t="s">
        <v>308</v>
      </c>
      <c r="H2227" s="14" t="s">
        <v>22</v>
      </c>
      <c r="I2227" s="9" t="s">
        <v>8834</v>
      </c>
      <c r="J2227" s="13"/>
      <c r="K2227" s="13"/>
    </row>
    <row r="2228" customFormat="false" ht="79.85" hidden="false" customHeight="false" outlineLevel="0" collapsed="false">
      <c r="A2228" s="9" t="n">
        <v>2227</v>
      </c>
      <c r="B2228" s="9" t="s">
        <v>123</v>
      </c>
      <c r="C2228" s="11" t="s">
        <v>132</v>
      </c>
      <c r="D2228" s="9" t="s">
        <v>8835</v>
      </c>
      <c r="E2228" s="9" t="s">
        <v>8836</v>
      </c>
      <c r="F2228" s="9" t="s">
        <v>8837</v>
      </c>
      <c r="G2228" s="9" t="s">
        <v>1843</v>
      </c>
      <c r="H2228" s="14" t="s">
        <v>22</v>
      </c>
      <c r="I2228" s="9" t="s">
        <v>8838</v>
      </c>
      <c r="J2228" s="13"/>
      <c r="K2228" s="13"/>
    </row>
    <row r="2229" customFormat="false" ht="46.25" hidden="false" customHeight="false" outlineLevel="0" collapsed="false">
      <c r="A2229" s="9" t="n">
        <v>2228</v>
      </c>
      <c r="B2229" s="9" t="s">
        <v>123</v>
      </c>
      <c r="C2229" s="11" t="s">
        <v>132</v>
      </c>
      <c r="D2229" s="9" t="s">
        <v>8839</v>
      </c>
      <c r="E2229" s="9" t="s">
        <v>8840</v>
      </c>
      <c r="F2229" s="9" t="s">
        <v>8841</v>
      </c>
      <c r="G2229" s="9" t="s">
        <v>8842</v>
      </c>
      <c r="H2229" s="14" t="s">
        <v>22</v>
      </c>
      <c r="I2229" s="9" t="s">
        <v>8843</v>
      </c>
      <c r="J2229" s="13"/>
      <c r="K2229" s="13"/>
    </row>
    <row r="2230" customFormat="false" ht="68.65" hidden="false" customHeight="false" outlineLevel="0" collapsed="false">
      <c r="A2230" s="9" t="n">
        <v>2229</v>
      </c>
      <c r="B2230" s="9" t="s">
        <v>123</v>
      </c>
      <c r="C2230" s="11" t="s">
        <v>132</v>
      </c>
      <c r="D2230" s="9" t="s">
        <v>8844</v>
      </c>
      <c r="E2230" s="9" t="s">
        <v>8845</v>
      </c>
      <c r="F2230" s="9" t="s">
        <v>8846</v>
      </c>
      <c r="G2230" s="9" t="s">
        <v>1072</v>
      </c>
      <c r="H2230" s="14" t="s">
        <v>22</v>
      </c>
      <c r="I2230" s="9" t="s">
        <v>8847</v>
      </c>
      <c r="J2230" s="13"/>
      <c r="K2230" s="13"/>
    </row>
    <row r="2231" customFormat="false" ht="57.45" hidden="false" customHeight="false" outlineLevel="0" collapsed="false">
      <c r="A2231" s="9" t="n">
        <v>2230</v>
      </c>
      <c r="B2231" s="9" t="s">
        <v>123</v>
      </c>
      <c r="C2231" s="11" t="s">
        <v>132</v>
      </c>
      <c r="D2231" s="9" t="s">
        <v>8848</v>
      </c>
      <c r="E2231" s="9" t="s">
        <v>8849</v>
      </c>
      <c r="F2231" s="9" t="s">
        <v>8850</v>
      </c>
      <c r="G2231" s="9" t="s">
        <v>317</v>
      </c>
      <c r="H2231" s="15" t="s">
        <v>23</v>
      </c>
      <c r="I2231" s="9" t="s">
        <v>8851</v>
      </c>
      <c r="J2231" s="13"/>
      <c r="K2231" s="13"/>
    </row>
    <row r="2232" customFormat="false" ht="79.85" hidden="false" customHeight="false" outlineLevel="0" collapsed="false">
      <c r="A2232" s="9" t="n">
        <v>2231</v>
      </c>
      <c r="B2232" s="9" t="s">
        <v>123</v>
      </c>
      <c r="C2232" s="11" t="s">
        <v>132</v>
      </c>
      <c r="D2232" s="9" t="s">
        <v>8852</v>
      </c>
      <c r="E2232" s="9" t="s">
        <v>8853</v>
      </c>
      <c r="F2232" s="9" t="s">
        <v>8854</v>
      </c>
      <c r="G2232" s="9" t="s">
        <v>392</v>
      </c>
      <c r="H2232" s="14" t="s">
        <v>22</v>
      </c>
      <c r="I2232" s="9" t="s">
        <v>8855</v>
      </c>
      <c r="J2232" s="13"/>
      <c r="K2232" s="13"/>
    </row>
    <row r="2233" customFormat="false" ht="57.45" hidden="false" customHeight="false" outlineLevel="0" collapsed="false">
      <c r="A2233" s="9" t="n">
        <v>2232</v>
      </c>
      <c r="B2233" s="9" t="s">
        <v>123</v>
      </c>
      <c r="C2233" s="11" t="s">
        <v>132</v>
      </c>
      <c r="D2233" s="9" t="s">
        <v>8856</v>
      </c>
      <c r="E2233" s="9" t="s">
        <v>8857</v>
      </c>
      <c r="F2233" s="9" t="s">
        <v>8858</v>
      </c>
      <c r="G2233" s="9" t="s">
        <v>1284</v>
      </c>
      <c r="H2233" s="14" t="s">
        <v>22</v>
      </c>
      <c r="I2233" s="9" t="s">
        <v>8859</v>
      </c>
      <c r="J2233" s="13"/>
      <c r="K2233" s="13"/>
    </row>
    <row r="2234" customFormat="false" ht="46.25" hidden="false" customHeight="false" outlineLevel="0" collapsed="false">
      <c r="A2234" s="9" t="n">
        <v>2233</v>
      </c>
      <c r="B2234" s="9" t="s">
        <v>123</v>
      </c>
      <c r="C2234" s="11" t="s">
        <v>132</v>
      </c>
      <c r="D2234" s="9" t="s">
        <v>8860</v>
      </c>
      <c r="E2234" s="9" t="s">
        <v>8861</v>
      </c>
      <c r="F2234" s="9" t="s">
        <v>8862</v>
      </c>
      <c r="G2234" s="9" t="s">
        <v>392</v>
      </c>
      <c r="H2234" s="15" t="s">
        <v>23</v>
      </c>
      <c r="I2234" s="9" t="s">
        <v>8863</v>
      </c>
      <c r="J2234" s="13"/>
      <c r="K2234" s="13"/>
    </row>
    <row r="2235" customFormat="false" ht="68.65" hidden="false" customHeight="false" outlineLevel="0" collapsed="false">
      <c r="A2235" s="9" t="n">
        <v>2234</v>
      </c>
      <c r="B2235" s="9" t="s">
        <v>123</v>
      </c>
      <c r="C2235" s="11" t="s">
        <v>132</v>
      </c>
      <c r="D2235" s="9" t="s">
        <v>8864</v>
      </c>
      <c r="E2235" s="9" t="s">
        <v>8865</v>
      </c>
      <c r="F2235" s="9" t="s">
        <v>8866</v>
      </c>
      <c r="G2235" s="9" t="s">
        <v>392</v>
      </c>
      <c r="H2235" s="14" t="s">
        <v>22</v>
      </c>
      <c r="I2235" s="9" t="s">
        <v>8867</v>
      </c>
      <c r="J2235" s="13"/>
      <c r="K2235" s="13"/>
    </row>
    <row r="2236" customFormat="false" ht="46.25" hidden="false" customHeight="false" outlineLevel="0" collapsed="false">
      <c r="A2236" s="9" t="n">
        <v>2235</v>
      </c>
      <c r="B2236" s="9" t="s">
        <v>123</v>
      </c>
      <c r="C2236" s="11" t="s">
        <v>132</v>
      </c>
      <c r="D2236" s="9" t="s">
        <v>8868</v>
      </c>
      <c r="E2236" s="9" t="s">
        <v>8869</v>
      </c>
      <c r="F2236" s="9" t="s">
        <v>8870</v>
      </c>
      <c r="G2236" s="9" t="s">
        <v>317</v>
      </c>
      <c r="H2236" s="15" t="s">
        <v>23</v>
      </c>
      <c r="I2236" s="9" t="s">
        <v>8871</v>
      </c>
      <c r="J2236" s="13"/>
      <c r="K2236" s="13"/>
    </row>
    <row r="2237" customFormat="false" ht="57.45" hidden="false" customHeight="false" outlineLevel="0" collapsed="false">
      <c r="A2237" s="9" t="n">
        <v>2236</v>
      </c>
      <c r="B2237" s="9" t="s">
        <v>123</v>
      </c>
      <c r="C2237" s="11" t="s">
        <v>132</v>
      </c>
      <c r="D2237" s="9" t="s">
        <v>8872</v>
      </c>
      <c r="E2237" s="9" t="s">
        <v>8873</v>
      </c>
      <c r="F2237" s="9" t="s">
        <v>8874</v>
      </c>
      <c r="G2237" s="9" t="s">
        <v>1072</v>
      </c>
      <c r="H2237" s="15" t="s">
        <v>23</v>
      </c>
      <c r="I2237" s="9" t="s">
        <v>8875</v>
      </c>
      <c r="J2237" s="13"/>
      <c r="K2237" s="13"/>
    </row>
    <row r="2238" customFormat="false" ht="35.05" hidden="false" customHeight="false" outlineLevel="0" collapsed="false">
      <c r="A2238" s="9" t="n">
        <v>2237</v>
      </c>
      <c r="B2238" s="9" t="s">
        <v>123</v>
      </c>
      <c r="C2238" s="11" t="s">
        <v>132</v>
      </c>
      <c r="D2238" s="9" t="s">
        <v>8876</v>
      </c>
      <c r="E2238" s="9" t="s">
        <v>8877</v>
      </c>
      <c r="F2238" s="9" t="s">
        <v>8878</v>
      </c>
      <c r="G2238" s="9" t="s">
        <v>317</v>
      </c>
      <c r="H2238" s="15" t="s">
        <v>23</v>
      </c>
      <c r="I2238" s="9" t="s">
        <v>8879</v>
      </c>
      <c r="J2238" s="13"/>
      <c r="K2238" s="13"/>
    </row>
    <row r="2239" customFormat="false" ht="102.2" hidden="false" customHeight="false" outlineLevel="0" collapsed="false">
      <c r="A2239" s="9" t="n">
        <v>2238</v>
      </c>
      <c r="B2239" s="9" t="s">
        <v>123</v>
      </c>
      <c r="C2239" s="11" t="s">
        <v>132</v>
      </c>
      <c r="D2239" s="9" t="s">
        <v>8880</v>
      </c>
      <c r="E2239" s="9" t="s">
        <v>8881</v>
      </c>
      <c r="F2239" s="9" t="s">
        <v>8882</v>
      </c>
      <c r="G2239" s="9" t="s">
        <v>392</v>
      </c>
      <c r="H2239" s="14" t="s">
        <v>22</v>
      </c>
      <c r="I2239" s="9" t="s">
        <v>8883</v>
      </c>
      <c r="J2239" s="13"/>
      <c r="K2239" s="13"/>
    </row>
    <row r="2240" customFormat="false" ht="46.25" hidden="false" customHeight="false" outlineLevel="0" collapsed="false">
      <c r="A2240" s="9" t="n">
        <v>2239</v>
      </c>
      <c r="B2240" s="9" t="s">
        <v>123</v>
      </c>
      <c r="C2240" s="11" t="s">
        <v>132</v>
      </c>
      <c r="D2240" s="9" t="s">
        <v>8884</v>
      </c>
      <c r="E2240" s="9" t="s">
        <v>8885</v>
      </c>
      <c r="F2240" s="9" t="s">
        <v>8886</v>
      </c>
      <c r="G2240" s="9" t="s">
        <v>392</v>
      </c>
      <c r="H2240" s="14" t="s">
        <v>22</v>
      </c>
      <c r="I2240" s="9" t="s">
        <v>8887</v>
      </c>
      <c r="J2240" s="13"/>
      <c r="K2240" s="13"/>
    </row>
    <row r="2241" customFormat="false" ht="46.25" hidden="false" customHeight="false" outlineLevel="0" collapsed="false">
      <c r="A2241" s="9" t="n">
        <v>2240</v>
      </c>
      <c r="B2241" s="9" t="s">
        <v>123</v>
      </c>
      <c r="C2241" s="11" t="s">
        <v>132</v>
      </c>
      <c r="D2241" s="9" t="s">
        <v>8888</v>
      </c>
      <c r="E2241" s="9" t="s">
        <v>8889</v>
      </c>
      <c r="F2241" s="9" t="s">
        <v>8890</v>
      </c>
      <c r="G2241" s="9" t="s">
        <v>1072</v>
      </c>
      <c r="H2241" s="14" t="s">
        <v>22</v>
      </c>
      <c r="I2241" s="9" t="s">
        <v>8891</v>
      </c>
      <c r="J2241" s="13"/>
      <c r="K2241" s="13"/>
    </row>
    <row r="2242" customFormat="false" ht="68.65" hidden="false" customHeight="false" outlineLevel="0" collapsed="false">
      <c r="A2242" s="9" t="n">
        <v>2241</v>
      </c>
      <c r="B2242" s="9" t="s">
        <v>123</v>
      </c>
      <c r="C2242" s="11" t="s">
        <v>132</v>
      </c>
      <c r="D2242" s="9" t="s">
        <v>8892</v>
      </c>
      <c r="E2242" s="9" t="s">
        <v>8893</v>
      </c>
      <c r="F2242" s="9" t="s">
        <v>8894</v>
      </c>
      <c r="G2242" s="9" t="s">
        <v>392</v>
      </c>
      <c r="H2242" s="14" t="s">
        <v>22</v>
      </c>
      <c r="I2242" s="9" t="s">
        <v>8895</v>
      </c>
      <c r="J2242" s="13"/>
      <c r="K2242" s="13"/>
    </row>
    <row r="2243" customFormat="false" ht="68.65" hidden="false" customHeight="false" outlineLevel="0" collapsed="false">
      <c r="A2243" s="9" t="n">
        <v>2242</v>
      </c>
      <c r="B2243" s="9" t="s">
        <v>123</v>
      </c>
      <c r="C2243" s="11" t="s">
        <v>132</v>
      </c>
      <c r="D2243" s="9" t="s">
        <v>8896</v>
      </c>
      <c r="E2243" s="9" t="s">
        <v>8897</v>
      </c>
      <c r="F2243" s="9" t="s">
        <v>8898</v>
      </c>
      <c r="G2243" s="9" t="s">
        <v>317</v>
      </c>
      <c r="H2243" s="14" t="s">
        <v>22</v>
      </c>
      <c r="I2243" s="9" t="s">
        <v>8899</v>
      </c>
      <c r="J2243" s="13"/>
      <c r="K2243" s="13"/>
    </row>
    <row r="2244" customFormat="false" ht="46.25" hidden="false" customHeight="false" outlineLevel="0" collapsed="false">
      <c r="A2244" s="9" t="n">
        <v>2243</v>
      </c>
      <c r="B2244" s="9" t="s">
        <v>123</v>
      </c>
      <c r="C2244" s="11" t="s">
        <v>132</v>
      </c>
      <c r="D2244" s="9" t="s">
        <v>8900</v>
      </c>
      <c r="E2244" s="9" t="s">
        <v>8901</v>
      </c>
      <c r="F2244" s="9" t="s">
        <v>8902</v>
      </c>
      <c r="G2244" s="9" t="s">
        <v>392</v>
      </c>
      <c r="H2244" s="15" t="s">
        <v>23</v>
      </c>
      <c r="I2244" s="9" t="s">
        <v>8903</v>
      </c>
      <c r="J2244" s="13"/>
      <c r="K2244" s="13"/>
    </row>
    <row r="2245" customFormat="false" ht="68.65" hidden="false" customHeight="false" outlineLevel="0" collapsed="false">
      <c r="A2245" s="9" t="n">
        <v>2244</v>
      </c>
      <c r="B2245" s="9" t="s">
        <v>123</v>
      </c>
      <c r="C2245" s="11" t="s">
        <v>132</v>
      </c>
      <c r="D2245" s="9" t="s">
        <v>8904</v>
      </c>
      <c r="E2245" s="9" t="s">
        <v>8905</v>
      </c>
      <c r="F2245" s="9" t="s">
        <v>8906</v>
      </c>
      <c r="G2245" s="9" t="s">
        <v>1072</v>
      </c>
      <c r="H2245" s="15" t="s">
        <v>23</v>
      </c>
      <c r="I2245" s="9" t="s">
        <v>8907</v>
      </c>
      <c r="J2245" s="13"/>
      <c r="K2245" s="13"/>
    </row>
    <row r="2246" customFormat="false" ht="23.85" hidden="false" customHeight="false" outlineLevel="0" collapsed="false">
      <c r="A2246" s="9" t="n">
        <v>2245</v>
      </c>
      <c r="B2246" s="9" t="s">
        <v>123</v>
      </c>
      <c r="C2246" s="11" t="s">
        <v>132</v>
      </c>
      <c r="D2246" s="9" t="s">
        <v>8908</v>
      </c>
      <c r="E2246" s="9" t="s">
        <v>8909</v>
      </c>
      <c r="F2246" s="9" t="s">
        <v>8910</v>
      </c>
      <c r="G2246" s="9" t="s">
        <v>328</v>
      </c>
      <c r="H2246" s="15" t="s">
        <v>23</v>
      </c>
      <c r="I2246" s="9" t="s">
        <v>8911</v>
      </c>
      <c r="J2246" s="13"/>
      <c r="K2246" s="13"/>
    </row>
    <row r="2247" customFormat="false" ht="46.25" hidden="false" customHeight="false" outlineLevel="0" collapsed="false">
      <c r="A2247" s="9" t="n">
        <v>2246</v>
      </c>
      <c r="B2247" s="9" t="s">
        <v>123</v>
      </c>
      <c r="C2247" s="11" t="s">
        <v>132</v>
      </c>
      <c r="D2247" s="9" t="s">
        <v>8912</v>
      </c>
      <c r="E2247" s="9" t="s">
        <v>8913</v>
      </c>
      <c r="F2247" s="9" t="s">
        <v>8914</v>
      </c>
      <c r="G2247" s="9" t="s">
        <v>312</v>
      </c>
      <c r="H2247" s="15" t="s">
        <v>23</v>
      </c>
      <c r="I2247" s="9" t="s">
        <v>8915</v>
      </c>
      <c r="J2247" s="13"/>
      <c r="K2247" s="13"/>
    </row>
    <row r="2248" customFormat="false" ht="68.65" hidden="false" customHeight="false" outlineLevel="0" collapsed="false">
      <c r="A2248" s="9" t="n">
        <v>2247</v>
      </c>
      <c r="B2248" s="9" t="s">
        <v>123</v>
      </c>
      <c r="C2248" s="11" t="s">
        <v>132</v>
      </c>
      <c r="D2248" s="9" t="s">
        <v>8916</v>
      </c>
      <c r="E2248" s="9" t="s">
        <v>8917</v>
      </c>
      <c r="F2248" s="9" t="s">
        <v>8918</v>
      </c>
      <c r="G2248" s="9" t="s">
        <v>1094</v>
      </c>
      <c r="H2248" s="14" t="s">
        <v>22</v>
      </c>
      <c r="I2248" s="9" t="s">
        <v>8919</v>
      </c>
      <c r="J2248" s="13"/>
      <c r="K2248" s="13"/>
    </row>
    <row r="2249" customFormat="false" ht="68.65" hidden="false" customHeight="false" outlineLevel="0" collapsed="false">
      <c r="A2249" s="9" t="n">
        <v>2248</v>
      </c>
      <c r="B2249" s="9" t="s">
        <v>123</v>
      </c>
      <c r="C2249" s="11" t="s">
        <v>132</v>
      </c>
      <c r="D2249" s="9" t="s">
        <v>8920</v>
      </c>
      <c r="E2249" s="9" t="s">
        <v>8921</v>
      </c>
      <c r="F2249" s="9" t="s">
        <v>8922</v>
      </c>
      <c r="G2249" s="9" t="s">
        <v>1638</v>
      </c>
      <c r="H2249" s="14" t="s">
        <v>22</v>
      </c>
      <c r="I2249" s="9" t="s">
        <v>8923</v>
      </c>
      <c r="J2249" s="13"/>
      <c r="K2249" s="13"/>
    </row>
    <row r="2250" customFormat="false" ht="68.65" hidden="false" customHeight="false" outlineLevel="0" collapsed="false">
      <c r="A2250" s="9" t="n">
        <v>2249</v>
      </c>
      <c r="B2250" s="9" t="s">
        <v>123</v>
      </c>
      <c r="C2250" s="11" t="s">
        <v>132</v>
      </c>
      <c r="D2250" s="9" t="s">
        <v>8924</v>
      </c>
      <c r="E2250" s="9" t="s">
        <v>8925</v>
      </c>
      <c r="F2250" s="9" t="s">
        <v>8926</v>
      </c>
      <c r="G2250" s="9" t="s">
        <v>8927</v>
      </c>
      <c r="H2250" s="14" t="s">
        <v>22</v>
      </c>
      <c r="I2250" s="9" t="s">
        <v>8928</v>
      </c>
      <c r="J2250" s="13"/>
      <c r="K2250" s="13"/>
    </row>
    <row r="2251" customFormat="false" ht="57.45" hidden="false" customHeight="false" outlineLevel="0" collapsed="false">
      <c r="A2251" s="9" t="n">
        <v>2250</v>
      </c>
      <c r="B2251" s="9" t="s">
        <v>123</v>
      </c>
      <c r="C2251" s="11" t="s">
        <v>132</v>
      </c>
      <c r="D2251" s="9" t="s">
        <v>8929</v>
      </c>
      <c r="E2251" s="9" t="s">
        <v>8930</v>
      </c>
      <c r="F2251" s="9" t="s">
        <v>8931</v>
      </c>
      <c r="G2251" s="9" t="s">
        <v>6425</v>
      </c>
      <c r="H2251" s="14" t="s">
        <v>22</v>
      </c>
      <c r="I2251" s="9" t="s">
        <v>8932</v>
      </c>
      <c r="J2251" s="13"/>
      <c r="K2251" s="13"/>
    </row>
    <row r="2252" customFormat="false" ht="23.85" hidden="false" customHeight="false" outlineLevel="0" collapsed="false">
      <c r="A2252" s="9" t="n">
        <v>2251</v>
      </c>
      <c r="B2252" s="9" t="s">
        <v>123</v>
      </c>
      <c r="C2252" s="11" t="s">
        <v>132</v>
      </c>
      <c r="D2252" s="9" t="s">
        <v>8933</v>
      </c>
      <c r="E2252" s="9" t="s">
        <v>8934</v>
      </c>
      <c r="F2252" s="9" t="s">
        <v>8935</v>
      </c>
      <c r="G2252" s="9" t="s">
        <v>6425</v>
      </c>
      <c r="H2252" s="15" t="s">
        <v>23</v>
      </c>
      <c r="I2252" s="9" t="s">
        <v>8936</v>
      </c>
      <c r="J2252" s="13"/>
      <c r="K2252" s="13"/>
    </row>
    <row r="2253" customFormat="false" ht="35.05" hidden="false" customHeight="false" outlineLevel="0" collapsed="false">
      <c r="A2253" s="9" t="n">
        <v>2252</v>
      </c>
      <c r="B2253" s="9" t="s">
        <v>123</v>
      </c>
      <c r="C2253" s="11" t="s">
        <v>132</v>
      </c>
      <c r="D2253" s="9" t="s">
        <v>8937</v>
      </c>
      <c r="E2253" s="9" t="s">
        <v>8938</v>
      </c>
      <c r="F2253" s="9" t="s">
        <v>8939</v>
      </c>
      <c r="G2253" s="9" t="s">
        <v>1072</v>
      </c>
      <c r="H2253" s="15" t="s">
        <v>23</v>
      </c>
      <c r="I2253" s="9" t="s">
        <v>8940</v>
      </c>
      <c r="J2253" s="13"/>
      <c r="K2253" s="13"/>
    </row>
    <row r="2254" customFormat="false" ht="23.85" hidden="false" customHeight="false" outlineLevel="0" collapsed="false">
      <c r="A2254" s="9" t="n">
        <v>2253</v>
      </c>
      <c r="B2254" s="9" t="s">
        <v>123</v>
      </c>
      <c r="C2254" s="11" t="s">
        <v>132</v>
      </c>
      <c r="D2254" s="9" t="s">
        <v>8941</v>
      </c>
      <c r="E2254" s="9" t="s">
        <v>2094</v>
      </c>
      <c r="F2254" s="9" t="s">
        <v>7513</v>
      </c>
      <c r="G2254" s="9" t="s">
        <v>328</v>
      </c>
      <c r="H2254" s="15" t="s">
        <v>23</v>
      </c>
      <c r="I2254" s="9" t="s">
        <v>8942</v>
      </c>
      <c r="J2254" s="13"/>
      <c r="K2254" s="13"/>
    </row>
    <row r="2255" customFormat="false" ht="46.25" hidden="false" customHeight="false" outlineLevel="0" collapsed="false">
      <c r="A2255" s="9" t="n">
        <v>2254</v>
      </c>
      <c r="B2255" s="9" t="s">
        <v>123</v>
      </c>
      <c r="C2255" s="11" t="s">
        <v>132</v>
      </c>
      <c r="D2255" s="9" t="s">
        <v>8943</v>
      </c>
      <c r="E2255" s="9" t="s">
        <v>8944</v>
      </c>
      <c r="F2255" s="9" t="s">
        <v>8945</v>
      </c>
      <c r="G2255" s="9" t="s">
        <v>308</v>
      </c>
      <c r="H2255" s="14" t="s">
        <v>22</v>
      </c>
      <c r="I2255" s="9" t="s">
        <v>8946</v>
      </c>
      <c r="J2255" s="13"/>
      <c r="K2255" s="13"/>
    </row>
    <row r="2256" customFormat="false" ht="35.05" hidden="false" customHeight="false" outlineLevel="0" collapsed="false">
      <c r="A2256" s="9" t="n">
        <v>2255</v>
      </c>
      <c r="B2256" s="9" t="s">
        <v>123</v>
      </c>
      <c r="C2256" s="11" t="s">
        <v>132</v>
      </c>
      <c r="D2256" s="9" t="s">
        <v>8947</v>
      </c>
      <c r="E2256" s="9" t="s">
        <v>8948</v>
      </c>
      <c r="F2256" s="9" t="s">
        <v>8949</v>
      </c>
      <c r="G2256" s="9" t="s">
        <v>317</v>
      </c>
      <c r="H2256" s="15" t="s">
        <v>23</v>
      </c>
      <c r="I2256" s="9" t="s">
        <v>8950</v>
      </c>
      <c r="J2256" s="13"/>
      <c r="K2256" s="13"/>
    </row>
    <row r="2257" customFormat="false" ht="35.05" hidden="false" customHeight="false" outlineLevel="0" collapsed="false">
      <c r="A2257" s="9" t="n">
        <v>2256</v>
      </c>
      <c r="B2257" s="9" t="s">
        <v>123</v>
      </c>
      <c r="C2257" s="11" t="s">
        <v>132</v>
      </c>
      <c r="D2257" s="9" t="s">
        <v>8951</v>
      </c>
      <c r="E2257" s="9" t="s">
        <v>8952</v>
      </c>
      <c r="F2257" s="9" t="s">
        <v>8953</v>
      </c>
      <c r="G2257" s="9" t="s">
        <v>328</v>
      </c>
      <c r="H2257" s="15" t="s">
        <v>23</v>
      </c>
      <c r="I2257" s="9" t="s">
        <v>8954</v>
      </c>
      <c r="J2257" s="13"/>
      <c r="K2257" s="13"/>
    </row>
    <row r="2258" customFormat="false" ht="35.05" hidden="false" customHeight="false" outlineLevel="0" collapsed="false">
      <c r="A2258" s="9" t="n">
        <v>2257</v>
      </c>
      <c r="B2258" s="9" t="s">
        <v>123</v>
      </c>
      <c r="C2258" s="11" t="s">
        <v>132</v>
      </c>
      <c r="D2258" s="9" t="s">
        <v>8955</v>
      </c>
      <c r="E2258" s="9" t="s">
        <v>8956</v>
      </c>
      <c r="F2258" s="9" t="s">
        <v>8957</v>
      </c>
      <c r="G2258" s="9" t="s">
        <v>312</v>
      </c>
      <c r="H2258" s="15" t="s">
        <v>23</v>
      </c>
      <c r="I2258" s="9" t="s">
        <v>8958</v>
      </c>
      <c r="J2258" s="13"/>
      <c r="K2258" s="13"/>
    </row>
    <row r="2259" customFormat="false" ht="46.25" hidden="false" customHeight="false" outlineLevel="0" collapsed="false">
      <c r="A2259" s="9" t="n">
        <v>2258</v>
      </c>
      <c r="B2259" s="9" t="s">
        <v>123</v>
      </c>
      <c r="C2259" s="11" t="s">
        <v>132</v>
      </c>
      <c r="D2259" s="9" t="s">
        <v>8959</v>
      </c>
      <c r="E2259" s="9" t="s">
        <v>8960</v>
      </c>
      <c r="F2259" s="9" t="s">
        <v>8961</v>
      </c>
      <c r="G2259" s="9" t="s">
        <v>24</v>
      </c>
      <c r="H2259" s="12" t="s">
        <v>21</v>
      </c>
      <c r="I2259" s="9" t="s">
        <v>8962</v>
      </c>
      <c r="J2259" s="13"/>
      <c r="K2259" s="13"/>
    </row>
    <row r="2260" customFormat="false" ht="23.85" hidden="false" customHeight="false" outlineLevel="0" collapsed="false">
      <c r="A2260" s="9" t="n">
        <v>2259</v>
      </c>
      <c r="B2260" s="9" t="s">
        <v>123</v>
      </c>
      <c r="C2260" s="11" t="s">
        <v>132</v>
      </c>
      <c r="D2260" s="9" t="s">
        <v>8963</v>
      </c>
      <c r="E2260" s="9" t="s">
        <v>8964</v>
      </c>
      <c r="F2260" s="9" t="s">
        <v>8965</v>
      </c>
      <c r="G2260" s="9" t="s">
        <v>24</v>
      </c>
      <c r="H2260" s="12" t="s">
        <v>21</v>
      </c>
      <c r="I2260" s="9" t="s">
        <v>8966</v>
      </c>
      <c r="J2260" s="13"/>
      <c r="K2260" s="13"/>
    </row>
    <row r="2261" customFormat="false" ht="57.45" hidden="false" customHeight="false" outlineLevel="0" collapsed="false">
      <c r="A2261" s="9" t="n">
        <v>2260</v>
      </c>
      <c r="B2261" s="9" t="s">
        <v>123</v>
      </c>
      <c r="C2261" s="11" t="s">
        <v>132</v>
      </c>
      <c r="D2261" s="9" t="s">
        <v>8967</v>
      </c>
      <c r="E2261" s="9" t="s">
        <v>8968</v>
      </c>
      <c r="F2261" s="9" t="s">
        <v>8969</v>
      </c>
      <c r="G2261" s="9" t="s">
        <v>24</v>
      </c>
      <c r="H2261" s="12" t="s">
        <v>21</v>
      </c>
      <c r="I2261" s="9" t="s">
        <v>8970</v>
      </c>
      <c r="J2261" s="13"/>
      <c r="K2261" s="13"/>
    </row>
    <row r="2262" customFormat="false" ht="35.05" hidden="false" customHeight="false" outlineLevel="0" collapsed="false">
      <c r="A2262" s="9" t="n">
        <v>2261</v>
      </c>
      <c r="B2262" s="9" t="s">
        <v>123</v>
      </c>
      <c r="C2262" s="11" t="s">
        <v>132</v>
      </c>
      <c r="D2262" s="9" t="s">
        <v>8971</v>
      </c>
      <c r="E2262" s="9" t="s">
        <v>8972</v>
      </c>
      <c r="F2262" s="9" t="s">
        <v>8973</v>
      </c>
      <c r="G2262" s="9" t="s">
        <v>24</v>
      </c>
      <c r="H2262" s="14" t="s">
        <v>22</v>
      </c>
      <c r="I2262" s="9" t="s">
        <v>8974</v>
      </c>
      <c r="J2262" s="13"/>
      <c r="K2262" s="13"/>
    </row>
    <row r="2263" customFormat="false" ht="15" hidden="false" customHeight="false" outlineLevel="0" collapsed="false">
      <c r="A2263" s="9" t="n">
        <v>2262</v>
      </c>
      <c r="B2263" s="9" t="s">
        <v>123</v>
      </c>
      <c r="C2263" s="11" t="s">
        <v>132</v>
      </c>
      <c r="D2263" s="9" t="s">
        <v>8975</v>
      </c>
      <c r="E2263" s="9" t="s">
        <v>8976</v>
      </c>
      <c r="F2263" s="9" t="s">
        <v>8977</v>
      </c>
      <c r="G2263" s="9" t="s">
        <v>24</v>
      </c>
      <c r="H2263" s="14" t="s">
        <v>22</v>
      </c>
      <c r="I2263" s="9" t="s">
        <v>8425</v>
      </c>
      <c r="J2263" s="13"/>
      <c r="K2263" s="13"/>
    </row>
    <row r="2264" customFormat="false" ht="15" hidden="false" customHeight="false" outlineLevel="0" collapsed="false">
      <c r="A2264" s="9" t="n">
        <v>2263</v>
      </c>
      <c r="B2264" s="9" t="s">
        <v>123</v>
      </c>
      <c r="C2264" s="11" t="s">
        <v>132</v>
      </c>
      <c r="D2264" s="9" t="s">
        <v>8978</v>
      </c>
      <c r="E2264" s="9" t="s">
        <v>8979</v>
      </c>
      <c r="F2264" s="9" t="s">
        <v>8980</v>
      </c>
      <c r="G2264" s="9" t="s">
        <v>24</v>
      </c>
      <c r="H2264" s="14" t="s">
        <v>22</v>
      </c>
      <c r="I2264" s="9" t="s">
        <v>8981</v>
      </c>
      <c r="J2264" s="13"/>
      <c r="K2264" s="13"/>
    </row>
    <row r="2265" customFormat="false" ht="35.05" hidden="false" customHeight="false" outlineLevel="0" collapsed="false">
      <c r="A2265" s="9" t="n">
        <v>2264</v>
      </c>
      <c r="B2265" s="9" t="s">
        <v>123</v>
      </c>
      <c r="C2265" s="11" t="s">
        <v>132</v>
      </c>
      <c r="D2265" s="9" t="s">
        <v>8982</v>
      </c>
      <c r="E2265" s="9" t="s">
        <v>8983</v>
      </c>
      <c r="F2265" s="9" t="s">
        <v>8984</v>
      </c>
      <c r="G2265" s="9" t="s">
        <v>24</v>
      </c>
      <c r="H2265" s="14" t="s">
        <v>22</v>
      </c>
      <c r="I2265" s="9" t="s">
        <v>8985</v>
      </c>
      <c r="J2265" s="13"/>
      <c r="K2265" s="13"/>
    </row>
    <row r="2266" customFormat="false" ht="46.25" hidden="false" customHeight="false" outlineLevel="0" collapsed="false">
      <c r="A2266" s="9" t="n">
        <v>2265</v>
      </c>
      <c r="B2266" s="9" t="s">
        <v>123</v>
      </c>
      <c r="C2266" s="11" t="s">
        <v>132</v>
      </c>
      <c r="D2266" s="9" t="s">
        <v>8986</v>
      </c>
      <c r="E2266" s="9" t="s">
        <v>8987</v>
      </c>
      <c r="F2266" s="9" t="s">
        <v>8988</v>
      </c>
      <c r="G2266" s="9" t="s">
        <v>24</v>
      </c>
      <c r="H2266" s="14" t="s">
        <v>22</v>
      </c>
      <c r="I2266" s="9" t="s">
        <v>8989</v>
      </c>
      <c r="J2266" s="13"/>
      <c r="K2266" s="13"/>
    </row>
    <row r="2267" customFormat="false" ht="23.85" hidden="false" customHeight="false" outlineLevel="0" collapsed="false">
      <c r="A2267" s="9" t="n">
        <v>2266</v>
      </c>
      <c r="B2267" s="9" t="s">
        <v>123</v>
      </c>
      <c r="C2267" s="11" t="s">
        <v>132</v>
      </c>
      <c r="D2267" s="9" t="s">
        <v>8990</v>
      </c>
      <c r="E2267" s="9" t="s">
        <v>8991</v>
      </c>
      <c r="F2267" s="9" t="s">
        <v>8992</v>
      </c>
      <c r="G2267" s="9" t="s">
        <v>24</v>
      </c>
      <c r="H2267" s="14" t="s">
        <v>22</v>
      </c>
      <c r="I2267" s="9" t="s">
        <v>8993</v>
      </c>
      <c r="J2267" s="13"/>
      <c r="K2267" s="13"/>
    </row>
    <row r="2268" customFormat="false" ht="23.85" hidden="false" customHeight="false" outlineLevel="0" collapsed="false">
      <c r="A2268" s="9" t="n">
        <v>2267</v>
      </c>
      <c r="B2268" s="9" t="s">
        <v>123</v>
      </c>
      <c r="C2268" s="11" t="s">
        <v>132</v>
      </c>
      <c r="D2268" s="9" t="s">
        <v>8994</v>
      </c>
      <c r="E2268" s="9" t="s">
        <v>358</v>
      </c>
      <c r="F2268" s="9" t="s">
        <v>8995</v>
      </c>
      <c r="G2268" s="9" t="s">
        <v>24</v>
      </c>
      <c r="H2268" s="14" t="s">
        <v>22</v>
      </c>
      <c r="I2268" s="9" t="s">
        <v>8996</v>
      </c>
      <c r="J2268" s="13"/>
      <c r="K2268" s="13"/>
    </row>
    <row r="2269" customFormat="false" ht="15" hidden="false" customHeight="false" outlineLevel="0" collapsed="false">
      <c r="A2269" s="9" t="n">
        <v>2268</v>
      </c>
      <c r="B2269" s="9" t="s">
        <v>123</v>
      </c>
      <c r="C2269" s="11" t="s">
        <v>132</v>
      </c>
      <c r="D2269" s="9" t="s">
        <v>8997</v>
      </c>
      <c r="E2269" s="9" t="s">
        <v>362</v>
      </c>
      <c r="F2269" s="9" t="s">
        <v>363</v>
      </c>
      <c r="G2269" s="9" t="s">
        <v>24</v>
      </c>
      <c r="H2269" s="14" t="s">
        <v>22</v>
      </c>
      <c r="I2269" s="9" t="s">
        <v>364</v>
      </c>
      <c r="J2269" s="13"/>
      <c r="K2269" s="13"/>
    </row>
    <row r="2270" customFormat="false" ht="23.85" hidden="false" customHeight="false" outlineLevel="0" collapsed="false">
      <c r="A2270" s="9" t="n">
        <v>2269</v>
      </c>
      <c r="B2270" s="9" t="s">
        <v>123</v>
      </c>
      <c r="C2270" s="11" t="s">
        <v>132</v>
      </c>
      <c r="D2270" s="9" t="s">
        <v>8998</v>
      </c>
      <c r="E2270" s="9" t="s">
        <v>8999</v>
      </c>
      <c r="F2270" s="9" t="s">
        <v>9000</v>
      </c>
      <c r="G2270" s="9" t="s">
        <v>24</v>
      </c>
      <c r="H2270" s="15" t="s">
        <v>23</v>
      </c>
      <c r="I2270" s="9" t="s">
        <v>434</v>
      </c>
      <c r="J2270" s="13"/>
      <c r="K2270" s="13"/>
    </row>
    <row r="2271" customFormat="false" ht="23.85" hidden="false" customHeight="false" outlineLevel="0" collapsed="false">
      <c r="A2271" s="9" t="n">
        <v>2270</v>
      </c>
      <c r="B2271" s="9" t="s">
        <v>123</v>
      </c>
      <c r="C2271" s="11" t="s">
        <v>132</v>
      </c>
      <c r="D2271" s="9" t="s">
        <v>9001</v>
      </c>
      <c r="E2271" s="9" t="s">
        <v>9002</v>
      </c>
      <c r="F2271" s="9" t="s">
        <v>9003</v>
      </c>
      <c r="G2271" s="9" t="s">
        <v>24</v>
      </c>
      <c r="H2271" s="15" t="s">
        <v>23</v>
      </c>
      <c r="I2271" s="9" t="s">
        <v>9004</v>
      </c>
      <c r="J2271" s="13"/>
      <c r="K2271" s="13"/>
    </row>
    <row r="2272" customFormat="false" ht="23.85" hidden="false" customHeight="false" outlineLevel="0" collapsed="false">
      <c r="A2272" s="9" t="n">
        <v>2271</v>
      </c>
      <c r="B2272" s="9" t="s">
        <v>123</v>
      </c>
      <c r="C2272" s="11" t="s">
        <v>132</v>
      </c>
      <c r="D2272" s="9" t="s">
        <v>9005</v>
      </c>
      <c r="E2272" s="9" t="s">
        <v>9006</v>
      </c>
      <c r="F2272" s="9" t="s">
        <v>9007</v>
      </c>
      <c r="G2272" s="9" t="s">
        <v>24</v>
      </c>
      <c r="H2272" s="15" t="s">
        <v>23</v>
      </c>
      <c r="I2272" s="9" t="s">
        <v>434</v>
      </c>
      <c r="J2272" s="13"/>
      <c r="K2272" s="13"/>
    </row>
    <row r="2273" customFormat="false" ht="15" hidden="false" customHeight="false" outlineLevel="0" collapsed="false">
      <c r="A2273" s="9" t="n">
        <v>2272</v>
      </c>
      <c r="B2273" s="9" t="s">
        <v>123</v>
      </c>
      <c r="C2273" s="11" t="s">
        <v>132</v>
      </c>
      <c r="D2273" s="9" t="s">
        <v>9008</v>
      </c>
      <c r="E2273" s="9" t="s">
        <v>9009</v>
      </c>
      <c r="F2273" s="9" t="s">
        <v>9010</v>
      </c>
      <c r="G2273" s="9" t="s">
        <v>24</v>
      </c>
      <c r="H2273" s="15" t="s">
        <v>23</v>
      </c>
      <c r="I2273" s="9" t="s">
        <v>9011</v>
      </c>
      <c r="J2273" s="13"/>
      <c r="K2273" s="13"/>
    </row>
    <row r="2274" customFormat="false" ht="23.85" hidden="false" customHeight="false" outlineLevel="0" collapsed="false">
      <c r="A2274" s="9" t="n">
        <v>2273</v>
      </c>
      <c r="B2274" s="9" t="s">
        <v>123</v>
      </c>
      <c r="C2274" s="11" t="s">
        <v>132</v>
      </c>
      <c r="D2274" s="9" t="s">
        <v>9012</v>
      </c>
      <c r="E2274" s="9" t="s">
        <v>9013</v>
      </c>
      <c r="F2274" s="9" t="s">
        <v>9014</v>
      </c>
      <c r="G2274" s="9" t="s">
        <v>24</v>
      </c>
      <c r="H2274" s="15" t="s">
        <v>23</v>
      </c>
      <c r="I2274" s="9" t="s">
        <v>9015</v>
      </c>
      <c r="J2274" s="13"/>
      <c r="K2274" s="13"/>
    </row>
    <row r="2275" customFormat="false" ht="23.85" hidden="false" customHeight="false" outlineLevel="0" collapsed="false">
      <c r="A2275" s="9" t="n">
        <v>2274</v>
      </c>
      <c r="B2275" s="9" t="s">
        <v>123</v>
      </c>
      <c r="C2275" s="11" t="s">
        <v>132</v>
      </c>
      <c r="D2275" s="9" t="s">
        <v>9016</v>
      </c>
      <c r="E2275" s="9" t="s">
        <v>9017</v>
      </c>
      <c r="F2275" s="9" t="s">
        <v>9018</v>
      </c>
      <c r="G2275" s="9" t="s">
        <v>24</v>
      </c>
      <c r="H2275" s="15" t="s">
        <v>23</v>
      </c>
      <c r="I2275" s="9" t="s">
        <v>9019</v>
      </c>
      <c r="J2275" s="13"/>
      <c r="K2275" s="13"/>
    </row>
    <row r="2276" customFormat="false" ht="23.85" hidden="false" customHeight="false" outlineLevel="0" collapsed="false">
      <c r="A2276" s="9" t="n">
        <v>2275</v>
      </c>
      <c r="B2276" s="9" t="s">
        <v>123</v>
      </c>
      <c r="C2276" s="11" t="s">
        <v>132</v>
      </c>
      <c r="D2276" s="9" t="s">
        <v>9020</v>
      </c>
      <c r="E2276" s="9" t="s">
        <v>9021</v>
      </c>
      <c r="F2276" s="9" t="s">
        <v>9022</v>
      </c>
      <c r="G2276" s="9" t="s">
        <v>24</v>
      </c>
      <c r="H2276" s="15" t="s">
        <v>23</v>
      </c>
      <c r="I2276" s="9" t="s">
        <v>5550</v>
      </c>
      <c r="J2276" s="13"/>
      <c r="K2276" s="13"/>
    </row>
    <row r="2277" customFormat="false" ht="46.25" hidden="false" customHeight="false" outlineLevel="0" collapsed="false">
      <c r="A2277" s="9" t="n">
        <v>2276</v>
      </c>
      <c r="B2277" s="9" t="s">
        <v>123</v>
      </c>
      <c r="C2277" s="11" t="s">
        <v>134</v>
      </c>
      <c r="D2277" s="9" t="s">
        <v>9023</v>
      </c>
      <c r="E2277" s="9" t="s">
        <v>9024</v>
      </c>
      <c r="F2277" s="9" t="s">
        <v>9025</v>
      </c>
      <c r="G2277" s="9" t="s">
        <v>1072</v>
      </c>
      <c r="H2277" s="12" t="s">
        <v>21</v>
      </c>
      <c r="I2277" s="9" t="s">
        <v>9026</v>
      </c>
      <c r="J2277" s="13"/>
      <c r="K2277" s="13"/>
    </row>
    <row r="2278" customFormat="false" ht="68.65" hidden="false" customHeight="false" outlineLevel="0" collapsed="false">
      <c r="A2278" s="9" t="n">
        <v>2277</v>
      </c>
      <c r="B2278" s="9" t="s">
        <v>123</v>
      </c>
      <c r="C2278" s="11" t="s">
        <v>134</v>
      </c>
      <c r="D2278" s="9" t="s">
        <v>9027</v>
      </c>
      <c r="E2278" s="9" t="s">
        <v>9028</v>
      </c>
      <c r="F2278" s="9" t="s">
        <v>9029</v>
      </c>
      <c r="G2278" s="9" t="s">
        <v>1072</v>
      </c>
      <c r="H2278" s="12" t="s">
        <v>21</v>
      </c>
      <c r="I2278" s="9" t="s">
        <v>9030</v>
      </c>
      <c r="J2278" s="13"/>
      <c r="K2278" s="13"/>
    </row>
    <row r="2279" customFormat="false" ht="57.45" hidden="false" customHeight="false" outlineLevel="0" collapsed="false">
      <c r="A2279" s="9" t="n">
        <v>2278</v>
      </c>
      <c r="B2279" s="9" t="s">
        <v>123</v>
      </c>
      <c r="C2279" s="11" t="s">
        <v>134</v>
      </c>
      <c r="D2279" s="9" t="s">
        <v>9031</v>
      </c>
      <c r="E2279" s="9" t="s">
        <v>9032</v>
      </c>
      <c r="F2279" s="9" t="s">
        <v>9033</v>
      </c>
      <c r="G2279" s="9" t="s">
        <v>1072</v>
      </c>
      <c r="H2279" s="14" t="s">
        <v>22</v>
      </c>
      <c r="I2279" s="9" t="s">
        <v>9034</v>
      </c>
      <c r="J2279" s="13"/>
      <c r="K2279" s="13"/>
    </row>
    <row r="2280" customFormat="false" ht="113.4" hidden="false" customHeight="false" outlineLevel="0" collapsed="false">
      <c r="A2280" s="9" t="n">
        <v>2279</v>
      </c>
      <c r="B2280" s="9" t="s">
        <v>123</v>
      </c>
      <c r="C2280" s="11" t="s">
        <v>134</v>
      </c>
      <c r="D2280" s="9" t="s">
        <v>9035</v>
      </c>
      <c r="E2280" s="9" t="s">
        <v>9036</v>
      </c>
      <c r="F2280" s="9" t="s">
        <v>9037</v>
      </c>
      <c r="G2280" s="9" t="s">
        <v>8927</v>
      </c>
      <c r="H2280" s="12" t="s">
        <v>21</v>
      </c>
      <c r="I2280" s="9" t="s">
        <v>9038</v>
      </c>
      <c r="J2280" s="13"/>
      <c r="K2280" s="13"/>
    </row>
    <row r="2281" customFormat="false" ht="79.85" hidden="false" customHeight="false" outlineLevel="0" collapsed="false">
      <c r="A2281" s="9" t="n">
        <v>2280</v>
      </c>
      <c r="B2281" s="9" t="s">
        <v>123</v>
      </c>
      <c r="C2281" s="11" t="s">
        <v>134</v>
      </c>
      <c r="D2281" s="9" t="s">
        <v>9039</v>
      </c>
      <c r="E2281" s="9" t="s">
        <v>9040</v>
      </c>
      <c r="F2281" s="9" t="s">
        <v>9041</v>
      </c>
      <c r="G2281" s="9" t="s">
        <v>317</v>
      </c>
      <c r="H2281" s="12" t="s">
        <v>21</v>
      </c>
      <c r="I2281" s="9" t="s">
        <v>9042</v>
      </c>
      <c r="J2281" s="13"/>
      <c r="K2281" s="13"/>
    </row>
    <row r="2282" customFormat="false" ht="57.45" hidden="false" customHeight="false" outlineLevel="0" collapsed="false">
      <c r="A2282" s="9" t="n">
        <v>2281</v>
      </c>
      <c r="B2282" s="9" t="s">
        <v>123</v>
      </c>
      <c r="C2282" s="11" t="s">
        <v>134</v>
      </c>
      <c r="D2282" s="9" t="s">
        <v>9043</v>
      </c>
      <c r="E2282" s="9" t="s">
        <v>9044</v>
      </c>
      <c r="F2282" s="9" t="s">
        <v>9045</v>
      </c>
      <c r="G2282" s="9" t="s">
        <v>1421</v>
      </c>
      <c r="H2282" s="14" t="s">
        <v>22</v>
      </c>
      <c r="I2282" s="9" t="s">
        <v>9046</v>
      </c>
      <c r="J2282" s="13"/>
      <c r="K2282" s="13"/>
    </row>
    <row r="2283" customFormat="false" ht="79.85" hidden="false" customHeight="false" outlineLevel="0" collapsed="false">
      <c r="A2283" s="9" t="n">
        <v>2282</v>
      </c>
      <c r="B2283" s="9" t="s">
        <v>123</v>
      </c>
      <c r="C2283" s="11" t="s">
        <v>134</v>
      </c>
      <c r="D2283" s="9" t="s">
        <v>9047</v>
      </c>
      <c r="E2283" s="9" t="s">
        <v>9048</v>
      </c>
      <c r="F2283" s="9" t="s">
        <v>9049</v>
      </c>
      <c r="G2283" s="9" t="s">
        <v>1421</v>
      </c>
      <c r="H2283" s="12" t="s">
        <v>21</v>
      </c>
      <c r="I2283" s="9" t="s">
        <v>9050</v>
      </c>
      <c r="J2283" s="13"/>
      <c r="K2283" s="13"/>
    </row>
    <row r="2284" customFormat="false" ht="68.65" hidden="false" customHeight="false" outlineLevel="0" collapsed="false">
      <c r="A2284" s="9" t="n">
        <v>2283</v>
      </c>
      <c r="B2284" s="9" t="s">
        <v>123</v>
      </c>
      <c r="C2284" s="11" t="s">
        <v>134</v>
      </c>
      <c r="D2284" s="9" t="s">
        <v>9051</v>
      </c>
      <c r="E2284" s="9" t="s">
        <v>9052</v>
      </c>
      <c r="F2284" s="9" t="s">
        <v>9053</v>
      </c>
      <c r="G2284" s="9" t="s">
        <v>1613</v>
      </c>
      <c r="H2284" s="12" t="s">
        <v>21</v>
      </c>
      <c r="I2284" s="9" t="s">
        <v>9054</v>
      </c>
      <c r="J2284" s="13"/>
      <c r="K2284" s="13"/>
    </row>
    <row r="2285" customFormat="false" ht="57.45" hidden="false" customHeight="false" outlineLevel="0" collapsed="false">
      <c r="A2285" s="9" t="n">
        <v>2284</v>
      </c>
      <c r="B2285" s="9" t="s">
        <v>123</v>
      </c>
      <c r="C2285" s="11" t="s">
        <v>134</v>
      </c>
      <c r="D2285" s="9" t="s">
        <v>9055</v>
      </c>
      <c r="E2285" s="9" t="s">
        <v>9056</v>
      </c>
      <c r="F2285" s="9" t="s">
        <v>9057</v>
      </c>
      <c r="G2285" s="9" t="s">
        <v>317</v>
      </c>
      <c r="H2285" s="14" t="s">
        <v>22</v>
      </c>
      <c r="I2285" s="9" t="s">
        <v>9058</v>
      </c>
      <c r="J2285" s="13"/>
      <c r="K2285" s="13"/>
    </row>
    <row r="2286" customFormat="false" ht="68.65" hidden="false" customHeight="false" outlineLevel="0" collapsed="false">
      <c r="A2286" s="9" t="n">
        <v>2285</v>
      </c>
      <c r="B2286" s="9" t="s">
        <v>123</v>
      </c>
      <c r="C2286" s="11" t="s">
        <v>134</v>
      </c>
      <c r="D2286" s="9" t="s">
        <v>9059</v>
      </c>
      <c r="E2286" s="9" t="s">
        <v>9060</v>
      </c>
      <c r="F2286" s="9" t="s">
        <v>9061</v>
      </c>
      <c r="G2286" s="9" t="s">
        <v>1072</v>
      </c>
      <c r="H2286" s="12" t="s">
        <v>21</v>
      </c>
      <c r="I2286" s="9" t="s">
        <v>9062</v>
      </c>
      <c r="J2286" s="13"/>
      <c r="K2286" s="13"/>
    </row>
    <row r="2287" customFormat="false" ht="46.25" hidden="false" customHeight="false" outlineLevel="0" collapsed="false">
      <c r="A2287" s="9" t="n">
        <v>2286</v>
      </c>
      <c r="B2287" s="9" t="s">
        <v>123</v>
      </c>
      <c r="C2287" s="11" t="s">
        <v>134</v>
      </c>
      <c r="D2287" s="9" t="s">
        <v>9063</v>
      </c>
      <c r="E2287" s="9" t="s">
        <v>9064</v>
      </c>
      <c r="F2287" s="9" t="s">
        <v>9065</v>
      </c>
      <c r="G2287" s="9" t="s">
        <v>392</v>
      </c>
      <c r="H2287" s="15" t="s">
        <v>23</v>
      </c>
      <c r="I2287" s="9" t="s">
        <v>9066</v>
      </c>
      <c r="J2287" s="13"/>
      <c r="K2287" s="13"/>
    </row>
    <row r="2288" customFormat="false" ht="35.05" hidden="false" customHeight="false" outlineLevel="0" collapsed="false">
      <c r="A2288" s="9" t="n">
        <v>2287</v>
      </c>
      <c r="B2288" s="9" t="s">
        <v>123</v>
      </c>
      <c r="C2288" s="11" t="s">
        <v>134</v>
      </c>
      <c r="D2288" s="9" t="s">
        <v>9067</v>
      </c>
      <c r="E2288" s="9" t="s">
        <v>9068</v>
      </c>
      <c r="F2288" s="9" t="s">
        <v>9069</v>
      </c>
      <c r="G2288" s="9" t="s">
        <v>392</v>
      </c>
      <c r="H2288" s="15" t="s">
        <v>23</v>
      </c>
      <c r="I2288" s="9" t="s">
        <v>9070</v>
      </c>
      <c r="J2288" s="13"/>
      <c r="K2288" s="13"/>
    </row>
    <row r="2289" customFormat="false" ht="102.2" hidden="false" customHeight="false" outlineLevel="0" collapsed="false">
      <c r="A2289" s="9" t="n">
        <v>2288</v>
      </c>
      <c r="B2289" s="9" t="s">
        <v>123</v>
      </c>
      <c r="C2289" s="11" t="s">
        <v>134</v>
      </c>
      <c r="D2289" s="9" t="s">
        <v>9071</v>
      </c>
      <c r="E2289" s="9" t="s">
        <v>9072</v>
      </c>
      <c r="F2289" s="9" t="s">
        <v>9073</v>
      </c>
      <c r="G2289" s="9" t="s">
        <v>1063</v>
      </c>
      <c r="H2289" s="12" t="s">
        <v>21</v>
      </c>
      <c r="I2289" s="9" t="s">
        <v>9074</v>
      </c>
      <c r="J2289" s="13"/>
      <c r="K2289" s="13"/>
    </row>
    <row r="2290" customFormat="false" ht="102.2" hidden="false" customHeight="false" outlineLevel="0" collapsed="false">
      <c r="A2290" s="9" t="n">
        <v>2289</v>
      </c>
      <c r="B2290" s="9" t="s">
        <v>123</v>
      </c>
      <c r="C2290" s="11" t="s">
        <v>134</v>
      </c>
      <c r="D2290" s="9" t="s">
        <v>9075</v>
      </c>
      <c r="E2290" s="9" t="s">
        <v>9076</v>
      </c>
      <c r="F2290" s="9" t="s">
        <v>9077</v>
      </c>
      <c r="G2290" s="9" t="s">
        <v>317</v>
      </c>
      <c r="H2290" s="14" t="s">
        <v>22</v>
      </c>
      <c r="I2290" s="9" t="s">
        <v>9078</v>
      </c>
      <c r="J2290" s="13"/>
      <c r="K2290" s="13"/>
    </row>
    <row r="2291" customFormat="false" ht="57.45" hidden="false" customHeight="false" outlineLevel="0" collapsed="false">
      <c r="A2291" s="9" t="n">
        <v>2290</v>
      </c>
      <c r="B2291" s="9" t="s">
        <v>123</v>
      </c>
      <c r="C2291" s="11" t="s">
        <v>134</v>
      </c>
      <c r="D2291" s="9" t="s">
        <v>9079</v>
      </c>
      <c r="E2291" s="9" t="s">
        <v>9080</v>
      </c>
      <c r="F2291" s="9" t="s">
        <v>9081</v>
      </c>
      <c r="G2291" s="9" t="s">
        <v>392</v>
      </c>
      <c r="H2291" s="14" t="s">
        <v>22</v>
      </c>
      <c r="I2291" s="9" t="s">
        <v>9082</v>
      </c>
      <c r="J2291" s="13"/>
      <c r="K2291" s="13"/>
    </row>
    <row r="2292" customFormat="false" ht="113.4" hidden="false" customHeight="false" outlineLevel="0" collapsed="false">
      <c r="A2292" s="9" t="n">
        <v>2291</v>
      </c>
      <c r="B2292" s="9" t="s">
        <v>123</v>
      </c>
      <c r="C2292" s="11" t="s">
        <v>134</v>
      </c>
      <c r="D2292" s="9" t="s">
        <v>9083</v>
      </c>
      <c r="E2292" s="9" t="s">
        <v>9084</v>
      </c>
      <c r="F2292" s="9" t="s">
        <v>9085</v>
      </c>
      <c r="G2292" s="9" t="s">
        <v>392</v>
      </c>
      <c r="H2292" s="12" t="s">
        <v>21</v>
      </c>
      <c r="I2292" s="9" t="s">
        <v>9086</v>
      </c>
      <c r="J2292" s="13"/>
      <c r="K2292" s="13"/>
    </row>
    <row r="2293" customFormat="false" ht="46.25" hidden="false" customHeight="false" outlineLevel="0" collapsed="false">
      <c r="A2293" s="9" t="n">
        <v>2292</v>
      </c>
      <c r="B2293" s="9" t="s">
        <v>123</v>
      </c>
      <c r="C2293" s="11" t="s">
        <v>134</v>
      </c>
      <c r="D2293" s="9" t="s">
        <v>9087</v>
      </c>
      <c r="E2293" s="9" t="s">
        <v>9088</v>
      </c>
      <c r="F2293" s="9" t="s">
        <v>9089</v>
      </c>
      <c r="G2293" s="9" t="s">
        <v>392</v>
      </c>
      <c r="H2293" s="15" t="s">
        <v>23</v>
      </c>
      <c r="I2293" s="9" t="s">
        <v>9090</v>
      </c>
      <c r="J2293" s="13"/>
      <c r="K2293" s="13"/>
    </row>
    <row r="2294" customFormat="false" ht="57.45" hidden="false" customHeight="false" outlineLevel="0" collapsed="false">
      <c r="A2294" s="9" t="n">
        <v>2293</v>
      </c>
      <c r="B2294" s="9" t="s">
        <v>123</v>
      </c>
      <c r="C2294" s="11" t="s">
        <v>134</v>
      </c>
      <c r="D2294" s="9" t="s">
        <v>9091</v>
      </c>
      <c r="E2294" s="9" t="s">
        <v>9092</v>
      </c>
      <c r="F2294" s="9" t="s">
        <v>9093</v>
      </c>
      <c r="G2294" s="9" t="s">
        <v>1072</v>
      </c>
      <c r="H2294" s="15" t="s">
        <v>23</v>
      </c>
      <c r="I2294" s="9" t="s">
        <v>9094</v>
      </c>
      <c r="J2294" s="13"/>
      <c r="K2294" s="13"/>
    </row>
    <row r="2295" customFormat="false" ht="46.25" hidden="false" customHeight="false" outlineLevel="0" collapsed="false">
      <c r="A2295" s="9" t="n">
        <v>2294</v>
      </c>
      <c r="B2295" s="9" t="s">
        <v>123</v>
      </c>
      <c r="C2295" s="11" t="s">
        <v>134</v>
      </c>
      <c r="D2295" s="9" t="s">
        <v>9095</v>
      </c>
      <c r="E2295" s="9" t="s">
        <v>9096</v>
      </c>
      <c r="F2295" s="9" t="s">
        <v>9097</v>
      </c>
      <c r="G2295" s="9" t="s">
        <v>1843</v>
      </c>
      <c r="H2295" s="14" t="s">
        <v>22</v>
      </c>
      <c r="I2295" s="9" t="s">
        <v>9098</v>
      </c>
      <c r="J2295" s="13"/>
      <c r="K2295" s="13"/>
    </row>
    <row r="2296" customFormat="false" ht="46.25" hidden="false" customHeight="false" outlineLevel="0" collapsed="false">
      <c r="A2296" s="9" t="n">
        <v>2295</v>
      </c>
      <c r="B2296" s="9" t="s">
        <v>123</v>
      </c>
      <c r="C2296" s="11" t="s">
        <v>134</v>
      </c>
      <c r="D2296" s="9" t="s">
        <v>9099</v>
      </c>
      <c r="E2296" s="9" t="s">
        <v>9100</v>
      </c>
      <c r="F2296" s="9" t="s">
        <v>9101</v>
      </c>
      <c r="G2296" s="9" t="s">
        <v>1072</v>
      </c>
      <c r="H2296" s="15" t="s">
        <v>23</v>
      </c>
      <c r="I2296" s="9" t="s">
        <v>9102</v>
      </c>
      <c r="J2296" s="13"/>
      <c r="K2296" s="13"/>
    </row>
    <row r="2297" customFormat="false" ht="46.25" hidden="false" customHeight="false" outlineLevel="0" collapsed="false">
      <c r="A2297" s="9" t="n">
        <v>2296</v>
      </c>
      <c r="B2297" s="9" t="s">
        <v>123</v>
      </c>
      <c r="C2297" s="11" t="s">
        <v>134</v>
      </c>
      <c r="D2297" s="9" t="s">
        <v>9103</v>
      </c>
      <c r="E2297" s="9" t="s">
        <v>9104</v>
      </c>
      <c r="F2297" s="9" t="s">
        <v>9105</v>
      </c>
      <c r="G2297" s="9" t="s">
        <v>317</v>
      </c>
      <c r="H2297" s="15" t="s">
        <v>23</v>
      </c>
      <c r="I2297" s="9" t="s">
        <v>9106</v>
      </c>
      <c r="J2297" s="13"/>
      <c r="K2297" s="13"/>
    </row>
    <row r="2298" customFormat="false" ht="23.85" hidden="false" customHeight="false" outlineLevel="0" collapsed="false">
      <c r="A2298" s="9" t="n">
        <v>2297</v>
      </c>
      <c r="B2298" s="9" t="s">
        <v>123</v>
      </c>
      <c r="C2298" s="11" t="s">
        <v>134</v>
      </c>
      <c r="D2298" s="9" t="s">
        <v>9107</v>
      </c>
      <c r="E2298" s="9" t="s">
        <v>9108</v>
      </c>
      <c r="F2298" s="9" t="s">
        <v>9109</v>
      </c>
      <c r="G2298" s="9" t="s">
        <v>4998</v>
      </c>
      <c r="H2298" s="15" t="s">
        <v>23</v>
      </c>
      <c r="I2298" s="9" t="s">
        <v>9110</v>
      </c>
      <c r="J2298" s="13"/>
      <c r="K2298" s="13"/>
    </row>
    <row r="2299" customFormat="false" ht="35.05" hidden="false" customHeight="false" outlineLevel="0" collapsed="false">
      <c r="A2299" s="9" t="n">
        <v>2298</v>
      </c>
      <c r="B2299" s="9" t="s">
        <v>123</v>
      </c>
      <c r="C2299" s="11" t="s">
        <v>134</v>
      </c>
      <c r="D2299" s="9" t="s">
        <v>9111</v>
      </c>
      <c r="E2299" s="9" t="s">
        <v>9112</v>
      </c>
      <c r="F2299" s="9" t="s">
        <v>9113</v>
      </c>
      <c r="G2299" s="9" t="s">
        <v>317</v>
      </c>
      <c r="H2299" s="15" t="s">
        <v>23</v>
      </c>
      <c r="I2299" s="9" t="s">
        <v>9114</v>
      </c>
      <c r="J2299" s="13"/>
      <c r="K2299" s="13"/>
    </row>
    <row r="2300" customFormat="false" ht="35.05" hidden="false" customHeight="false" outlineLevel="0" collapsed="false">
      <c r="A2300" s="9" t="n">
        <v>2299</v>
      </c>
      <c r="B2300" s="9" t="s">
        <v>123</v>
      </c>
      <c r="C2300" s="11" t="s">
        <v>134</v>
      </c>
      <c r="D2300" s="9" t="s">
        <v>9115</v>
      </c>
      <c r="E2300" s="9" t="s">
        <v>9116</v>
      </c>
      <c r="F2300" s="9" t="s">
        <v>9117</v>
      </c>
      <c r="G2300" s="9" t="s">
        <v>312</v>
      </c>
      <c r="H2300" s="15" t="s">
        <v>23</v>
      </c>
      <c r="I2300" s="9" t="s">
        <v>9118</v>
      </c>
      <c r="J2300" s="13"/>
      <c r="K2300" s="13"/>
    </row>
    <row r="2301" customFormat="false" ht="35.05" hidden="false" customHeight="false" outlineLevel="0" collapsed="false">
      <c r="A2301" s="9" t="n">
        <v>2300</v>
      </c>
      <c r="B2301" s="9" t="s">
        <v>123</v>
      </c>
      <c r="C2301" s="11" t="s">
        <v>134</v>
      </c>
      <c r="D2301" s="9" t="s">
        <v>9119</v>
      </c>
      <c r="E2301" s="9" t="s">
        <v>9120</v>
      </c>
      <c r="F2301" s="9" t="s">
        <v>9121</v>
      </c>
      <c r="G2301" s="9" t="s">
        <v>312</v>
      </c>
      <c r="H2301" s="15" t="s">
        <v>23</v>
      </c>
      <c r="I2301" s="9" t="s">
        <v>9122</v>
      </c>
      <c r="J2301" s="13"/>
      <c r="K2301" s="13"/>
    </row>
    <row r="2302" customFormat="false" ht="35.05" hidden="false" customHeight="false" outlineLevel="0" collapsed="false">
      <c r="A2302" s="9" t="n">
        <v>2301</v>
      </c>
      <c r="B2302" s="9" t="s">
        <v>123</v>
      </c>
      <c r="C2302" s="11" t="s">
        <v>134</v>
      </c>
      <c r="D2302" s="9" t="s">
        <v>9123</v>
      </c>
      <c r="E2302" s="9" t="s">
        <v>9124</v>
      </c>
      <c r="F2302" s="9" t="s">
        <v>9125</v>
      </c>
      <c r="G2302" s="9" t="s">
        <v>1072</v>
      </c>
      <c r="H2302" s="15" t="s">
        <v>23</v>
      </c>
      <c r="I2302" s="9" t="s">
        <v>9126</v>
      </c>
      <c r="J2302" s="13"/>
      <c r="K2302" s="13"/>
    </row>
    <row r="2303" customFormat="false" ht="57.45" hidden="false" customHeight="false" outlineLevel="0" collapsed="false">
      <c r="A2303" s="9" t="n">
        <v>2302</v>
      </c>
      <c r="B2303" s="9" t="s">
        <v>123</v>
      </c>
      <c r="C2303" s="11" t="s">
        <v>134</v>
      </c>
      <c r="D2303" s="9" t="s">
        <v>9127</v>
      </c>
      <c r="E2303" s="9" t="s">
        <v>9128</v>
      </c>
      <c r="F2303" s="9" t="s">
        <v>9129</v>
      </c>
      <c r="G2303" s="9" t="s">
        <v>1072</v>
      </c>
      <c r="H2303" s="15" t="s">
        <v>23</v>
      </c>
      <c r="I2303" s="9" t="s">
        <v>9130</v>
      </c>
      <c r="J2303" s="13"/>
      <c r="K2303" s="13"/>
    </row>
    <row r="2304" customFormat="false" ht="46.25" hidden="false" customHeight="false" outlineLevel="0" collapsed="false">
      <c r="A2304" s="9" t="n">
        <v>2303</v>
      </c>
      <c r="B2304" s="9" t="s">
        <v>123</v>
      </c>
      <c r="C2304" s="11" t="s">
        <v>134</v>
      </c>
      <c r="D2304" s="9" t="s">
        <v>9131</v>
      </c>
      <c r="E2304" s="9" t="s">
        <v>9132</v>
      </c>
      <c r="F2304" s="9" t="s">
        <v>9133</v>
      </c>
      <c r="G2304" s="9" t="s">
        <v>317</v>
      </c>
      <c r="H2304" s="15" t="s">
        <v>23</v>
      </c>
      <c r="I2304" s="9" t="s">
        <v>9134</v>
      </c>
      <c r="J2304" s="13"/>
      <c r="K2304" s="13"/>
    </row>
    <row r="2305" customFormat="false" ht="35.05" hidden="false" customHeight="false" outlineLevel="0" collapsed="false">
      <c r="A2305" s="9" t="n">
        <v>2304</v>
      </c>
      <c r="B2305" s="9" t="s">
        <v>123</v>
      </c>
      <c r="C2305" s="11" t="s">
        <v>134</v>
      </c>
      <c r="D2305" s="9" t="s">
        <v>9135</v>
      </c>
      <c r="E2305" s="9" t="s">
        <v>9136</v>
      </c>
      <c r="F2305" s="9" t="s">
        <v>9137</v>
      </c>
      <c r="G2305" s="9" t="s">
        <v>317</v>
      </c>
      <c r="H2305" s="15" t="s">
        <v>23</v>
      </c>
      <c r="I2305" s="9" t="s">
        <v>9138</v>
      </c>
      <c r="J2305" s="13"/>
      <c r="K2305" s="13"/>
    </row>
    <row r="2306" customFormat="false" ht="57.45" hidden="false" customHeight="false" outlineLevel="0" collapsed="false">
      <c r="A2306" s="9" t="n">
        <v>2305</v>
      </c>
      <c r="B2306" s="9" t="s">
        <v>123</v>
      </c>
      <c r="C2306" s="11" t="s">
        <v>134</v>
      </c>
      <c r="D2306" s="9" t="s">
        <v>9139</v>
      </c>
      <c r="E2306" s="9" t="s">
        <v>9140</v>
      </c>
      <c r="F2306" s="9" t="s">
        <v>9141</v>
      </c>
      <c r="G2306" s="9" t="s">
        <v>9142</v>
      </c>
      <c r="H2306" s="15" t="s">
        <v>23</v>
      </c>
      <c r="I2306" s="9" t="s">
        <v>9143</v>
      </c>
      <c r="J2306" s="13"/>
      <c r="K2306" s="13"/>
    </row>
    <row r="2307" customFormat="false" ht="23.85" hidden="false" customHeight="false" outlineLevel="0" collapsed="false">
      <c r="A2307" s="9" t="n">
        <v>2306</v>
      </c>
      <c r="B2307" s="9" t="s">
        <v>123</v>
      </c>
      <c r="C2307" s="11" t="s">
        <v>134</v>
      </c>
      <c r="D2307" s="9" t="s">
        <v>9144</v>
      </c>
      <c r="E2307" s="9" t="s">
        <v>2094</v>
      </c>
      <c r="F2307" s="9" t="s">
        <v>7513</v>
      </c>
      <c r="G2307" s="9" t="s">
        <v>328</v>
      </c>
      <c r="H2307" s="15" t="s">
        <v>23</v>
      </c>
      <c r="I2307" s="9" t="s">
        <v>2298</v>
      </c>
      <c r="J2307" s="13"/>
      <c r="K2307" s="13"/>
    </row>
    <row r="2308" customFormat="false" ht="57.45" hidden="false" customHeight="false" outlineLevel="0" collapsed="false">
      <c r="A2308" s="9" t="n">
        <v>2307</v>
      </c>
      <c r="B2308" s="9" t="s">
        <v>123</v>
      </c>
      <c r="C2308" s="11" t="s">
        <v>134</v>
      </c>
      <c r="D2308" s="9" t="s">
        <v>9145</v>
      </c>
      <c r="E2308" s="9" t="s">
        <v>9146</v>
      </c>
      <c r="F2308" s="9" t="s">
        <v>9147</v>
      </c>
      <c r="G2308" s="9" t="s">
        <v>312</v>
      </c>
      <c r="H2308" s="15" t="s">
        <v>23</v>
      </c>
      <c r="I2308" s="9" t="s">
        <v>9148</v>
      </c>
      <c r="J2308" s="13"/>
      <c r="K2308" s="13"/>
    </row>
    <row r="2309" customFormat="false" ht="57.45" hidden="false" customHeight="false" outlineLevel="0" collapsed="false">
      <c r="A2309" s="9" t="n">
        <v>2308</v>
      </c>
      <c r="B2309" s="9" t="s">
        <v>123</v>
      </c>
      <c r="C2309" s="11" t="s">
        <v>134</v>
      </c>
      <c r="D2309" s="9" t="s">
        <v>9149</v>
      </c>
      <c r="E2309" s="9" t="s">
        <v>9150</v>
      </c>
      <c r="F2309" s="9" t="s">
        <v>9151</v>
      </c>
      <c r="G2309" s="9" t="s">
        <v>24</v>
      </c>
      <c r="H2309" s="12" t="s">
        <v>21</v>
      </c>
      <c r="I2309" s="9" t="s">
        <v>9152</v>
      </c>
      <c r="J2309" s="13"/>
      <c r="K2309" s="13"/>
    </row>
    <row r="2310" customFormat="false" ht="23.85" hidden="false" customHeight="false" outlineLevel="0" collapsed="false">
      <c r="A2310" s="9" t="n">
        <v>2309</v>
      </c>
      <c r="B2310" s="9" t="s">
        <v>123</v>
      </c>
      <c r="C2310" s="11" t="s">
        <v>134</v>
      </c>
      <c r="D2310" s="9" t="s">
        <v>9153</v>
      </c>
      <c r="E2310" s="9" t="s">
        <v>9154</v>
      </c>
      <c r="F2310" s="9" t="s">
        <v>9155</v>
      </c>
      <c r="G2310" s="9" t="s">
        <v>24</v>
      </c>
      <c r="H2310" s="14" t="s">
        <v>22</v>
      </c>
      <c r="I2310" s="9" t="s">
        <v>9156</v>
      </c>
      <c r="J2310" s="13"/>
      <c r="K2310" s="13"/>
    </row>
    <row r="2311" customFormat="false" ht="15" hidden="false" customHeight="false" outlineLevel="0" collapsed="false">
      <c r="A2311" s="9" t="n">
        <v>2310</v>
      </c>
      <c r="B2311" s="9" t="s">
        <v>123</v>
      </c>
      <c r="C2311" s="11" t="s">
        <v>134</v>
      </c>
      <c r="D2311" s="9" t="s">
        <v>9157</v>
      </c>
      <c r="E2311" s="9" t="s">
        <v>9158</v>
      </c>
      <c r="F2311" s="9" t="s">
        <v>9159</v>
      </c>
      <c r="G2311" s="9" t="s">
        <v>24</v>
      </c>
      <c r="H2311" s="14" t="s">
        <v>22</v>
      </c>
      <c r="I2311" s="9" t="s">
        <v>8425</v>
      </c>
      <c r="J2311" s="13"/>
      <c r="K2311" s="13"/>
    </row>
    <row r="2312" customFormat="false" ht="46.25" hidden="false" customHeight="false" outlineLevel="0" collapsed="false">
      <c r="A2312" s="9" t="n">
        <v>2311</v>
      </c>
      <c r="B2312" s="9" t="s">
        <v>123</v>
      </c>
      <c r="C2312" s="11" t="s">
        <v>134</v>
      </c>
      <c r="D2312" s="9" t="s">
        <v>9160</v>
      </c>
      <c r="E2312" s="9" t="s">
        <v>9161</v>
      </c>
      <c r="F2312" s="9" t="s">
        <v>9162</v>
      </c>
      <c r="G2312" s="9" t="s">
        <v>24</v>
      </c>
      <c r="H2312" s="14" t="s">
        <v>22</v>
      </c>
      <c r="I2312" s="9" t="s">
        <v>9163</v>
      </c>
      <c r="J2312" s="13"/>
      <c r="K2312" s="13"/>
    </row>
    <row r="2313" customFormat="false" ht="15" hidden="false" customHeight="false" outlineLevel="0" collapsed="false">
      <c r="A2313" s="9" t="n">
        <v>2312</v>
      </c>
      <c r="B2313" s="9" t="s">
        <v>123</v>
      </c>
      <c r="C2313" s="11" t="s">
        <v>134</v>
      </c>
      <c r="D2313" s="9" t="s">
        <v>9164</v>
      </c>
      <c r="E2313" s="9" t="s">
        <v>9165</v>
      </c>
      <c r="F2313" s="9" t="s">
        <v>9166</v>
      </c>
      <c r="G2313" s="9" t="s">
        <v>24</v>
      </c>
      <c r="H2313" s="14" t="s">
        <v>22</v>
      </c>
      <c r="I2313" s="9" t="s">
        <v>9167</v>
      </c>
      <c r="J2313" s="13"/>
      <c r="K2313" s="13"/>
    </row>
    <row r="2314" customFormat="false" ht="23.85" hidden="false" customHeight="false" outlineLevel="0" collapsed="false">
      <c r="A2314" s="9" t="n">
        <v>2313</v>
      </c>
      <c r="B2314" s="9" t="s">
        <v>123</v>
      </c>
      <c r="C2314" s="11" t="s">
        <v>134</v>
      </c>
      <c r="D2314" s="9" t="s">
        <v>9168</v>
      </c>
      <c r="E2314" s="9" t="s">
        <v>9169</v>
      </c>
      <c r="F2314" s="9" t="s">
        <v>9170</v>
      </c>
      <c r="G2314" s="9" t="s">
        <v>24</v>
      </c>
      <c r="H2314" s="14" t="s">
        <v>22</v>
      </c>
      <c r="I2314" s="9" t="s">
        <v>9171</v>
      </c>
      <c r="J2314" s="13"/>
      <c r="K2314" s="13"/>
    </row>
    <row r="2315" customFormat="false" ht="23.85" hidden="false" customHeight="false" outlineLevel="0" collapsed="false">
      <c r="A2315" s="9" t="n">
        <v>2314</v>
      </c>
      <c r="B2315" s="9" t="s">
        <v>123</v>
      </c>
      <c r="C2315" s="11" t="s">
        <v>134</v>
      </c>
      <c r="D2315" s="9" t="s">
        <v>9172</v>
      </c>
      <c r="E2315" s="9" t="s">
        <v>358</v>
      </c>
      <c r="F2315" s="9" t="s">
        <v>9173</v>
      </c>
      <c r="G2315" s="9" t="s">
        <v>24</v>
      </c>
      <c r="H2315" s="14" t="s">
        <v>22</v>
      </c>
      <c r="I2315" s="9" t="s">
        <v>9174</v>
      </c>
      <c r="J2315" s="13"/>
      <c r="K2315" s="13"/>
    </row>
    <row r="2316" customFormat="false" ht="15" hidden="false" customHeight="false" outlineLevel="0" collapsed="false">
      <c r="A2316" s="9" t="n">
        <v>2315</v>
      </c>
      <c r="B2316" s="9" t="s">
        <v>123</v>
      </c>
      <c r="C2316" s="11" t="s">
        <v>134</v>
      </c>
      <c r="D2316" s="9" t="s">
        <v>9175</v>
      </c>
      <c r="E2316" s="9" t="s">
        <v>362</v>
      </c>
      <c r="F2316" s="9" t="s">
        <v>363</v>
      </c>
      <c r="G2316" s="9" t="s">
        <v>24</v>
      </c>
      <c r="H2316" s="14" t="s">
        <v>22</v>
      </c>
      <c r="I2316" s="9" t="s">
        <v>364</v>
      </c>
      <c r="J2316" s="13"/>
      <c r="K2316" s="13"/>
    </row>
    <row r="2317" customFormat="false" ht="15" hidden="false" customHeight="false" outlineLevel="0" collapsed="false">
      <c r="A2317" s="9" t="n">
        <v>2316</v>
      </c>
      <c r="B2317" s="9" t="s">
        <v>123</v>
      </c>
      <c r="C2317" s="11" t="s">
        <v>134</v>
      </c>
      <c r="D2317" s="9" t="s">
        <v>9176</v>
      </c>
      <c r="E2317" s="9" t="s">
        <v>9177</v>
      </c>
      <c r="F2317" s="9" t="s">
        <v>9178</v>
      </c>
      <c r="G2317" s="9" t="s">
        <v>24</v>
      </c>
      <c r="H2317" s="15" t="s">
        <v>23</v>
      </c>
      <c r="I2317" s="9" t="s">
        <v>9179</v>
      </c>
      <c r="J2317" s="13"/>
      <c r="K2317" s="13"/>
    </row>
    <row r="2318" customFormat="false" ht="23.85" hidden="false" customHeight="false" outlineLevel="0" collapsed="false">
      <c r="A2318" s="9" t="n">
        <v>2317</v>
      </c>
      <c r="B2318" s="9" t="s">
        <v>123</v>
      </c>
      <c r="C2318" s="11" t="s">
        <v>134</v>
      </c>
      <c r="D2318" s="9" t="s">
        <v>9180</v>
      </c>
      <c r="E2318" s="9" t="s">
        <v>9181</v>
      </c>
      <c r="F2318" s="9" t="s">
        <v>9182</v>
      </c>
      <c r="G2318" s="9" t="s">
        <v>24</v>
      </c>
      <c r="H2318" s="15" t="s">
        <v>23</v>
      </c>
      <c r="I2318" s="9" t="s">
        <v>9183</v>
      </c>
      <c r="J2318" s="13"/>
      <c r="K2318" s="13"/>
    </row>
    <row r="2319" customFormat="false" ht="23.85" hidden="false" customHeight="false" outlineLevel="0" collapsed="false">
      <c r="A2319" s="9" t="n">
        <v>2318</v>
      </c>
      <c r="B2319" s="9" t="s">
        <v>123</v>
      </c>
      <c r="C2319" s="11" t="s">
        <v>134</v>
      </c>
      <c r="D2319" s="9" t="s">
        <v>9184</v>
      </c>
      <c r="E2319" s="9" t="s">
        <v>9185</v>
      </c>
      <c r="F2319" s="9" t="s">
        <v>9186</v>
      </c>
      <c r="G2319" s="9" t="s">
        <v>24</v>
      </c>
      <c r="H2319" s="15" t="s">
        <v>23</v>
      </c>
      <c r="I2319" s="9" t="s">
        <v>2839</v>
      </c>
      <c r="J2319" s="13"/>
      <c r="K2319" s="13"/>
    </row>
    <row r="2320" customFormat="false" ht="23.85" hidden="false" customHeight="false" outlineLevel="0" collapsed="false">
      <c r="A2320" s="9" t="n">
        <v>2319</v>
      </c>
      <c r="B2320" s="9" t="s">
        <v>123</v>
      </c>
      <c r="C2320" s="11" t="s">
        <v>134</v>
      </c>
      <c r="D2320" s="9" t="s">
        <v>9187</v>
      </c>
      <c r="E2320" s="9" t="s">
        <v>9188</v>
      </c>
      <c r="F2320" s="9" t="s">
        <v>9189</v>
      </c>
      <c r="G2320" s="9" t="s">
        <v>24</v>
      </c>
      <c r="H2320" s="15" t="s">
        <v>23</v>
      </c>
      <c r="I2320" s="9" t="s">
        <v>9190</v>
      </c>
      <c r="J2320" s="13"/>
      <c r="K2320" s="13"/>
    </row>
    <row r="2321" customFormat="false" ht="35.05" hidden="false" customHeight="false" outlineLevel="0" collapsed="false">
      <c r="A2321" s="9" t="n">
        <v>2320</v>
      </c>
      <c r="B2321" s="9" t="s">
        <v>123</v>
      </c>
      <c r="C2321" s="11" t="s">
        <v>134</v>
      </c>
      <c r="D2321" s="9" t="s">
        <v>9191</v>
      </c>
      <c r="E2321" s="9" t="s">
        <v>3945</v>
      </c>
      <c r="F2321" s="9" t="s">
        <v>9192</v>
      </c>
      <c r="G2321" s="9" t="s">
        <v>24</v>
      </c>
      <c r="H2321" s="15" t="s">
        <v>23</v>
      </c>
      <c r="I2321" s="9" t="s">
        <v>9193</v>
      </c>
      <c r="J2321" s="13"/>
      <c r="K2321" s="13"/>
    </row>
    <row r="2322" customFormat="false" ht="91" hidden="false" customHeight="false" outlineLevel="0" collapsed="false">
      <c r="A2322" s="9" t="n">
        <v>2321</v>
      </c>
      <c r="B2322" s="9" t="s">
        <v>123</v>
      </c>
      <c r="C2322" s="11" t="s">
        <v>136</v>
      </c>
      <c r="D2322" s="9" t="s">
        <v>9194</v>
      </c>
      <c r="E2322" s="9" t="s">
        <v>9195</v>
      </c>
      <c r="F2322" s="9" t="s">
        <v>9196</v>
      </c>
      <c r="G2322" s="9" t="s">
        <v>4141</v>
      </c>
      <c r="H2322" s="12" t="s">
        <v>21</v>
      </c>
      <c r="I2322" s="9" t="s">
        <v>9197</v>
      </c>
      <c r="J2322" s="13"/>
      <c r="K2322" s="13"/>
    </row>
    <row r="2323" customFormat="false" ht="57.45" hidden="false" customHeight="false" outlineLevel="0" collapsed="false">
      <c r="A2323" s="9" t="n">
        <v>2322</v>
      </c>
      <c r="B2323" s="9" t="s">
        <v>123</v>
      </c>
      <c r="C2323" s="11" t="s">
        <v>136</v>
      </c>
      <c r="D2323" s="9" t="s">
        <v>9198</v>
      </c>
      <c r="E2323" s="9" t="s">
        <v>9199</v>
      </c>
      <c r="F2323" s="9" t="s">
        <v>9200</v>
      </c>
      <c r="G2323" s="9" t="s">
        <v>1638</v>
      </c>
      <c r="H2323" s="12" t="s">
        <v>21</v>
      </c>
      <c r="I2323" s="9" t="s">
        <v>9201</v>
      </c>
      <c r="J2323" s="13"/>
      <c r="K2323" s="13"/>
    </row>
    <row r="2324" customFormat="false" ht="68.65" hidden="false" customHeight="false" outlineLevel="0" collapsed="false">
      <c r="A2324" s="9" t="n">
        <v>2323</v>
      </c>
      <c r="B2324" s="9" t="s">
        <v>123</v>
      </c>
      <c r="C2324" s="11" t="s">
        <v>136</v>
      </c>
      <c r="D2324" s="9" t="s">
        <v>9202</v>
      </c>
      <c r="E2324" s="9" t="s">
        <v>9203</v>
      </c>
      <c r="F2324" s="9" t="s">
        <v>9204</v>
      </c>
      <c r="G2324" s="9" t="s">
        <v>3220</v>
      </c>
      <c r="H2324" s="12" t="s">
        <v>21</v>
      </c>
      <c r="I2324" s="9" t="s">
        <v>9205</v>
      </c>
      <c r="J2324" s="13"/>
      <c r="K2324" s="13"/>
    </row>
    <row r="2325" customFormat="false" ht="102.2" hidden="false" customHeight="false" outlineLevel="0" collapsed="false">
      <c r="A2325" s="9" t="n">
        <v>2324</v>
      </c>
      <c r="B2325" s="9" t="s">
        <v>123</v>
      </c>
      <c r="C2325" s="11" t="s">
        <v>136</v>
      </c>
      <c r="D2325" s="9" t="s">
        <v>9206</v>
      </c>
      <c r="E2325" s="9" t="s">
        <v>9207</v>
      </c>
      <c r="F2325" s="9" t="s">
        <v>9208</v>
      </c>
      <c r="G2325" s="9" t="s">
        <v>392</v>
      </c>
      <c r="H2325" s="12" t="s">
        <v>21</v>
      </c>
      <c r="I2325" s="9" t="s">
        <v>9209</v>
      </c>
      <c r="J2325" s="13"/>
      <c r="K2325" s="13"/>
    </row>
    <row r="2326" customFormat="false" ht="113.4" hidden="false" customHeight="false" outlineLevel="0" collapsed="false">
      <c r="A2326" s="9" t="n">
        <v>2325</v>
      </c>
      <c r="B2326" s="9" t="s">
        <v>123</v>
      </c>
      <c r="C2326" s="11" t="s">
        <v>136</v>
      </c>
      <c r="D2326" s="9" t="s">
        <v>9210</v>
      </c>
      <c r="E2326" s="9" t="s">
        <v>9211</v>
      </c>
      <c r="F2326" s="9" t="s">
        <v>9212</v>
      </c>
      <c r="G2326" s="9" t="s">
        <v>1852</v>
      </c>
      <c r="H2326" s="14" t="s">
        <v>22</v>
      </c>
      <c r="I2326" s="9" t="s">
        <v>9213</v>
      </c>
      <c r="J2326" s="13"/>
      <c r="K2326" s="13"/>
    </row>
    <row r="2327" customFormat="false" ht="102.2" hidden="false" customHeight="false" outlineLevel="0" collapsed="false">
      <c r="A2327" s="9" t="n">
        <v>2326</v>
      </c>
      <c r="B2327" s="9" t="s">
        <v>123</v>
      </c>
      <c r="C2327" s="11" t="s">
        <v>136</v>
      </c>
      <c r="D2327" s="9" t="s">
        <v>9214</v>
      </c>
      <c r="E2327" s="9" t="s">
        <v>9215</v>
      </c>
      <c r="F2327" s="9" t="s">
        <v>9216</v>
      </c>
      <c r="G2327" s="9" t="s">
        <v>1072</v>
      </c>
      <c r="H2327" s="12" t="s">
        <v>21</v>
      </c>
      <c r="I2327" s="9" t="s">
        <v>9217</v>
      </c>
      <c r="J2327" s="13"/>
      <c r="K2327" s="13"/>
    </row>
    <row r="2328" customFormat="false" ht="79.85" hidden="false" customHeight="false" outlineLevel="0" collapsed="false">
      <c r="A2328" s="9" t="n">
        <v>2327</v>
      </c>
      <c r="B2328" s="9" t="s">
        <v>123</v>
      </c>
      <c r="C2328" s="11" t="s">
        <v>136</v>
      </c>
      <c r="D2328" s="9" t="s">
        <v>9218</v>
      </c>
      <c r="E2328" s="9" t="s">
        <v>9219</v>
      </c>
      <c r="F2328" s="9" t="s">
        <v>9220</v>
      </c>
      <c r="G2328" s="9" t="s">
        <v>1072</v>
      </c>
      <c r="H2328" s="12" t="s">
        <v>21</v>
      </c>
      <c r="I2328" s="9" t="s">
        <v>9221</v>
      </c>
      <c r="J2328" s="13"/>
      <c r="K2328" s="13"/>
    </row>
    <row r="2329" customFormat="false" ht="91" hidden="false" customHeight="false" outlineLevel="0" collapsed="false">
      <c r="A2329" s="9" t="n">
        <v>2328</v>
      </c>
      <c r="B2329" s="9" t="s">
        <v>123</v>
      </c>
      <c r="C2329" s="11" t="s">
        <v>136</v>
      </c>
      <c r="D2329" s="9" t="s">
        <v>9222</v>
      </c>
      <c r="E2329" s="9" t="s">
        <v>9223</v>
      </c>
      <c r="F2329" s="9" t="s">
        <v>9224</v>
      </c>
      <c r="G2329" s="9" t="s">
        <v>1852</v>
      </c>
      <c r="H2329" s="12" t="s">
        <v>21</v>
      </c>
      <c r="I2329" s="9" t="s">
        <v>9225</v>
      </c>
      <c r="J2329" s="13"/>
      <c r="K2329" s="13"/>
    </row>
    <row r="2330" customFormat="false" ht="57.45" hidden="false" customHeight="false" outlineLevel="0" collapsed="false">
      <c r="A2330" s="9" t="n">
        <v>2329</v>
      </c>
      <c r="B2330" s="9" t="s">
        <v>123</v>
      </c>
      <c r="C2330" s="11" t="s">
        <v>136</v>
      </c>
      <c r="D2330" s="9" t="s">
        <v>9226</v>
      </c>
      <c r="E2330" s="9" t="s">
        <v>9227</v>
      </c>
      <c r="F2330" s="9" t="s">
        <v>9228</v>
      </c>
      <c r="G2330" s="9" t="s">
        <v>834</v>
      </c>
      <c r="H2330" s="14" t="s">
        <v>22</v>
      </c>
      <c r="I2330" s="9" t="s">
        <v>9229</v>
      </c>
      <c r="J2330" s="13"/>
      <c r="K2330" s="13"/>
    </row>
    <row r="2331" customFormat="false" ht="57.45" hidden="false" customHeight="false" outlineLevel="0" collapsed="false">
      <c r="A2331" s="9" t="n">
        <v>2330</v>
      </c>
      <c r="B2331" s="9" t="s">
        <v>123</v>
      </c>
      <c r="C2331" s="11" t="s">
        <v>136</v>
      </c>
      <c r="D2331" s="9" t="s">
        <v>9230</v>
      </c>
      <c r="E2331" s="9" t="s">
        <v>9231</v>
      </c>
      <c r="F2331" s="9" t="s">
        <v>9232</v>
      </c>
      <c r="G2331" s="9" t="s">
        <v>8842</v>
      </c>
      <c r="H2331" s="14" t="s">
        <v>22</v>
      </c>
      <c r="I2331" s="9" t="s">
        <v>9233</v>
      </c>
      <c r="J2331" s="13"/>
      <c r="K2331" s="13"/>
    </row>
    <row r="2332" customFormat="false" ht="91" hidden="false" customHeight="false" outlineLevel="0" collapsed="false">
      <c r="A2332" s="9" t="n">
        <v>2331</v>
      </c>
      <c r="B2332" s="9" t="s">
        <v>123</v>
      </c>
      <c r="C2332" s="11" t="s">
        <v>136</v>
      </c>
      <c r="D2332" s="9" t="s">
        <v>9234</v>
      </c>
      <c r="E2332" s="9" t="s">
        <v>9235</v>
      </c>
      <c r="F2332" s="9" t="s">
        <v>9236</v>
      </c>
      <c r="G2332" s="9" t="s">
        <v>392</v>
      </c>
      <c r="H2332" s="14" t="s">
        <v>22</v>
      </c>
      <c r="I2332" s="9" t="s">
        <v>9237</v>
      </c>
      <c r="J2332" s="13"/>
      <c r="K2332" s="13"/>
    </row>
    <row r="2333" customFormat="false" ht="68.65" hidden="false" customHeight="false" outlineLevel="0" collapsed="false">
      <c r="A2333" s="9" t="n">
        <v>2332</v>
      </c>
      <c r="B2333" s="9" t="s">
        <v>123</v>
      </c>
      <c r="C2333" s="11" t="s">
        <v>136</v>
      </c>
      <c r="D2333" s="9" t="s">
        <v>9238</v>
      </c>
      <c r="E2333" s="9" t="s">
        <v>9239</v>
      </c>
      <c r="F2333" s="9" t="s">
        <v>9240</v>
      </c>
      <c r="G2333" s="9" t="s">
        <v>9241</v>
      </c>
      <c r="H2333" s="12" t="s">
        <v>21</v>
      </c>
      <c r="I2333" s="9" t="s">
        <v>9242</v>
      </c>
      <c r="J2333" s="13"/>
      <c r="K2333" s="13"/>
    </row>
    <row r="2334" customFormat="false" ht="68.65" hidden="false" customHeight="false" outlineLevel="0" collapsed="false">
      <c r="A2334" s="9" t="n">
        <v>2333</v>
      </c>
      <c r="B2334" s="9" t="s">
        <v>123</v>
      </c>
      <c r="C2334" s="11" t="s">
        <v>136</v>
      </c>
      <c r="D2334" s="9" t="s">
        <v>9243</v>
      </c>
      <c r="E2334" s="9" t="s">
        <v>9244</v>
      </c>
      <c r="F2334" s="9" t="s">
        <v>9245</v>
      </c>
      <c r="G2334" s="9" t="s">
        <v>1843</v>
      </c>
      <c r="H2334" s="14" t="s">
        <v>22</v>
      </c>
      <c r="I2334" s="9" t="s">
        <v>9246</v>
      </c>
      <c r="J2334" s="13"/>
      <c r="K2334" s="13"/>
    </row>
    <row r="2335" customFormat="false" ht="57.45" hidden="false" customHeight="false" outlineLevel="0" collapsed="false">
      <c r="A2335" s="9" t="n">
        <v>2334</v>
      </c>
      <c r="B2335" s="9" t="s">
        <v>123</v>
      </c>
      <c r="C2335" s="11" t="s">
        <v>136</v>
      </c>
      <c r="D2335" s="9" t="s">
        <v>9247</v>
      </c>
      <c r="E2335" s="9" t="s">
        <v>9248</v>
      </c>
      <c r="F2335" s="9" t="s">
        <v>9249</v>
      </c>
      <c r="G2335" s="9" t="s">
        <v>4232</v>
      </c>
      <c r="H2335" s="14" t="s">
        <v>22</v>
      </c>
      <c r="I2335" s="9" t="s">
        <v>9250</v>
      </c>
      <c r="J2335" s="13"/>
      <c r="K2335" s="13"/>
    </row>
    <row r="2336" customFormat="false" ht="35.05" hidden="false" customHeight="false" outlineLevel="0" collapsed="false">
      <c r="A2336" s="9" t="n">
        <v>2335</v>
      </c>
      <c r="B2336" s="9" t="s">
        <v>123</v>
      </c>
      <c r="C2336" s="11" t="s">
        <v>136</v>
      </c>
      <c r="D2336" s="9" t="s">
        <v>9251</v>
      </c>
      <c r="E2336" s="9" t="s">
        <v>9252</v>
      </c>
      <c r="F2336" s="9" t="s">
        <v>9253</v>
      </c>
      <c r="G2336" s="9" t="s">
        <v>317</v>
      </c>
      <c r="H2336" s="14" t="s">
        <v>22</v>
      </c>
      <c r="I2336" s="9" t="s">
        <v>9254</v>
      </c>
      <c r="J2336" s="13"/>
      <c r="K2336" s="13"/>
    </row>
    <row r="2337" customFormat="false" ht="91" hidden="false" customHeight="false" outlineLevel="0" collapsed="false">
      <c r="A2337" s="9" t="n">
        <v>2336</v>
      </c>
      <c r="B2337" s="9" t="s">
        <v>123</v>
      </c>
      <c r="C2337" s="11" t="s">
        <v>136</v>
      </c>
      <c r="D2337" s="9" t="s">
        <v>9255</v>
      </c>
      <c r="E2337" s="9" t="s">
        <v>9256</v>
      </c>
      <c r="F2337" s="9" t="s">
        <v>9257</v>
      </c>
      <c r="G2337" s="9" t="s">
        <v>1613</v>
      </c>
      <c r="H2337" s="14" t="s">
        <v>22</v>
      </c>
      <c r="I2337" s="9" t="s">
        <v>9258</v>
      </c>
      <c r="J2337" s="13"/>
      <c r="K2337" s="13"/>
    </row>
    <row r="2338" customFormat="false" ht="68.65" hidden="false" customHeight="false" outlineLevel="0" collapsed="false">
      <c r="A2338" s="9" t="n">
        <v>2337</v>
      </c>
      <c r="B2338" s="9" t="s">
        <v>123</v>
      </c>
      <c r="C2338" s="11" t="s">
        <v>136</v>
      </c>
      <c r="D2338" s="9" t="s">
        <v>9259</v>
      </c>
      <c r="E2338" s="9" t="s">
        <v>9260</v>
      </c>
      <c r="F2338" s="9" t="s">
        <v>9261</v>
      </c>
      <c r="G2338" s="9" t="s">
        <v>1063</v>
      </c>
      <c r="H2338" s="15" t="s">
        <v>23</v>
      </c>
      <c r="I2338" s="9" t="s">
        <v>9262</v>
      </c>
      <c r="J2338" s="13"/>
      <c r="K2338" s="13"/>
    </row>
    <row r="2339" customFormat="false" ht="57.45" hidden="false" customHeight="false" outlineLevel="0" collapsed="false">
      <c r="A2339" s="9" t="n">
        <v>2338</v>
      </c>
      <c r="B2339" s="9" t="s">
        <v>123</v>
      </c>
      <c r="C2339" s="11" t="s">
        <v>136</v>
      </c>
      <c r="D2339" s="9" t="s">
        <v>9263</v>
      </c>
      <c r="E2339" s="9" t="s">
        <v>9264</v>
      </c>
      <c r="F2339" s="9" t="s">
        <v>9265</v>
      </c>
      <c r="G2339" s="9" t="s">
        <v>1058</v>
      </c>
      <c r="H2339" s="14" t="s">
        <v>22</v>
      </c>
      <c r="I2339" s="9" t="s">
        <v>9266</v>
      </c>
      <c r="J2339" s="13"/>
      <c r="K2339" s="13"/>
    </row>
    <row r="2340" customFormat="false" ht="35.05" hidden="false" customHeight="false" outlineLevel="0" collapsed="false">
      <c r="A2340" s="9" t="n">
        <v>2339</v>
      </c>
      <c r="B2340" s="9" t="s">
        <v>123</v>
      </c>
      <c r="C2340" s="11" t="s">
        <v>136</v>
      </c>
      <c r="D2340" s="9" t="s">
        <v>9267</v>
      </c>
      <c r="E2340" s="9" t="s">
        <v>9268</v>
      </c>
      <c r="F2340" s="9" t="s">
        <v>9269</v>
      </c>
      <c r="G2340" s="9" t="s">
        <v>1072</v>
      </c>
      <c r="H2340" s="14" t="s">
        <v>22</v>
      </c>
      <c r="I2340" s="9" t="s">
        <v>9270</v>
      </c>
      <c r="J2340" s="13"/>
      <c r="K2340" s="13"/>
    </row>
    <row r="2341" customFormat="false" ht="35.05" hidden="false" customHeight="false" outlineLevel="0" collapsed="false">
      <c r="A2341" s="9" t="n">
        <v>2340</v>
      </c>
      <c r="B2341" s="9" t="s">
        <v>123</v>
      </c>
      <c r="C2341" s="11" t="s">
        <v>136</v>
      </c>
      <c r="D2341" s="9" t="s">
        <v>9271</v>
      </c>
      <c r="E2341" s="9" t="s">
        <v>9272</v>
      </c>
      <c r="F2341" s="9" t="s">
        <v>9273</v>
      </c>
      <c r="G2341" s="9" t="s">
        <v>5294</v>
      </c>
      <c r="H2341" s="15" t="s">
        <v>23</v>
      </c>
      <c r="I2341" s="9" t="s">
        <v>9274</v>
      </c>
      <c r="J2341" s="13"/>
      <c r="K2341" s="13"/>
    </row>
    <row r="2342" customFormat="false" ht="35.05" hidden="false" customHeight="false" outlineLevel="0" collapsed="false">
      <c r="A2342" s="9" t="n">
        <v>2341</v>
      </c>
      <c r="B2342" s="9" t="s">
        <v>123</v>
      </c>
      <c r="C2342" s="11" t="s">
        <v>136</v>
      </c>
      <c r="D2342" s="9" t="s">
        <v>9275</v>
      </c>
      <c r="E2342" s="9" t="s">
        <v>9276</v>
      </c>
      <c r="F2342" s="9" t="s">
        <v>9277</v>
      </c>
      <c r="G2342" s="9" t="s">
        <v>1072</v>
      </c>
      <c r="H2342" s="15" t="s">
        <v>23</v>
      </c>
      <c r="I2342" s="9" t="s">
        <v>9278</v>
      </c>
      <c r="J2342" s="13"/>
      <c r="K2342" s="13"/>
    </row>
    <row r="2343" customFormat="false" ht="35.05" hidden="false" customHeight="false" outlineLevel="0" collapsed="false">
      <c r="A2343" s="9" t="n">
        <v>2342</v>
      </c>
      <c r="B2343" s="9" t="s">
        <v>123</v>
      </c>
      <c r="C2343" s="11" t="s">
        <v>136</v>
      </c>
      <c r="D2343" s="9" t="s">
        <v>9279</v>
      </c>
      <c r="E2343" s="9" t="s">
        <v>9280</v>
      </c>
      <c r="F2343" s="9" t="s">
        <v>9281</v>
      </c>
      <c r="G2343" s="9" t="s">
        <v>308</v>
      </c>
      <c r="H2343" s="15" t="s">
        <v>23</v>
      </c>
      <c r="I2343" s="9" t="s">
        <v>9282</v>
      </c>
      <c r="J2343" s="13"/>
      <c r="K2343" s="13"/>
    </row>
    <row r="2344" customFormat="false" ht="35.05" hidden="false" customHeight="false" outlineLevel="0" collapsed="false">
      <c r="A2344" s="9" t="n">
        <v>2343</v>
      </c>
      <c r="B2344" s="9" t="s">
        <v>123</v>
      </c>
      <c r="C2344" s="11" t="s">
        <v>136</v>
      </c>
      <c r="D2344" s="9" t="s">
        <v>9283</v>
      </c>
      <c r="E2344" s="9" t="s">
        <v>9284</v>
      </c>
      <c r="F2344" s="9" t="s">
        <v>9285</v>
      </c>
      <c r="G2344" s="9" t="s">
        <v>312</v>
      </c>
      <c r="H2344" s="15" t="s">
        <v>23</v>
      </c>
      <c r="I2344" s="9" t="s">
        <v>9286</v>
      </c>
      <c r="J2344" s="13"/>
      <c r="K2344" s="13"/>
    </row>
    <row r="2345" customFormat="false" ht="46.25" hidden="false" customHeight="false" outlineLevel="0" collapsed="false">
      <c r="A2345" s="9" t="n">
        <v>2344</v>
      </c>
      <c r="B2345" s="9" t="s">
        <v>123</v>
      </c>
      <c r="C2345" s="11" t="s">
        <v>136</v>
      </c>
      <c r="D2345" s="9" t="s">
        <v>9287</v>
      </c>
      <c r="E2345" s="9" t="s">
        <v>8414</v>
      </c>
      <c r="F2345" s="9" t="s">
        <v>9288</v>
      </c>
      <c r="G2345" s="9" t="s">
        <v>5294</v>
      </c>
      <c r="H2345" s="15" t="s">
        <v>23</v>
      </c>
      <c r="I2345" s="9" t="s">
        <v>9289</v>
      </c>
      <c r="J2345" s="13"/>
      <c r="K2345" s="13"/>
    </row>
    <row r="2346" customFormat="false" ht="35.05" hidden="false" customHeight="false" outlineLevel="0" collapsed="false">
      <c r="A2346" s="9" t="n">
        <v>2345</v>
      </c>
      <c r="B2346" s="9" t="s">
        <v>123</v>
      </c>
      <c r="C2346" s="11" t="s">
        <v>136</v>
      </c>
      <c r="D2346" s="9" t="s">
        <v>9290</v>
      </c>
      <c r="E2346" s="9" t="s">
        <v>9291</v>
      </c>
      <c r="F2346" s="9" t="s">
        <v>9292</v>
      </c>
      <c r="G2346" s="9" t="s">
        <v>312</v>
      </c>
      <c r="H2346" s="15" t="s">
        <v>23</v>
      </c>
      <c r="I2346" s="9" t="s">
        <v>9293</v>
      </c>
      <c r="J2346" s="13"/>
      <c r="K2346" s="13"/>
    </row>
    <row r="2347" customFormat="false" ht="35.05" hidden="false" customHeight="false" outlineLevel="0" collapsed="false">
      <c r="A2347" s="9" t="n">
        <v>2346</v>
      </c>
      <c r="B2347" s="9" t="s">
        <v>123</v>
      </c>
      <c r="C2347" s="11" t="s">
        <v>136</v>
      </c>
      <c r="D2347" s="9" t="s">
        <v>9294</v>
      </c>
      <c r="E2347" s="9" t="s">
        <v>9295</v>
      </c>
      <c r="F2347" s="9" t="s">
        <v>9296</v>
      </c>
      <c r="G2347" s="9" t="s">
        <v>328</v>
      </c>
      <c r="H2347" s="15" t="s">
        <v>23</v>
      </c>
      <c r="I2347" s="9" t="s">
        <v>9297</v>
      </c>
      <c r="J2347" s="13"/>
      <c r="K2347" s="13"/>
    </row>
    <row r="2348" customFormat="false" ht="23.85" hidden="false" customHeight="false" outlineLevel="0" collapsed="false">
      <c r="A2348" s="9" t="n">
        <v>2347</v>
      </c>
      <c r="B2348" s="9" t="s">
        <v>123</v>
      </c>
      <c r="C2348" s="11" t="s">
        <v>136</v>
      </c>
      <c r="D2348" s="9" t="s">
        <v>9298</v>
      </c>
      <c r="E2348" s="9" t="s">
        <v>9299</v>
      </c>
      <c r="F2348" s="9" t="s">
        <v>9300</v>
      </c>
      <c r="G2348" s="9" t="s">
        <v>317</v>
      </c>
      <c r="H2348" s="15" t="s">
        <v>23</v>
      </c>
      <c r="I2348" s="9" t="s">
        <v>9301</v>
      </c>
      <c r="J2348" s="13"/>
      <c r="K2348" s="13"/>
    </row>
    <row r="2349" customFormat="false" ht="23.85" hidden="false" customHeight="false" outlineLevel="0" collapsed="false">
      <c r="A2349" s="9" t="n">
        <v>2348</v>
      </c>
      <c r="B2349" s="9" t="s">
        <v>123</v>
      </c>
      <c r="C2349" s="11" t="s">
        <v>136</v>
      </c>
      <c r="D2349" s="9" t="s">
        <v>9302</v>
      </c>
      <c r="E2349" s="9" t="s">
        <v>1702</v>
      </c>
      <c r="F2349" s="9" t="s">
        <v>9303</v>
      </c>
      <c r="G2349" s="9" t="s">
        <v>328</v>
      </c>
      <c r="H2349" s="15" t="s">
        <v>23</v>
      </c>
      <c r="I2349" s="9" t="s">
        <v>8597</v>
      </c>
      <c r="J2349" s="13"/>
      <c r="K2349" s="13"/>
    </row>
    <row r="2350" customFormat="false" ht="35.05" hidden="false" customHeight="false" outlineLevel="0" collapsed="false">
      <c r="A2350" s="9" t="n">
        <v>2349</v>
      </c>
      <c r="B2350" s="9" t="s">
        <v>123</v>
      </c>
      <c r="C2350" s="11" t="s">
        <v>136</v>
      </c>
      <c r="D2350" s="9" t="s">
        <v>9304</v>
      </c>
      <c r="E2350" s="9" t="s">
        <v>9305</v>
      </c>
      <c r="F2350" s="9" t="s">
        <v>9306</v>
      </c>
      <c r="G2350" s="9" t="s">
        <v>328</v>
      </c>
      <c r="H2350" s="15" t="s">
        <v>23</v>
      </c>
      <c r="I2350" s="9" t="s">
        <v>9307</v>
      </c>
      <c r="J2350" s="13"/>
      <c r="K2350" s="13"/>
    </row>
    <row r="2351" customFormat="false" ht="68.65" hidden="false" customHeight="false" outlineLevel="0" collapsed="false">
      <c r="A2351" s="9" t="n">
        <v>2350</v>
      </c>
      <c r="B2351" s="9" t="s">
        <v>123</v>
      </c>
      <c r="C2351" s="11" t="s">
        <v>136</v>
      </c>
      <c r="D2351" s="9" t="s">
        <v>9308</v>
      </c>
      <c r="E2351" s="9" t="s">
        <v>9309</v>
      </c>
      <c r="F2351" s="9" t="s">
        <v>9310</v>
      </c>
      <c r="G2351" s="9" t="s">
        <v>24</v>
      </c>
      <c r="H2351" s="12" t="s">
        <v>21</v>
      </c>
      <c r="I2351" s="9" t="s">
        <v>9311</v>
      </c>
      <c r="J2351" s="13"/>
      <c r="K2351" s="13"/>
    </row>
    <row r="2352" customFormat="false" ht="46.25" hidden="false" customHeight="false" outlineLevel="0" collapsed="false">
      <c r="A2352" s="9" t="n">
        <v>2351</v>
      </c>
      <c r="B2352" s="9" t="s">
        <v>123</v>
      </c>
      <c r="C2352" s="11" t="s">
        <v>136</v>
      </c>
      <c r="D2352" s="9" t="s">
        <v>9312</v>
      </c>
      <c r="E2352" s="9" t="s">
        <v>9313</v>
      </c>
      <c r="F2352" s="9" t="s">
        <v>9314</v>
      </c>
      <c r="G2352" s="9" t="s">
        <v>24</v>
      </c>
      <c r="H2352" s="14" t="s">
        <v>22</v>
      </c>
      <c r="I2352" s="9" t="s">
        <v>9315</v>
      </c>
      <c r="J2352" s="13"/>
      <c r="K2352" s="13"/>
    </row>
    <row r="2353" customFormat="false" ht="23.85" hidden="false" customHeight="false" outlineLevel="0" collapsed="false">
      <c r="A2353" s="9" t="n">
        <v>2352</v>
      </c>
      <c r="B2353" s="9" t="s">
        <v>123</v>
      </c>
      <c r="C2353" s="11" t="s">
        <v>136</v>
      </c>
      <c r="D2353" s="9" t="s">
        <v>9316</v>
      </c>
      <c r="E2353" s="9" t="s">
        <v>9317</v>
      </c>
      <c r="F2353" s="9" t="s">
        <v>9318</v>
      </c>
      <c r="G2353" s="9" t="s">
        <v>24</v>
      </c>
      <c r="H2353" s="14" t="s">
        <v>22</v>
      </c>
      <c r="I2353" s="9" t="s">
        <v>9319</v>
      </c>
      <c r="J2353" s="13"/>
      <c r="K2353" s="13"/>
    </row>
    <row r="2354" customFormat="false" ht="15" hidden="false" customHeight="false" outlineLevel="0" collapsed="false">
      <c r="A2354" s="9" t="n">
        <v>2353</v>
      </c>
      <c r="B2354" s="9" t="s">
        <v>123</v>
      </c>
      <c r="C2354" s="11" t="s">
        <v>136</v>
      </c>
      <c r="D2354" s="9" t="s">
        <v>9320</v>
      </c>
      <c r="E2354" s="9" t="s">
        <v>8991</v>
      </c>
      <c r="F2354" s="9" t="s">
        <v>9321</v>
      </c>
      <c r="G2354" s="9" t="s">
        <v>24</v>
      </c>
      <c r="H2354" s="14" t="s">
        <v>22</v>
      </c>
      <c r="I2354" s="9" t="s">
        <v>9167</v>
      </c>
      <c r="J2354" s="13"/>
      <c r="K2354" s="13"/>
    </row>
    <row r="2355" customFormat="false" ht="23.85" hidden="false" customHeight="false" outlineLevel="0" collapsed="false">
      <c r="A2355" s="9" t="n">
        <v>2354</v>
      </c>
      <c r="B2355" s="9" t="s">
        <v>123</v>
      </c>
      <c r="C2355" s="11" t="s">
        <v>136</v>
      </c>
      <c r="D2355" s="9" t="s">
        <v>9322</v>
      </c>
      <c r="E2355" s="9" t="s">
        <v>358</v>
      </c>
      <c r="F2355" s="9" t="s">
        <v>9323</v>
      </c>
      <c r="G2355" s="9" t="s">
        <v>24</v>
      </c>
      <c r="H2355" s="14" t="s">
        <v>22</v>
      </c>
      <c r="I2355" s="9" t="s">
        <v>9174</v>
      </c>
      <c r="J2355" s="13"/>
      <c r="K2355" s="13"/>
    </row>
    <row r="2356" customFormat="false" ht="15" hidden="false" customHeight="false" outlineLevel="0" collapsed="false">
      <c r="A2356" s="9" t="n">
        <v>2355</v>
      </c>
      <c r="B2356" s="9" t="s">
        <v>123</v>
      </c>
      <c r="C2356" s="11" t="s">
        <v>136</v>
      </c>
      <c r="D2356" s="9" t="s">
        <v>9324</v>
      </c>
      <c r="E2356" s="9" t="s">
        <v>362</v>
      </c>
      <c r="F2356" s="9" t="s">
        <v>363</v>
      </c>
      <c r="G2356" s="9" t="s">
        <v>24</v>
      </c>
      <c r="H2356" s="14" t="s">
        <v>22</v>
      </c>
      <c r="I2356" s="9" t="s">
        <v>364</v>
      </c>
      <c r="J2356" s="13"/>
      <c r="K2356" s="13"/>
    </row>
    <row r="2357" customFormat="false" ht="46.25" hidden="false" customHeight="false" outlineLevel="0" collapsed="false">
      <c r="A2357" s="9" t="n">
        <v>2356</v>
      </c>
      <c r="B2357" s="9" t="s">
        <v>123</v>
      </c>
      <c r="C2357" s="11" t="s">
        <v>136</v>
      </c>
      <c r="D2357" s="9" t="s">
        <v>9325</v>
      </c>
      <c r="E2357" s="9" t="s">
        <v>9326</v>
      </c>
      <c r="F2357" s="9" t="s">
        <v>9327</v>
      </c>
      <c r="G2357" s="9" t="s">
        <v>24</v>
      </c>
      <c r="H2357" s="14" t="s">
        <v>22</v>
      </c>
      <c r="I2357" s="9" t="s">
        <v>9328</v>
      </c>
      <c r="J2357" s="13"/>
      <c r="K2357" s="13"/>
    </row>
    <row r="2358" customFormat="false" ht="35.05" hidden="false" customHeight="false" outlineLevel="0" collapsed="false">
      <c r="A2358" s="9" t="n">
        <v>2357</v>
      </c>
      <c r="B2358" s="9" t="s">
        <v>123</v>
      </c>
      <c r="C2358" s="11" t="s">
        <v>136</v>
      </c>
      <c r="D2358" s="9" t="s">
        <v>9329</v>
      </c>
      <c r="E2358" s="9" t="s">
        <v>4723</v>
      </c>
      <c r="F2358" s="9" t="s">
        <v>9330</v>
      </c>
      <c r="G2358" s="9" t="s">
        <v>24</v>
      </c>
      <c r="H2358" s="15" t="s">
        <v>23</v>
      </c>
      <c r="I2358" s="9" t="s">
        <v>9331</v>
      </c>
      <c r="J2358" s="13"/>
      <c r="K2358" s="13"/>
    </row>
    <row r="2359" customFormat="false" ht="23.85" hidden="false" customHeight="false" outlineLevel="0" collapsed="false">
      <c r="A2359" s="9" t="n">
        <v>2358</v>
      </c>
      <c r="B2359" s="9" t="s">
        <v>123</v>
      </c>
      <c r="C2359" s="11" t="s">
        <v>136</v>
      </c>
      <c r="D2359" s="9" t="s">
        <v>9332</v>
      </c>
      <c r="E2359" s="9" t="s">
        <v>358</v>
      </c>
      <c r="F2359" s="9" t="s">
        <v>9333</v>
      </c>
      <c r="G2359" s="9" t="s">
        <v>24</v>
      </c>
      <c r="H2359" s="15" t="s">
        <v>23</v>
      </c>
      <c r="I2359" s="9" t="s">
        <v>4489</v>
      </c>
      <c r="J2359" s="13"/>
      <c r="K2359" s="13"/>
    </row>
    <row r="2360" customFormat="false" ht="23.85" hidden="false" customHeight="false" outlineLevel="0" collapsed="false">
      <c r="A2360" s="9" t="n">
        <v>2359</v>
      </c>
      <c r="B2360" s="9" t="s">
        <v>123</v>
      </c>
      <c r="C2360" s="11" t="s">
        <v>136</v>
      </c>
      <c r="D2360" s="9" t="s">
        <v>9334</v>
      </c>
      <c r="E2360" s="9" t="s">
        <v>9335</v>
      </c>
      <c r="F2360" s="9" t="s">
        <v>9336</v>
      </c>
      <c r="G2360" s="9" t="s">
        <v>24</v>
      </c>
      <c r="H2360" s="15" t="s">
        <v>23</v>
      </c>
      <c r="I2360" s="9" t="s">
        <v>2839</v>
      </c>
      <c r="J2360" s="13"/>
      <c r="K2360" s="13"/>
    </row>
    <row r="2361" customFormat="false" ht="23.85" hidden="false" customHeight="false" outlineLevel="0" collapsed="false">
      <c r="A2361" s="9" t="n">
        <v>2360</v>
      </c>
      <c r="B2361" s="9" t="s">
        <v>123</v>
      </c>
      <c r="C2361" s="11" t="s">
        <v>136</v>
      </c>
      <c r="D2361" s="9" t="s">
        <v>9337</v>
      </c>
      <c r="E2361" s="9" t="s">
        <v>9021</v>
      </c>
      <c r="F2361" s="9" t="s">
        <v>9022</v>
      </c>
      <c r="G2361" s="9" t="s">
        <v>24</v>
      </c>
      <c r="H2361" s="15" t="s">
        <v>23</v>
      </c>
      <c r="I2361" s="9" t="s">
        <v>5550</v>
      </c>
      <c r="J2361" s="13"/>
      <c r="K2361" s="13"/>
    </row>
    <row r="2362" customFormat="false" ht="23.85" hidden="false" customHeight="false" outlineLevel="0" collapsed="false">
      <c r="A2362" s="9" t="n">
        <v>2361</v>
      </c>
      <c r="B2362" s="9" t="s">
        <v>123</v>
      </c>
      <c r="C2362" s="11" t="s">
        <v>136</v>
      </c>
      <c r="D2362" s="9" t="s">
        <v>9338</v>
      </c>
      <c r="E2362" s="9" t="s">
        <v>9339</v>
      </c>
      <c r="F2362" s="9" t="s">
        <v>9340</v>
      </c>
      <c r="G2362" s="9" t="s">
        <v>24</v>
      </c>
      <c r="H2362" s="15" t="s">
        <v>23</v>
      </c>
      <c r="I2362" s="9" t="s">
        <v>9341</v>
      </c>
      <c r="J2362" s="13"/>
      <c r="K2362" s="13"/>
    </row>
    <row r="2363" customFormat="false" ht="135.8" hidden="false" customHeight="false" outlineLevel="0" collapsed="false">
      <c r="A2363" s="9" t="n">
        <v>2362</v>
      </c>
      <c r="B2363" s="9" t="s">
        <v>123</v>
      </c>
      <c r="C2363" s="11" t="s">
        <v>138</v>
      </c>
      <c r="D2363" s="9" t="s">
        <v>9342</v>
      </c>
      <c r="E2363" s="9" t="s">
        <v>9343</v>
      </c>
      <c r="F2363" s="9" t="s">
        <v>9344</v>
      </c>
      <c r="G2363" s="9" t="s">
        <v>1349</v>
      </c>
      <c r="H2363" s="12" t="s">
        <v>21</v>
      </c>
      <c r="I2363" s="9" t="s">
        <v>9345</v>
      </c>
      <c r="J2363" s="13"/>
      <c r="K2363" s="13"/>
    </row>
    <row r="2364" customFormat="false" ht="79.85" hidden="false" customHeight="false" outlineLevel="0" collapsed="false">
      <c r="A2364" s="9" t="n">
        <v>2363</v>
      </c>
      <c r="B2364" s="9" t="s">
        <v>123</v>
      </c>
      <c r="C2364" s="11" t="s">
        <v>138</v>
      </c>
      <c r="D2364" s="9" t="s">
        <v>9346</v>
      </c>
      <c r="E2364" s="9" t="s">
        <v>9347</v>
      </c>
      <c r="F2364" s="9" t="s">
        <v>9348</v>
      </c>
      <c r="G2364" s="9" t="s">
        <v>1072</v>
      </c>
      <c r="H2364" s="14" t="s">
        <v>22</v>
      </c>
      <c r="I2364" s="9" t="s">
        <v>9349</v>
      </c>
      <c r="J2364" s="13"/>
      <c r="K2364" s="13"/>
    </row>
    <row r="2365" customFormat="false" ht="79.85" hidden="false" customHeight="false" outlineLevel="0" collapsed="false">
      <c r="A2365" s="9" t="n">
        <v>2364</v>
      </c>
      <c r="B2365" s="9" t="s">
        <v>123</v>
      </c>
      <c r="C2365" s="11" t="s">
        <v>138</v>
      </c>
      <c r="D2365" s="9" t="s">
        <v>9350</v>
      </c>
      <c r="E2365" s="9" t="s">
        <v>9351</v>
      </c>
      <c r="F2365" s="9" t="s">
        <v>9352</v>
      </c>
      <c r="G2365" s="9" t="s">
        <v>317</v>
      </c>
      <c r="H2365" s="14" t="s">
        <v>22</v>
      </c>
      <c r="I2365" s="9" t="s">
        <v>9353</v>
      </c>
      <c r="J2365" s="13"/>
      <c r="K2365" s="13"/>
    </row>
    <row r="2366" customFormat="false" ht="68.65" hidden="false" customHeight="false" outlineLevel="0" collapsed="false">
      <c r="A2366" s="9" t="n">
        <v>2365</v>
      </c>
      <c r="B2366" s="9" t="s">
        <v>123</v>
      </c>
      <c r="C2366" s="11" t="s">
        <v>138</v>
      </c>
      <c r="D2366" s="9" t="s">
        <v>9354</v>
      </c>
      <c r="E2366" s="9" t="s">
        <v>9355</v>
      </c>
      <c r="F2366" s="9" t="s">
        <v>9356</v>
      </c>
      <c r="G2366" s="9" t="s">
        <v>317</v>
      </c>
      <c r="H2366" s="14" t="s">
        <v>22</v>
      </c>
      <c r="I2366" s="9" t="s">
        <v>9357</v>
      </c>
      <c r="J2366" s="13"/>
      <c r="K2366" s="13"/>
    </row>
    <row r="2367" customFormat="false" ht="79.85" hidden="false" customHeight="false" outlineLevel="0" collapsed="false">
      <c r="A2367" s="9" t="n">
        <v>2366</v>
      </c>
      <c r="B2367" s="9" t="s">
        <v>123</v>
      </c>
      <c r="C2367" s="11" t="s">
        <v>138</v>
      </c>
      <c r="D2367" s="9" t="s">
        <v>9358</v>
      </c>
      <c r="E2367" s="9" t="s">
        <v>9359</v>
      </c>
      <c r="F2367" s="9" t="s">
        <v>9360</v>
      </c>
      <c r="G2367" s="9" t="s">
        <v>1063</v>
      </c>
      <c r="H2367" s="12" t="s">
        <v>21</v>
      </c>
      <c r="I2367" s="9" t="s">
        <v>9361</v>
      </c>
      <c r="J2367" s="13"/>
      <c r="K2367" s="13"/>
    </row>
    <row r="2368" customFormat="false" ht="113.4" hidden="false" customHeight="false" outlineLevel="0" collapsed="false">
      <c r="A2368" s="9" t="n">
        <v>2367</v>
      </c>
      <c r="B2368" s="9" t="s">
        <v>123</v>
      </c>
      <c r="C2368" s="11" t="s">
        <v>138</v>
      </c>
      <c r="D2368" s="9" t="s">
        <v>9362</v>
      </c>
      <c r="E2368" s="9" t="s">
        <v>9363</v>
      </c>
      <c r="F2368" s="9" t="s">
        <v>9364</v>
      </c>
      <c r="G2368" s="9" t="s">
        <v>1613</v>
      </c>
      <c r="H2368" s="12" t="s">
        <v>21</v>
      </c>
      <c r="I2368" s="9" t="s">
        <v>9365</v>
      </c>
      <c r="J2368" s="13"/>
      <c r="K2368" s="13"/>
    </row>
    <row r="2369" customFormat="false" ht="102.2" hidden="false" customHeight="false" outlineLevel="0" collapsed="false">
      <c r="A2369" s="9" t="n">
        <v>2368</v>
      </c>
      <c r="B2369" s="9" t="s">
        <v>123</v>
      </c>
      <c r="C2369" s="11" t="s">
        <v>138</v>
      </c>
      <c r="D2369" s="9" t="s">
        <v>9366</v>
      </c>
      <c r="E2369" s="9" t="s">
        <v>9367</v>
      </c>
      <c r="F2369" s="9" t="s">
        <v>9368</v>
      </c>
      <c r="G2369" s="9" t="s">
        <v>392</v>
      </c>
      <c r="H2369" s="14" t="s">
        <v>22</v>
      </c>
      <c r="I2369" s="9" t="s">
        <v>9369</v>
      </c>
      <c r="J2369" s="13"/>
      <c r="K2369" s="13"/>
    </row>
    <row r="2370" customFormat="false" ht="79.85" hidden="false" customHeight="false" outlineLevel="0" collapsed="false">
      <c r="A2370" s="9" t="n">
        <v>2369</v>
      </c>
      <c r="B2370" s="9" t="s">
        <v>123</v>
      </c>
      <c r="C2370" s="11" t="s">
        <v>138</v>
      </c>
      <c r="D2370" s="9" t="s">
        <v>9370</v>
      </c>
      <c r="E2370" s="9" t="s">
        <v>9371</v>
      </c>
      <c r="F2370" s="9" t="s">
        <v>9372</v>
      </c>
      <c r="G2370" s="9" t="s">
        <v>1072</v>
      </c>
      <c r="H2370" s="12" t="s">
        <v>21</v>
      </c>
      <c r="I2370" s="9" t="s">
        <v>9373</v>
      </c>
      <c r="J2370" s="13"/>
      <c r="K2370" s="13"/>
    </row>
    <row r="2371" customFormat="false" ht="91" hidden="false" customHeight="false" outlineLevel="0" collapsed="false">
      <c r="A2371" s="9" t="n">
        <v>2370</v>
      </c>
      <c r="B2371" s="9" t="s">
        <v>123</v>
      </c>
      <c r="C2371" s="11" t="s">
        <v>138</v>
      </c>
      <c r="D2371" s="9" t="s">
        <v>9374</v>
      </c>
      <c r="E2371" s="9" t="s">
        <v>9375</v>
      </c>
      <c r="F2371" s="9" t="s">
        <v>9376</v>
      </c>
      <c r="G2371" s="9" t="s">
        <v>1072</v>
      </c>
      <c r="H2371" s="12" t="s">
        <v>21</v>
      </c>
      <c r="I2371" s="9" t="s">
        <v>9377</v>
      </c>
      <c r="J2371" s="13"/>
      <c r="K2371" s="13"/>
    </row>
    <row r="2372" customFormat="false" ht="68.65" hidden="false" customHeight="false" outlineLevel="0" collapsed="false">
      <c r="A2372" s="9" t="n">
        <v>2371</v>
      </c>
      <c r="B2372" s="9" t="s">
        <v>123</v>
      </c>
      <c r="C2372" s="11" t="s">
        <v>138</v>
      </c>
      <c r="D2372" s="9" t="s">
        <v>9378</v>
      </c>
      <c r="E2372" s="9" t="s">
        <v>9379</v>
      </c>
      <c r="F2372" s="9" t="s">
        <v>9380</v>
      </c>
      <c r="G2372" s="9" t="s">
        <v>1852</v>
      </c>
      <c r="H2372" s="14" t="s">
        <v>22</v>
      </c>
      <c r="I2372" s="9" t="s">
        <v>9381</v>
      </c>
      <c r="J2372" s="13"/>
      <c r="K2372" s="13"/>
    </row>
    <row r="2373" customFormat="false" ht="57.45" hidden="false" customHeight="false" outlineLevel="0" collapsed="false">
      <c r="A2373" s="9" t="n">
        <v>2372</v>
      </c>
      <c r="B2373" s="9" t="s">
        <v>123</v>
      </c>
      <c r="C2373" s="11" t="s">
        <v>138</v>
      </c>
      <c r="D2373" s="9" t="s">
        <v>9382</v>
      </c>
      <c r="E2373" s="9" t="s">
        <v>9383</v>
      </c>
      <c r="F2373" s="9" t="s">
        <v>9384</v>
      </c>
      <c r="G2373" s="9" t="s">
        <v>312</v>
      </c>
      <c r="H2373" s="15" t="s">
        <v>23</v>
      </c>
      <c r="I2373" s="9" t="s">
        <v>9385</v>
      </c>
      <c r="J2373" s="13"/>
      <c r="K2373" s="13"/>
    </row>
    <row r="2374" customFormat="false" ht="57.45" hidden="false" customHeight="false" outlineLevel="0" collapsed="false">
      <c r="A2374" s="9" t="n">
        <v>2373</v>
      </c>
      <c r="B2374" s="9" t="s">
        <v>123</v>
      </c>
      <c r="C2374" s="11" t="s">
        <v>138</v>
      </c>
      <c r="D2374" s="9" t="s">
        <v>9386</v>
      </c>
      <c r="E2374" s="9" t="s">
        <v>9387</v>
      </c>
      <c r="F2374" s="9" t="s">
        <v>9388</v>
      </c>
      <c r="G2374" s="9" t="s">
        <v>4141</v>
      </c>
      <c r="H2374" s="15" t="s">
        <v>23</v>
      </c>
      <c r="I2374" s="9" t="s">
        <v>9389</v>
      </c>
      <c r="J2374" s="13"/>
      <c r="K2374" s="13"/>
    </row>
    <row r="2375" customFormat="false" ht="68.65" hidden="false" customHeight="false" outlineLevel="0" collapsed="false">
      <c r="A2375" s="9" t="n">
        <v>2374</v>
      </c>
      <c r="B2375" s="9" t="s">
        <v>123</v>
      </c>
      <c r="C2375" s="11" t="s">
        <v>138</v>
      </c>
      <c r="D2375" s="9" t="s">
        <v>9390</v>
      </c>
      <c r="E2375" s="9" t="s">
        <v>9391</v>
      </c>
      <c r="F2375" s="9" t="s">
        <v>9392</v>
      </c>
      <c r="G2375" s="9" t="s">
        <v>392</v>
      </c>
      <c r="H2375" s="14" t="s">
        <v>22</v>
      </c>
      <c r="I2375" s="9" t="s">
        <v>9393</v>
      </c>
      <c r="J2375" s="13"/>
      <c r="K2375" s="13"/>
    </row>
    <row r="2376" customFormat="false" ht="68.65" hidden="false" customHeight="false" outlineLevel="0" collapsed="false">
      <c r="A2376" s="9" t="n">
        <v>2375</v>
      </c>
      <c r="B2376" s="9" t="s">
        <v>123</v>
      </c>
      <c r="C2376" s="11" t="s">
        <v>138</v>
      </c>
      <c r="D2376" s="9" t="s">
        <v>9394</v>
      </c>
      <c r="E2376" s="9" t="s">
        <v>9395</v>
      </c>
      <c r="F2376" s="9" t="s">
        <v>9396</v>
      </c>
      <c r="G2376" s="9" t="s">
        <v>1072</v>
      </c>
      <c r="H2376" s="14" t="s">
        <v>22</v>
      </c>
      <c r="I2376" s="9" t="s">
        <v>9397</v>
      </c>
      <c r="J2376" s="13"/>
      <c r="K2376" s="13"/>
    </row>
    <row r="2377" customFormat="false" ht="68.65" hidden="false" customHeight="false" outlineLevel="0" collapsed="false">
      <c r="A2377" s="9" t="n">
        <v>2376</v>
      </c>
      <c r="B2377" s="9" t="s">
        <v>123</v>
      </c>
      <c r="C2377" s="11" t="s">
        <v>138</v>
      </c>
      <c r="D2377" s="9" t="s">
        <v>9398</v>
      </c>
      <c r="E2377" s="9" t="s">
        <v>9399</v>
      </c>
      <c r="F2377" s="9" t="s">
        <v>9400</v>
      </c>
      <c r="G2377" s="9" t="s">
        <v>1613</v>
      </c>
      <c r="H2377" s="12" t="s">
        <v>21</v>
      </c>
      <c r="I2377" s="9" t="s">
        <v>9401</v>
      </c>
      <c r="J2377" s="13"/>
      <c r="K2377" s="13"/>
    </row>
    <row r="2378" customFormat="false" ht="91" hidden="false" customHeight="false" outlineLevel="0" collapsed="false">
      <c r="A2378" s="9" t="n">
        <v>2377</v>
      </c>
      <c r="B2378" s="9" t="s">
        <v>123</v>
      </c>
      <c r="C2378" s="11" t="s">
        <v>138</v>
      </c>
      <c r="D2378" s="9" t="s">
        <v>9402</v>
      </c>
      <c r="E2378" s="9" t="s">
        <v>9403</v>
      </c>
      <c r="F2378" s="9" t="s">
        <v>9404</v>
      </c>
      <c r="G2378" s="9" t="s">
        <v>392</v>
      </c>
      <c r="H2378" s="14" t="s">
        <v>22</v>
      </c>
      <c r="I2378" s="9" t="s">
        <v>9405</v>
      </c>
      <c r="J2378" s="13"/>
      <c r="K2378" s="13"/>
    </row>
    <row r="2379" customFormat="false" ht="79.85" hidden="false" customHeight="false" outlineLevel="0" collapsed="false">
      <c r="A2379" s="9" t="n">
        <v>2378</v>
      </c>
      <c r="B2379" s="9" t="s">
        <v>123</v>
      </c>
      <c r="C2379" s="11" t="s">
        <v>138</v>
      </c>
      <c r="D2379" s="9" t="s">
        <v>9406</v>
      </c>
      <c r="E2379" s="9" t="s">
        <v>9407</v>
      </c>
      <c r="F2379" s="9" t="s">
        <v>9408</v>
      </c>
      <c r="G2379" s="9" t="s">
        <v>1072</v>
      </c>
      <c r="H2379" s="12" t="s">
        <v>21</v>
      </c>
      <c r="I2379" s="9" t="s">
        <v>9409</v>
      </c>
      <c r="J2379" s="13"/>
      <c r="K2379" s="13"/>
    </row>
    <row r="2380" customFormat="false" ht="46.25" hidden="false" customHeight="false" outlineLevel="0" collapsed="false">
      <c r="A2380" s="9" t="n">
        <v>2379</v>
      </c>
      <c r="B2380" s="9" t="s">
        <v>123</v>
      </c>
      <c r="C2380" s="11" t="s">
        <v>138</v>
      </c>
      <c r="D2380" s="9" t="s">
        <v>9410</v>
      </c>
      <c r="E2380" s="9" t="s">
        <v>9411</v>
      </c>
      <c r="F2380" s="9" t="s">
        <v>9412</v>
      </c>
      <c r="G2380" s="9" t="s">
        <v>1072</v>
      </c>
      <c r="H2380" s="14" t="s">
        <v>22</v>
      </c>
      <c r="I2380" s="9" t="s">
        <v>9413</v>
      </c>
      <c r="J2380" s="13"/>
      <c r="K2380" s="13"/>
    </row>
    <row r="2381" customFormat="false" ht="46.25" hidden="false" customHeight="false" outlineLevel="0" collapsed="false">
      <c r="A2381" s="9" t="n">
        <v>2380</v>
      </c>
      <c r="B2381" s="9" t="s">
        <v>123</v>
      </c>
      <c r="C2381" s="11" t="s">
        <v>138</v>
      </c>
      <c r="D2381" s="9" t="s">
        <v>9414</v>
      </c>
      <c r="E2381" s="9" t="s">
        <v>9415</v>
      </c>
      <c r="F2381" s="9" t="s">
        <v>9416</v>
      </c>
      <c r="G2381" s="9" t="s">
        <v>317</v>
      </c>
      <c r="H2381" s="15" t="s">
        <v>23</v>
      </c>
      <c r="I2381" s="9" t="s">
        <v>9417</v>
      </c>
      <c r="J2381" s="13"/>
      <c r="K2381" s="13"/>
    </row>
    <row r="2382" customFormat="false" ht="91" hidden="false" customHeight="false" outlineLevel="0" collapsed="false">
      <c r="A2382" s="9" t="n">
        <v>2381</v>
      </c>
      <c r="B2382" s="9" t="s">
        <v>123</v>
      </c>
      <c r="C2382" s="11" t="s">
        <v>138</v>
      </c>
      <c r="D2382" s="9" t="s">
        <v>9418</v>
      </c>
      <c r="E2382" s="9" t="s">
        <v>9419</v>
      </c>
      <c r="F2382" s="9" t="s">
        <v>9420</v>
      </c>
      <c r="G2382" s="9" t="s">
        <v>1613</v>
      </c>
      <c r="H2382" s="12" t="s">
        <v>21</v>
      </c>
      <c r="I2382" s="9" t="s">
        <v>9421</v>
      </c>
      <c r="J2382" s="13"/>
      <c r="K2382" s="13"/>
    </row>
    <row r="2383" customFormat="false" ht="147" hidden="false" customHeight="false" outlineLevel="0" collapsed="false">
      <c r="A2383" s="9" t="n">
        <v>2382</v>
      </c>
      <c r="B2383" s="9" t="s">
        <v>123</v>
      </c>
      <c r="C2383" s="11" t="s">
        <v>138</v>
      </c>
      <c r="D2383" s="9" t="s">
        <v>9422</v>
      </c>
      <c r="E2383" s="9" t="s">
        <v>9423</v>
      </c>
      <c r="F2383" s="9" t="s">
        <v>9424</v>
      </c>
      <c r="G2383" s="9" t="s">
        <v>392</v>
      </c>
      <c r="H2383" s="12" t="s">
        <v>21</v>
      </c>
      <c r="I2383" s="9" t="s">
        <v>9425</v>
      </c>
      <c r="J2383" s="13"/>
      <c r="K2383" s="13"/>
    </row>
    <row r="2384" customFormat="false" ht="68.65" hidden="false" customHeight="false" outlineLevel="0" collapsed="false">
      <c r="A2384" s="9" t="n">
        <v>2383</v>
      </c>
      <c r="B2384" s="9" t="s">
        <v>123</v>
      </c>
      <c r="C2384" s="11" t="s">
        <v>138</v>
      </c>
      <c r="D2384" s="9" t="s">
        <v>9426</v>
      </c>
      <c r="E2384" s="9" t="s">
        <v>9427</v>
      </c>
      <c r="F2384" s="9" t="s">
        <v>9428</v>
      </c>
      <c r="G2384" s="9" t="s">
        <v>312</v>
      </c>
      <c r="H2384" s="14" t="s">
        <v>22</v>
      </c>
      <c r="I2384" s="9" t="s">
        <v>9429</v>
      </c>
      <c r="J2384" s="13"/>
      <c r="K2384" s="13"/>
    </row>
    <row r="2385" customFormat="false" ht="79.85" hidden="false" customHeight="false" outlineLevel="0" collapsed="false">
      <c r="A2385" s="9" t="n">
        <v>2384</v>
      </c>
      <c r="B2385" s="9" t="s">
        <v>123</v>
      </c>
      <c r="C2385" s="11" t="s">
        <v>138</v>
      </c>
      <c r="D2385" s="9" t="s">
        <v>9430</v>
      </c>
      <c r="E2385" s="9" t="s">
        <v>9431</v>
      </c>
      <c r="F2385" s="9" t="s">
        <v>9432</v>
      </c>
      <c r="G2385" s="9" t="s">
        <v>1072</v>
      </c>
      <c r="H2385" s="14" t="s">
        <v>22</v>
      </c>
      <c r="I2385" s="9" t="s">
        <v>9433</v>
      </c>
      <c r="J2385" s="13"/>
      <c r="K2385" s="13"/>
    </row>
    <row r="2386" customFormat="false" ht="57.45" hidden="false" customHeight="false" outlineLevel="0" collapsed="false">
      <c r="A2386" s="9" t="n">
        <v>2385</v>
      </c>
      <c r="B2386" s="9" t="s">
        <v>123</v>
      </c>
      <c r="C2386" s="11" t="s">
        <v>138</v>
      </c>
      <c r="D2386" s="9" t="s">
        <v>9434</v>
      </c>
      <c r="E2386" s="9" t="s">
        <v>9435</v>
      </c>
      <c r="F2386" s="9" t="s">
        <v>9436</v>
      </c>
      <c r="G2386" s="9" t="s">
        <v>312</v>
      </c>
      <c r="H2386" s="14" t="s">
        <v>22</v>
      </c>
      <c r="I2386" s="9" t="s">
        <v>9437</v>
      </c>
      <c r="J2386" s="13"/>
      <c r="K2386" s="13"/>
    </row>
    <row r="2387" customFormat="false" ht="57.45" hidden="false" customHeight="false" outlineLevel="0" collapsed="false">
      <c r="A2387" s="9" t="n">
        <v>2386</v>
      </c>
      <c r="B2387" s="9" t="s">
        <v>123</v>
      </c>
      <c r="C2387" s="11" t="s">
        <v>138</v>
      </c>
      <c r="D2387" s="9" t="s">
        <v>9438</v>
      </c>
      <c r="E2387" s="9" t="s">
        <v>9439</v>
      </c>
      <c r="F2387" s="9" t="s">
        <v>9440</v>
      </c>
      <c r="G2387" s="9" t="s">
        <v>3266</v>
      </c>
      <c r="H2387" s="14" t="s">
        <v>22</v>
      </c>
      <c r="I2387" s="9" t="s">
        <v>9441</v>
      </c>
      <c r="J2387" s="13"/>
      <c r="K2387" s="13"/>
    </row>
    <row r="2388" customFormat="false" ht="46.25" hidden="false" customHeight="false" outlineLevel="0" collapsed="false">
      <c r="A2388" s="9" t="n">
        <v>2387</v>
      </c>
      <c r="B2388" s="9" t="s">
        <v>123</v>
      </c>
      <c r="C2388" s="11" t="s">
        <v>138</v>
      </c>
      <c r="D2388" s="9" t="s">
        <v>9442</v>
      </c>
      <c r="E2388" s="9" t="s">
        <v>9443</v>
      </c>
      <c r="F2388" s="9" t="s">
        <v>9444</v>
      </c>
      <c r="G2388" s="9" t="s">
        <v>4232</v>
      </c>
      <c r="H2388" s="15" t="s">
        <v>23</v>
      </c>
      <c r="I2388" s="9" t="s">
        <v>9445</v>
      </c>
      <c r="J2388" s="13"/>
      <c r="K2388" s="13"/>
    </row>
    <row r="2389" customFormat="false" ht="35.05" hidden="false" customHeight="false" outlineLevel="0" collapsed="false">
      <c r="A2389" s="9" t="n">
        <v>2388</v>
      </c>
      <c r="B2389" s="9" t="s">
        <v>123</v>
      </c>
      <c r="C2389" s="11" t="s">
        <v>138</v>
      </c>
      <c r="D2389" s="9" t="s">
        <v>9446</v>
      </c>
      <c r="E2389" s="9" t="s">
        <v>9447</v>
      </c>
      <c r="F2389" s="9" t="s">
        <v>9448</v>
      </c>
      <c r="G2389" s="9" t="s">
        <v>1852</v>
      </c>
      <c r="H2389" s="14" t="s">
        <v>22</v>
      </c>
      <c r="I2389" s="9" t="s">
        <v>9449</v>
      </c>
      <c r="J2389" s="13"/>
      <c r="K2389" s="13"/>
    </row>
    <row r="2390" customFormat="false" ht="57.45" hidden="false" customHeight="false" outlineLevel="0" collapsed="false">
      <c r="A2390" s="9" t="n">
        <v>2389</v>
      </c>
      <c r="B2390" s="9" t="s">
        <v>123</v>
      </c>
      <c r="C2390" s="11" t="s">
        <v>138</v>
      </c>
      <c r="D2390" s="9" t="s">
        <v>9450</v>
      </c>
      <c r="E2390" s="9" t="s">
        <v>9451</v>
      </c>
      <c r="F2390" s="9" t="s">
        <v>9452</v>
      </c>
      <c r="G2390" s="9" t="s">
        <v>1072</v>
      </c>
      <c r="H2390" s="14" t="s">
        <v>22</v>
      </c>
      <c r="I2390" s="9" t="s">
        <v>9453</v>
      </c>
      <c r="J2390" s="13"/>
      <c r="K2390" s="13"/>
    </row>
    <row r="2391" customFormat="false" ht="57.45" hidden="false" customHeight="false" outlineLevel="0" collapsed="false">
      <c r="A2391" s="9" t="n">
        <v>2390</v>
      </c>
      <c r="B2391" s="9" t="s">
        <v>123</v>
      </c>
      <c r="C2391" s="11" t="s">
        <v>138</v>
      </c>
      <c r="D2391" s="9" t="s">
        <v>9454</v>
      </c>
      <c r="E2391" s="9" t="s">
        <v>9455</v>
      </c>
      <c r="F2391" s="9" t="s">
        <v>9456</v>
      </c>
      <c r="G2391" s="9" t="s">
        <v>1852</v>
      </c>
      <c r="H2391" s="14" t="s">
        <v>22</v>
      </c>
      <c r="I2391" s="9" t="s">
        <v>9457</v>
      </c>
      <c r="J2391" s="13"/>
      <c r="K2391" s="13"/>
    </row>
    <row r="2392" customFormat="false" ht="91" hidden="false" customHeight="false" outlineLevel="0" collapsed="false">
      <c r="A2392" s="9" t="n">
        <v>2391</v>
      </c>
      <c r="B2392" s="9" t="s">
        <v>123</v>
      </c>
      <c r="C2392" s="11" t="s">
        <v>138</v>
      </c>
      <c r="D2392" s="9" t="s">
        <v>9458</v>
      </c>
      <c r="E2392" s="9" t="s">
        <v>9459</v>
      </c>
      <c r="F2392" s="9" t="s">
        <v>9460</v>
      </c>
      <c r="G2392" s="9" t="s">
        <v>1063</v>
      </c>
      <c r="H2392" s="14" t="s">
        <v>22</v>
      </c>
      <c r="I2392" s="9" t="s">
        <v>9461</v>
      </c>
      <c r="J2392" s="13"/>
      <c r="K2392" s="13"/>
    </row>
    <row r="2393" customFormat="false" ht="79.85" hidden="false" customHeight="false" outlineLevel="0" collapsed="false">
      <c r="A2393" s="9" t="n">
        <v>2392</v>
      </c>
      <c r="B2393" s="9" t="s">
        <v>123</v>
      </c>
      <c r="C2393" s="11" t="s">
        <v>138</v>
      </c>
      <c r="D2393" s="9" t="s">
        <v>9462</v>
      </c>
      <c r="E2393" s="9" t="s">
        <v>9463</v>
      </c>
      <c r="F2393" s="9" t="s">
        <v>9464</v>
      </c>
      <c r="G2393" s="9" t="s">
        <v>324</v>
      </c>
      <c r="H2393" s="12" t="s">
        <v>21</v>
      </c>
      <c r="I2393" s="9" t="s">
        <v>9465</v>
      </c>
      <c r="J2393" s="13"/>
      <c r="K2393" s="13"/>
    </row>
    <row r="2394" customFormat="false" ht="79.85" hidden="false" customHeight="false" outlineLevel="0" collapsed="false">
      <c r="A2394" s="9" t="n">
        <v>2393</v>
      </c>
      <c r="B2394" s="9" t="s">
        <v>123</v>
      </c>
      <c r="C2394" s="11" t="s">
        <v>138</v>
      </c>
      <c r="D2394" s="9" t="s">
        <v>9466</v>
      </c>
      <c r="E2394" s="9" t="s">
        <v>9467</v>
      </c>
      <c r="F2394" s="9" t="s">
        <v>9468</v>
      </c>
      <c r="G2394" s="9" t="s">
        <v>1063</v>
      </c>
      <c r="H2394" s="14" t="s">
        <v>22</v>
      </c>
      <c r="I2394" s="9" t="s">
        <v>9469</v>
      </c>
      <c r="J2394" s="13"/>
      <c r="K2394" s="13"/>
    </row>
    <row r="2395" customFormat="false" ht="79.85" hidden="false" customHeight="false" outlineLevel="0" collapsed="false">
      <c r="A2395" s="9" t="n">
        <v>2394</v>
      </c>
      <c r="B2395" s="9" t="s">
        <v>123</v>
      </c>
      <c r="C2395" s="11" t="s">
        <v>138</v>
      </c>
      <c r="D2395" s="9" t="s">
        <v>9470</v>
      </c>
      <c r="E2395" s="9" t="s">
        <v>9471</v>
      </c>
      <c r="F2395" s="9" t="s">
        <v>9472</v>
      </c>
      <c r="G2395" s="9" t="s">
        <v>1638</v>
      </c>
      <c r="H2395" s="12" t="s">
        <v>21</v>
      </c>
      <c r="I2395" s="9" t="s">
        <v>9473</v>
      </c>
      <c r="J2395" s="13"/>
      <c r="K2395" s="13"/>
    </row>
    <row r="2396" customFormat="false" ht="35.05" hidden="false" customHeight="false" outlineLevel="0" collapsed="false">
      <c r="A2396" s="9" t="n">
        <v>2395</v>
      </c>
      <c r="B2396" s="9" t="s">
        <v>123</v>
      </c>
      <c r="C2396" s="11" t="s">
        <v>138</v>
      </c>
      <c r="D2396" s="9" t="s">
        <v>9474</v>
      </c>
      <c r="E2396" s="9" t="s">
        <v>9475</v>
      </c>
      <c r="F2396" s="9" t="s">
        <v>9476</v>
      </c>
      <c r="G2396" s="9" t="s">
        <v>1072</v>
      </c>
      <c r="H2396" s="15" t="s">
        <v>23</v>
      </c>
      <c r="I2396" s="9" t="s">
        <v>9477</v>
      </c>
      <c r="J2396" s="13"/>
      <c r="K2396" s="13"/>
    </row>
    <row r="2397" customFormat="false" ht="46.25" hidden="false" customHeight="false" outlineLevel="0" collapsed="false">
      <c r="A2397" s="9" t="n">
        <v>2396</v>
      </c>
      <c r="B2397" s="9" t="s">
        <v>123</v>
      </c>
      <c r="C2397" s="11" t="s">
        <v>138</v>
      </c>
      <c r="D2397" s="9" t="s">
        <v>9478</v>
      </c>
      <c r="E2397" s="9" t="s">
        <v>9479</v>
      </c>
      <c r="F2397" s="9" t="s">
        <v>9480</v>
      </c>
      <c r="G2397" s="9" t="s">
        <v>317</v>
      </c>
      <c r="H2397" s="15" t="s">
        <v>23</v>
      </c>
      <c r="I2397" s="9" t="s">
        <v>9481</v>
      </c>
      <c r="J2397" s="13"/>
      <c r="K2397" s="13"/>
    </row>
    <row r="2398" customFormat="false" ht="46.25" hidden="false" customHeight="false" outlineLevel="0" collapsed="false">
      <c r="A2398" s="9" t="n">
        <v>2397</v>
      </c>
      <c r="B2398" s="9" t="s">
        <v>123</v>
      </c>
      <c r="C2398" s="11" t="s">
        <v>138</v>
      </c>
      <c r="D2398" s="9" t="s">
        <v>9482</v>
      </c>
      <c r="E2398" s="9" t="s">
        <v>9483</v>
      </c>
      <c r="F2398" s="9" t="s">
        <v>9484</v>
      </c>
      <c r="G2398" s="9" t="s">
        <v>1072</v>
      </c>
      <c r="H2398" s="15" t="s">
        <v>23</v>
      </c>
      <c r="I2398" s="9" t="s">
        <v>9485</v>
      </c>
      <c r="J2398" s="13"/>
      <c r="K2398" s="13"/>
    </row>
    <row r="2399" customFormat="false" ht="23.85" hidden="false" customHeight="false" outlineLevel="0" collapsed="false">
      <c r="A2399" s="9" t="n">
        <v>2398</v>
      </c>
      <c r="B2399" s="9" t="s">
        <v>123</v>
      </c>
      <c r="C2399" s="11" t="s">
        <v>138</v>
      </c>
      <c r="D2399" s="9" t="s">
        <v>9486</v>
      </c>
      <c r="E2399" s="9" t="s">
        <v>9487</v>
      </c>
      <c r="F2399" s="9" t="s">
        <v>9488</v>
      </c>
      <c r="G2399" s="9" t="s">
        <v>1072</v>
      </c>
      <c r="H2399" s="15" t="s">
        <v>23</v>
      </c>
      <c r="I2399" s="9" t="s">
        <v>9489</v>
      </c>
      <c r="J2399" s="13"/>
      <c r="K2399" s="13"/>
    </row>
    <row r="2400" customFormat="false" ht="68.65" hidden="false" customHeight="false" outlineLevel="0" collapsed="false">
      <c r="A2400" s="9" t="n">
        <v>2399</v>
      </c>
      <c r="B2400" s="9" t="s">
        <v>123</v>
      </c>
      <c r="C2400" s="11" t="s">
        <v>138</v>
      </c>
      <c r="D2400" s="9" t="s">
        <v>9490</v>
      </c>
      <c r="E2400" s="9" t="s">
        <v>9491</v>
      </c>
      <c r="F2400" s="9" t="s">
        <v>9492</v>
      </c>
      <c r="G2400" s="9" t="s">
        <v>312</v>
      </c>
      <c r="H2400" s="14" t="s">
        <v>22</v>
      </c>
      <c r="I2400" s="9" t="s">
        <v>9493</v>
      </c>
      <c r="J2400" s="13"/>
      <c r="K2400" s="13"/>
    </row>
    <row r="2401" customFormat="false" ht="35.05" hidden="false" customHeight="false" outlineLevel="0" collapsed="false">
      <c r="A2401" s="9" t="n">
        <v>2400</v>
      </c>
      <c r="B2401" s="9" t="s">
        <v>123</v>
      </c>
      <c r="C2401" s="11" t="s">
        <v>138</v>
      </c>
      <c r="D2401" s="9" t="s">
        <v>9494</v>
      </c>
      <c r="E2401" s="9" t="s">
        <v>9495</v>
      </c>
      <c r="F2401" s="9" t="s">
        <v>9496</v>
      </c>
      <c r="G2401" s="9" t="s">
        <v>5294</v>
      </c>
      <c r="H2401" s="14" t="s">
        <v>22</v>
      </c>
      <c r="I2401" s="9" t="s">
        <v>9497</v>
      </c>
      <c r="J2401" s="13"/>
      <c r="K2401" s="13"/>
    </row>
    <row r="2402" customFormat="false" ht="46.25" hidden="false" customHeight="false" outlineLevel="0" collapsed="false">
      <c r="A2402" s="9" t="n">
        <v>2401</v>
      </c>
      <c r="B2402" s="9" t="s">
        <v>123</v>
      </c>
      <c r="C2402" s="11" t="s">
        <v>138</v>
      </c>
      <c r="D2402" s="9" t="s">
        <v>9498</v>
      </c>
      <c r="E2402" s="9" t="s">
        <v>9499</v>
      </c>
      <c r="F2402" s="9" t="s">
        <v>9500</v>
      </c>
      <c r="G2402" s="9" t="s">
        <v>5294</v>
      </c>
      <c r="H2402" s="15" t="s">
        <v>23</v>
      </c>
      <c r="I2402" s="9" t="s">
        <v>9501</v>
      </c>
      <c r="J2402" s="13"/>
      <c r="K2402" s="13"/>
    </row>
    <row r="2403" customFormat="false" ht="46.25" hidden="false" customHeight="false" outlineLevel="0" collapsed="false">
      <c r="A2403" s="9" t="n">
        <v>2402</v>
      </c>
      <c r="B2403" s="9" t="s">
        <v>123</v>
      </c>
      <c r="C2403" s="11" t="s">
        <v>138</v>
      </c>
      <c r="D2403" s="9" t="s">
        <v>9502</v>
      </c>
      <c r="E2403" s="9" t="s">
        <v>9503</v>
      </c>
      <c r="F2403" s="9" t="s">
        <v>9504</v>
      </c>
      <c r="G2403" s="9" t="s">
        <v>308</v>
      </c>
      <c r="H2403" s="15" t="s">
        <v>23</v>
      </c>
      <c r="I2403" s="9" t="s">
        <v>9505</v>
      </c>
      <c r="J2403" s="13"/>
      <c r="K2403" s="13"/>
    </row>
    <row r="2404" customFormat="false" ht="35.05" hidden="false" customHeight="false" outlineLevel="0" collapsed="false">
      <c r="A2404" s="9" t="n">
        <v>2403</v>
      </c>
      <c r="B2404" s="9" t="s">
        <v>123</v>
      </c>
      <c r="C2404" s="11" t="s">
        <v>138</v>
      </c>
      <c r="D2404" s="9" t="s">
        <v>9506</v>
      </c>
      <c r="E2404" s="9" t="s">
        <v>9507</v>
      </c>
      <c r="F2404" s="9" t="s">
        <v>9508</v>
      </c>
      <c r="G2404" s="9" t="s">
        <v>308</v>
      </c>
      <c r="H2404" s="15" t="s">
        <v>23</v>
      </c>
      <c r="I2404" s="9" t="s">
        <v>9509</v>
      </c>
      <c r="J2404" s="13"/>
      <c r="K2404" s="13"/>
    </row>
    <row r="2405" customFormat="false" ht="46.25" hidden="false" customHeight="false" outlineLevel="0" collapsed="false">
      <c r="A2405" s="9" t="n">
        <v>2404</v>
      </c>
      <c r="B2405" s="9" t="s">
        <v>123</v>
      </c>
      <c r="C2405" s="11" t="s">
        <v>138</v>
      </c>
      <c r="D2405" s="9" t="s">
        <v>9510</v>
      </c>
      <c r="E2405" s="9" t="s">
        <v>9511</v>
      </c>
      <c r="F2405" s="9" t="s">
        <v>9512</v>
      </c>
      <c r="G2405" s="9" t="s">
        <v>312</v>
      </c>
      <c r="H2405" s="15" t="s">
        <v>23</v>
      </c>
      <c r="I2405" s="9" t="s">
        <v>9513</v>
      </c>
      <c r="J2405" s="13"/>
      <c r="K2405" s="13"/>
    </row>
    <row r="2406" customFormat="false" ht="23.85" hidden="false" customHeight="false" outlineLevel="0" collapsed="false">
      <c r="A2406" s="9" t="n">
        <v>2405</v>
      </c>
      <c r="B2406" s="9" t="s">
        <v>123</v>
      </c>
      <c r="C2406" s="11" t="s">
        <v>138</v>
      </c>
      <c r="D2406" s="9" t="s">
        <v>9514</v>
      </c>
      <c r="E2406" s="9" t="s">
        <v>1702</v>
      </c>
      <c r="F2406" s="9" t="s">
        <v>7040</v>
      </c>
      <c r="G2406" s="9" t="s">
        <v>328</v>
      </c>
      <c r="H2406" s="15" t="s">
        <v>23</v>
      </c>
      <c r="I2406" s="9" t="s">
        <v>8765</v>
      </c>
      <c r="J2406" s="13"/>
      <c r="K2406" s="13"/>
    </row>
    <row r="2407" customFormat="false" ht="23.85" hidden="false" customHeight="false" outlineLevel="0" collapsed="false">
      <c r="A2407" s="9" t="n">
        <v>2406</v>
      </c>
      <c r="B2407" s="9" t="s">
        <v>123</v>
      </c>
      <c r="C2407" s="11" t="s">
        <v>138</v>
      </c>
      <c r="D2407" s="9" t="s">
        <v>9515</v>
      </c>
      <c r="E2407" s="9" t="s">
        <v>9516</v>
      </c>
      <c r="F2407" s="9" t="s">
        <v>9517</v>
      </c>
      <c r="G2407" s="9" t="s">
        <v>24</v>
      </c>
      <c r="H2407" s="14" t="s">
        <v>22</v>
      </c>
      <c r="I2407" s="9" t="s">
        <v>9518</v>
      </c>
      <c r="J2407" s="13"/>
      <c r="K2407" s="13"/>
    </row>
    <row r="2408" customFormat="false" ht="23.85" hidden="false" customHeight="false" outlineLevel="0" collapsed="false">
      <c r="A2408" s="9" t="n">
        <v>2407</v>
      </c>
      <c r="B2408" s="9" t="s">
        <v>123</v>
      </c>
      <c r="C2408" s="11" t="s">
        <v>138</v>
      </c>
      <c r="D2408" s="9" t="s">
        <v>9519</v>
      </c>
      <c r="E2408" s="9" t="s">
        <v>9520</v>
      </c>
      <c r="F2408" s="9" t="s">
        <v>9521</v>
      </c>
      <c r="G2408" s="9" t="s">
        <v>24</v>
      </c>
      <c r="H2408" s="14" t="s">
        <v>22</v>
      </c>
      <c r="I2408" s="9" t="s">
        <v>9522</v>
      </c>
      <c r="J2408" s="13"/>
      <c r="K2408" s="13"/>
    </row>
    <row r="2409" customFormat="false" ht="23.85" hidden="false" customHeight="false" outlineLevel="0" collapsed="false">
      <c r="A2409" s="9" t="n">
        <v>2408</v>
      </c>
      <c r="B2409" s="9" t="s">
        <v>123</v>
      </c>
      <c r="C2409" s="11" t="s">
        <v>138</v>
      </c>
      <c r="D2409" s="9" t="s">
        <v>9523</v>
      </c>
      <c r="E2409" s="9" t="s">
        <v>9524</v>
      </c>
      <c r="F2409" s="9" t="s">
        <v>9525</v>
      </c>
      <c r="G2409" s="9" t="s">
        <v>24</v>
      </c>
      <c r="H2409" s="14" t="s">
        <v>22</v>
      </c>
      <c r="I2409" s="9" t="s">
        <v>9526</v>
      </c>
      <c r="J2409" s="13"/>
      <c r="K2409" s="13"/>
    </row>
    <row r="2410" customFormat="false" ht="68.65" hidden="false" customHeight="false" outlineLevel="0" collapsed="false">
      <c r="A2410" s="9" t="n">
        <v>2409</v>
      </c>
      <c r="B2410" s="9" t="s">
        <v>123</v>
      </c>
      <c r="C2410" s="11" t="s">
        <v>138</v>
      </c>
      <c r="D2410" s="9" t="s">
        <v>9527</v>
      </c>
      <c r="E2410" s="9" t="s">
        <v>9528</v>
      </c>
      <c r="F2410" s="9" t="s">
        <v>9529</v>
      </c>
      <c r="G2410" s="9" t="s">
        <v>24</v>
      </c>
      <c r="H2410" s="14" t="s">
        <v>22</v>
      </c>
      <c r="I2410" s="9" t="s">
        <v>9530</v>
      </c>
      <c r="J2410" s="13"/>
      <c r="K2410" s="13"/>
    </row>
    <row r="2411" customFormat="false" ht="15" hidden="false" customHeight="false" outlineLevel="0" collapsed="false">
      <c r="A2411" s="9" t="n">
        <v>2410</v>
      </c>
      <c r="B2411" s="9" t="s">
        <v>123</v>
      </c>
      <c r="C2411" s="11" t="s">
        <v>138</v>
      </c>
      <c r="D2411" s="9" t="s">
        <v>9531</v>
      </c>
      <c r="E2411" s="9" t="s">
        <v>9532</v>
      </c>
      <c r="F2411" s="9" t="s">
        <v>9321</v>
      </c>
      <c r="G2411" s="9" t="s">
        <v>24</v>
      </c>
      <c r="H2411" s="14" t="s">
        <v>22</v>
      </c>
      <c r="I2411" s="9" t="s">
        <v>9167</v>
      </c>
      <c r="J2411" s="13"/>
      <c r="K2411" s="13"/>
    </row>
    <row r="2412" customFormat="false" ht="23.85" hidden="false" customHeight="false" outlineLevel="0" collapsed="false">
      <c r="A2412" s="9" t="n">
        <v>2411</v>
      </c>
      <c r="B2412" s="9" t="s">
        <v>123</v>
      </c>
      <c r="C2412" s="11" t="s">
        <v>138</v>
      </c>
      <c r="D2412" s="9" t="s">
        <v>9533</v>
      </c>
      <c r="E2412" s="9" t="s">
        <v>9534</v>
      </c>
      <c r="F2412" s="9" t="s">
        <v>9535</v>
      </c>
      <c r="G2412" s="9" t="s">
        <v>24</v>
      </c>
      <c r="H2412" s="14" t="s">
        <v>22</v>
      </c>
      <c r="I2412" s="9" t="s">
        <v>9536</v>
      </c>
      <c r="J2412" s="13"/>
      <c r="K2412" s="13"/>
    </row>
    <row r="2413" customFormat="false" ht="35.05" hidden="false" customHeight="false" outlineLevel="0" collapsed="false">
      <c r="A2413" s="9" t="n">
        <v>2412</v>
      </c>
      <c r="B2413" s="9" t="s">
        <v>123</v>
      </c>
      <c r="C2413" s="11" t="s">
        <v>138</v>
      </c>
      <c r="D2413" s="9" t="s">
        <v>9537</v>
      </c>
      <c r="E2413" s="9" t="s">
        <v>358</v>
      </c>
      <c r="F2413" s="9" t="s">
        <v>9538</v>
      </c>
      <c r="G2413" s="9" t="s">
        <v>24</v>
      </c>
      <c r="H2413" s="14" t="s">
        <v>22</v>
      </c>
      <c r="I2413" s="9" t="s">
        <v>9174</v>
      </c>
      <c r="J2413" s="13"/>
      <c r="K2413" s="13"/>
    </row>
    <row r="2414" customFormat="false" ht="15" hidden="false" customHeight="false" outlineLevel="0" collapsed="false">
      <c r="A2414" s="9" t="n">
        <v>2413</v>
      </c>
      <c r="B2414" s="9" t="s">
        <v>123</v>
      </c>
      <c r="C2414" s="11" t="s">
        <v>138</v>
      </c>
      <c r="D2414" s="9" t="s">
        <v>9539</v>
      </c>
      <c r="E2414" s="9" t="s">
        <v>362</v>
      </c>
      <c r="F2414" s="9" t="s">
        <v>363</v>
      </c>
      <c r="G2414" s="9" t="s">
        <v>24</v>
      </c>
      <c r="H2414" s="14" t="s">
        <v>22</v>
      </c>
      <c r="I2414" s="9" t="s">
        <v>364</v>
      </c>
      <c r="J2414" s="13"/>
      <c r="K2414" s="13"/>
    </row>
    <row r="2415" customFormat="false" ht="23.85" hidden="false" customHeight="false" outlineLevel="0" collapsed="false">
      <c r="A2415" s="9" t="n">
        <v>2414</v>
      </c>
      <c r="B2415" s="9" t="s">
        <v>123</v>
      </c>
      <c r="C2415" s="11" t="s">
        <v>138</v>
      </c>
      <c r="D2415" s="9" t="s">
        <v>9540</v>
      </c>
      <c r="E2415" s="9" t="s">
        <v>9541</v>
      </c>
      <c r="F2415" s="9" t="s">
        <v>9542</v>
      </c>
      <c r="G2415" s="9" t="s">
        <v>24</v>
      </c>
      <c r="H2415" s="15" t="s">
        <v>23</v>
      </c>
      <c r="I2415" s="9" t="s">
        <v>434</v>
      </c>
      <c r="J2415" s="13"/>
      <c r="K2415" s="13"/>
    </row>
    <row r="2416" customFormat="false" ht="35.05" hidden="false" customHeight="false" outlineLevel="0" collapsed="false">
      <c r="A2416" s="9" t="n">
        <v>2415</v>
      </c>
      <c r="B2416" s="9" t="s">
        <v>123</v>
      </c>
      <c r="C2416" s="11" t="s">
        <v>138</v>
      </c>
      <c r="D2416" s="9" t="s">
        <v>9543</v>
      </c>
      <c r="E2416" s="9" t="s">
        <v>9544</v>
      </c>
      <c r="F2416" s="9" t="s">
        <v>9545</v>
      </c>
      <c r="G2416" s="9" t="s">
        <v>24</v>
      </c>
      <c r="H2416" s="15" t="s">
        <v>23</v>
      </c>
      <c r="I2416" s="9" t="s">
        <v>9546</v>
      </c>
      <c r="J2416" s="13"/>
      <c r="K2416" s="13"/>
    </row>
    <row r="2417" customFormat="false" ht="35.05" hidden="false" customHeight="false" outlineLevel="0" collapsed="false">
      <c r="A2417" s="9" t="n">
        <v>2416</v>
      </c>
      <c r="B2417" s="9" t="s">
        <v>123</v>
      </c>
      <c r="C2417" s="11" t="s">
        <v>138</v>
      </c>
      <c r="D2417" s="9" t="s">
        <v>9547</v>
      </c>
      <c r="E2417" s="9" t="s">
        <v>9548</v>
      </c>
      <c r="F2417" s="9" t="s">
        <v>9549</v>
      </c>
      <c r="G2417" s="9" t="s">
        <v>24</v>
      </c>
      <c r="H2417" s="15" t="s">
        <v>23</v>
      </c>
      <c r="I2417" s="9" t="s">
        <v>9550</v>
      </c>
      <c r="J2417" s="13"/>
      <c r="K2417" s="13"/>
    </row>
    <row r="2418" customFormat="false" ht="15" hidden="false" customHeight="false" outlineLevel="0" collapsed="false">
      <c r="A2418" s="9" t="n">
        <v>2417</v>
      </c>
      <c r="B2418" s="9" t="s">
        <v>123</v>
      </c>
      <c r="C2418" s="11" t="s">
        <v>138</v>
      </c>
      <c r="D2418" s="9" t="s">
        <v>9551</v>
      </c>
      <c r="E2418" s="9" t="s">
        <v>9552</v>
      </c>
      <c r="F2418" s="9" t="s">
        <v>9553</v>
      </c>
      <c r="G2418" s="9" t="s">
        <v>24</v>
      </c>
      <c r="H2418" s="15" t="s">
        <v>23</v>
      </c>
      <c r="I2418" s="9" t="s">
        <v>9554</v>
      </c>
      <c r="J2418" s="13"/>
      <c r="K2418" s="13"/>
    </row>
    <row r="2419" customFormat="false" ht="15" hidden="false" customHeight="false" outlineLevel="0" collapsed="false">
      <c r="A2419" s="9" t="n">
        <v>2418</v>
      </c>
      <c r="B2419" s="9" t="s">
        <v>123</v>
      </c>
      <c r="C2419" s="11" t="s">
        <v>138</v>
      </c>
      <c r="D2419" s="9" t="s">
        <v>9555</v>
      </c>
      <c r="E2419" s="9" t="s">
        <v>358</v>
      </c>
      <c r="F2419" s="9" t="s">
        <v>9556</v>
      </c>
      <c r="G2419" s="9" t="s">
        <v>24</v>
      </c>
      <c r="H2419" s="15" t="s">
        <v>23</v>
      </c>
      <c r="I2419" s="9" t="s">
        <v>9557</v>
      </c>
      <c r="J2419" s="13"/>
      <c r="K2419" s="13"/>
    </row>
    <row r="2420" customFormat="false" ht="23.85" hidden="false" customHeight="false" outlineLevel="0" collapsed="false">
      <c r="A2420" s="9" t="n">
        <v>2419</v>
      </c>
      <c r="B2420" s="9" t="s">
        <v>123</v>
      </c>
      <c r="C2420" s="11" t="s">
        <v>138</v>
      </c>
      <c r="D2420" s="9" t="s">
        <v>9558</v>
      </c>
      <c r="E2420" s="9" t="s">
        <v>9559</v>
      </c>
      <c r="F2420" s="9" t="s">
        <v>9022</v>
      </c>
      <c r="G2420" s="9" t="s">
        <v>24</v>
      </c>
      <c r="H2420" s="15" t="s">
        <v>23</v>
      </c>
      <c r="I2420" s="9" t="s">
        <v>5550</v>
      </c>
      <c r="J2420" s="13"/>
      <c r="K2420" s="13"/>
    </row>
    <row r="2421" customFormat="false" ht="102.2" hidden="false" customHeight="false" outlineLevel="0" collapsed="false">
      <c r="A2421" s="9" t="n">
        <v>2420</v>
      </c>
      <c r="B2421" s="9" t="s">
        <v>140</v>
      </c>
      <c r="C2421" s="11" t="s">
        <v>141</v>
      </c>
      <c r="D2421" s="9" t="s">
        <v>9560</v>
      </c>
      <c r="E2421" s="9" t="s">
        <v>9561</v>
      </c>
      <c r="F2421" s="9" t="s">
        <v>9562</v>
      </c>
      <c r="G2421" s="9" t="s">
        <v>8842</v>
      </c>
      <c r="H2421" s="14" t="s">
        <v>22</v>
      </c>
      <c r="I2421" s="9" t="s">
        <v>9563</v>
      </c>
      <c r="J2421" s="13"/>
      <c r="K2421" s="13"/>
    </row>
    <row r="2422" customFormat="false" ht="102.2" hidden="false" customHeight="false" outlineLevel="0" collapsed="false">
      <c r="A2422" s="9" t="n">
        <v>2421</v>
      </c>
      <c r="B2422" s="9" t="s">
        <v>140</v>
      </c>
      <c r="C2422" s="11" t="s">
        <v>141</v>
      </c>
      <c r="D2422" s="9" t="s">
        <v>9564</v>
      </c>
      <c r="E2422" s="9" t="s">
        <v>9565</v>
      </c>
      <c r="F2422" s="9" t="s">
        <v>9566</v>
      </c>
      <c r="G2422" s="9" t="s">
        <v>308</v>
      </c>
      <c r="H2422" s="14" t="s">
        <v>22</v>
      </c>
      <c r="I2422" s="9" t="s">
        <v>9567</v>
      </c>
      <c r="J2422" s="13"/>
      <c r="K2422" s="13"/>
    </row>
    <row r="2423" customFormat="false" ht="68.65" hidden="false" customHeight="false" outlineLevel="0" collapsed="false">
      <c r="A2423" s="9" t="n">
        <v>2422</v>
      </c>
      <c r="B2423" s="9" t="s">
        <v>140</v>
      </c>
      <c r="C2423" s="11" t="s">
        <v>141</v>
      </c>
      <c r="D2423" s="9" t="s">
        <v>9568</v>
      </c>
      <c r="E2423" s="9" t="s">
        <v>9569</v>
      </c>
      <c r="F2423" s="9" t="s">
        <v>9570</v>
      </c>
      <c r="G2423" s="9" t="s">
        <v>1072</v>
      </c>
      <c r="H2423" s="12" t="s">
        <v>21</v>
      </c>
      <c r="I2423" s="9" t="s">
        <v>9571</v>
      </c>
      <c r="J2423" s="13"/>
      <c r="K2423" s="13"/>
    </row>
    <row r="2424" customFormat="false" ht="35.05" hidden="false" customHeight="false" outlineLevel="0" collapsed="false">
      <c r="A2424" s="9" t="n">
        <v>2423</v>
      </c>
      <c r="B2424" s="9" t="s">
        <v>140</v>
      </c>
      <c r="C2424" s="11" t="s">
        <v>141</v>
      </c>
      <c r="D2424" s="9" t="s">
        <v>9572</v>
      </c>
      <c r="E2424" s="9" t="s">
        <v>9573</v>
      </c>
      <c r="F2424" s="9" t="s">
        <v>9574</v>
      </c>
      <c r="G2424" s="9" t="s">
        <v>1072</v>
      </c>
      <c r="H2424" s="12" t="s">
        <v>21</v>
      </c>
      <c r="I2424" s="9" t="s">
        <v>9575</v>
      </c>
      <c r="J2424" s="13"/>
      <c r="K2424" s="13"/>
    </row>
    <row r="2425" customFormat="false" ht="113.4" hidden="false" customHeight="false" outlineLevel="0" collapsed="false">
      <c r="A2425" s="9" t="n">
        <v>2424</v>
      </c>
      <c r="B2425" s="9" t="s">
        <v>140</v>
      </c>
      <c r="C2425" s="11" t="s">
        <v>141</v>
      </c>
      <c r="D2425" s="9" t="s">
        <v>9576</v>
      </c>
      <c r="E2425" s="9" t="s">
        <v>9577</v>
      </c>
      <c r="F2425" s="9" t="s">
        <v>9578</v>
      </c>
      <c r="G2425" s="9" t="s">
        <v>1843</v>
      </c>
      <c r="H2425" s="12" t="s">
        <v>21</v>
      </c>
      <c r="I2425" s="9" t="s">
        <v>9579</v>
      </c>
      <c r="J2425" s="13"/>
      <c r="K2425" s="13"/>
    </row>
    <row r="2426" customFormat="false" ht="35.05" hidden="false" customHeight="false" outlineLevel="0" collapsed="false">
      <c r="A2426" s="9" t="n">
        <v>2425</v>
      </c>
      <c r="B2426" s="9" t="s">
        <v>140</v>
      </c>
      <c r="C2426" s="11" t="s">
        <v>141</v>
      </c>
      <c r="D2426" s="9" t="s">
        <v>9580</v>
      </c>
      <c r="E2426" s="9" t="s">
        <v>9581</v>
      </c>
      <c r="F2426" s="9" t="s">
        <v>9582</v>
      </c>
      <c r="G2426" s="9" t="s">
        <v>308</v>
      </c>
      <c r="H2426" s="15" t="s">
        <v>23</v>
      </c>
      <c r="I2426" s="9" t="s">
        <v>9583</v>
      </c>
      <c r="J2426" s="13"/>
      <c r="K2426" s="13"/>
    </row>
    <row r="2427" customFormat="false" ht="46.25" hidden="false" customHeight="false" outlineLevel="0" collapsed="false">
      <c r="A2427" s="9" t="n">
        <v>2426</v>
      </c>
      <c r="B2427" s="9" t="s">
        <v>140</v>
      </c>
      <c r="C2427" s="11" t="s">
        <v>141</v>
      </c>
      <c r="D2427" s="9" t="s">
        <v>9584</v>
      </c>
      <c r="E2427" s="9" t="s">
        <v>9585</v>
      </c>
      <c r="F2427" s="9" t="s">
        <v>9586</v>
      </c>
      <c r="G2427" s="9" t="s">
        <v>317</v>
      </c>
      <c r="H2427" s="15" t="s">
        <v>23</v>
      </c>
      <c r="I2427" s="9" t="s">
        <v>9587</v>
      </c>
      <c r="J2427" s="13"/>
      <c r="K2427" s="13"/>
    </row>
    <row r="2428" customFormat="false" ht="91" hidden="false" customHeight="false" outlineLevel="0" collapsed="false">
      <c r="A2428" s="9" t="n">
        <v>2427</v>
      </c>
      <c r="B2428" s="9" t="s">
        <v>140</v>
      </c>
      <c r="C2428" s="11" t="s">
        <v>141</v>
      </c>
      <c r="D2428" s="9" t="s">
        <v>9588</v>
      </c>
      <c r="E2428" s="9" t="s">
        <v>9589</v>
      </c>
      <c r="F2428" s="9" t="s">
        <v>9590</v>
      </c>
      <c r="G2428" s="9" t="s">
        <v>1843</v>
      </c>
      <c r="H2428" s="14" t="s">
        <v>22</v>
      </c>
      <c r="I2428" s="9" t="s">
        <v>9591</v>
      </c>
      <c r="J2428" s="13"/>
      <c r="K2428" s="13"/>
    </row>
    <row r="2429" customFormat="false" ht="135.8" hidden="false" customHeight="false" outlineLevel="0" collapsed="false">
      <c r="A2429" s="9" t="n">
        <v>2428</v>
      </c>
      <c r="B2429" s="9" t="s">
        <v>140</v>
      </c>
      <c r="C2429" s="11" t="s">
        <v>141</v>
      </c>
      <c r="D2429" s="9" t="s">
        <v>9592</v>
      </c>
      <c r="E2429" s="9" t="s">
        <v>9593</v>
      </c>
      <c r="F2429" s="9" t="s">
        <v>9594</v>
      </c>
      <c r="G2429" s="9" t="s">
        <v>1613</v>
      </c>
      <c r="H2429" s="14" t="s">
        <v>22</v>
      </c>
      <c r="I2429" s="9" t="s">
        <v>9595</v>
      </c>
      <c r="J2429" s="13"/>
      <c r="K2429" s="13"/>
    </row>
    <row r="2430" customFormat="false" ht="57.45" hidden="false" customHeight="false" outlineLevel="0" collapsed="false">
      <c r="A2430" s="9" t="n">
        <v>2429</v>
      </c>
      <c r="B2430" s="9" t="s">
        <v>140</v>
      </c>
      <c r="C2430" s="11" t="s">
        <v>141</v>
      </c>
      <c r="D2430" s="9" t="s">
        <v>9596</v>
      </c>
      <c r="E2430" s="9" t="s">
        <v>9597</v>
      </c>
      <c r="F2430" s="9" t="s">
        <v>9598</v>
      </c>
      <c r="G2430" s="9" t="s">
        <v>1072</v>
      </c>
      <c r="H2430" s="14" t="s">
        <v>22</v>
      </c>
      <c r="I2430" s="9" t="s">
        <v>9599</v>
      </c>
      <c r="J2430" s="13"/>
      <c r="K2430" s="13"/>
    </row>
    <row r="2431" customFormat="false" ht="79.85" hidden="false" customHeight="false" outlineLevel="0" collapsed="false">
      <c r="A2431" s="9" t="n">
        <v>2430</v>
      </c>
      <c r="B2431" s="9" t="s">
        <v>140</v>
      </c>
      <c r="C2431" s="11" t="s">
        <v>141</v>
      </c>
      <c r="D2431" s="9" t="s">
        <v>9600</v>
      </c>
      <c r="E2431" s="9" t="s">
        <v>9601</v>
      </c>
      <c r="F2431" s="9" t="s">
        <v>9602</v>
      </c>
      <c r="G2431" s="9" t="s">
        <v>3498</v>
      </c>
      <c r="H2431" s="14" t="s">
        <v>22</v>
      </c>
      <c r="I2431" s="9" t="s">
        <v>9603</v>
      </c>
      <c r="J2431" s="13"/>
      <c r="K2431" s="13"/>
    </row>
    <row r="2432" customFormat="false" ht="102.2" hidden="false" customHeight="false" outlineLevel="0" collapsed="false">
      <c r="A2432" s="9" t="n">
        <v>2431</v>
      </c>
      <c r="B2432" s="9" t="s">
        <v>140</v>
      </c>
      <c r="C2432" s="11" t="s">
        <v>141</v>
      </c>
      <c r="D2432" s="9" t="s">
        <v>9604</v>
      </c>
      <c r="E2432" s="9" t="s">
        <v>9605</v>
      </c>
      <c r="F2432" s="9" t="s">
        <v>9606</v>
      </c>
      <c r="G2432" s="9" t="s">
        <v>1370</v>
      </c>
      <c r="H2432" s="12" t="s">
        <v>21</v>
      </c>
      <c r="I2432" s="9" t="s">
        <v>9607</v>
      </c>
      <c r="J2432" s="13"/>
      <c r="K2432" s="13"/>
    </row>
    <row r="2433" customFormat="false" ht="68.65" hidden="false" customHeight="false" outlineLevel="0" collapsed="false">
      <c r="A2433" s="9" t="n">
        <v>2432</v>
      </c>
      <c r="B2433" s="9" t="s">
        <v>140</v>
      </c>
      <c r="C2433" s="11" t="s">
        <v>141</v>
      </c>
      <c r="D2433" s="9" t="s">
        <v>9608</v>
      </c>
      <c r="E2433" s="9" t="s">
        <v>9609</v>
      </c>
      <c r="F2433" s="9" t="s">
        <v>9610</v>
      </c>
      <c r="G2433" s="9" t="s">
        <v>2044</v>
      </c>
      <c r="H2433" s="14" t="s">
        <v>22</v>
      </c>
      <c r="I2433" s="9" t="s">
        <v>9611</v>
      </c>
      <c r="J2433" s="13"/>
      <c r="K2433" s="13"/>
    </row>
    <row r="2434" customFormat="false" ht="46.25" hidden="false" customHeight="false" outlineLevel="0" collapsed="false">
      <c r="A2434" s="9" t="n">
        <v>2433</v>
      </c>
      <c r="B2434" s="9" t="s">
        <v>140</v>
      </c>
      <c r="C2434" s="11" t="s">
        <v>141</v>
      </c>
      <c r="D2434" s="9" t="s">
        <v>9612</v>
      </c>
      <c r="E2434" s="9" t="s">
        <v>9613</v>
      </c>
      <c r="F2434" s="9" t="s">
        <v>9614</v>
      </c>
      <c r="G2434" s="9" t="s">
        <v>1072</v>
      </c>
      <c r="H2434" s="15" t="s">
        <v>23</v>
      </c>
      <c r="I2434" s="9" t="s">
        <v>9615</v>
      </c>
      <c r="J2434" s="13"/>
      <c r="K2434" s="13"/>
    </row>
    <row r="2435" customFormat="false" ht="68.65" hidden="false" customHeight="false" outlineLevel="0" collapsed="false">
      <c r="A2435" s="9" t="n">
        <v>2434</v>
      </c>
      <c r="B2435" s="9" t="s">
        <v>140</v>
      </c>
      <c r="C2435" s="11" t="s">
        <v>141</v>
      </c>
      <c r="D2435" s="9" t="s">
        <v>9616</v>
      </c>
      <c r="E2435" s="9" t="s">
        <v>9617</v>
      </c>
      <c r="F2435" s="9" t="s">
        <v>9618</v>
      </c>
      <c r="G2435" s="9" t="s">
        <v>1072</v>
      </c>
      <c r="H2435" s="12" t="s">
        <v>21</v>
      </c>
      <c r="I2435" s="9" t="s">
        <v>9619</v>
      </c>
      <c r="J2435" s="13"/>
      <c r="K2435" s="13"/>
    </row>
    <row r="2436" customFormat="false" ht="79.85" hidden="false" customHeight="false" outlineLevel="0" collapsed="false">
      <c r="A2436" s="9" t="n">
        <v>2435</v>
      </c>
      <c r="B2436" s="9" t="s">
        <v>140</v>
      </c>
      <c r="C2436" s="11" t="s">
        <v>141</v>
      </c>
      <c r="D2436" s="9" t="s">
        <v>9620</v>
      </c>
      <c r="E2436" s="9" t="s">
        <v>9621</v>
      </c>
      <c r="F2436" s="9" t="s">
        <v>9622</v>
      </c>
      <c r="G2436" s="9" t="s">
        <v>7839</v>
      </c>
      <c r="H2436" s="14" t="s">
        <v>22</v>
      </c>
      <c r="I2436" s="9" t="s">
        <v>9623</v>
      </c>
      <c r="J2436" s="13"/>
      <c r="K2436" s="13"/>
    </row>
    <row r="2437" customFormat="false" ht="57.45" hidden="false" customHeight="false" outlineLevel="0" collapsed="false">
      <c r="A2437" s="9" t="n">
        <v>2436</v>
      </c>
      <c r="B2437" s="9" t="s">
        <v>140</v>
      </c>
      <c r="C2437" s="11" t="s">
        <v>141</v>
      </c>
      <c r="D2437" s="9" t="s">
        <v>9624</v>
      </c>
      <c r="E2437" s="9" t="s">
        <v>9625</v>
      </c>
      <c r="F2437" s="9" t="s">
        <v>9626</v>
      </c>
      <c r="G2437" s="9" t="s">
        <v>312</v>
      </c>
      <c r="H2437" s="14" t="s">
        <v>22</v>
      </c>
      <c r="I2437" s="9" t="s">
        <v>9627</v>
      </c>
      <c r="J2437" s="13"/>
      <c r="K2437" s="13"/>
    </row>
    <row r="2438" customFormat="false" ht="46.25" hidden="false" customHeight="false" outlineLevel="0" collapsed="false">
      <c r="A2438" s="9" t="n">
        <v>2437</v>
      </c>
      <c r="B2438" s="9" t="s">
        <v>140</v>
      </c>
      <c r="C2438" s="11" t="s">
        <v>141</v>
      </c>
      <c r="D2438" s="9" t="s">
        <v>9628</v>
      </c>
      <c r="E2438" s="9" t="s">
        <v>9629</v>
      </c>
      <c r="F2438" s="9" t="s">
        <v>9630</v>
      </c>
      <c r="G2438" s="9" t="s">
        <v>1421</v>
      </c>
      <c r="H2438" s="15" t="s">
        <v>23</v>
      </c>
      <c r="I2438" s="9" t="s">
        <v>9631</v>
      </c>
      <c r="J2438" s="13"/>
      <c r="K2438" s="13"/>
    </row>
    <row r="2439" customFormat="false" ht="102.2" hidden="false" customHeight="false" outlineLevel="0" collapsed="false">
      <c r="A2439" s="9" t="n">
        <v>2438</v>
      </c>
      <c r="B2439" s="9" t="s">
        <v>140</v>
      </c>
      <c r="C2439" s="11" t="s">
        <v>141</v>
      </c>
      <c r="D2439" s="9" t="s">
        <v>9632</v>
      </c>
      <c r="E2439" s="9" t="s">
        <v>9633</v>
      </c>
      <c r="F2439" s="9" t="s">
        <v>9634</v>
      </c>
      <c r="G2439" s="9" t="s">
        <v>1613</v>
      </c>
      <c r="H2439" s="14" t="s">
        <v>22</v>
      </c>
      <c r="I2439" s="9" t="s">
        <v>9635</v>
      </c>
      <c r="J2439" s="13"/>
      <c r="K2439" s="13"/>
    </row>
    <row r="2440" customFormat="false" ht="68.65" hidden="false" customHeight="false" outlineLevel="0" collapsed="false">
      <c r="A2440" s="9" t="n">
        <v>2439</v>
      </c>
      <c r="B2440" s="9" t="s">
        <v>140</v>
      </c>
      <c r="C2440" s="11" t="s">
        <v>141</v>
      </c>
      <c r="D2440" s="9" t="s">
        <v>9636</v>
      </c>
      <c r="E2440" s="9" t="s">
        <v>9637</v>
      </c>
      <c r="F2440" s="9" t="s">
        <v>9638</v>
      </c>
      <c r="G2440" s="9" t="s">
        <v>1284</v>
      </c>
      <c r="H2440" s="14" t="s">
        <v>22</v>
      </c>
      <c r="I2440" s="9" t="s">
        <v>9639</v>
      </c>
      <c r="J2440" s="13"/>
      <c r="K2440" s="13"/>
    </row>
    <row r="2441" customFormat="false" ht="46.25" hidden="false" customHeight="false" outlineLevel="0" collapsed="false">
      <c r="A2441" s="9" t="n">
        <v>2440</v>
      </c>
      <c r="B2441" s="9" t="s">
        <v>140</v>
      </c>
      <c r="C2441" s="11" t="s">
        <v>141</v>
      </c>
      <c r="D2441" s="9" t="s">
        <v>9640</v>
      </c>
      <c r="E2441" s="9" t="s">
        <v>9641</v>
      </c>
      <c r="F2441" s="9" t="s">
        <v>9642</v>
      </c>
      <c r="G2441" s="9" t="s">
        <v>4232</v>
      </c>
      <c r="H2441" s="15" t="s">
        <v>23</v>
      </c>
      <c r="I2441" s="9" t="s">
        <v>9643</v>
      </c>
      <c r="J2441" s="13"/>
      <c r="K2441" s="13"/>
    </row>
    <row r="2442" customFormat="false" ht="35.05" hidden="false" customHeight="false" outlineLevel="0" collapsed="false">
      <c r="A2442" s="9" t="n">
        <v>2441</v>
      </c>
      <c r="B2442" s="9" t="s">
        <v>140</v>
      </c>
      <c r="C2442" s="11" t="s">
        <v>141</v>
      </c>
      <c r="D2442" s="9" t="s">
        <v>9644</v>
      </c>
      <c r="E2442" s="9" t="s">
        <v>9645</v>
      </c>
      <c r="F2442" s="9" t="s">
        <v>9646</v>
      </c>
      <c r="G2442" s="9" t="s">
        <v>3352</v>
      </c>
      <c r="H2442" s="15" t="s">
        <v>23</v>
      </c>
      <c r="I2442" s="9" t="s">
        <v>9647</v>
      </c>
      <c r="J2442" s="13"/>
      <c r="K2442" s="13"/>
    </row>
    <row r="2443" customFormat="false" ht="68.65" hidden="false" customHeight="false" outlineLevel="0" collapsed="false">
      <c r="A2443" s="9" t="n">
        <v>2442</v>
      </c>
      <c r="B2443" s="9" t="s">
        <v>140</v>
      </c>
      <c r="C2443" s="11" t="s">
        <v>141</v>
      </c>
      <c r="D2443" s="9" t="s">
        <v>9648</v>
      </c>
      <c r="E2443" s="9" t="s">
        <v>9649</v>
      </c>
      <c r="F2443" s="9" t="s">
        <v>9650</v>
      </c>
      <c r="G2443" s="9" t="s">
        <v>3352</v>
      </c>
      <c r="H2443" s="14" t="s">
        <v>22</v>
      </c>
      <c r="I2443" s="9" t="s">
        <v>9651</v>
      </c>
      <c r="J2443" s="13"/>
      <c r="K2443" s="13"/>
    </row>
    <row r="2444" customFormat="false" ht="46.25" hidden="false" customHeight="false" outlineLevel="0" collapsed="false">
      <c r="A2444" s="9" t="n">
        <v>2443</v>
      </c>
      <c r="B2444" s="9" t="s">
        <v>140</v>
      </c>
      <c r="C2444" s="11" t="s">
        <v>141</v>
      </c>
      <c r="D2444" s="9" t="s">
        <v>9652</v>
      </c>
      <c r="E2444" s="9" t="s">
        <v>9653</v>
      </c>
      <c r="F2444" s="9" t="s">
        <v>9654</v>
      </c>
      <c r="G2444" s="9" t="s">
        <v>6425</v>
      </c>
      <c r="H2444" s="15" t="s">
        <v>23</v>
      </c>
      <c r="I2444" s="9" t="s">
        <v>9655</v>
      </c>
      <c r="J2444" s="13"/>
      <c r="K2444" s="13"/>
    </row>
    <row r="2445" customFormat="false" ht="23.85" hidden="false" customHeight="false" outlineLevel="0" collapsed="false">
      <c r="A2445" s="9" t="n">
        <v>2444</v>
      </c>
      <c r="B2445" s="9" t="s">
        <v>140</v>
      </c>
      <c r="C2445" s="11" t="s">
        <v>141</v>
      </c>
      <c r="D2445" s="9" t="s">
        <v>9656</v>
      </c>
      <c r="E2445" s="9" t="s">
        <v>9657</v>
      </c>
      <c r="F2445" s="9" t="s">
        <v>9658</v>
      </c>
      <c r="G2445" s="9" t="s">
        <v>308</v>
      </c>
      <c r="H2445" s="15" t="s">
        <v>23</v>
      </c>
      <c r="I2445" s="9" t="s">
        <v>9659</v>
      </c>
      <c r="J2445" s="13"/>
      <c r="K2445" s="13"/>
    </row>
    <row r="2446" customFormat="false" ht="79.85" hidden="false" customHeight="false" outlineLevel="0" collapsed="false">
      <c r="A2446" s="9" t="n">
        <v>2445</v>
      </c>
      <c r="B2446" s="9" t="s">
        <v>140</v>
      </c>
      <c r="C2446" s="11" t="s">
        <v>141</v>
      </c>
      <c r="D2446" s="9" t="s">
        <v>9660</v>
      </c>
      <c r="E2446" s="9" t="s">
        <v>9661</v>
      </c>
      <c r="F2446" s="9" t="s">
        <v>9662</v>
      </c>
      <c r="G2446" s="9" t="s">
        <v>9663</v>
      </c>
      <c r="H2446" s="14" t="s">
        <v>22</v>
      </c>
      <c r="I2446" s="9" t="s">
        <v>9664</v>
      </c>
      <c r="J2446" s="13"/>
      <c r="K2446" s="13"/>
    </row>
    <row r="2447" customFormat="false" ht="46.25" hidden="false" customHeight="false" outlineLevel="0" collapsed="false">
      <c r="A2447" s="9" t="n">
        <v>2446</v>
      </c>
      <c r="B2447" s="9" t="s">
        <v>140</v>
      </c>
      <c r="C2447" s="11" t="s">
        <v>141</v>
      </c>
      <c r="D2447" s="9" t="s">
        <v>9665</v>
      </c>
      <c r="E2447" s="9" t="s">
        <v>9666</v>
      </c>
      <c r="F2447" s="9" t="s">
        <v>9667</v>
      </c>
      <c r="G2447" s="9" t="s">
        <v>1072</v>
      </c>
      <c r="H2447" s="15" t="s">
        <v>23</v>
      </c>
      <c r="I2447" s="9" t="s">
        <v>9668</v>
      </c>
      <c r="J2447" s="13"/>
      <c r="K2447" s="13"/>
    </row>
    <row r="2448" customFormat="false" ht="57.45" hidden="false" customHeight="false" outlineLevel="0" collapsed="false">
      <c r="A2448" s="9" t="n">
        <v>2447</v>
      </c>
      <c r="B2448" s="9" t="s">
        <v>140</v>
      </c>
      <c r="C2448" s="11" t="s">
        <v>141</v>
      </c>
      <c r="D2448" s="9" t="s">
        <v>9669</v>
      </c>
      <c r="E2448" s="9" t="s">
        <v>9670</v>
      </c>
      <c r="F2448" s="9" t="s">
        <v>9671</v>
      </c>
      <c r="G2448" s="9" t="s">
        <v>9672</v>
      </c>
      <c r="H2448" s="15" t="s">
        <v>23</v>
      </c>
      <c r="I2448" s="9" t="s">
        <v>9673</v>
      </c>
      <c r="J2448" s="13"/>
      <c r="K2448" s="13"/>
    </row>
    <row r="2449" customFormat="false" ht="57.45" hidden="false" customHeight="false" outlineLevel="0" collapsed="false">
      <c r="A2449" s="9" t="n">
        <v>2448</v>
      </c>
      <c r="B2449" s="9" t="s">
        <v>140</v>
      </c>
      <c r="C2449" s="11" t="s">
        <v>141</v>
      </c>
      <c r="D2449" s="9" t="s">
        <v>9674</v>
      </c>
      <c r="E2449" s="9" t="s">
        <v>9675</v>
      </c>
      <c r="F2449" s="9" t="s">
        <v>9676</v>
      </c>
      <c r="G2449" s="9" t="s">
        <v>9677</v>
      </c>
      <c r="H2449" s="15" t="s">
        <v>23</v>
      </c>
      <c r="I2449" s="9" t="s">
        <v>9678</v>
      </c>
      <c r="J2449" s="13"/>
      <c r="K2449" s="13"/>
    </row>
    <row r="2450" customFormat="false" ht="68.65" hidden="false" customHeight="false" outlineLevel="0" collapsed="false">
      <c r="A2450" s="9" t="n">
        <v>2449</v>
      </c>
      <c r="B2450" s="9" t="s">
        <v>140</v>
      </c>
      <c r="C2450" s="11" t="s">
        <v>141</v>
      </c>
      <c r="D2450" s="9" t="s">
        <v>9679</v>
      </c>
      <c r="E2450" s="9" t="s">
        <v>9680</v>
      </c>
      <c r="F2450" s="9" t="s">
        <v>9681</v>
      </c>
      <c r="G2450" s="9" t="s">
        <v>9682</v>
      </c>
      <c r="H2450" s="14" t="s">
        <v>22</v>
      </c>
      <c r="I2450" s="9" t="s">
        <v>9683</v>
      </c>
      <c r="J2450" s="13"/>
      <c r="K2450" s="13"/>
    </row>
    <row r="2451" customFormat="false" ht="46.25" hidden="false" customHeight="false" outlineLevel="0" collapsed="false">
      <c r="A2451" s="9" t="n">
        <v>2450</v>
      </c>
      <c r="B2451" s="9" t="s">
        <v>140</v>
      </c>
      <c r="C2451" s="11" t="s">
        <v>141</v>
      </c>
      <c r="D2451" s="9" t="s">
        <v>9684</v>
      </c>
      <c r="E2451" s="9" t="s">
        <v>9685</v>
      </c>
      <c r="F2451" s="9" t="s">
        <v>9686</v>
      </c>
      <c r="G2451" s="9" t="s">
        <v>328</v>
      </c>
      <c r="H2451" s="15" t="s">
        <v>23</v>
      </c>
      <c r="I2451" s="9" t="s">
        <v>9687</v>
      </c>
      <c r="J2451" s="13"/>
      <c r="K2451" s="13"/>
    </row>
    <row r="2452" customFormat="false" ht="46.25" hidden="false" customHeight="false" outlineLevel="0" collapsed="false">
      <c r="A2452" s="9" t="n">
        <v>2451</v>
      </c>
      <c r="B2452" s="9" t="s">
        <v>140</v>
      </c>
      <c r="C2452" s="11" t="s">
        <v>141</v>
      </c>
      <c r="D2452" s="9" t="s">
        <v>9688</v>
      </c>
      <c r="E2452" s="9" t="s">
        <v>9689</v>
      </c>
      <c r="F2452" s="9" t="s">
        <v>9690</v>
      </c>
      <c r="G2452" s="9" t="s">
        <v>312</v>
      </c>
      <c r="H2452" s="15" t="s">
        <v>23</v>
      </c>
      <c r="I2452" s="9" t="s">
        <v>9691</v>
      </c>
      <c r="J2452" s="13"/>
      <c r="K2452" s="13"/>
    </row>
    <row r="2453" customFormat="false" ht="35.05" hidden="false" customHeight="false" outlineLevel="0" collapsed="false">
      <c r="A2453" s="9" t="n">
        <v>2452</v>
      </c>
      <c r="B2453" s="9" t="s">
        <v>140</v>
      </c>
      <c r="C2453" s="11" t="s">
        <v>141</v>
      </c>
      <c r="D2453" s="9" t="s">
        <v>9692</v>
      </c>
      <c r="E2453" s="9" t="s">
        <v>9693</v>
      </c>
      <c r="F2453" s="9" t="s">
        <v>9694</v>
      </c>
      <c r="G2453" s="9" t="s">
        <v>328</v>
      </c>
      <c r="H2453" s="15" t="s">
        <v>23</v>
      </c>
      <c r="I2453" s="9" t="s">
        <v>9695</v>
      </c>
      <c r="J2453" s="13"/>
      <c r="K2453" s="13"/>
    </row>
    <row r="2454" customFormat="false" ht="35.05" hidden="false" customHeight="false" outlineLevel="0" collapsed="false">
      <c r="A2454" s="9" t="n">
        <v>2453</v>
      </c>
      <c r="B2454" s="9" t="s">
        <v>140</v>
      </c>
      <c r="C2454" s="11" t="s">
        <v>141</v>
      </c>
      <c r="D2454" s="9" t="s">
        <v>9696</v>
      </c>
      <c r="E2454" s="9" t="s">
        <v>9697</v>
      </c>
      <c r="F2454" s="9" t="s">
        <v>9698</v>
      </c>
      <c r="G2454" s="9" t="s">
        <v>328</v>
      </c>
      <c r="H2454" s="15" t="s">
        <v>23</v>
      </c>
      <c r="I2454" s="9" t="s">
        <v>9699</v>
      </c>
      <c r="J2454" s="13"/>
      <c r="K2454" s="13"/>
    </row>
    <row r="2455" customFormat="false" ht="35.05" hidden="false" customHeight="false" outlineLevel="0" collapsed="false">
      <c r="A2455" s="9" t="n">
        <v>2454</v>
      </c>
      <c r="B2455" s="9" t="s">
        <v>140</v>
      </c>
      <c r="C2455" s="11" t="s">
        <v>141</v>
      </c>
      <c r="D2455" s="9" t="s">
        <v>9700</v>
      </c>
      <c r="E2455" s="9" t="s">
        <v>9701</v>
      </c>
      <c r="F2455" s="9" t="s">
        <v>9702</v>
      </c>
      <c r="G2455" s="9" t="s">
        <v>1072</v>
      </c>
      <c r="H2455" s="14" t="s">
        <v>22</v>
      </c>
      <c r="I2455" s="9" t="s">
        <v>9703</v>
      </c>
      <c r="J2455" s="13"/>
      <c r="K2455" s="13"/>
    </row>
    <row r="2456" customFormat="false" ht="57.45" hidden="false" customHeight="false" outlineLevel="0" collapsed="false">
      <c r="A2456" s="9" t="n">
        <v>2455</v>
      </c>
      <c r="B2456" s="9" t="s">
        <v>140</v>
      </c>
      <c r="C2456" s="11" t="s">
        <v>141</v>
      </c>
      <c r="D2456" s="9" t="s">
        <v>9704</v>
      </c>
      <c r="E2456" s="9" t="s">
        <v>9705</v>
      </c>
      <c r="F2456" s="9" t="s">
        <v>9706</v>
      </c>
      <c r="G2456" s="9" t="s">
        <v>392</v>
      </c>
      <c r="H2456" s="15" t="s">
        <v>23</v>
      </c>
      <c r="I2456" s="9" t="s">
        <v>9707</v>
      </c>
      <c r="J2456" s="13"/>
      <c r="K2456" s="13"/>
    </row>
    <row r="2457" customFormat="false" ht="46.25" hidden="false" customHeight="false" outlineLevel="0" collapsed="false">
      <c r="A2457" s="9" t="n">
        <v>2456</v>
      </c>
      <c r="B2457" s="9" t="s">
        <v>140</v>
      </c>
      <c r="C2457" s="11" t="s">
        <v>141</v>
      </c>
      <c r="D2457" s="9" t="s">
        <v>9708</v>
      </c>
      <c r="E2457" s="9" t="s">
        <v>9709</v>
      </c>
      <c r="F2457" s="9" t="s">
        <v>9710</v>
      </c>
      <c r="G2457" s="9" t="s">
        <v>392</v>
      </c>
      <c r="H2457" s="15" t="s">
        <v>23</v>
      </c>
      <c r="I2457" s="9" t="s">
        <v>9711</v>
      </c>
      <c r="J2457" s="13"/>
      <c r="K2457" s="13"/>
    </row>
    <row r="2458" customFormat="false" ht="35.05" hidden="false" customHeight="false" outlineLevel="0" collapsed="false">
      <c r="A2458" s="9" t="n">
        <v>2457</v>
      </c>
      <c r="B2458" s="9" t="s">
        <v>140</v>
      </c>
      <c r="C2458" s="11" t="s">
        <v>141</v>
      </c>
      <c r="D2458" s="9" t="s">
        <v>9712</v>
      </c>
      <c r="E2458" s="9" t="s">
        <v>9713</v>
      </c>
      <c r="F2458" s="9" t="s">
        <v>9714</v>
      </c>
      <c r="G2458" s="9" t="s">
        <v>312</v>
      </c>
      <c r="H2458" s="15" t="s">
        <v>23</v>
      </c>
      <c r="I2458" s="9" t="s">
        <v>9715</v>
      </c>
      <c r="J2458" s="13"/>
      <c r="K2458" s="13"/>
    </row>
    <row r="2459" customFormat="false" ht="46.25" hidden="false" customHeight="false" outlineLevel="0" collapsed="false">
      <c r="A2459" s="9" t="n">
        <v>2458</v>
      </c>
      <c r="B2459" s="9" t="s">
        <v>140</v>
      </c>
      <c r="C2459" s="11" t="s">
        <v>141</v>
      </c>
      <c r="D2459" s="9" t="s">
        <v>9716</v>
      </c>
      <c r="E2459" s="9" t="s">
        <v>9717</v>
      </c>
      <c r="F2459" s="9" t="s">
        <v>9718</v>
      </c>
      <c r="G2459" s="9" t="s">
        <v>1072</v>
      </c>
      <c r="H2459" s="14" t="s">
        <v>22</v>
      </c>
      <c r="I2459" s="9" t="s">
        <v>9719</v>
      </c>
      <c r="J2459" s="13"/>
      <c r="K2459" s="13"/>
    </row>
    <row r="2460" customFormat="false" ht="46.25" hidden="false" customHeight="false" outlineLevel="0" collapsed="false">
      <c r="A2460" s="9" t="n">
        <v>2459</v>
      </c>
      <c r="B2460" s="9" t="s">
        <v>140</v>
      </c>
      <c r="C2460" s="11" t="s">
        <v>141</v>
      </c>
      <c r="D2460" s="9" t="s">
        <v>9720</v>
      </c>
      <c r="E2460" s="9" t="s">
        <v>9721</v>
      </c>
      <c r="F2460" s="9" t="s">
        <v>9722</v>
      </c>
      <c r="G2460" s="9" t="s">
        <v>392</v>
      </c>
      <c r="H2460" s="15" t="s">
        <v>23</v>
      </c>
      <c r="I2460" s="9" t="s">
        <v>9723</v>
      </c>
      <c r="J2460" s="13"/>
      <c r="K2460" s="13"/>
    </row>
    <row r="2461" customFormat="false" ht="46.25" hidden="false" customHeight="false" outlineLevel="0" collapsed="false">
      <c r="A2461" s="9" t="n">
        <v>2460</v>
      </c>
      <c r="B2461" s="9" t="s">
        <v>140</v>
      </c>
      <c r="C2461" s="11" t="s">
        <v>141</v>
      </c>
      <c r="D2461" s="9" t="s">
        <v>9724</v>
      </c>
      <c r="E2461" s="9" t="s">
        <v>9725</v>
      </c>
      <c r="F2461" s="9" t="s">
        <v>9726</v>
      </c>
      <c r="G2461" s="9" t="s">
        <v>317</v>
      </c>
      <c r="H2461" s="15" t="s">
        <v>23</v>
      </c>
      <c r="I2461" s="9" t="s">
        <v>9727</v>
      </c>
      <c r="J2461" s="13"/>
      <c r="K2461" s="13"/>
    </row>
    <row r="2462" customFormat="false" ht="23.85" hidden="false" customHeight="false" outlineLevel="0" collapsed="false">
      <c r="A2462" s="9" t="n">
        <v>2461</v>
      </c>
      <c r="B2462" s="9" t="s">
        <v>140</v>
      </c>
      <c r="C2462" s="11" t="s">
        <v>141</v>
      </c>
      <c r="D2462" s="9" t="s">
        <v>9728</v>
      </c>
      <c r="E2462" s="9" t="s">
        <v>1702</v>
      </c>
      <c r="F2462" s="9" t="s">
        <v>4608</v>
      </c>
      <c r="G2462" s="9" t="s">
        <v>328</v>
      </c>
      <c r="H2462" s="15" t="s">
        <v>23</v>
      </c>
      <c r="I2462" s="9" t="s">
        <v>9729</v>
      </c>
      <c r="J2462" s="13"/>
      <c r="K2462" s="13"/>
    </row>
    <row r="2463" customFormat="false" ht="23.85" hidden="false" customHeight="false" outlineLevel="0" collapsed="false">
      <c r="A2463" s="9" t="n">
        <v>2462</v>
      </c>
      <c r="B2463" s="9" t="s">
        <v>140</v>
      </c>
      <c r="C2463" s="11" t="s">
        <v>141</v>
      </c>
      <c r="D2463" s="9" t="s">
        <v>9730</v>
      </c>
      <c r="E2463" s="9" t="s">
        <v>9731</v>
      </c>
      <c r="F2463" s="9" t="s">
        <v>9732</v>
      </c>
      <c r="G2463" s="9" t="s">
        <v>24</v>
      </c>
      <c r="H2463" s="14" t="s">
        <v>22</v>
      </c>
      <c r="I2463" s="9" t="s">
        <v>9733</v>
      </c>
      <c r="J2463" s="13"/>
      <c r="K2463" s="13"/>
    </row>
    <row r="2464" customFormat="false" ht="46.25" hidden="false" customHeight="false" outlineLevel="0" collapsed="false">
      <c r="A2464" s="9" t="n">
        <v>2463</v>
      </c>
      <c r="B2464" s="9" t="s">
        <v>140</v>
      </c>
      <c r="C2464" s="11" t="s">
        <v>141</v>
      </c>
      <c r="D2464" s="9" t="s">
        <v>9734</v>
      </c>
      <c r="E2464" s="9" t="s">
        <v>9735</v>
      </c>
      <c r="F2464" s="9" t="s">
        <v>9736</v>
      </c>
      <c r="G2464" s="9" t="s">
        <v>24</v>
      </c>
      <c r="H2464" s="14" t="s">
        <v>22</v>
      </c>
      <c r="I2464" s="9" t="s">
        <v>9737</v>
      </c>
      <c r="J2464" s="13"/>
      <c r="K2464" s="13"/>
    </row>
    <row r="2465" customFormat="false" ht="23.85" hidden="false" customHeight="false" outlineLevel="0" collapsed="false">
      <c r="A2465" s="9" t="n">
        <v>2464</v>
      </c>
      <c r="B2465" s="9" t="s">
        <v>140</v>
      </c>
      <c r="C2465" s="11" t="s">
        <v>141</v>
      </c>
      <c r="D2465" s="9" t="s">
        <v>9738</v>
      </c>
      <c r="E2465" s="9" t="s">
        <v>9739</v>
      </c>
      <c r="F2465" s="9" t="s">
        <v>9740</v>
      </c>
      <c r="G2465" s="9" t="s">
        <v>24</v>
      </c>
      <c r="H2465" s="14" t="s">
        <v>22</v>
      </c>
      <c r="I2465" s="9" t="s">
        <v>8425</v>
      </c>
      <c r="J2465" s="13"/>
      <c r="K2465" s="13"/>
    </row>
    <row r="2466" customFormat="false" ht="35.05" hidden="false" customHeight="false" outlineLevel="0" collapsed="false">
      <c r="A2466" s="9" t="n">
        <v>2465</v>
      </c>
      <c r="B2466" s="9" t="s">
        <v>140</v>
      </c>
      <c r="C2466" s="11" t="s">
        <v>141</v>
      </c>
      <c r="D2466" s="9" t="s">
        <v>9741</v>
      </c>
      <c r="E2466" s="9" t="s">
        <v>9742</v>
      </c>
      <c r="F2466" s="9" t="s">
        <v>9743</v>
      </c>
      <c r="G2466" s="9" t="s">
        <v>24</v>
      </c>
      <c r="H2466" s="14" t="s">
        <v>22</v>
      </c>
      <c r="I2466" s="9" t="s">
        <v>9744</v>
      </c>
      <c r="J2466" s="13"/>
      <c r="K2466" s="13"/>
    </row>
    <row r="2467" customFormat="false" ht="15" hidden="false" customHeight="false" outlineLevel="0" collapsed="false">
      <c r="A2467" s="9" t="n">
        <v>2466</v>
      </c>
      <c r="B2467" s="9" t="s">
        <v>140</v>
      </c>
      <c r="C2467" s="11" t="s">
        <v>141</v>
      </c>
      <c r="D2467" s="9" t="s">
        <v>9745</v>
      </c>
      <c r="E2467" s="9" t="s">
        <v>9746</v>
      </c>
      <c r="F2467" s="9" t="s">
        <v>9747</v>
      </c>
      <c r="G2467" s="9" t="s">
        <v>24</v>
      </c>
      <c r="H2467" s="14" t="s">
        <v>22</v>
      </c>
      <c r="I2467" s="9" t="s">
        <v>9167</v>
      </c>
      <c r="J2467" s="13"/>
      <c r="K2467" s="13"/>
    </row>
    <row r="2468" customFormat="false" ht="35.05" hidden="false" customHeight="false" outlineLevel="0" collapsed="false">
      <c r="A2468" s="9" t="n">
        <v>2467</v>
      </c>
      <c r="B2468" s="9" t="s">
        <v>140</v>
      </c>
      <c r="C2468" s="11" t="s">
        <v>141</v>
      </c>
      <c r="D2468" s="9" t="s">
        <v>9748</v>
      </c>
      <c r="E2468" s="9" t="s">
        <v>9749</v>
      </c>
      <c r="F2468" s="9" t="s">
        <v>9750</v>
      </c>
      <c r="G2468" s="9" t="s">
        <v>24</v>
      </c>
      <c r="H2468" s="14" t="s">
        <v>22</v>
      </c>
      <c r="I2468" s="9" t="s">
        <v>9751</v>
      </c>
      <c r="J2468" s="13"/>
      <c r="K2468" s="13"/>
    </row>
    <row r="2469" customFormat="false" ht="23.85" hidden="false" customHeight="false" outlineLevel="0" collapsed="false">
      <c r="A2469" s="9" t="n">
        <v>2468</v>
      </c>
      <c r="B2469" s="9" t="s">
        <v>140</v>
      </c>
      <c r="C2469" s="11" t="s">
        <v>141</v>
      </c>
      <c r="D2469" s="9" t="s">
        <v>9752</v>
      </c>
      <c r="E2469" s="9" t="s">
        <v>358</v>
      </c>
      <c r="F2469" s="9" t="s">
        <v>9753</v>
      </c>
      <c r="G2469" s="9" t="s">
        <v>24</v>
      </c>
      <c r="H2469" s="14" t="s">
        <v>22</v>
      </c>
      <c r="I2469" s="9" t="s">
        <v>9174</v>
      </c>
      <c r="J2469" s="13"/>
      <c r="K2469" s="13"/>
    </row>
    <row r="2470" customFormat="false" ht="15" hidden="false" customHeight="false" outlineLevel="0" collapsed="false">
      <c r="A2470" s="9" t="n">
        <v>2469</v>
      </c>
      <c r="B2470" s="9" t="s">
        <v>140</v>
      </c>
      <c r="C2470" s="11" t="s">
        <v>141</v>
      </c>
      <c r="D2470" s="9" t="s">
        <v>9754</v>
      </c>
      <c r="E2470" s="9" t="s">
        <v>362</v>
      </c>
      <c r="F2470" s="9" t="s">
        <v>363</v>
      </c>
      <c r="G2470" s="9" t="s">
        <v>24</v>
      </c>
      <c r="H2470" s="14" t="s">
        <v>22</v>
      </c>
      <c r="I2470" s="9" t="s">
        <v>364</v>
      </c>
      <c r="J2470" s="13"/>
      <c r="K2470" s="13"/>
    </row>
    <row r="2471" customFormat="false" ht="35.05" hidden="false" customHeight="false" outlineLevel="0" collapsed="false">
      <c r="A2471" s="9" t="n">
        <v>2470</v>
      </c>
      <c r="B2471" s="9" t="s">
        <v>140</v>
      </c>
      <c r="C2471" s="11" t="s">
        <v>141</v>
      </c>
      <c r="D2471" s="9" t="s">
        <v>9755</v>
      </c>
      <c r="E2471" s="9" t="s">
        <v>9756</v>
      </c>
      <c r="F2471" s="9" t="s">
        <v>9757</v>
      </c>
      <c r="G2471" s="9" t="s">
        <v>24</v>
      </c>
      <c r="H2471" s="14" t="s">
        <v>22</v>
      </c>
      <c r="I2471" s="9" t="s">
        <v>9328</v>
      </c>
      <c r="J2471" s="13"/>
      <c r="K2471" s="13"/>
    </row>
    <row r="2472" customFormat="false" ht="46.25" hidden="false" customHeight="false" outlineLevel="0" collapsed="false">
      <c r="A2472" s="9" t="n">
        <v>2471</v>
      </c>
      <c r="B2472" s="9" t="s">
        <v>140</v>
      </c>
      <c r="C2472" s="11" t="s">
        <v>141</v>
      </c>
      <c r="D2472" s="9" t="s">
        <v>9758</v>
      </c>
      <c r="E2472" s="9" t="s">
        <v>9759</v>
      </c>
      <c r="F2472" s="9" t="s">
        <v>9760</v>
      </c>
      <c r="G2472" s="9" t="s">
        <v>24</v>
      </c>
      <c r="H2472" s="15" t="s">
        <v>23</v>
      </c>
      <c r="I2472" s="9" t="s">
        <v>9761</v>
      </c>
      <c r="J2472" s="13"/>
      <c r="K2472" s="13"/>
    </row>
    <row r="2473" customFormat="false" ht="23.85" hidden="false" customHeight="false" outlineLevel="0" collapsed="false">
      <c r="A2473" s="9" t="n">
        <v>2472</v>
      </c>
      <c r="B2473" s="9" t="s">
        <v>140</v>
      </c>
      <c r="C2473" s="11" t="s">
        <v>141</v>
      </c>
      <c r="D2473" s="9" t="s">
        <v>9762</v>
      </c>
      <c r="E2473" s="9" t="s">
        <v>9763</v>
      </c>
      <c r="F2473" s="9" t="s">
        <v>9764</v>
      </c>
      <c r="G2473" s="9" t="s">
        <v>24</v>
      </c>
      <c r="H2473" s="15" t="s">
        <v>23</v>
      </c>
      <c r="I2473" s="9" t="s">
        <v>9765</v>
      </c>
      <c r="J2473" s="13"/>
      <c r="K2473" s="13"/>
    </row>
    <row r="2474" customFormat="false" ht="23.85" hidden="false" customHeight="false" outlineLevel="0" collapsed="false">
      <c r="A2474" s="9" t="n">
        <v>2473</v>
      </c>
      <c r="B2474" s="9" t="s">
        <v>140</v>
      </c>
      <c r="C2474" s="11" t="s">
        <v>141</v>
      </c>
      <c r="D2474" s="9" t="s">
        <v>9766</v>
      </c>
      <c r="E2474" s="9" t="s">
        <v>9767</v>
      </c>
      <c r="F2474" s="9" t="s">
        <v>9768</v>
      </c>
      <c r="G2474" s="9" t="s">
        <v>24</v>
      </c>
      <c r="H2474" s="15" t="s">
        <v>23</v>
      </c>
      <c r="I2474" s="9" t="s">
        <v>9769</v>
      </c>
      <c r="J2474" s="13"/>
      <c r="K2474" s="13"/>
    </row>
    <row r="2475" customFormat="false" ht="23.85" hidden="false" customHeight="false" outlineLevel="0" collapsed="false">
      <c r="A2475" s="9" t="n">
        <v>2474</v>
      </c>
      <c r="B2475" s="9" t="s">
        <v>140</v>
      </c>
      <c r="C2475" s="11" t="s">
        <v>141</v>
      </c>
      <c r="D2475" s="9" t="s">
        <v>9770</v>
      </c>
      <c r="E2475" s="9" t="s">
        <v>9771</v>
      </c>
      <c r="F2475" s="9" t="s">
        <v>9772</v>
      </c>
      <c r="G2475" s="9" t="s">
        <v>24</v>
      </c>
      <c r="H2475" s="15" t="s">
        <v>23</v>
      </c>
      <c r="I2475" s="9" t="s">
        <v>9773</v>
      </c>
      <c r="J2475" s="13"/>
      <c r="K2475" s="13"/>
    </row>
    <row r="2476" customFormat="false" ht="15" hidden="false" customHeight="false" outlineLevel="0" collapsed="false">
      <c r="A2476" s="9" t="n">
        <v>2475</v>
      </c>
      <c r="B2476" s="9" t="s">
        <v>140</v>
      </c>
      <c r="C2476" s="11" t="s">
        <v>141</v>
      </c>
      <c r="D2476" s="9" t="s">
        <v>9774</v>
      </c>
      <c r="E2476" s="9" t="s">
        <v>9775</v>
      </c>
      <c r="F2476" s="9" t="s">
        <v>9776</v>
      </c>
      <c r="G2476" s="9" t="s">
        <v>24</v>
      </c>
      <c r="H2476" s="15" t="s">
        <v>23</v>
      </c>
      <c r="I2476" s="9" t="s">
        <v>434</v>
      </c>
      <c r="J2476" s="13"/>
      <c r="K2476" s="13"/>
    </row>
    <row r="2477" customFormat="false" ht="23.85" hidden="false" customHeight="false" outlineLevel="0" collapsed="false">
      <c r="A2477" s="9" t="n">
        <v>2476</v>
      </c>
      <c r="B2477" s="9" t="s">
        <v>140</v>
      </c>
      <c r="C2477" s="11" t="s">
        <v>141</v>
      </c>
      <c r="D2477" s="9" t="s">
        <v>9777</v>
      </c>
      <c r="E2477" s="9" t="s">
        <v>9778</v>
      </c>
      <c r="F2477" s="9" t="s">
        <v>9779</v>
      </c>
      <c r="G2477" s="9" t="s">
        <v>24</v>
      </c>
      <c r="H2477" s="15" t="s">
        <v>23</v>
      </c>
      <c r="I2477" s="9" t="s">
        <v>434</v>
      </c>
      <c r="J2477" s="13"/>
      <c r="K2477" s="13"/>
    </row>
    <row r="2478" customFormat="false" ht="23.85" hidden="false" customHeight="false" outlineLevel="0" collapsed="false">
      <c r="A2478" s="9" t="n">
        <v>2477</v>
      </c>
      <c r="B2478" s="9" t="s">
        <v>140</v>
      </c>
      <c r="C2478" s="11" t="s">
        <v>141</v>
      </c>
      <c r="D2478" s="9" t="s">
        <v>9780</v>
      </c>
      <c r="E2478" s="9" t="s">
        <v>9781</v>
      </c>
      <c r="F2478" s="9" t="s">
        <v>9022</v>
      </c>
      <c r="G2478" s="9" t="s">
        <v>24</v>
      </c>
      <c r="H2478" s="15" t="s">
        <v>23</v>
      </c>
      <c r="I2478" s="9" t="s">
        <v>5550</v>
      </c>
      <c r="J2478" s="13"/>
      <c r="K2478" s="13"/>
    </row>
    <row r="2479" customFormat="false" ht="79.85" hidden="false" customHeight="false" outlineLevel="0" collapsed="false">
      <c r="A2479" s="9" t="n">
        <v>2478</v>
      </c>
      <c r="B2479" s="9" t="s">
        <v>140</v>
      </c>
      <c r="C2479" s="11" t="s">
        <v>143</v>
      </c>
      <c r="D2479" s="9" t="s">
        <v>9782</v>
      </c>
      <c r="E2479" s="9" t="s">
        <v>9783</v>
      </c>
      <c r="F2479" s="9" t="s">
        <v>9784</v>
      </c>
      <c r="G2479" s="9" t="s">
        <v>8842</v>
      </c>
      <c r="H2479" s="14" t="s">
        <v>22</v>
      </c>
      <c r="I2479" s="9" t="s">
        <v>9785</v>
      </c>
      <c r="J2479" s="13"/>
      <c r="K2479" s="13"/>
    </row>
    <row r="2480" customFormat="false" ht="135.8" hidden="false" customHeight="false" outlineLevel="0" collapsed="false">
      <c r="A2480" s="9" t="n">
        <v>2479</v>
      </c>
      <c r="B2480" s="9" t="s">
        <v>140</v>
      </c>
      <c r="C2480" s="11" t="s">
        <v>143</v>
      </c>
      <c r="D2480" s="9" t="s">
        <v>9786</v>
      </c>
      <c r="E2480" s="9" t="s">
        <v>9787</v>
      </c>
      <c r="F2480" s="9" t="s">
        <v>9788</v>
      </c>
      <c r="G2480" s="9" t="s">
        <v>1643</v>
      </c>
      <c r="H2480" s="12" t="s">
        <v>21</v>
      </c>
      <c r="I2480" s="9" t="s">
        <v>9789</v>
      </c>
      <c r="J2480" s="13"/>
      <c r="K2480" s="13"/>
    </row>
    <row r="2481" customFormat="false" ht="68.65" hidden="false" customHeight="false" outlineLevel="0" collapsed="false">
      <c r="A2481" s="9" t="n">
        <v>2480</v>
      </c>
      <c r="B2481" s="9" t="s">
        <v>140</v>
      </c>
      <c r="C2481" s="11" t="s">
        <v>143</v>
      </c>
      <c r="D2481" s="9" t="s">
        <v>9790</v>
      </c>
      <c r="E2481" s="9" t="s">
        <v>9791</v>
      </c>
      <c r="F2481" s="9" t="s">
        <v>9792</v>
      </c>
      <c r="G2481" s="9" t="s">
        <v>328</v>
      </c>
      <c r="H2481" s="12" t="s">
        <v>21</v>
      </c>
      <c r="I2481" s="9" t="s">
        <v>9793</v>
      </c>
      <c r="J2481" s="13"/>
      <c r="K2481" s="13"/>
    </row>
    <row r="2482" customFormat="false" ht="91" hidden="false" customHeight="false" outlineLevel="0" collapsed="false">
      <c r="A2482" s="9" t="n">
        <v>2481</v>
      </c>
      <c r="B2482" s="9" t="s">
        <v>140</v>
      </c>
      <c r="C2482" s="11" t="s">
        <v>143</v>
      </c>
      <c r="D2482" s="9" t="s">
        <v>9794</v>
      </c>
      <c r="E2482" s="9" t="s">
        <v>9795</v>
      </c>
      <c r="F2482" s="9" t="s">
        <v>9796</v>
      </c>
      <c r="G2482" s="9" t="s">
        <v>4998</v>
      </c>
      <c r="H2482" s="14" t="s">
        <v>22</v>
      </c>
      <c r="I2482" s="9" t="s">
        <v>9797</v>
      </c>
      <c r="J2482" s="13"/>
      <c r="K2482" s="13"/>
    </row>
    <row r="2483" customFormat="false" ht="214.15" hidden="false" customHeight="false" outlineLevel="0" collapsed="false">
      <c r="A2483" s="9" t="n">
        <v>2482</v>
      </c>
      <c r="B2483" s="9" t="s">
        <v>140</v>
      </c>
      <c r="C2483" s="11" t="s">
        <v>143</v>
      </c>
      <c r="D2483" s="9" t="s">
        <v>9798</v>
      </c>
      <c r="E2483" s="9" t="s">
        <v>9799</v>
      </c>
      <c r="F2483" s="9" t="s">
        <v>9800</v>
      </c>
      <c r="G2483" s="9" t="s">
        <v>3498</v>
      </c>
      <c r="H2483" s="12" t="s">
        <v>21</v>
      </c>
      <c r="I2483" s="9" t="s">
        <v>9801</v>
      </c>
      <c r="J2483" s="13"/>
      <c r="K2483" s="13"/>
    </row>
    <row r="2484" customFormat="false" ht="57.45" hidden="false" customHeight="false" outlineLevel="0" collapsed="false">
      <c r="A2484" s="9" t="n">
        <v>2483</v>
      </c>
      <c r="B2484" s="9" t="s">
        <v>140</v>
      </c>
      <c r="C2484" s="11" t="s">
        <v>143</v>
      </c>
      <c r="D2484" s="9" t="s">
        <v>9802</v>
      </c>
      <c r="E2484" s="9" t="s">
        <v>9803</v>
      </c>
      <c r="F2484" s="9" t="s">
        <v>9804</v>
      </c>
      <c r="G2484" s="9" t="s">
        <v>3266</v>
      </c>
      <c r="H2484" s="14" t="s">
        <v>22</v>
      </c>
      <c r="I2484" s="9" t="s">
        <v>9805</v>
      </c>
      <c r="J2484" s="13"/>
      <c r="K2484" s="13"/>
    </row>
    <row r="2485" customFormat="false" ht="91" hidden="false" customHeight="false" outlineLevel="0" collapsed="false">
      <c r="A2485" s="9" t="n">
        <v>2484</v>
      </c>
      <c r="B2485" s="9" t="s">
        <v>140</v>
      </c>
      <c r="C2485" s="11" t="s">
        <v>143</v>
      </c>
      <c r="D2485" s="9" t="s">
        <v>9806</v>
      </c>
      <c r="E2485" s="9" t="s">
        <v>9807</v>
      </c>
      <c r="F2485" s="9" t="s">
        <v>9808</v>
      </c>
      <c r="G2485" s="9" t="s">
        <v>1072</v>
      </c>
      <c r="H2485" s="12" t="s">
        <v>21</v>
      </c>
      <c r="I2485" s="9" t="s">
        <v>9809</v>
      </c>
      <c r="J2485" s="13"/>
      <c r="K2485" s="13"/>
    </row>
    <row r="2486" customFormat="false" ht="68.65" hidden="false" customHeight="false" outlineLevel="0" collapsed="false">
      <c r="A2486" s="9" t="n">
        <v>2485</v>
      </c>
      <c r="B2486" s="9" t="s">
        <v>140</v>
      </c>
      <c r="C2486" s="11" t="s">
        <v>143</v>
      </c>
      <c r="D2486" s="9" t="s">
        <v>9810</v>
      </c>
      <c r="E2486" s="9" t="s">
        <v>9811</v>
      </c>
      <c r="F2486" s="9" t="s">
        <v>9812</v>
      </c>
      <c r="G2486" s="9" t="s">
        <v>3266</v>
      </c>
      <c r="H2486" s="14" t="s">
        <v>22</v>
      </c>
      <c r="I2486" s="9" t="s">
        <v>9813</v>
      </c>
      <c r="J2486" s="13"/>
      <c r="K2486" s="13"/>
    </row>
    <row r="2487" customFormat="false" ht="57.45" hidden="false" customHeight="false" outlineLevel="0" collapsed="false">
      <c r="A2487" s="9" t="n">
        <v>2486</v>
      </c>
      <c r="B2487" s="9" t="s">
        <v>140</v>
      </c>
      <c r="C2487" s="11" t="s">
        <v>143</v>
      </c>
      <c r="D2487" s="9" t="s">
        <v>9814</v>
      </c>
      <c r="E2487" s="9" t="s">
        <v>9815</v>
      </c>
      <c r="F2487" s="9" t="s">
        <v>9816</v>
      </c>
      <c r="G2487" s="9" t="s">
        <v>1072</v>
      </c>
      <c r="H2487" s="14" t="s">
        <v>22</v>
      </c>
      <c r="I2487" s="9" t="s">
        <v>9817</v>
      </c>
      <c r="J2487" s="13"/>
      <c r="K2487" s="13"/>
    </row>
    <row r="2488" customFormat="false" ht="91" hidden="false" customHeight="false" outlineLevel="0" collapsed="false">
      <c r="A2488" s="9" t="n">
        <v>2487</v>
      </c>
      <c r="B2488" s="9" t="s">
        <v>140</v>
      </c>
      <c r="C2488" s="11" t="s">
        <v>143</v>
      </c>
      <c r="D2488" s="9" t="s">
        <v>9818</v>
      </c>
      <c r="E2488" s="9" t="s">
        <v>9819</v>
      </c>
      <c r="F2488" s="9" t="s">
        <v>9820</v>
      </c>
      <c r="G2488" s="9" t="s">
        <v>6487</v>
      </c>
      <c r="H2488" s="12" t="s">
        <v>21</v>
      </c>
      <c r="I2488" s="9" t="s">
        <v>9821</v>
      </c>
      <c r="J2488" s="13"/>
      <c r="K2488" s="13"/>
    </row>
    <row r="2489" customFormat="false" ht="46.25" hidden="false" customHeight="false" outlineLevel="0" collapsed="false">
      <c r="A2489" s="9" t="n">
        <v>2488</v>
      </c>
      <c r="B2489" s="9" t="s">
        <v>140</v>
      </c>
      <c r="C2489" s="11" t="s">
        <v>143</v>
      </c>
      <c r="D2489" s="9" t="s">
        <v>9822</v>
      </c>
      <c r="E2489" s="9" t="s">
        <v>9823</v>
      </c>
      <c r="F2489" s="9" t="s">
        <v>9824</v>
      </c>
      <c r="G2489" s="9" t="s">
        <v>328</v>
      </c>
      <c r="H2489" s="15" t="s">
        <v>23</v>
      </c>
      <c r="I2489" s="9" t="s">
        <v>9825</v>
      </c>
      <c r="J2489" s="13"/>
      <c r="K2489" s="13"/>
    </row>
    <row r="2490" customFormat="false" ht="57.45" hidden="false" customHeight="false" outlineLevel="0" collapsed="false">
      <c r="A2490" s="9" t="n">
        <v>2489</v>
      </c>
      <c r="B2490" s="9" t="s">
        <v>140</v>
      </c>
      <c r="C2490" s="11" t="s">
        <v>143</v>
      </c>
      <c r="D2490" s="9" t="s">
        <v>9826</v>
      </c>
      <c r="E2490" s="9" t="s">
        <v>9827</v>
      </c>
      <c r="F2490" s="9" t="s">
        <v>9828</v>
      </c>
      <c r="G2490" s="9" t="s">
        <v>2044</v>
      </c>
      <c r="H2490" s="14" t="s">
        <v>22</v>
      </c>
      <c r="I2490" s="9" t="s">
        <v>9829</v>
      </c>
      <c r="J2490" s="13"/>
      <c r="K2490" s="13"/>
    </row>
    <row r="2491" customFormat="false" ht="79.85" hidden="false" customHeight="false" outlineLevel="0" collapsed="false">
      <c r="A2491" s="9" t="n">
        <v>2490</v>
      </c>
      <c r="B2491" s="9" t="s">
        <v>140</v>
      </c>
      <c r="C2491" s="11" t="s">
        <v>143</v>
      </c>
      <c r="D2491" s="9" t="s">
        <v>9830</v>
      </c>
      <c r="E2491" s="9" t="s">
        <v>9831</v>
      </c>
      <c r="F2491" s="9" t="s">
        <v>9832</v>
      </c>
      <c r="G2491" s="9" t="s">
        <v>9682</v>
      </c>
      <c r="H2491" s="14" t="s">
        <v>22</v>
      </c>
      <c r="I2491" s="9" t="s">
        <v>9833</v>
      </c>
      <c r="J2491" s="13"/>
      <c r="K2491" s="13"/>
    </row>
    <row r="2492" customFormat="false" ht="46.25" hidden="false" customHeight="false" outlineLevel="0" collapsed="false">
      <c r="A2492" s="9" t="n">
        <v>2491</v>
      </c>
      <c r="B2492" s="9" t="s">
        <v>140</v>
      </c>
      <c r="C2492" s="11" t="s">
        <v>143</v>
      </c>
      <c r="D2492" s="9" t="s">
        <v>9834</v>
      </c>
      <c r="E2492" s="9" t="s">
        <v>9835</v>
      </c>
      <c r="F2492" s="9" t="s">
        <v>9836</v>
      </c>
      <c r="G2492" s="9" t="s">
        <v>9837</v>
      </c>
      <c r="H2492" s="14" t="s">
        <v>22</v>
      </c>
      <c r="I2492" s="9" t="s">
        <v>9838</v>
      </c>
      <c r="J2492" s="13"/>
      <c r="K2492" s="13"/>
    </row>
    <row r="2493" customFormat="false" ht="46.25" hidden="false" customHeight="false" outlineLevel="0" collapsed="false">
      <c r="A2493" s="9" t="n">
        <v>2492</v>
      </c>
      <c r="B2493" s="9" t="s">
        <v>140</v>
      </c>
      <c r="C2493" s="11" t="s">
        <v>143</v>
      </c>
      <c r="D2493" s="9" t="s">
        <v>9839</v>
      </c>
      <c r="E2493" s="9" t="s">
        <v>9840</v>
      </c>
      <c r="F2493" s="9" t="s">
        <v>9841</v>
      </c>
      <c r="G2493" s="9" t="s">
        <v>9842</v>
      </c>
      <c r="H2493" s="15" t="s">
        <v>23</v>
      </c>
      <c r="I2493" s="9" t="s">
        <v>9843</v>
      </c>
      <c r="J2493" s="13"/>
      <c r="K2493" s="13"/>
    </row>
    <row r="2494" customFormat="false" ht="46.25" hidden="false" customHeight="false" outlineLevel="0" collapsed="false">
      <c r="A2494" s="9" t="n">
        <v>2493</v>
      </c>
      <c r="B2494" s="9" t="s">
        <v>140</v>
      </c>
      <c r="C2494" s="11" t="s">
        <v>143</v>
      </c>
      <c r="D2494" s="9" t="s">
        <v>9844</v>
      </c>
      <c r="E2494" s="9" t="s">
        <v>9845</v>
      </c>
      <c r="F2494" s="9" t="s">
        <v>9846</v>
      </c>
      <c r="G2494" s="9" t="s">
        <v>2044</v>
      </c>
      <c r="H2494" s="14" t="s">
        <v>22</v>
      </c>
      <c r="I2494" s="9" t="s">
        <v>9847</v>
      </c>
      <c r="J2494" s="13"/>
      <c r="K2494" s="13"/>
    </row>
    <row r="2495" customFormat="false" ht="68.65" hidden="false" customHeight="false" outlineLevel="0" collapsed="false">
      <c r="A2495" s="9" t="n">
        <v>2494</v>
      </c>
      <c r="B2495" s="9" t="s">
        <v>140</v>
      </c>
      <c r="C2495" s="11" t="s">
        <v>143</v>
      </c>
      <c r="D2495" s="9" t="s">
        <v>9848</v>
      </c>
      <c r="E2495" s="9" t="s">
        <v>9849</v>
      </c>
      <c r="F2495" s="9" t="s">
        <v>9850</v>
      </c>
      <c r="G2495" s="9" t="s">
        <v>1072</v>
      </c>
      <c r="H2495" s="14" t="s">
        <v>22</v>
      </c>
      <c r="I2495" s="9" t="s">
        <v>9851</v>
      </c>
      <c r="J2495" s="13"/>
      <c r="K2495" s="13"/>
    </row>
    <row r="2496" customFormat="false" ht="68.65" hidden="false" customHeight="false" outlineLevel="0" collapsed="false">
      <c r="A2496" s="9" t="n">
        <v>2495</v>
      </c>
      <c r="B2496" s="9" t="s">
        <v>140</v>
      </c>
      <c r="C2496" s="11" t="s">
        <v>143</v>
      </c>
      <c r="D2496" s="9" t="s">
        <v>9852</v>
      </c>
      <c r="E2496" s="9" t="s">
        <v>9853</v>
      </c>
      <c r="F2496" s="9" t="s">
        <v>9854</v>
      </c>
      <c r="G2496" s="9" t="s">
        <v>7879</v>
      </c>
      <c r="H2496" s="14" t="s">
        <v>22</v>
      </c>
      <c r="I2496" s="9" t="s">
        <v>9855</v>
      </c>
      <c r="J2496" s="13"/>
      <c r="K2496" s="13"/>
    </row>
    <row r="2497" customFormat="false" ht="46.25" hidden="false" customHeight="false" outlineLevel="0" collapsed="false">
      <c r="A2497" s="9" t="n">
        <v>2496</v>
      </c>
      <c r="B2497" s="9" t="s">
        <v>140</v>
      </c>
      <c r="C2497" s="11" t="s">
        <v>143</v>
      </c>
      <c r="D2497" s="9" t="s">
        <v>9856</v>
      </c>
      <c r="E2497" s="9" t="s">
        <v>9857</v>
      </c>
      <c r="F2497" s="9" t="s">
        <v>9858</v>
      </c>
      <c r="G2497" s="9" t="s">
        <v>3313</v>
      </c>
      <c r="H2497" s="15" t="s">
        <v>23</v>
      </c>
      <c r="I2497" s="9" t="s">
        <v>9859</v>
      </c>
      <c r="J2497" s="13"/>
      <c r="K2497" s="13"/>
    </row>
    <row r="2498" customFormat="false" ht="46.25" hidden="false" customHeight="false" outlineLevel="0" collapsed="false">
      <c r="A2498" s="9" t="n">
        <v>2497</v>
      </c>
      <c r="B2498" s="9" t="s">
        <v>140</v>
      </c>
      <c r="C2498" s="11" t="s">
        <v>143</v>
      </c>
      <c r="D2498" s="9" t="s">
        <v>9860</v>
      </c>
      <c r="E2498" s="9" t="s">
        <v>9861</v>
      </c>
      <c r="F2498" s="9" t="s">
        <v>9862</v>
      </c>
      <c r="G2498" s="9" t="s">
        <v>9863</v>
      </c>
      <c r="H2498" s="15" t="s">
        <v>23</v>
      </c>
      <c r="I2498" s="9" t="s">
        <v>9864</v>
      </c>
      <c r="J2498" s="13"/>
      <c r="K2498" s="13"/>
    </row>
    <row r="2499" customFormat="false" ht="46.25" hidden="false" customHeight="false" outlineLevel="0" collapsed="false">
      <c r="A2499" s="9" t="n">
        <v>2498</v>
      </c>
      <c r="B2499" s="9" t="s">
        <v>140</v>
      </c>
      <c r="C2499" s="11" t="s">
        <v>143</v>
      </c>
      <c r="D2499" s="9" t="s">
        <v>9865</v>
      </c>
      <c r="E2499" s="9" t="s">
        <v>9866</v>
      </c>
      <c r="F2499" s="9" t="s">
        <v>9867</v>
      </c>
      <c r="G2499" s="9" t="s">
        <v>7839</v>
      </c>
      <c r="H2499" s="14" t="s">
        <v>22</v>
      </c>
      <c r="I2499" s="9" t="s">
        <v>9868</v>
      </c>
      <c r="J2499" s="13"/>
      <c r="K2499" s="13"/>
    </row>
    <row r="2500" customFormat="false" ht="23.85" hidden="false" customHeight="false" outlineLevel="0" collapsed="false">
      <c r="A2500" s="9" t="n">
        <v>2499</v>
      </c>
      <c r="B2500" s="9" t="s">
        <v>140</v>
      </c>
      <c r="C2500" s="11" t="s">
        <v>143</v>
      </c>
      <c r="D2500" s="9" t="s">
        <v>9869</v>
      </c>
      <c r="E2500" s="9" t="s">
        <v>9870</v>
      </c>
      <c r="F2500" s="9" t="s">
        <v>9871</v>
      </c>
      <c r="G2500" s="9" t="s">
        <v>312</v>
      </c>
      <c r="H2500" s="15" t="s">
        <v>23</v>
      </c>
      <c r="I2500" s="9" t="s">
        <v>9872</v>
      </c>
      <c r="J2500" s="13"/>
      <c r="K2500" s="13"/>
    </row>
    <row r="2501" customFormat="false" ht="35.05" hidden="false" customHeight="false" outlineLevel="0" collapsed="false">
      <c r="A2501" s="9" t="n">
        <v>2500</v>
      </c>
      <c r="B2501" s="9" t="s">
        <v>140</v>
      </c>
      <c r="C2501" s="11" t="s">
        <v>143</v>
      </c>
      <c r="D2501" s="9" t="s">
        <v>9873</v>
      </c>
      <c r="E2501" s="9" t="s">
        <v>9874</v>
      </c>
      <c r="F2501" s="9" t="s">
        <v>9875</v>
      </c>
      <c r="G2501" s="9" t="s">
        <v>1638</v>
      </c>
      <c r="H2501" s="15" t="s">
        <v>23</v>
      </c>
      <c r="I2501" s="9" t="s">
        <v>9876</v>
      </c>
      <c r="J2501" s="13"/>
      <c r="K2501" s="13"/>
    </row>
    <row r="2502" customFormat="false" ht="46.25" hidden="false" customHeight="false" outlineLevel="0" collapsed="false">
      <c r="A2502" s="9" t="n">
        <v>2501</v>
      </c>
      <c r="B2502" s="9" t="s">
        <v>140</v>
      </c>
      <c r="C2502" s="11" t="s">
        <v>143</v>
      </c>
      <c r="D2502" s="9" t="s">
        <v>9877</v>
      </c>
      <c r="E2502" s="9" t="s">
        <v>9878</v>
      </c>
      <c r="F2502" s="9" t="s">
        <v>9879</v>
      </c>
      <c r="G2502" s="9" t="s">
        <v>7888</v>
      </c>
      <c r="H2502" s="15" t="s">
        <v>23</v>
      </c>
      <c r="I2502" s="9" t="s">
        <v>9880</v>
      </c>
      <c r="J2502" s="13"/>
      <c r="K2502" s="13"/>
    </row>
    <row r="2503" customFormat="false" ht="46.25" hidden="false" customHeight="false" outlineLevel="0" collapsed="false">
      <c r="A2503" s="9" t="n">
        <v>2502</v>
      </c>
      <c r="B2503" s="9" t="s">
        <v>140</v>
      </c>
      <c r="C2503" s="11" t="s">
        <v>143</v>
      </c>
      <c r="D2503" s="9" t="s">
        <v>9881</v>
      </c>
      <c r="E2503" s="9" t="s">
        <v>9882</v>
      </c>
      <c r="F2503" s="9" t="s">
        <v>9883</v>
      </c>
      <c r="G2503" s="9" t="s">
        <v>4146</v>
      </c>
      <c r="H2503" s="15" t="s">
        <v>23</v>
      </c>
      <c r="I2503" s="9" t="s">
        <v>9884</v>
      </c>
      <c r="J2503" s="13"/>
      <c r="K2503" s="13"/>
    </row>
    <row r="2504" customFormat="false" ht="46.25" hidden="false" customHeight="false" outlineLevel="0" collapsed="false">
      <c r="A2504" s="9" t="n">
        <v>2503</v>
      </c>
      <c r="B2504" s="9" t="s">
        <v>140</v>
      </c>
      <c r="C2504" s="11" t="s">
        <v>143</v>
      </c>
      <c r="D2504" s="9" t="s">
        <v>9885</v>
      </c>
      <c r="E2504" s="9" t="s">
        <v>9886</v>
      </c>
      <c r="F2504" s="9" t="s">
        <v>9887</v>
      </c>
      <c r="G2504" s="9" t="s">
        <v>9888</v>
      </c>
      <c r="H2504" s="14" t="s">
        <v>22</v>
      </c>
      <c r="I2504" s="9" t="s">
        <v>9889</v>
      </c>
      <c r="J2504" s="13"/>
      <c r="K2504" s="13"/>
    </row>
    <row r="2505" customFormat="false" ht="68.65" hidden="false" customHeight="false" outlineLevel="0" collapsed="false">
      <c r="A2505" s="9" t="n">
        <v>2504</v>
      </c>
      <c r="B2505" s="9" t="s">
        <v>140</v>
      </c>
      <c r="C2505" s="11" t="s">
        <v>143</v>
      </c>
      <c r="D2505" s="9" t="s">
        <v>9890</v>
      </c>
      <c r="E2505" s="9" t="s">
        <v>9891</v>
      </c>
      <c r="F2505" s="9" t="s">
        <v>9892</v>
      </c>
      <c r="G2505" s="9" t="s">
        <v>3220</v>
      </c>
      <c r="H2505" s="15" t="s">
        <v>23</v>
      </c>
      <c r="I2505" s="9" t="s">
        <v>9893</v>
      </c>
      <c r="J2505" s="13"/>
      <c r="K2505" s="13"/>
    </row>
    <row r="2506" customFormat="false" ht="46.25" hidden="false" customHeight="false" outlineLevel="0" collapsed="false">
      <c r="A2506" s="9" t="n">
        <v>2505</v>
      </c>
      <c r="B2506" s="9" t="s">
        <v>140</v>
      </c>
      <c r="C2506" s="11" t="s">
        <v>143</v>
      </c>
      <c r="D2506" s="9" t="s">
        <v>9894</v>
      </c>
      <c r="E2506" s="9" t="s">
        <v>9895</v>
      </c>
      <c r="F2506" s="9" t="s">
        <v>9896</v>
      </c>
      <c r="G2506" s="9" t="s">
        <v>9897</v>
      </c>
      <c r="H2506" s="14" t="s">
        <v>22</v>
      </c>
      <c r="I2506" s="9" t="s">
        <v>9898</v>
      </c>
      <c r="J2506" s="13"/>
      <c r="K2506" s="13"/>
    </row>
    <row r="2507" customFormat="false" ht="23.85" hidden="false" customHeight="false" outlineLevel="0" collapsed="false">
      <c r="A2507" s="9" t="n">
        <v>2506</v>
      </c>
      <c r="B2507" s="9" t="s">
        <v>140</v>
      </c>
      <c r="C2507" s="11" t="s">
        <v>143</v>
      </c>
      <c r="D2507" s="9" t="s">
        <v>9899</v>
      </c>
      <c r="E2507" s="9" t="s">
        <v>9900</v>
      </c>
      <c r="F2507" s="9" t="s">
        <v>9901</v>
      </c>
      <c r="G2507" s="9" t="s">
        <v>317</v>
      </c>
      <c r="H2507" s="15" t="s">
        <v>23</v>
      </c>
      <c r="I2507" s="9" t="s">
        <v>9902</v>
      </c>
      <c r="J2507" s="13"/>
      <c r="K2507" s="13"/>
    </row>
    <row r="2508" customFormat="false" ht="79.85" hidden="false" customHeight="false" outlineLevel="0" collapsed="false">
      <c r="A2508" s="9" t="n">
        <v>2507</v>
      </c>
      <c r="B2508" s="9" t="s">
        <v>140</v>
      </c>
      <c r="C2508" s="11" t="s">
        <v>143</v>
      </c>
      <c r="D2508" s="9" t="s">
        <v>9903</v>
      </c>
      <c r="E2508" s="9" t="s">
        <v>9904</v>
      </c>
      <c r="F2508" s="9" t="s">
        <v>9905</v>
      </c>
      <c r="G2508" s="9" t="s">
        <v>317</v>
      </c>
      <c r="H2508" s="14" t="s">
        <v>22</v>
      </c>
      <c r="I2508" s="9" t="s">
        <v>9906</v>
      </c>
      <c r="J2508" s="13"/>
      <c r="K2508" s="13"/>
    </row>
    <row r="2509" customFormat="false" ht="68.65" hidden="false" customHeight="false" outlineLevel="0" collapsed="false">
      <c r="A2509" s="9" t="n">
        <v>2508</v>
      </c>
      <c r="B2509" s="9" t="s">
        <v>140</v>
      </c>
      <c r="C2509" s="11" t="s">
        <v>143</v>
      </c>
      <c r="D2509" s="9" t="s">
        <v>9907</v>
      </c>
      <c r="E2509" s="9" t="s">
        <v>9908</v>
      </c>
      <c r="F2509" s="9" t="s">
        <v>9909</v>
      </c>
      <c r="G2509" s="9" t="s">
        <v>6487</v>
      </c>
      <c r="H2509" s="12" t="s">
        <v>21</v>
      </c>
      <c r="I2509" s="9" t="s">
        <v>9910</v>
      </c>
      <c r="J2509" s="13"/>
      <c r="K2509" s="13"/>
    </row>
    <row r="2510" customFormat="false" ht="79.85" hidden="false" customHeight="false" outlineLevel="0" collapsed="false">
      <c r="A2510" s="9" t="n">
        <v>2509</v>
      </c>
      <c r="B2510" s="9" t="s">
        <v>140</v>
      </c>
      <c r="C2510" s="11" t="s">
        <v>143</v>
      </c>
      <c r="D2510" s="9" t="s">
        <v>9911</v>
      </c>
      <c r="E2510" s="9" t="s">
        <v>9912</v>
      </c>
      <c r="F2510" s="9" t="s">
        <v>9913</v>
      </c>
      <c r="G2510" s="9" t="s">
        <v>1072</v>
      </c>
      <c r="H2510" s="12" t="s">
        <v>21</v>
      </c>
      <c r="I2510" s="9" t="s">
        <v>9914</v>
      </c>
      <c r="J2510" s="13"/>
      <c r="K2510" s="13"/>
    </row>
    <row r="2511" customFormat="false" ht="35.05" hidden="false" customHeight="false" outlineLevel="0" collapsed="false">
      <c r="A2511" s="9" t="n">
        <v>2510</v>
      </c>
      <c r="B2511" s="9" t="s">
        <v>140</v>
      </c>
      <c r="C2511" s="11" t="s">
        <v>143</v>
      </c>
      <c r="D2511" s="9" t="s">
        <v>9915</v>
      </c>
      <c r="E2511" s="9" t="s">
        <v>9916</v>
      </c>
      <c r="F2511" s="9" t="s">
        <v>9917</v>
      </c>
      <c r="G2511" s="9" t="s">
        <v>1072</v>
      </c>
      <c r="H2511" s="14" t="s">
        <v>22</v>
      </c>
      <c r="I2511" s="9" t="s">
        <v>9918</v>
      </c>
      <c r="J2511" s="13"/>
      <c r="K2511" s="13"/>
    </row>
    <row r="2512" customFormat="false" ht="57.45" hidden="false" customHeight="false" outlineLevel="0" collapsed="false">
      <c r="A2512" s="9" t="n">
        <v>2511</v>
      </c>
      <c r="B2512" s="9" t="s">
        <v>140</v>
      </c>
      <c r="C2512" s="11" t="s">
        <v>143</v>
      </c>
      <c r="D2512" s="9" t="s">
        <v>9919</v>
      </c>
      <c r="E2512" s="9" t="s">
        <v>9920</v>
      </c>
      <c r="F2512" s="9" t="s">
        <v>9921</v>
      </c>
      <c r="G2512" s="9" t="s">
        <v>1638</v>
      </c>
      <c r="H2512" s="14" t="s">
        <v>22</v>
      </c>
      <c r="I2512" s="9" t="s">
        <v>9922</v>
      </c>
      <c r="J2512" s="13"/>
      <c r="K2512" s="13"/>
    </row>
    <row r="2513" customFormat="false" ht="23.85" hidden="false" customHeight="false" outlineLevel="0" collapsed="false">
      <c r="A2513" s="9" t="n">
        <v>2512</v>
      </c>
      <c r="B2513" s="9" t="s">
        <v>140</v>
      </c>
      <c r="C2513" s="11" t="s">
        <v>143</v>
      </c>
      <c r="D2513" s="9" t="s">
        <v>9923</v>
      </c>
      <c r="E2513" s="9" t="s">
        <v>9924</v>
      </c>
      <c r="F2513" s="9" t="s">
        <v>9925</v>
      </c>
      <c r="G2513" s="9" t="s">
        <v>9863</v>
      </c>
      <c r="H2513" s="15" t="s">
        <v>23</v>
      </c>
      <c r="I2513" s="9" t="s">
        <v>9926</v>
      </c>
      <c r="J2513" s="13"/>
      <c r="K2513" s="13"/>
    </row>
    <row r="2514" customFormat="false" ht="46.25" hidden="false" customHeight="false" outlineLevel="0" collapsed="false">
      <c r="A2514" s="9" t="n">
        <v>2513</v>
      </c>
      <c r="B2514" s="9" t="s">
        <v>140</v>
      </c>
      <c r="C2514" s="11" t="s">
        <v>143</v>
      </c>
      <c r="D2514" s="9" t="s">
        <v>9927</v>
      </c>
      <c r="E2514" s="9" t="s">
        <v>9928</v>
      </c>
      <c r="F2514" s="9" t="s">
        <v>9929</v>
      </c>
      <c r="G2514" s="9" t="s">
        <v>861</v>
      </c>
      <c r="H2514" s="15" t="s">
        <v>23</v>
      </c>
      <c r="I2514" s="9" t="s">
        <v>9930</v>
      </c>
      <c r="J2514" s="13"/>
      <c r="K2514" s="13"/>
    </row>
    <row r="2515" customFormat="false" ht="68.65" hidden="false" customHeight="false" outlineLevel="0" collapsed="false">
      <c r="A2515" s="9" t="n">
        <v>2514</v>
      </c>
      <c r="B2515" s="9" t="s">
        <v>140</v>
      </c>
      <c r="C2515" s="11" t="s">
        <v>143</v>
      </c>
      <c r="D2515" s="9" t="s">
        <v>9931</v>
      </c>
      <c r="E2515" s="9" t="s">
        <v>9932</v>
      </c>
      <c r="F2515" s="9" t="s">
        <v>9933</v>
      </c>
      <c r="G2515" s="9" t="s">
        <v>6474</v>
      </c>
      <c r="H2515" s="14" t="s">
        <v>22</v>
      </c>
      <c r="I2515" s="9" t="s">
        <v>9934</v>
      </c>
      <c r="J2515" s="13"/>
      <c r="K2515" s="13"/>
    </row>
    <row r="2516" customFormat="false" ht="46.25" hidden="false" customHeight="false" outlineLevel="0" collapsed="false">
      <c r="A2516" s="9" t="n">
        <v>2515</v>
      </c>
      <c r="B2516" s="9" t="s">
        <v>140</v>
      </c>
      <c r="C2516" s="11" t="s">
        <v>143</v>
      </c>
      <c r="D2516" s="9" t="s">
        <v>9935</v>
      </c>
      <c r="E2516" s="9" t="s">
        <v>9936</v>
      </c>
      <c r="F2516" s="9" t="s">
        <v>9937</v>
      </c>
      <c r="G2516" s="9" t="s">
        <v>328</v>
      </c>
      <c r="H2516" s="15" t="s">
        <v>23</v>
      </c>
      <c r="I2516" s="9" t="s">
        <v>9938</v>
      </c>
      <c r="J2516" s="13"/>
      <c r="K2516" s="13"/>
    </row>
    <row r="2517" customFormat="false" ht="46.25" hidden="false" customHeight="false" outlineLevel="0" collapsed="false">
      <c r="A2517" s="9" t="n">
        <v>2516</v>
      </c>
      <c r="B2517" s="9" t="s">
        <v>140</v>
      </c>
      <c r="C2517" s="11" t="s">
        <v>143</v>
      </c>
      <c r="D2517" s="9" t="s">
        <v>9939</v>
      </c>
      <c r="E2517" s="9" t="s">
        <v>9653</v>
      </c>
      <c r="F2517" s="9" t="s">
        <v>9940</v>
      </c>
      <c r="G2517" s="9" t="s">
        <v>6425</v>
      </c>
      <c r="H2517" s="15" t="s">
        <v>23</v>
      </c>
      <c r="I2517" s="9" t="s">
        <v>9655</v>
      </c>
      <c r="J2517" s="13"/>
      <c r="K2517" s="13"/>
    </row>
    <row r="2518" customFormat="false" ht="23.85" hidden="false" customHeight="false" outlineLevel="0" collapsed="false">
      <c r="A2518" s="9" t="n">
        <v>2517</v>
      </c>
      <c r="B2518" s="9" t="s">
        <v>140</v>
      </c>
      <c r="C2518" s="11" t="s">
        <v>143</v>
      </c>
      <c r="D2518" s="9" t="s">
        <v>9941</v>
      </c>
      <c r="E2518" s="9" t="s">
        <v>1702</v>
      </c>
      <c r="F2518" s="9" t="s">
        <v>4608</v>
      </c>
      <c r="G2518" s="9" t="s">
        <v>328</v>
      </c>
      <c r="H2518" s="15" t="s">
        <v>23</v>
      </c>
      <c r="I2518" s="9" t="s">
        <v>2846</v>
      </c>
      <c r="J2518" s="13"/>
      <c r="K2518" s="13"/>
    </row>
    <row r="2519" customFormat="false" ht="79.85" hidden="false" customHeight="false" outlineLevel="0" collapsed="false">
      <c r="A2519" s="9" t="n">
        <v>2518</v>
      </c>
      <c r="B2519" s="9" t="s">
        <v>140</v>
      </c>
      <c r="C2519" s="11" t="s">
        <v>143</v>
      </c>
      <c r="D2519" s="9" t="s">
        <v>9942</v>
      </c>
      <c r="E2519" s="9" t="s">
        <v>9943</v>
      </c>
      <c r="F2519" s="9" t="s">
        <v>9944</v>
      </c>
      <c r="G2519" s="9" t="s">
        <v>24</v>
      </c>
      <c r="H2519" s="12" t="s">
        <v>21</v>
      </c>
      <c r="I2519" s="9" t="s">
        <v>9945</v>
      </c>
      <c r="J2519" s="13"/>
      <c r="K2519" s="13"/>
    </row>
    <row r="2520" customFormat="false" ht="23.85" hidden="false" customHeight="false" outlineLevel="0" collapsed="false">
      <c r="A2520" s="9" t="n">
        <v>2519</v>
      </c>
      <c r="B2520" s="9" t="s">
        <v>140</v>
      </c>
      <c r="C2520" s="11" t="s">
        <v>143</v>
      </c>
      <c r="D2520" s="9" t="s">
        <v>9946</v>
      </c>
      <c r="E2520" s="9" t="s">
        <v>9947</v>
      </c>
      <c r="F2520" s="9" t="s">
        <v>9948</v>
      </c>
      <c r="G2520" s="9" t="s">
        <v>24</v>
      </c>
      <c r="H2520" s="12" t="s">
        <v>21</v>
      </c>
      <c r="I2520" s="9" t="s">
        <v>9949</v>
      </c>
      <c r="J2520" s="13"/>
      <c r="K2520" s="13"/>
    </row>
    <row r="2521" customFormat="false" ht="46.25" hidden="false" customHeight="false" outlineLevel="0" collapsed="false">
      <c r="A2521" s="9" t="n">
        <v>2520</v>
      </c>
      <c r="B2521" s="9" t="s">
        <v>140</v>
      </c>
      <c r="C2521" s="11" t="s">
        <v>143</v>
      </c>
      <c r="D2521" s="9" t="s">
        <v>9950</v>
      </c>
      <c r="E2521" s="9" t="s">
        <v>9951</v>
      </c>
      <c r="F2521" s="9" t="s">
        <v>9952</v>
      </c>
      <c r="G2521" s="9" t="s">
        <v>24</v>
      </c>
      <c r="H2521" s="14" t="s">
        <v>22</v>
      </c>
      <c r="I2521" s="9" t="s">
        <v>9953</v>
      </c>
      <c r="J2521" s="13"/>
      <c r="K2521" s="13"/>
    </row>
    <row r="2522" customFormat="false" ht="15" hidden="false" customHeight="false" outlineLevel="0" collapsed="false">
      <c r="A2522" s="9" t="n">
        <v>2521</v>
      </c>
      <c r="B2522" s="9" t="s">
        <v>140</v>
      </c>
      <c r="C2522" s="11" t="s">
        <v>143</v>
      </c>
      <c r="D2522" s="9" t="s">
        <v>9954</v>
      </c>
      <c r="E2522" s="9" t="s">
        <v>9955</v>
      </c>
      <c r="F2522" s="9" t="s">
        <v>9956</v>
      </c>
      <c r="G2522" s="9" t="s">
        <v>24</v>
      </c>
      <c r="H2522" s="14" t="s">
        <v>22</v>
      </c>
      <c r="I2522" s="9" t="s">
        <v>9957</v>
      </c>
      <c r="J2522" s="13"/>
      <c r="K2522" s="13"/>
    </row>
    <row r="2523" customFormat="false" ht="46.25" hidden="false" customHeight="false" outlineLevel="0" collapsed="false">
      <c r="A2523" s="9" t="n">
        <v>2522</v>
      </c>
      <c r="B2523" s="9" t="s">
        <v>140</v>
      </c>
      <c r="C2523" s="11" t="s">
        <v>143</v>
      </c>
      <c r="D2523" s="9" t="s">
        <v>9958</v>
      </c>
      <c r="E2523" s="9" t="s">
        <v>9959</v>
      </c>
      <c r="F2523" s="9" t="s">
        <v>9960</v>
      </c>
      <c r="G2523" s="9" t="s">
        <v>24</v>
      </c>
      <c r="H2523" s="14" t="s">
        <v>22</v>
      </c>
      <c r="I2523" s="9" t="s">
        <v>9961</v>
      </c>
      <c r="J2523" s="13"/>
      <c r="K2523" s="13"/>
    </row>
    <row r="2524" customFormat="false" ht="15" hidden="false" customHeight="false" outlineLevel="0" collapsed="false">
      <c r="A2524" s="9" t="n">
        <v>2523</v>
      </c>
      <c r="B2524" s="9" t="s">
        <v>140</v>
      </c>
      <c r="C2524" s="11" t="s">
        <v>143</v>
      </c>
      <c r="D2524" s="9" t="s">
        <v>9962</v>
      </c>
      <c r="E2524" s="9" t="s">
        <v>9963</v>
      </c>
      <c r="F2524" s="9" t="s">
        <v>9964</v>
      </c>
      <c r="G2524" s="9" t="s">
        <v>24</v>
      </c>
      <c r="H2524" s="14" t="s">
        <v>22</v>
      </c>
      <c r="I2524" s="9" t="s">
        <v>8425</v>
      </c>
      <c r="J2524" s="13"/>
      <c r="K2524" s="13"/>
    </row>
    <row r="2525" customFormat="false" ht="15" hidden="false" customHeight="false" outlineLevel="0" collapsed="false">
      <c r="A2525" s="9" t="n">
        <v>2524</v>
      </c>
      <c r="B2525" s="9" t="s">
        <v>140</v>
      </c>
      <c r="C2525" s="11" t="s">
        <v>143</v>
      </c>
      <c r="D2525" s="9" t="s">
        <v>9965</v>
      </c>
      <c r="E2525" s="9" t="s">
        <v>9966</v>
      </c>
      <c r="F2525" s="9" t="s">
        <v>9321</v>
      </c>
      <c r="G2525" s="9" t="s">
        <v>24</v>
      </c>
      <c r="H2525" s="14" t="s">
        <v>22</v>
      </c>
      <c r="I2525" s="9" t="s">
        <v>9167</v>
      </c>
      <c r="J2525" s="13"/>
      <c r="K2525" s="13"/>
    </row>
    <row r="2526" customFormat="false" ht="15" hidden="false" customHeight="false" outlineLevel="0" collapsed="false">
      <c r="A2526" s="9" t="n">
        <v>2525</v>
      </c>
      <c r="B2526" s="9" t="s">
        <v>140</v>
      </c>
      <c r="C2526" s="11" t="s">
        <v>143</v>
      </c>
      <c r="D2526" s="9" t="s">
        <v>9967</v>
      </c>
      <c r="E2526" s="9" t="s">
        <v>9968</v>
      </c>
      <c r="F2526" s="9" t="s">
        <v>9969</v>
      </c>
      <c r="G2526" s="9" t="s">
        <v>24</v>
      </c>
      <c r="H2526" s="14" t="s">
        <v>22</v>
      </c>
      <c r="I2526" s="9" t="s">
        <v>434</v>
      </c>
      <c r="J2526" s="13"/>
      <c r="K2526" s="13"/>
    </row>
    <row r="2527" customFormat="false" ht="23.85" hidden="false" customHeight="false" outlineLevel="0" collapsed="false">
      <c r="A2527" s="9" t="n">
        <v>2526</v>
      </c>
      <c r="B2527" s="9" t="s">
        <v>140</v>
      </c>
      <c r="C2527" s="11" t="s">
        <v>143</v>
      </c>
      <c r="D2527" s="9" t="s">
        <v>9970</v>
      </c>
      <c r="E2527" s="9" t="s">
        <v>9749</v>
      </c>
      <c r="F2527" s="9" t="s">
        <v>9971</v>
      </c>
      <c r="G2527" s="9" t="s">
        <v>24</v>
      </c>
      <c r="H2527" s="14" t="s">
        <v>22</v>
      </c>
      <c r="I2527" s="9" t="s">
        <v>9972</v>
      </c>
      <c r="J2527" s="13"/>
      <c r="K2527" s="13"/>
    </row>
    <row r="2528" customFormat="false" ht="23.85" hidden="false" customHeight="false" outlineLevel="0" collapsed="false">
      <c r="A2528" s="9" t="n">
        <v>2527</v>
      </c>
      <c r="B2528" s="9" t="s">
        <v>140</v>
      </c>
      <c r="C2528" s="11" t="s">
        <v>143</v>
      </c>
      <c r="D2528" s="9" t="s">
        <v>9973</v>
      </c>
      <c r="E2528" s="9" t="s">
        <v>358</v>
      </c>
      <c r="F2528" s="9" t="s">
        <v>9974</v>
      </c>
      <c r="G2528" s="9" t="s">
        <v>24</v>
      </c>
      <c r="H2528" s="14" t="s">
        <v>22</v>
      </c>
      <c r="I2528" s="9" t="s">
        <v>9174</v>
      </c>
      <c r="J2528" s="13"/>
      <c r="K2528" s="13"/>
    </row>
    <row r="2529" customFormat="false" ht="15" hidden="false" customHeight="false" outlineLevel="0" collapsed="false">
      <c r="A2529" s="9" t="n">
        <v>2528</v>
      </c>
      <c r="B2529" s="9" t="s">
        <v>140</v>
      </c>
      <c r="C2529" s="11" t="s">
        <v>143</v>
      </c>
      <c r="D2529" s="9" t="s">
        <v>9975</v>
      </c>
      <c r="E2529" s="9" t="s">
        <v>362</v>
      </c>
      <c r="F2529" s="9" t="s">
        <v>363</v>
      </c>
      <c r="G2529" s="9" t="s">
        <v>24</v>
      </c>
      <c r="H2529" s="14" t="s">
        <v>22</v>
      </c>
      <c r="I2529" s="9" t="s">
        <v>364</v>
      </c>
      <c r="J2529" s="13"/>
      <c r="K2529" s="13"/>
    </row>
    <row r="2530" customFormat="false" ht="35.05" hidden="false" customHeight="false" outlineLevel="0" collapsed="false">
      <c r="A2530" s="9" t="n">
        <v>2529</v>
      </c>
      <c r="B2530" s="9" t="s">
        <v>140</v>
      </c>
      <c r="C2530" s="11" t="s">
        <v>143</v>
      </c>
      <c r="D2530" s="9" t="s">
        <v>9976</v>
      </c>
      <c r="E2530" s="9" t="s">
        <v>9977</v>
      </c>
      <c r="F2530" s="9" t="s">
        <v>9978</v>
      </c>
      <c r="G2530" s="9" t="s">
        <v>24</v>
      </c>
      <c r="H2530" s="14" t="s">
        <v>22</v>
      </c>
      <c r="I2530" s="9" t="s">
        <v>9328</v>
      </c>
      <c r="J2530" s="13"/>
      <c r="K2530" s="13"/>
    </row>
    <row r="2531" customFormat="false" ht="23.85" hidden="false" customHeight="false" outlineLevel="0" collapsed="false">
      <c r="A2531" s="9" t="n">
        <v>2530</v>
      </c>
      <c r="B2531" s="9" t="s">
        <v>140</v>
      </c>
      <c r="C2531" s="11" t="s">
        <v>143</v>
      </c>
      <c r="D2531" s="9" t="s">
        <v>9979</v>
      </c>
      <c r="E2531" s="9" t="s">
        <v>9980</v>
      </c>
      <c r="F2531" s="9" t="s">
        <v>9981</v>
      </c>
      <c r="G2531" s="9" t="s">
        <v>24</v>
      </c>
      <c r="H2531" s="15" t="s">
        <v>23</v>
      </c>
      <c r="I2531" s="9" t="s">
        <v>9982</v>
      </c>
      <c r="J2531" s="13"/>
      <c r="K2531" s="13"/>
    </row>
    <row r="2532" customFormat="false" ht="23.85" hidden="false" customHeight="false" outlineLevel="0" collapsed="false">
      <c r="A2532" s="9" t="n">
        <v>2531</v>
      </c>
      <c r="B2532" s="9" t="s">
        <v>140</v>
      </c>
      <c r="C2532" s="11" t="s">
        <v>143</v>
      </c>
      <c r="D2532" s="9" t="s">
        <v>9983</v>
      </c>
      <c r="E2532" s="9" t="s">
        <v>9984</v>
      </c>
      <c r="F2532" s="9" t="s">
        <v>9985</v>
      </c>
      <c r="G2532" s="9" t="s">
        <v>24</v>
      </c>
      <c r="H2532" s="15" t="s">
        <v>23</v>
      </c>
      <c r="I2532" s="9" t="s">
        <v>9986</v>
      </c>
      <c r="J2532" s="13"/>
      <c r="K2532" s="13"/>
    </row>
    <row r="2533" customFormat="false" ht="23.85" hidden="false" customHeight="false" outlineLevel="0" collapsed="false">
      <c r="A2533" s="9" t="n">
        <v>2532</v>
      </c>
      <c r="B2533" s="9" t="s">
        <v>140</v>
      </c>
      <c r="C2533" s="11" t="s">
        <v>143</v>
      </c>
      <c r="D2533" s="9" t="s">
        <v>9987</v>
      </c>
      <c r="E2533" s="9" t="s">
        <v>9988</v>
      </c>
      <c r="F2533" s="9" t="s">
        <v>9989</v>
      </c>
      <c r="G2533" s="9" t="s">
        <v>24</v>
      </c>
      <c r="H2533" s="15" t="s">
        <v>23</v>
      </c>
      <c r="I2533" s="9" t="s">
        <v>5939</v>
      </c>
      <c r="J2533" s="13"/>
      <c r="K2533" s="13"/>
    </row>
    <row r="2534" customFormat="false" ht="15" hidden="false" customHeight="false" outlineLevel="0" collapsed="false">
      <c r="A2534" s="9" t="n">
        <v>2533</v>
      </c>
      <c r="B2534" s="9" t="s">
        <v>140</v>
      </c>
      <c r="C2534" s="11" t="s">
        <v>143</v>
      </c>
      <c r="D2534" s="9" t="s">
        <v>9990</v>
      </c>
      <c r="E2534" s="9" t="s">
        <v>9991</v>
      </c>
      <c r="F2534" s="9" t="s">
        <v>9992</v>
      </c>
      <c r="G2534" s="9" t="s">
        <v>24</v>
      </c>
      <c r="H2534" s="15" t="s">
        <v>23</v>
      </c>
      <c r="I2534" s="9" t="s">
        <v>434</v>
      </c>
      <c r="J2534" s="13"/>
      <c r="K2534" s="13"/>
    </row>
    <row r="2535" customFormat="false" ht="23.85" hidden="false" customHeight="false" outlineLevel="0" collapsed="false">
      <c r="A2535" s="9" t="n">
        <v>2534</v>
      </c>
      <c r="B2535" s="9" t="s">
        <v>140</v>
      </c>
      <c r="C2535" s="11" t="s">
        <v>143</v>
      </c>
      <c r="D2535" s="9" t="s">
        <v>9993</v>
      </c>
      <c r="E2535" s="9" t="s">
        <v>9994</v>
      </c>
      <c r="F2535" s="9" t="s">
        <v>9995</v>
      </c>
      <c r="G2535" s="9" t="s">
        <v>24</v>
      </c>
      <c r="H2535" s="15" t="s">
        <v>23</v>
      </c>
      <c r="I2535" s="9" t="s">
        <v>3935</v>
      </c>
      <c r="J2535" s="13"/>
      <c r="K2535" s="13"/>
    </row>
    <row r="2536" customFormat="false" ht="23.85" hidden="false" customHeight="false" outlineLevel="0" collapsed="false">
      <c r="A2536" s="9" t="n">
        <v>2535</v>
      </c>
      <c r="B2536" s="9" t="s">
        <v>140</v>
      </c>
      <c r="C2536" s="11" t="s">
        <v>143</v>
      </c>
      <c r="D2536" s="9" t="s">
        <v>9996</v>
      </c>
      <c r="E2536" s="9" t="s">
        <v>9997</v>
      </c>
      <c r="F2536" s="9" t="s">
        <v>9998</v>
      </c>
      <c r="G2536" s="9" t="s">
        <v>24</v>
      </c>
      <c r="H2536" s="15" t="s">
        <v>23</v>
      </c>
      <c r="I2536" s="9" t="s">
        <v>2839</v>
      </c>
      <c r="J2536" s="13"/>
      <c r="K2536" s="13"/>
    </row>
    <row r="2537" customFormat="false" ht="23.85" hidden="false" customHeight="false" outlineLevel="0" collapsed="false">
      <c r="A2537" s="9" t="n">
        <v>2536</v>
      </c>
      <c r="B2537" s="9" t="s">
        <v>140</v>
      </c>
      <c r="C2537" s="11" t="s">
        <v>143</v>
      </c>
      <c r="D2537" s="9" t="s">
        <v>9999</v>
      </c>
      <c r="E2537" s="9" t="s">
        <v>10000</v>
      </c>
      <c r="F2537" s="9" t="s">
        <v>10001</v>
      </c>
      <c r="G2537" s="9" t="s">
        <v>24</v>
      </c>
      <c r="H2537" s="15" t="s">
        <v>23</v>
      </c>
      <c r="I2537" s="9" t="s">
        <v>10002</v>
      </c>
      <c r="J2537" s="13"/>
      <c r="K2537" s="13"/>
    </row>
    <row r="2538" customFormat="false" ht="23.85" hidden="false" customHeight="false" outlineLevel="0" collapsed="false">
      <c r="A2538" s="9" t="n">
        <v>2537</v>
      </c>
      <c r="B2538" s="9" t="s">
        <v>140</v>
      </c>
      <c r="C2538" s="11" t="s">
        <v>143</v>
      </c>
      <c r="D2538" s="9" t="s">
        <v>10003</v>
      </c>
      <c r="E2538" s="9" t="s">
        <v>10004</v>
      </c>
      <c r="F2538" s="9" t="s">
        <v>10005</v>
      </c>
      <c r="G2538" s="9" t="s">
        <v>24</v>
      </c>
      <c r="H2538" s="15" t="s">
        <v>23</v>
      </c>
      <c r="I2538" s="9" t="s">
        <v>9193</v>
      </c>
      <c r="J2538" s="13"/>
      <c r="K2538" s="13"/>
    </row>
    <row r="2539" customFormat="false" ht="68.65" hidden="false" customHeight="false" outlineLevel="0" collapsed="false">
      <c r="A2539" s="9" t="n">
        <v>2538</v>
      </c>
      <c r="B2539" s="9" t="s">
        <v>140</v>
      </c>
      <c r="C2539" s="11" t="s">
        <v>145</v>
      </c>
      <c r="D2539" s="9" t="s">
        <v>10006</v>
      </c>
      <c r="E2539" s="9" t="s">
        <v>10007</v>
      </c>
      <c r="F2539" s="9" t="s">
        <v>10008</v>
      </c>
      <c r="G2539" s="9" t="s">
        <v>9142</v>
      </c>
      <c r="H2539" s="14" t="s">
        <v>22</v>
      </c>
      <c r="I2539" s="9" t="s">
        <v>10009</v>
      </c>
      <c r="J2539" s="13"/>
      <c r="K2539" s="13"/>
    </row>
    <row r="2540" customFormat="false" ht="147" hidden="false" customHeight="false" outlineLevel="0" collapsed="false">
      <c r="A2540" s="9" t="n">
        <v>2539</v>
      </c>
      <c r="B2540" s="9" t="s">
        <v>140</v>
      </c>
      <c r="C2540" s="11" t="s">
        <v>145</v>
      </c>
      <c r="D2540" s="9" t="s">
        <v>10010</v>
      </c>
      <c r="E2540" s="9" t="s">
        <v>10011</v>
      </c>
      <c r="F2540" s="9" t="s">
        <v>10012</v>
      </c>
      <c r="G2540" s="9" t="s">
        <v>392</v>
      </c>
      <c r="H2540" s="12" t="s">
        <v>21</v>
      </c>
      <c r="I2540" s="9" t="s">
        <v>10013</v>
      </c>
      <c r="J2540" s="13"/>
      <c r="K2540" s="13"/>
    </row>
    <row r="2541" customFormat="false" ht="79.85" hidden="false" customHeight="false" outlineLevel="0" collapsed="false">
      <c r="A2541" s="9" t="n">
        <v>2540</v>
      </c>
      <c r="B2541" s="9" t="s">
        <v>140</v>
      </c>
      <c r="C2541" s="11" t="s">
        <v>145</v>
      </c>
      <c r="D2541" s="9" t="s">
        <v>10014</v>
      </c>
      <c r="E2541" s="9" t="s">
        <v>10015</v>
      </c>
      <c r="F2541" s="9" t="s">
        <v>10016</v>
      </c>
      <c r="G2541" s="9" t="s">
        <v>3220</v>
      </c>
      <c r="H2541" s="12" t="s">
        <v>21</v>
      </c>
      <c r="I2541" s="9" t="s">
        <v>10017</v>
      </c>
      <c r="J2541" s="13"/>
      <c r="K2541" s="13"/>
    </row>
    <row r="2542" customFormat="false" ht="68.65" hidden="false" customHeight="false" outlineLevel="0" collapsed="false">
      <c r="A2542" s="9" t="n">
        <v>2541</v>
      </c>
      <c r="B2542" s="9" t="s">
        <v>140</v>
      </c>
      <c r="C2542" s="11" t="s">
        <v>145</v>
      </c>
      <c r="D2542" s="9" t="s">
        <v>10018</v>
      </c>
      <c r="E2542" s="9" t="s">
        <v>10019</v>
      </c>
      <c r="F2542" s="9" t="s">
        <v>10020</v>
      </c>
      <c r="G2542" s="9" t="s">
        <v>1072</v>
      </c>
      <c r="H2542" s="12" t="s">
        <v>21</v>
      </c>
      <c r="I2542" s="9" t="s">
        <v>10021</v>
      </c>
      <c r="J2542" s="13"/>
      <c r="K2542" s="13"/>
    </row>
    <row r="2543" customFormat="false" ht="79.85" hidden="false" customHeight="false" outlineLevel="0" collapsed="false">
      <c r="A2543" s="9" t="n">
        <v>2542</v>
      </c>
      <c r="B2543" s="9" t="s">
        <v>140</v>
      </c>
      <c r="C2543" s="11" t="s">
        <v>145</v>
      </c>
      <c r="D2543" s="9" t="s">
        <v>10022</v>
      </c>
      <c r="E2543" s="9" t="s">
        <v>10023</v>
      </c>
      <c r="F2543" s="9" t="s">
        <v>10024</v>
      </c>
      <c r="G2543" s="9" t="s">
        <v>1852</v>
      </c>
      <c r="H2543" s="12" t="s">
        <v>21</v>
      </c>
      <c r="I2543" s="9" t="s">
        <v>10025</v>
      </c>
      <c r="J2543" s="13"/>
      <c r="K2543" s="13"/>
    </row>
    <row r="2544" customFormat="false" ht="57.45" hidden="false" customHeight="false" outlineLevel="0" collapsed="false">
      <c r="A2544" s="9" t="n">
        <v>2543</v>
      </c>
      <c r="B2544" s="9" t="s">
        <v>140</v>
      </c>
      <c r="C2544" s="11" t="s">
        <v>145</v>
      </c>
      <c r="D2544" s="9" t="s">
        <v>10026</v>
      </c>
      <c r="E2544" s="9" t="s">
        <v>10027</v>
      </c>
      <c r="F2544" s="9" t="s">
        <v>10028</v>
      </c>
      <c r="G2544" s="9" t="s">
        <v>1284</v>
      </c>
      <c r="H2544" s="12" t="s">
        <v>21</v>
      </c>
      <c r="I2544" s="9" t="s">
        <v>10029</v>
      </c>
      <c r="J2544" s="13"/>
      <c r="K2544" s="13"/>
    </row>
    <row r="2545" customFormat="false" ht="79.85" hidden="false" customHeight="false" outlineLevel="0" collapsed="false">
      <c r="A2545" s="9" t="n">
        <v>2544</v>
      </c>
      <c r="B2545" s="9" t="s">
        <v>140</v>
      </c>
      <c r="C2545" s="11" t="s">
        <v>145</v>
      </c>
      <c r="D2545" s="9" t="s">
        <v>10030</v>
      </c>
      <c r="E2545" s="9" t="s">
        <v>10031</v>
      </c>
      <c r="F2545" s="9" t="s">
        <v>10032</v>
      </c>
      <c r="G2545" s="9" t="s">
        <v>392</v>
      </c>
      <c r="H2545" s="12" t="s">
        <v>21</v>
      </c>
      <c r="I2545" s="9" t="s">
        <v>10033</v>
      </c>
      <c r="J2545" s="13"/>
      <c r="K2545" s="13"/>
    </row>
    <row r="2546" customFormat="false" ht="91" hidden="false" customHeight="false" outlineLevel="0" collapsed="false">
      <c r="A2546" s="9" t="n">
        <v>2545</v>
      </c>
      <c r="B2546" s="9" t="s">
        <v>140</v>
      </c>
      <c r="C2546" s="11" t="s">
        <v>145</v>
      </c>
      <c r="D2546" s="9" t="s">
        <v>10034</v>
      </c>
      <c r="E2546" s="9" t="s">
        <v>10035</v>
      </c>
      <c r="F2546" s="9" t="s">
        <v>10036</v>
      </c>
      <c r="G2546" s="9" t="s">
        <v>1852</v>
      </c>
      <c r="H2546" s="12" t="s">
        <v>21</v>
      </c>
      <c r="I2546" s="9" t="s">
        <v>10037</v>
      </c>
      <c r="J2546" s="13"/>
      <c r="K2546" s="13"/>
    </row>
    <row r="2547" customFormat="false" ht="57.45" hidden="false" customHeight="false" outlineLevel="0" collapsed="false">
      <c r="A2547" s="9" t="n">
        <v>2546</v>
      </c>
      <c r="B2547" s="9" t="s">
        <v>140</v>
      </c>
      <c r="C2547" s="11" t="s">
        <v>145</v>
      </c>
      <c r="D2547" s="9" t="s">
        <v>10038</v>
      </c>
      <c r="E2547" s="9" t="s">
        <v>10039</v>
      </c>
      <c r="F2547" s="9" t="s">
        <v>10040</v>
      </c>
      <c r="G2547" s="9" t="s">
        <v>1072</v>
      </c>
      <c r="H2547" s="14" t="s">
        <v>22</v>
      </c>
      <c r="I2547" s="9" t="s">
        <v>10041</v>
      </c>
      <c r="J2547" s="13"/>
      <c r="K2547" s="13"/>
    </row>
    <row r="2548" customFormat="false" ht="79.85" hidden="false" customHeight="false" outlineLevel="0" collapsed="false">
      <c r="A2548" s="9" t="n">
        <v>2547</v>
      </c>
      <c r="B2548" s="9" t="s">
        <v>140</v>
      </c>
      <c r="C2548" s="11" t="s">
        <v>145</v>
      </c>
      <c r="D2548" s="9" t="s">
        <v>10042</v>
      </c>
      <c r="E2548" s="9" t="s">
        <v>10043</v>
      </c>
      <c r="F2548" s="9" t="s">
        <v>10044</v>
      </c>
      <c r="G2548" s="9" t="s">
        <v>392</v>
      </c>
      <c r="H2548" s="14" t="s">
        <v>22</v>
      </c>
      <c r="I2548" s="9" t="s">
        <v>10045</v>
      </c>
      <c r="J2548" s="13"/>
      <c r="K2548" s="13"/>
    </row>
    <row r="2549" customFormat="false" ht="23.85" hidden="false" customHeight="false" outlineLevel="0" collapsed="false">
      <c r="A2549" s="9" t="n">
        <v>2548</v>
      </c>
      <c r="B2549" s="9" t="s">
        <v>140</v>
      </c>
      <c r="C2549" s="11" t="s">
        <v>145</v>
      </c>
      <c r="D2549" s="9" t="s">
        <v>10046</v>
      </c>
      <c r="E2549" s="9" t="s">
        <v>10047</v>
      </c>
      <c r="F2549" s="9" t="s">
        <v>10048</v>
      </c>
      <c r="G2549" s="9" t="s">
        <v>1072</v>
      </c>
      <c r="H2549" s="15" t="s">
        <v>23</v>
      </c>
      <c r="I2549" s="9" t="s">
        <v>10049</v>
      </c>
      <c r="J2549" s="13"/>
      <c r="K2549" s="13"/>
    </row>
    <row r="2550" customFormat="false" ht="35.05" hidden="false" customHeight="false" outlineLevel="0" collapsed="false">
      <c r="A2550" s="9" t="n">
        <v>2549</v>
      </c>
      <c r="B2550" s="9" t="s">
        <v>140</v>
      </c>
      <c r="C2550" s="11" t="s">
        <v>145</v>
      </c>
      <c r="D2550" s="9" t="s">
        <v>10050</v>
      </c>
      <c r="E2550" s="9" t="s">
        <v>10051</v>
      </c>
      <c r="F2550" s="9" t="s">
        <v>10052</v>
      </c>
      <c r="G2550" s="9" t="s">
        <v>328</v>
      </c>
      <c r="H2550" s="15" t="s">
        <v>23</v>
      </c>
      <c r="I2550" s="9" t="s">
        <v>10053</v>
      </c>
      <c r="J2550" s="13"/>
      <c r="K2550" s="13"/>
    </row>
    <row r="2551" customFormat="false" ht="68.65" hidden="false" customHeight="false" outlineLevel="0" collapsed="false">
      <c r="A2551" s="9" t="n">
        <v>2550</v>
      </c>
      <c r="B2551" s="9" t="s">
        <v>140</v>
      </c>
      <c r="C2551" s="11" t="s">
        <v>145</v>
      </c>
      <c r="D2551" s="9" t="s">
        <v>10054</v>
      </c>
      <c r="E2551" s="9" t="s">
        <v>10055</v>
      </c>
      <c r="F2551" s="9" t="s">
        <v>10056</v>
      </c>
      <c r="G2551" s="9" t="s">
        <v>847</v>
      </c>
      <c r="H2551" s="14" t="s">
        <v>22</v>
      </c>
      <c r="I2551" s="9" t="s">
        <v>10057</v>
      </c>
      <c r="J2551" s="13"/>
      <c r="K2551" s="13"/>
    </row>
    <row r="2552" customFormat="false" ht="57.45" hidden="false" customHeight="false" outlineLevel="0" collapsed="false">
      <c r="A2552" s="9" t="n">
        <v>2551</v>
      </c>
      <c r="B2552" s="9" t="s">
        <v>140</v>
      </c>
      <c r="C2552" s="11" t="s">
        <v>145</v>
      </c>
      <c r="D2552" s="9" t="s">
        <v>10058</v>
      </c>
      <c r="E2552" s="9" t="s">
        <v>10059</v>
      </c>
      <c r="F2552" s="9" t="s">
        <v>10060</v>
      </c>
      <c r="G2552" s="9" t="s">
        <v>1404</v>
      </c>
      <c r="H2552" s="14" t="s">
        <v>22</v>
      </c>
      <c r="I2552" s="9" t="s">
        <v>10061</v>
      </c>
      <c r="J2552" s="13"/>
      <c r="K2552" s="13"/>
    </row>
    <row r="2553" customFormat="false" ht="57.45" hidden="false" customHeight="false" outlineLevel="0" collapsed="false">
      <c r="A2553" s="9" t="n">
        <v>2552</v>
      </c>
      <c r="B2553" s="9" t="s">
        <v>140</v>
      </c>
      <c r="C2553" s="11" t="s">
        <v>145</v>
      </c>
      <c r="D2553" s="9" t="s">
        <v>10062</v>
      </c>
      <c r="E2553" s="9" t="s">
        <v>10063</v>
      </c>
      <c r="F2553" s="9" t="s">
        <v>10064</v>
      </c>
      <c r="G2553" s="9" t="s">
        <v>1063</v>
      </c>
      <c r="H2553" s="14" t="s">
        <v>22</v>
      </c>
      <c r="I2553" s="9" t="s">
        <v>10065</v>
      </c>
      <c r="J2553" s="13"/>
      <c r="K2553" s="13"/>
    </row>
    <row r="2554" customFormat="false" ht="57.45" hidden="false" customHeight="false" outlineLevel="0" collapsed="false">
      <c r="A2554" s="9" t="n">
        <v>2553</v>
      </c>
      <c r="B2554" s="9" t="s">
        <v>140</v>
      </c>
      <c r="C2554" s="11" t="s">
        <v>145</v>
      </c>
      <c r="D2554" s="9" t="s">
        <v>10066</v>
      </c>
      <c r="E2554" s="9" t="s">
        <v>10067</v>
      </c>
      <c r="F2554" s="9" t="s">
        <v>10068</v>
      </c>
      <c r="G2554" s="9" t="s">
        <v>5377</v>
      </c>
      <c r="H2554" s="14" t="s">
        <v>22</v>
      </c>
      <c r="I2554" s="9" t="s">
        <v>10069</v>
      </c>
      <c r="J2554" s="13"/>
      <c r="K2554" s="13"/>
    </row>
    <row r="2555" customFormat="false" ht="68.65" hidden="false" customHeight="false" outlineLevel="0" collapsed="false">
      <c r="A2555" s="9" t="n">
        <v>2554</v>
      </c>
      <c r="B2555" s="9" t="s">
        <v>140</v>
      </c>
      <c r="C2555" s="11" t="s">
        <v>145</v>
      </c>
      <c r="D2555" s="9" t="s">
        <v>10070</v>
      </c>
      <c r="E2555" s="9" t="s">
        <v>10071</v>
      </c>
      <c r="F2555" s="9" t="s">
        <v>10072</v>
      </c>
      <c r="G2555" s="9" t="s">
        <v>392</v>
      </c>
      <c r="H2555" s="14" t="s">
        <v>22</v>
      </c>
      <c r="I2555" s="9" t="s">
        <v>10073</v>
      </c>
      <c r="J2555" s="13"/>
      <c r="K2555" s="13"/>
    </row>
    <row r="2556" customFormat="false" ht="35.05" hidden="false" customHeight="false" outlineLevel="0" collapsed="false">
      <c r="A2556" s="9" t="n">
        <v>2555</v>
      </c>
      <c r="B2556" s="9" t="s">
        <v>140</v>
      </c>
      <c r="C2556" s="11" t="s">
        <v>145</v>
      </c>
      <c r="D2556" s="9" t="s">
        <v>10074</v>
      </c>
      <c r="E2556" s="9" t="s">
        <v>10075</v>
      </c>
      <c r="F2556" s="9" t="s">
        <v>10076</v>
      </c>
      <c r="G2556" s="9" t="s">
        <v>1072</v>
      </c>
      <c r="H2556" s="15" t="s">
        <v>23</v>
      </c>
      <c r="I2556" s="9" t="s">
        <v>10077</v>
      </c>
      <c r="J2556" s="13"/>
      <c r="K2556" s="13"/>
    </row>
    <row r="2557" customFormat="false" ht="23.85" hidden="false" customHeight="false" outlineLevel="0" collapsed="false">
      <c r="A2557" s="9" t="n">
        <v>2556</v>
      </c>
      <c r="B2557" s="9" t="s">
        <v>140</v>
      </c>
      <c r="C2557" s="11" t="s">
        <v>145</v>
      </c>
      <c r="D2557" s="9" t="s">
        <v>10078</v>
      </c>
      <c r="E2557" s="9" t="s">
        <v>10079</v>
      </c>
      <c r="F2557" s="9" t="s">
        <v>10080</v>
      </c>
      <c r="G2557" s="9" t="s">
        <v>392</v>
      </c>
      <c r="H2557" s="15" t="s">
        <v>23</v>
      </c>
      <c r="I2557" s="9" t="s">
        <v>10081</v>
      </c>
      <c r="J2557" s="13"/>
      <c r="K2557" s="13"/>
    </row>
    <row r="2558" customFormat="false" ht="46.25" hidden="false" customHeight="false" outlineLevel="0" collapsed="false">
      <c r="A2558" s="9" t="n">
        <v>2557</v>
      </c>
      <c r="B2558" s="9" t="s">
        <v>140</v>
      </c>
      <c r="C2558" s="11" t="s">
        <v>145</v>
      </c>
      <c r="D2558" s="9" t="s">
        <v>10082</v>
      </c>
      <c r="E2558" s="9" t="s">
        <v>10083</v>
      </c>
      <c r="F2558" s="9" t="s">
        <v>10084</v>
      </c>
      <c r="G2558" s="9" t="s">
        <v>1085</v>
      </c>
      <c r="H2558" s="14" t="s">
        <v>22</v>
      </c>
      <c r="I2558" s="9" t="s">
        <v>10085</v>
      </c>
      <c r="J2558" s="13"/>
      <c r="K2558" s="13"/>
    </row>
    <row r="2559" customFormat="false" ht="68.65" hidden="false" customHeight="false" outlineLevel="0" collapsed="false">
      <c r="A2559" s="9" t="n">
        <v>2558</v>
      </c>
      <c r="B2559" s="9" t="s">
        <v>140</v>
      </c>
      <c r="C2559" s="11" t="s">
        <v>145</v>
      </c>
      <c r="D2559" s="9" t="s">
        <v>10086</v>
      </c>
      <c r="E2559" s="9" t="s">
        <v>10087</v>
      </c>
      <c r="F2559" s="9" t="s">
        <v>10088</v>
      </c>
      <c r="G2559" s="9" t="s">
        <v>312</v>
      </c>
      <c r="H2559" s="14" t="s">
        <v>22</v>
      </c>
      <c r="I2559" s="9" t="s">
        <v>10089</v>
      </c>
      <c r="J2559" s="13"/>
      <c r="K2559" s="13"/>
    </row>
    <row r="2560" customFormat="false" ht="46.25" hidden="false" customHeight="false" outlineLevel="0" collapsed="false">
      <c r="A2560" s="9" t="n">
        <v>2559</v>
      </c>
      <c r="B2560" s="9" t="s">
        <v>140</v>
      </c>
      <c r="C2560" s="11" t="s">
        <v>145</v>
      </c>
      <c r="D2560" s="9" t="s">
        <v>10090</v>
      </c>
      <c r="E2560" s="9" t="s">
        <v>10091</v>
      </c>
      <c r="F2560" s="9" t="s">
        <v>10092</v>
      </c>
      <c r="G2560" s="9" t="s">
        <v>861</v>
      </c>
      <c r="H2560" s="14" t="s">
        <v>22</v>
      </c>
      <c r="I2560" s="9" t="s">
        <v>10093</v>
      </c>
      <c r="J2560" s="13"/>
      <c r="K2560" s="13"/>
    </row>
    <row r="2561" customFormat="false" ht="57.45" hidden="false" customHeight="false" outlineLevel="0" collapsed="false">
      <c r="A2561" s="9" t="n">
        <v>2560</v>
      </c>
      <c r="B2561" s="9" t="s">
        <v>140</v>
      </c>
      <c r="C2561" s="11" t="s">
        <v>145</v>
      </c>
      <c r="D2561" s="9" t="s">
        <v>10094</v>
      </c>
      <c r="E2561" s="9" t="s">
        <v>10095</v>
      </c>
      <c r="F2561" s="9" t="s">
        <v>10096</v>
      </c>
      <c r="G2561" s="9" t="s">
        <v>852</v>
      </c>
      <c r="H2561" s="14" t="s">
        <v>22</v>
      </c>
      <c r="I2561" s="9" t="s">
        <v>10097</v>
      </c>
      <c r="J2561" s="13"/>
      <c r="K2561" s="13"/>
    </row>
    <row r="2562" customFormat="false" ht="46.25" hidden="false" customHeight="false" outlineLevel="0" collapsed="false">
      <c r="A2562" s="9" t="n">
        <v>2561</v>
      </c>
      <c r="B2562" s="9" t="s">
        <v>140</v>
      </c>
      <c r="C2562" s="11" t="s">
        <v>145</v>
      </c>
      <c r="D2562" s="9" t="s">
        <v>10098</v>
      </c>
      <c r="E2562" s="9" t="s">
        <v>10099</v>
      </c>
      <c r="F2562" s="9" t="s">
        <v>10100</v>
      </c>
      <c r="G2562" s="9" t="s">
        <v>4141</v>
      </c>
      <c r="H2562" s="14" t="s">
        <v>22</v>
      </c>
      <c r="I2562" s="9" t="s">
        <v>10101</v>
      </c>
      <c r="J2562" s="13"/>
      <c r="K2562" s="13"/>
    </row>
    <row r="2563" customFormat="false" ht="46.25" hidden="false" customHeight="false" outlineLevel="0" collapsed="false">
      <c r="A2563" s="9" t="n">
        <v>2562</v>
      </c>
      <c r="B2563" s="9" t="s">
        <v>140</v>
      </c>
      <c r="C2563" s="11" t="s">
        <v>145</v>
      </c>
      <c r="D2563" s="9" t="s">
        <v>10102</v>
      </c>
      <c r="E2563" s="9" t="s">
        <v>10103</v>
      </c>
      <c r="F2563" s="9" t="s">
        <v>10104</v>
      </c>
      <c r="G2563" s="9" t="s">
        <v>1072</v>
      </c>
      <c r="H2563" s="12" t="s">
        <v>21</v>
      </c>
      <c r="I2563" s="9" t="s">
        <v>10105</v>
      </c>
      <c r="J2563" s="13"/>
      <c r="K2563" s="13"/>
    </row>
    <row r="2564" customFormat="false" ht="35.05" hidden="false" customHeight="false" outlineLevel="0" collapsed="false">
      <c r="A2564" s="9" t="n">
        <v>2563</v>
      </c>
      <c r="B2564" s="9" t="s">
        <v>140</v>
      </c>
      <c r="C2564" s="11" t="s">
        <v>145</v>
      </c>
      <c r="D2564" s="9" t="s">
        <v>10106</v>
      </c>
      <c r="E2564" s="9" t="s">
        <v>10107</v>
      </c>
      <c r="F2564" s="9" t="s">
        <v>10108</v>
      </c>
      <c r="G2564" s="9" t="s">
        <v>312</v>
      </c>
      <c r="H2564" s="14" t="s">
        <v>22</v>
      </c>
      <c r="I2564" s="9" t="s">
        <v>10109</v>
      </c>
      <c r="J2564" s="13"/>
      <c r="K2564" s="13"/>
    </row>
    <row r="2565" customFormat="false" ht="46.25" hidden="false" customHeight="false" outlineLevel="0" collapsed="false">
      <c r="A2565" s="9" t="n">
        <v>2564</v>
      </c>
      <c r="B2565" s="9" t="s">
        <v>140</v>
      </c>
      <c r="C2565" s="11" t="s">
        <v>145</v>
      </c>
      <c r="D2565" s="9" t="s">
        <v>10110</v>
      </c>
      <c r="E2565" s="9" t="s">
        <v>10111</v>
      </c>
      <c r="F2565" s="9" t="s">
        <v>10112</v>
      </c>
      <c r="G2565" s="9" t="s">
        <v>1072</v>
      </c>
      <c r="H2565" s="14" t="s">
        <v>22</v>
      </c>
      <c r="I2565" s="9" t="s">
        <v>10113</v>
      </c>
      <c r="J2565" s="13"/>
      <c r="K2565" s="13"/>
    </row>
    <row r="2566" customFormat="false" ht="46.25" hidden="false" customHeight="false" outlineLevel="0" collapsed="false">
      <c r="A2566" s="9" t="n">
        <v>2565</v>
      </c>
      <c r="B2566" s="9" t="s">
        <v>140</v>
      </c>
      <c r="C2566" s="11" t="s">
        <v>145</v>
      </c>
      <c r="D2566" s="9" t="s">
        <v>10114</v>
      </c>
      <c r="E2566" s="9" t="s">
        <v>10115</v>
      </c>
      <c r="F2566" s="9" t="s">
        <v>10116</v>
      </c>
      <c r="G2566" s="9" t="s">
        <v>5016</v>
      </c>
      <c r="H2566" s="14" t="s">
        <v>22</v>
      </c>
      <c r="I2566" s="9" t="s">
        <v>10117</v>
      </c>
      <c r="J2566" s="13"/>
      <c r="K2566" s="13"/>
    </row>
    <row r="2567" customFormat="false" ht="57.45" hidden="false" customHeight="false" outlineLevel="0" collapsed="false">
      <c r="A2567" s="9" t="n">
        <v>2566</v>
      </c>
      <c r="B2567" s="9" t="s">
        <v>140</v>
      </c>
      <c r="C2567" s="11" t="s">
        <v>145</v>
      </c>
      <c r="D2567" s="9" t="s">
        <v>10118</v>
      </c>
      <c r="E2567" s="9" t="s">
        <v>10119</v>
      </c>
      <c r="F2567" s="9" t="s">
        <v>10120</v>
      </c>
      <c r="G2567" s="9" t="s">
        <v>6425</v>
      </c>
      <c r="H2567" s="14" t="s">
        <v>22</v>
      </c>
      <c r="I2567" s="9" t="s">
        <v>10121</v>
      </c>
      <c r="J2567" s="13"/>
      <c r="K2567" s="13"/>
    </row>
    <row r="2568" customFormat="false" ht="57.45" hidden="false" customHeight="false" outlineLevel="0" collapsed="false">
      <c r="A2568" s="9" t="n">
        <v>2567</v>
      </c>
      <c r="B2568" s="9" t="s">
        <v>140</v>
      </c>
      <c r="C2568" s="11" t="s">
        <v>145</v>
      </c>
      <c r="D2568" s="9" t="s">
        <v>10122</v>
      </c>
      <c r="E2568" s="9" t="s">
        <v>10123</v>
      </c>
      <c r="F2568" s="9" t="s">
        <v>10124</v>
      </c>
      <c r="G2568" s="9" t="s">
        <v>5377</v>
      </c>
      <c r="H2568" s="15" t="s">
        <v>23</v>
      </c>
      <c r="I2568" s="9" t="s">
        <v>10125</v>
      </c>
      <c r="J2568" s="13"/>
      <c r="K2568" s="13"/>
    </row>
    <row r="2569" customFormat="false" ht="23.85" hidden="false" customHeight="false" outlineLevel="0" collapsed="false">
      <c r="A2569" s="9" t="n">
        <v>2568</v>
      </c>
      <c r="B2569" s="9" t="s">
        <v>140</v>
      </c>
      <c r="C2569" s="11" t="s">
        <v>145</v>
      </c>
      <c r="D2569" s="9" t="s">
        <v>10126</v>
      </c>
      <c r="E2569" s="9" t="s">
        <v>10127</v>
      </c>
      <c r="F2569" s="9" t="s">
        <v>10128</v>
      </c>
      <c r="G2569" s="9" t="s">
        <v>312</v>
      </c>
      <c r="H2569" s="15" t="s">
        <v>23</v>
      </c>
      <c r="I2569" s="9" t="s">
        <v>10129</v>
      </c>
      <c r="J2569" s="13"/>
      <c r="K2569" s="13"/>
    </row>
    <row r="2570" customFormat="false" ht="35.05" hidden="false" customHeight="false" outlineLevel="0" collapsed="false">
      <c r="A2570" s="9" t="n">
        <v>2569</v>
      </c>
      <c r="B2570" s="9" t="s">
        <v>140</v>
      </c>
      <c r="C2570" s="11" t="s">
        <v>145</v>
      </c>
      <c r="D2570" s="9" t="s">
        <v>10130</v>
      </c>
      <c r="E2570" s="9" t="s">
        <v>10131</v>
      </c>
      <c r="F2570" s="9" t="s">
        <v>10132</v>
      </c>
      <c r="G2570" s="9" t="s">
        <v>312</v>
      </c>
      <c r="H2570" s="15" t="s">
        <v>23</v>
      </c>
      <c r="I2570" s="9" t="s">
        <v>10133</v>
      </c>
      <c r="J2570" s="13"/>
      <c r="K2570" s="13"/>
    </row>
    <row r="2571" customFormat="false" ht="23.85" hidden="false" customHeight="false" outlineLevel="0" collapsed="false">
      <c r="A2571" s="9" t="n">
        <v>2570</v>
      </c>
      <c r="B2571" s="9" t="s">
        <v>140</v>
      </c>
      <c r="C2571" s="11" t="s">
        <v>145</v>
      </c>
      <c r="D2571" s="9" t="s">
        <v>10134</v>
      </c>
      <c r="E2571" s="9" t="s">
        <v>10135</v>
      </c>
      <c r="F2571" s="9" t="s">
        <v>10136</v>
      </c>
      <c r="G2571" s="9" t="s">
        <v>328</v>
      </c>
      <c r="H2571" s="15" t="s">
        <v>23</v>
      </c>
      <c r="I2571" s="9" t="s">
        <v>10137</v>
      </c>
      <c r="J2571" s="13"/>
      <c r="K2571" s="13"/>
    </row>
    <row r="2572" customFormat="false" ht="35.05" hidden="false" customHeight="false" outlineLevel="0" collapsed="false">
      <c r="A2572" s="9" t="n">
        <v>2571</v>
      </c>
      <c r="B2572" s="9" t="s">
        <v>140</v>
      </c>
      <c r="C2572" s="11" t="s">
        <v>145</v>
      </c>
      <c r="D2572" s="9" t="s">
        <v>10138</v>
      </c>
      <c r="E2572" s="9" t="s">
        <v>10139</v>
      </c>
      <c r="F2572" s="9" t="s">
        <v>10140</v>
      </c>
      <c r="G2572" s="9" t="s">
        <v>328</v>
      </c>
      <c r="H2572" s="15" t="s">
        <v>23</v>
      </c>
      <c r="I2572" s="9" t="s">
        <v>10141</v>
      </c>
      <c r="J2572" s="13"/>
      <c r="K2572" s="13"/>
    </row>
    <row r="2573" customFormat="false" ht="23.85" hidden="false" customHeight="false" outlineLevel="0" collapsed="false">
      <c r="A2573" s="9" t="n">
        <v>2572</v>
      </c>
      <c r="B2573" s="9" t="s">
        <v>140</v>
      </c>
      <c r="C2573" s="11" t="s">
        <v>145</v>
      </c>
      <c r="D2573" s="9" t="s">
        <v>10142</v>
      </c>
      <c r="E2573" s="9" t="s">
        <v>10143</v>
      </c>
      <c r="F2573" s="9" t="s">
        <v>10144</v>
      </c>
      <c r="G2573" s="9" t="s">
        <v>317</v>
      </c>
      <c r="H2573" s="15" t="s">
        <v>23</v>
      </c>
      <c r="I2573" s="9" t="s">
        <v>10145</v>
      </c>
      <c r="J2573" s="13"/>
      <c r="K2573" s="13"/>
    </row>
    <row r="2574" customFormat="false" ht="35.05" hidden="false" customHeight="false" outlineLevel="0" collapsed="false">
      <c r="A2574" s="9" t="n">
        <v>2573</v>
      </c>
      <c r="B2574" s="9" t="s">
        <v>140</v>
      </c>
      <c r="C2574" s="11" t="s">
        <v>145</v>
      </c>
      <c r="D2574" s="9" t="s">
        <v>10146</v>
      </c>
      <c r="E2574" s="9" t="s">
        <v>10147</v>
      </c>
      <c r="F2574" s="9" t="s">
        <v>10148</v>
      </c>
      <c r="G2574" s="9" t="s">
        <v>10149</v>
      </c>
      <c r="H2574" s="15" t="s">
        <v>23</v>
      </c>
      <c r="I2574" s="9" t="s">
        <v>10150</v>
      </c>
      <c r="J2574" s="13"/>
      <c r="K2574" s="13"/>
    </row>
    <row r="2575" customFormat="false" ht="35.05" hidden="false" customHeight="false" outlineLevel="0" collapsed="false">
      <c r="A2575" s="9" t="n">
        <v>2574</v>
      </c>
      <c r="B2575" s="9" t="s">
        <v>140</v>
      </c>
      <c r="C2575" s="11" t="s">
        <v>145</v>
      </c>
      <c r="D2575" s="9" t="s">
        <v>10151</v>
      </c>
      <c r="E2575" s="9" t="s">
        <v>10152</v>
      </c>
      <c r="F2575" s="9" t="s">
        <v>10153</v>
      </c>
      <c r="G2575" s="9" t="s">
        <v>328</v>
      </c>
      <c r="H2575" s="15" t="s">
        <v>23</v>
      </c>
      <c r="I2575" s="9" t="s">
        <v>10154</v>
      </c>
      <c r="J2575" s="13"/>
      <c r="K2575" s="13"/>
    </row>
    <row r="2576" customFormat="false" ht="46.25" hidden="false" customHeight="false" outlineLevel="0" collapsed="false">
      <c r="A2576" s="9" t="n">
        <v>2575</v>
      </c>
      <c r="B2576" s="9" t="s">
        <v>140</v>
      </c>
      <c r="C2576" s="11" t="s">
        <v>145</v>
      </c>
      <c r="D2576" s="9" t="s">
        <v>10155</v>
      </c>
      <c r="E2576" s="9" t="s">
        <v>10156</v>
      </c>
      <c r="F2576" s="9" t="s">
        <v>10157</v>
      </c>
      <c r="G2576" s="9" t="s">
        <v>392</v>
      </c>
      <c r="H2576" s="15" t="s">
        <v>23</v>
      </c>
      <c r="I2576" s="9" t="s">
        <v>10158</v>
      </c>
      <c r="J2576" s="13"/>
      <c r="K2576" s="13"/>
    </row>
    <row r="2577" customFormat="false" ht="46.25" hidden="false" customHeight="false" outlineLevel="0" collapsed="false">
      <c r="A2577" s="9" t="n">
        <v>2576</v>
      </c>
      <c r="B2577" s="9" t="s">
        <v>140</v>
      </c>
      <c r="C2577" s="11" t="s">
        <v>145</v>
      </c>
      <c r="D2577" s="9" t="s">
        <v>10159</v>
      </c>
      <c r="E2577" s="9" t="s">
        <v>10160</v>
      </c>
      <c r="F2577" s="9" t="s">
        <v>10161</v>
      </c>
      <c r="G2577" s="9" t="s">
        <v>24</v>
      </c>
      <c r="H2577" s="12" t="s">
        <v>21</v>
      </c>
      <c r="I2577" s="9" t="s">
        <v>10162</v>
      </c>
      <c r="J2577" s="13"/>
      <c r="K2577" s="13"/>
    </row>
    <row r="2578" customFormat="false" ht="35.05" hidden="false" customHeight="false" outlineLevel="0" collapsed="false">
      <c r="A2578" s="9" t="n">
        <v>2577</v>
      </c>
      <c r="B2578" s="9" t="s">
        <v>140</v>
      </c>
      <c r="C2578" s="11" t="s">
        <v>145</v>
      </c>
      <c r="D2578" s="9" t="s">
        <v>10163</v>
      </c>
      <c r="E2578" s="9" t="s">
        <v>10164</v>
      </c>
      <c r="F2578" s="9" t="s">
        <v>10165</v>
      </c>
      <c r="G2578" s="9" t="s">
        <v>24</v>
      </c>
      <c r="H2578" s="14" t="s">
        <v>22</v>
      </c>
      <c r="I2578" s="9" t="s">
        <v>10166</v>
      </c>
      <c r="J2578" s="13"/>
      <c r="K2578" s="13"/>
    </row>
    <row r="2579" customFormat="false" ht="35.05" hidden="false" customHeight="false" outlineLevel="0" collapsed="false">
      <c r="A2579" s="9" t="n">
        <v>2578</v>
      </c>
      <c r="B2579" s="9" t="s">
        <v>140</v>
      </c>
      <c r="C2579" s="11" t="s">
        <v>145</v>
      </c>
      <c r="D2579" s="9" t="s">
        <v>10167</v>
      </c>
      <c r="E2579" s="9" t="s">
        <v>10168</v>
      </c>
      <c r="F2579" s="9" t="s">
        <v>10169</v>
      </c>
      <c r="G2579" s="9" t="s">
        <v>24</v>
      </c>
      <c r="H2579" s="14" t="s">
        <v>22</v>
      </c>
      <c r="I2579" s="9" t="s">
        <v>10170</v>
      </c>
      <c r="J2579" s="13"/>
      <c r="K2579" s="13"/>
    </row>
    <row r="2580" customFormat="false" ht="35.05" hidden="false" customHeight="false" outlineLevel="0" collapsed="false">
      <c r="A2580" s="9" t="n">
        <v>2579</v>
      </c>
      <c r="B2580" s="9" t="s">
        <v>140</v>
      </c>
      <c r="C2580" s="11" t="s">
        <v>145</v>
      </c>
      <c r="D2580" s="9" t="s">
        <v>10171</v>
      </c>
      <c r="E2580" s="9" t="s">
        <v>10172</v>
      </c>
      <c r="F2580" s="9" t="s">
        <v>10173</v>
      </c>
      <c r="G2580" s="9" t="s">
        <v>24</v>
      </c>
      <c r="H2580" s="14" t="s">
        <v>22</v>
      </c>
      <c r="I2580" s="9" t="s">
        <v>10174</v>
      </c>
      <c r="J2580" s="13"/>
      <c r="K2580" s="13"/>
    </row>
    <row r="2581" customFormat="false" ht="35.05" hidden="false" customHeight="false" outlineLevel="0" collapsed="false">
      <c r="A2581" s="9" t="n">
        <v>2580</v>
      </c>
      <c r="B2581" s="9" t="s">
        <v>140</v>
      </c>
      <c r="C2581" s="11" t="s">
        <v>145</v>
      </c>
      <c r="D2581" s="9" t="s">
        <v>10175</v>
      </c>
      <c r="E2581" s="9" t="s">
        <v>10176</v>
      </c>
      <c r="F2581" s="9" t="s">
        <v>10177</v>
      </c>
      <c r="G2581" s="9" t="s">
        <v>24</v>
      </c>
      <c r="H2581" s="14" t="s">
        <v>22</v>
      </c>
      <c r="I2581" s="9" t="s">
        <v>10178</v>
      </c>
      <c r="J2581" s="13"/>
      <c r="K2581" s="13"/>
    </row>
    <row r="2582" customFormat="false" ht="35.05" hidden="false" customHeight="false" outlineLevel="0" collapsed="false">
      <c r="A2582" s="9" t="n">
        <v>2581</v>
      </c>
      <c r="B2582" s="9" t="s">
        <v>140</v>
      </c>
      <c r="C2582" s="11" t="s">
        <v>145</v>
      </c>
      <c r="D2582" s="9" t="s">
        <v>10179</v>
      </c>
      <c r="E2582" s="9" t="s">
        <v>10180</v>
      </c>
      <c r="F2582" s="9" t="s">
        <v>10181</v>
      </c>
      <c r="G2582" s="9" t="s">
        <v>24</v>
      </c>
      <c r="H2582" s="14" t="s">
        <v>22</v>
      </c>
      <c r="I2582" s="9" t="s">
        <v>10182</v>
      </c>
      <c r="J2582" s="13"/>
      <c r="K2582" s="13"/>
    </row>
    <row r="2583" customFormat="false" ht="23.85" hidden="false" customHeight="false" outlineLevel="0" collapsed="false">
      <c r="A2583" s="9" t="n">
        <v>2582</v>
      </c>
      <c r="B2583" s="9" t="s">
        <v>140</v>
      </c>
      <c r="C2583" s="11" t="s">
        <v>145</v>
      </c>
      <c r="D2583" s="9" t="s">
        <v>10183</v>
      </c>
      <c r="E2583" s="9" t="s">
        <v>10184</v>
      </c>
      <c r="F2583" s="9" t="s">
        <v>10185</v>
      </c>
      <c r="G2583" s="9" t="s">
        <v>24</v>
      </c>
      <c r="H2583" s="14" t="s">
        <v>22</v>
      </c>
      <c r="I2583" s="9" t="s">
        <v>10186</v>
      </c>
      <c r="J2583" s="13"/>
      <c r="K2583" s="13"/>
    </row>
    <row r="2584" customFormat="false" ht="23.85" hidden="false" customHeight="false" outlineLevel="0" collapsed="false">
      <c r="A2584" s="9" t="n">
        <v>2583</v>
      </c>
      <c r="B2584" s="9" t="s">
        <v>140</v>
      </c>
      <c r="C2584" s="11" t="s">
        <v>145</v>
      </c>
      <c r="D2584" s="9" t="s">
        <v>10187</v>
      </c>
      <c r="E2584" s="9" t="s">
        <v>358</v>
      </c>
      <c r="F2584" s="9" t="s">
        <v>10188</v>
      </c>
      <c r="G2584" s="9" t="s">
        <v>24</v>
      </c>
      <c r="H2584" s="14" t="s">
        <v>22</v>
      </c>
      <c r="I2584" s="9" t="s">
        <v>10189</v>
      </c>
      <c r="J2584" s="13"/>
      <c r="K2584" s="13"/>
    </row>
    <row r="2585" customFormat="false" ht="15" hidden="false" customHeight="false" outlineLevel="0" collapsed="false">
      <c r="A2585" s="9" t="n">
        <v>2584</v>
      </c>
      <c r="B2585" s="9" t="s">
        <v>140</v>
      </c>
      <c r="C2585" s="11" t="s">
        <v>145</v>
      </c>
      <c r="D2585" s="9" t="s">
        <v>10190</v>
      </c>
      <c r="E2585" s="9" t="s">
        <v>362</v>
      </c>
      <c r="F2585" s="9" t="s">
        <v>363</v>
      </c>
      <c r="G2585" s="9" t="s">
        <v>24</v>
      </c>
      <c r="H2585" s="14" t="s">
        <v>22</v>
      </c>
      <c r="I2585" s="9" t="s">
        <v>364</v>
      </c>
      <c r="J2585" s="13"/>
      <c r="K2585" s="13"/>
    </row>
    <row r="2586" customFormat="false" ht="35.05" hidden="false" customHeight="false" outlineLevel="0" collapsed="false">
      <c r="A2586" s="9" t="n">
        <v>2585</v>
      </c>
      <c r="B2586" s="9" t="s">
        <v>140</v>
      </c>
      <c r="C2586" s="11" t="s">
        <v>145</v>
      </c>
      <c r="D2586" s="9" t="s">
        <v>10191</v>
      </c>
      <c r="E2586" s="9" t="s">
        <v>10192</v>
      </c>
      <c r="F2586" s="9" t="s">
        <v>10193</v>
      </c>
      <c r="G2586" s="9" t="s">
        <v>24</v>
      </c>
      <c r="H2586" s="15" t="s">
        <v>23</v>
      </c>
      <c r="I2586" s="9" t="s">
        <v>10194</v>
      </c>
      <c r="J2586" s="13"/>
      <c r="K2586" s="13"/>
    </row>
    <row r="2587" customFormat="false" ht="23.85" hidden="false" customHeight="false" outlineLevel="0" collapsed="false">
      <c r="A2587" s="9" t="n">
        <v>2586</v>
      </c>
      <c r="B2587" s="9" t="s">
        <v>140</v>
      </c>
      <c r="C2587" s="11" t="s">
        <v>145</v>
      </c>
      <c r="D2587" s="9" t="s">
        <v>10195</v>
      </c>
      <c r="E2587" s="9" t="s">
        <v>10196</v>
      </c>
      <c r="F2587" s="9" t="s">
        <v>10197</v>
      </c>
      <c r="G2587" s="9" t="s">
        <v>24</v>
      </c>
      <c r="H2587" s="15" t="s">
        <v>23</v>
      </c>
      <c r="I2587" s="9" t="s">
        <v>10198</v>
      </c>
      <c r="J2587" s="13"/>
      <c r="K2587" s="13"/>
    </row>
    <row r="2588" customFormat="false" ht="23.85" hidden="false" customHeight="false" outlineLevel="0" collapsed="false">
      <c r="A2588" s="9" t="n">
        <v>2587</v>
      </c>
      <c r="B2588" s="9" t="s">
        <v>140</v>
      </c>
      <c r="C2588" s="11" t="s">
        <v>145</v>
      </c>
      <c r="D2588" s="9" t="s">
        <v>10199</v>
      </c>
      <c r="E2588" s="9" t="s">
        <v>10200</v>
      </c>
      <c r="F2588" s="9" t="s">
        <v>10201</v>
      </c>
      <c r="G2588" s="9" t="s">
        <v>24</v>
      </c>
      <c r="H2588" s="15" t="s">
        <v>23</v>
      </c>
      <c r="I2588" s="9" t="s">
        <v>1034</v>
      </c>
      <c r="J2588" s="13"/>
      <c r="K2588" s="13"/>
    </row>
    <row r="2589" customFormat="false" ht="23.85" hidden="false" customHeight="false" outlineLevel="0" collapsed="false">
      <c r="A2589" s="9" t="n">
        <v>2588</v>
      </c>
      <c r="B2589" s="9" t="s">
        <v>140</v>
      </c>
      <c r="C2589" s="11" t="s">
        <v>145</v>
      </c>
      <c r="D2589" s="9" t="s">
        <v>10202</v>
      </c>
      <c r="E2589" s="9" t="s">
        <v>10203</v>
      </c>
      <c r="F2589" s="9" t="s">
        <v>10204</v>
      </c>
      <c r="G2589" s="9" t="s">
        <v>24</v>
      </c>
      <c r="H2589" s="15" t="s">
        <v>23</v>
      </c>
      <c r="I2589" s="9" t="s">
        <v>10205</v>
      </c>
      <c r="J2589" s="13"/>
      <c r="K2589" s="13"/>
    </row>
    <row r="2590" customFormat="false" ht="23.85" hidden="false" customHeight="false" outlineLevel="0" collapsed="false">
      <c r="A2590" s="9" t="n">
        <v>2589</v>
      </c>
      <c r="B2590" s="9" t="s">
        <v>140</v>
      </c>
      <c r="C2590" s="11" t="s">
        <v>145</v>
      </c>
      <c r="D2590" s="9" t="s">
        <v>10206</v>
      </c>
      <c r="E2590" s="9" t="s">
        <v>10207</v>
      </c>
      <c r="F2590" s="9" t="s">
        <v>10208</v>
      </c>
      <c r="G2590" s="9" t="s">
        <v>24</v>
      </c>
      <c r="H2590" s="15" t="s">
        <v>23</v>
      </c>
      <c r="I2590" s="9" t="s">
        <v>10209</v>
      </c>
      <c r="J2590" s="13"/>
      <c r="K2590" s="13"/>
    </row>
    <row r="2591" customFormat="false" ht="23.85" hidden="false" customHeight="false" outlineLevel="0" collapsed="false">
      <c r="A2591" s="9" t="n">
        <v>2590</v>
      </c>
      <c r="B2591" s="9" t="s">
        <v>140</v>
      </c>
      <c r="C2591" s="11" t="s">
        <v>145</v>
      </c>
      <c r="D2591" s="9" t="s">
        <v>10210</v>
      </c>
      <c r="E2591" s="9" t="s">
        <v>10211</v>
      </c>
      <c r="F2591" s="9" t="s">
        <v>10212</v>
      </c>
      <c r="G2591" s="9" t="s">
        <v>24</v>
      </c>
      <c r="H2591" s="15" t="s">
        <v>23</v>
      </c>
      <c r="I2591" s="9" t="s">
        <v>10213</v>
      </c>
      <c r="J2591" s="13"/>
      <c r="K2591" s="13"/>
    </row>
    <row r="2592" customFormat="false" ht="23.85" hidden="false" customHeight="false" outlineLevel="0" collapsed="false">
      <c r="A2592" s="9" t="n">
        <v>2591</v>
      </c>
      <c r="B2592" s="9" t="s">
        <v>140</v>
      </c>
      <c r="C2592" s="11" t="s">
        <v>145</v>
      </c>
      <c r="D2592" s="9" t="s">
        <v>10214</v>
      </c>
      <c r="E2592" s="9" t="s">
        <v>10215</v>
      </c>
      <c r="F2592" s="9" t="s">
        <v>10216</v>
      </c>
      <c r="G2592" s="9" t="s">
        <v>24</v>
      </c>
      <c r="H2592" s="15" t="s">
        <v>23</v>
      </c>
      <c r="I2592" s="9" t="s">
        <v>10217</v>
      </c>
      <c r="J2592" s="13"/>
      <c r="K2592" s="13"/>
    </row>
    <row r="2593" customFormat="false" ht="15" hidden="false" customHeight="false" outlineLevel="0" collapsed="false">
      <c r="A2593" s="9" t="n">
        <v>2592</v>
      </c>
      <c r="B2593" s="9" t="s">
        <v>140</v>
      </c>
      <c r="C2593" s="11" t="s">
        <v>145</v>
      </c>
      <c r="D2593" s="9" t="s">
        <v>10218</v>
      </c>
      <c r="E2593" s="9" t="s">
        <v>10219</v>
      </c>
      <c r="F2593" s="9" t="s">
        <v>10220</v>
      </c>
      <c r="G2593" s="9" t="s">
        <v>24</v>
      </c>
      <c r="H2593" s="15" t="s">
        <v>23</v>
      </c>
      <c r="I2593" s="9" t="s">
        <v>10221</v>
      </c>
      <c r="J2593" s="13"/>
      <c r="K2593" s="13"/>
    </row>
    <row r="2594" customFormat="false" ht="23.85" hidden="false" customHeight="false" outlineLevel="0" collapsed="false">
      <c r="A2594" s="9" t="n">
        <v>2593</v>
      </c>
      <c r="B2594" s="9" t="s">
        <v>140</v>
      </c>
      <c r="C2594" s="11" t="s">
        <v>145</v>
      </c>
      <c r="D2594" s="9" t="s">
        <v>10222</v>
      </c>
      <c r="E2594" s="9" t="s">
        <v>358</v>
      </c>
      <c r="F2594" s="9" t="s">
        <v>10223</v>
      </c>
      <c r="G2594" s="9" t="s">
        <v>24</v>
      </c>
      <c r="H2594" s="15" t="s">
        <v>23</v>
      </c>
      <c r="I2594" s="9" t="s">
        <v>10224</v>
      </c>
      <c r="J2594" s="13"/>
      <c r="K2594" s="13"/>
    </row>
    <row r="2595" customFormat="false" ht="57.45" hidden="false" customHeight="false" outlineLevel="0" collapsed="false">
      <c r="A2595" s="9" t="n">
        <v>2594</v>
      </c>
      <c r="B2595" s="9" t="s">
        <v>140</v>
      </c>
      <c r="C2595" s="11" t="s">
        <v>147</v>
      </c>
      <c r="D2595" s="9" t="s">
        <v>10225</v>
      </c>
      <c r="E2595" s="9" t="s">
        <v>10226</v>
      </c>
      <c r="F2595" s="9" t="s">
        <v>10227</v>
      </c>
      <c r="G2595" s="9" t="s">
        <v>9142</v>
      </c>
      <c r="H2595" s="14" t="s">
        <v>22</v>
      </c>
      <c r="I2595" s="9" t="s">
        <v>10228</v>
      </c>
      <c r="J2595" s="13"/>
      <c r="K2595" s="13"/>
    </row>
    <row r="2596" customFormat="false" ht="79.85" hidden="false" customHeight="false" outlineLevel="0" collapsed="false">
      <c r="A2596" s="9" t="n">
        <v>2595</v>
      </c>
      <c r="B2596" s="9" t="s">
        <v>140</v>
      </c>
      <c r="C2596" s="11" t="s">
        <v>147</v>
      </c>
      <c r="D2596" s="9" t="s">
        <v>10229</v>
      </c>
      <c r="E2596" s="9" t="s">
        <v>10230</v>
      </c>
      <c r="F2596" s="9" t="s">
        <v>10231</v>
      </c>
      <c r="G2596" s="9" t="s">
        <v>312</v>
      </c>
      <c r="H2596" s="12" t="s">
        <v>21</v>
      </c>
      <c r="I2596" s="9" t="s">
        <v>10232</v>
      </c>
      <c r="J2596" s="13"/>
      <c r="K2596" s="13"/>
    </row>
    <row r="2597" customFormat="false" ht="68.65" hidden="false" customHeight="false" outlineLevel="0" collapsed="false">
      <c r="A2597" s="9" t="n">
        <v>2596</v>
      </c>
      <c r="B2597" s="9" t="s">
        <v>140</v>
      </c>
      <c r="C2597" s="11" t="s">
        <v>147</v>
      </c>
      <c r="D2597" s="9" t="s">
        <v>10233</v>
      </c>
      <c r="E2597" s="9" t="s">
        <v>10234</v>
      </c>
      <c r="F2597" s="9" t="s">
        <v>10235</v>
      </c>
      <c r="G2597" s="9" t="s">
        <v>317</v>
      </c>
      <c r="H2597" s="12" t="s">
        <v>21</v>
      </c>
      <c r="I2597" s="9" t="s">
        <v>10236</v>
      </c>
      <c r="J2597" s="13"/>
      <c r="K2597" s="13"/>
    </row>
    <row r="2598" customFormat="false" ht="23.85" hidden="false" customHeight="false" outlineLevel="0" collapsed="false">
      <c r="A2598" s="9" t="n">
        <v>2597</v>
      </c>
      <c r="B2598" s="9" t="s">
        <v>140</v>
      </c>
      <c r="C2598" s="11" t="s">
        <v>147</v>
      </c>
      <c r="D2598" s="9" t="s">
        <v>10237</v>
      </c>
      <c r="E2598" s="9" t="s">
        <v>10238</v>
      </c>
      <c r="F2598" s="9" t="s">
        <v>10239</v>
      </c>
      <c r="G2598" s="9" t="s">
        <v>1072</v>
      </c>
      <c r="H2598" s="14" t="s">
        <v>22</v>
      </c>
      <c r="I2598" s="9" t="s">
        <v>10240</v>
      </c>
      <c r="J2598" s="13"/>
      <c r="K2598" s="13"/>
    </row>
    <row r="2599" customFormat="false" ht="68.65" hidden="false" customHeight="false" outlineLevel="0" collapsed="false">
      <c r="A2599" s="9" t="n">
        <v>2598</v>
      </c>
      <c r="B2599" s="9" t="s">
        <v>140</v>
      </c>
      <c r="C2599" s="11" t="s">
        <v>147</v>
      </c>
      <c r="D2599" s="9" t="s">
        <v>10241</v>
      </c>
      <c r="E2599" s="9" t="s">
        <v>10242</v>
      </c>
      <c r="F2599" s="9" t="s">
        <v>10243</v>
      </c>
      <c r="G2599" s="9" t="s">
        <v>1063</v>
      </c>
      <c r="H2599" s="12" t="s">
        <v>21</v>
      </c>
      <c r="I2599" s="9" t="s">
        <v>10244</v>
      </c>
      <c r="J2599" s="13"/>
      <c r="K2599" s="13"/>
    </row>
    <row r="2600" customFormat="false" ht="79.85" hidden="false" customHeight="false" outlineLevel="0" collapsed="false">
      <c r="A2600" s="9" t="n">
        <v>2599</v>
      </c>
      <c r="B2600" s="9" t="s">
        <v>140</v>
      </c>
      <c r="C2600" s="11" t="s">
        <v>147</v>
      </c>
      <c r="D2600" s="9" t="s">
        <v>10245</v>
      </c>
      <c r="E2600" s="9" t="s">
        <v>10246</v>
      </c>
      <c r="F2600" s="9" t="s">
        <v>10247</v>
      </c>
      <c r="G2600" s="9" t="s">
        <v>847</v>
      </c>
      <c r="H2600" s="12" t="s">
        <v>21</v>
      </c>
      <c r="I2600" s="9" t="s">
        <v>10248</v>
      </c>
      <c r="J2600" s="13"/>
      <c r="K2600" s="13"/>
    </row>
    <row r="2601" customFormat="false" ht="79.85" hidden="false" customHeight="false" outlineLevel="0" collapsed="false">
      <c r="A2601" s="9" t="n">
        <v>2600</v>
      </c>
      <c r="B2601" s="9" t="s">
        <v>140</v>
      </c>
      <c r="C2601" s="11" t="s">
        <v>147</v>
      </c>
      <c r="D2601" s="9" t="s">
        <v>10249</v>
      </c>
      <c r="E2601" s="9" t="s">
        <v>10250</v>
      </c>
      <c r="F2601" s="9" t="s">
        <v>10251</v>
      </c>
      <c r="G2601" s="9" t="s">
        <v>861</v>
      </c>
      <c r="H2601" s="12" t="s">
        <v>21</v>
      </c>
      <c r="I2601" s="9" t="s">
        <v>10252</v>
      </c>
      <c r="J2601" s="13"/>
      <c r="K2601" s="13"/>
    </row>
    <row r="2602" customFormat="false" ht="46.25" hidden="false" customHeight="false" outlineLevel="0" collapsed="false">
      <c r="A2602" s="9" t="n">
        <v>2601</v>
      </c>
      <c r="B2602" s="9" t="s">
        <v>140</v>
      </c>
      <c r="C2602" s="11" t="s">
        <v>147</v>
      </c>
      <c r="D2602" s="9" t="s">
        <v>10253</v>
      </c>
      <c r="E2602" s="9" t="s">
        <v>10254</v>
      </c>
      <c r="F2602" s="9" t="s">
        <v>10255</v>
      </c>
      <c r="G2602" s="9" t="s">
        <v>1072</v>
      </c>
      <c r="H2602" s="14" t="s">
        <v>22</v>
      </c>
      <c r="I2602" s="9" t="s">
        <v>10256</v>
      </c>
      <c r="J2602" s="13"/>
      <c r="K2602" s="13"/>
    </row>
    <row r="2603" customFormat="false" ht="57.45" hidden="false" customHeight="false" outlineLevel="0" collapsed="false">
      <c r="A2603" s="9" t="n">
        <v>2602</v>
      </c>
      <c r="B2603" s="9" t="s">
        <v>140</v>
      </c>
      <c r="C2603" s="11" t="s">
        <v>147</v>
      </c>
      <c r="D2603" s="9" t="s">
        <v>10257</v>
      </c>
      <c r="E2603" s="9" t="s">
        <v>10258</v>
      </c>
      <c r="F2603" s="9" t="s">
        <v>10259</v>
      </c>
      <c r="G2603" s="9" t="s">
        <v>392</v>
      </c>
      <c r="H2603" s="14" t="s">
        <v>22</v>
      </c>
      <c r="I2603" s="9" t="s">
        <v>10260</v>
      </c>
      <c r="J2603" s="13"/>
      <c r="K2603" s="13"/>
    </row>
    <row r="2604" customFormat="false" ht="46.25" hidden="false" customHeight="false" outlineLevel="0" collapsed="false">
      <c r="A2604" s="9" t="n">
        <v>2603</v>
      </c>
      <c r="B2604" s="9" t="s">
        <v>140</v>
      </c>
      <c r="C2604" s="11" t="s">
        <v>147</v>
      </c>
      <c r="D2604" s="9" t="s">
        <v>10261</v>
      </c>
      <c r="E2604" s="9" t="s">
        <v>10262</v>
      </c>
      <c r="F2604" s="9" t="s">
        <v>10263</v>
      </c>
      <c r="G2604" s="9" t="s">
        <v>392</v>
      </c>
      <c r="H2604" s="15" t="s">
        <v>23</v>
      </c>
      <c r="I2604" s="9" t="s">
        <v>10264</v>
      </c>
      <c r="J2604" s="13"/>
      <c r="K2604" s="13"/>
    </row>
    <row r="2605" customFormat="false" ht="57.45" hidden="false" customHeight="false" outlineLevel="0" collapsed="false">
      <c r="A2605" s="9" t="n">
        <v>2604</v>
      </c>
      <c r="B2605" s="9" t="s">
        <v>140</v>
      </c>
      <c r="C2605" s="11" t="s">
        <v>147</v>
      </c>
      <c r="D2605" s="9" t="s">
        <v>10265</v>
      </c>
      <c r="E2605" s="9" t="s">
        <v>10266</v>
      </c>
      <c r="F2605" s="9" t="s">
        <v>10267</v>
      </c>
      <c r="G2605" s="9" t="s">
        <v>392</v>
      </c>
      <c r="H2605" s="14" t="s">
        <v>22</v>
      </c>
      <c r="I2605" s="9" t="s">
        <v>10268</v>
      </c>
      <c r="J2605" s="13"/>
      <c r="K2605" s="13"/>
    </row>
    <row r="2606" customFormat="false" ht="46.25" hidden="false" customHeight="false" outlineLevel="0" collapsed="false">
      <c r="A2606" s="9" t="n">
        <v>2605</v>
      </c>
      <c r="B2606" s="9" t="s">
        <v>140</v>
      </c>
      <c r="C2606" s="11" t="s">
        <v>147</v>
      </c>
      <c r="D2606" s="9" t="s">
        <v>10269</v>
      </c>
      <c r="E2606" s="9" t="s">
        <v>10270</v>
      </c>
      <c r="F2606" s="9" t="s">
        <v>10271</v>
      </c>
      <c r="G2606" s="9" t="s">
        <v>312</v>
      </c>
      <c r="H2606" s="14" t="s">
        <v>22</v>
      </c>
      <c r="I2606" s="9" t="s">
        <v>10272</v>
      </c>
      <c r="J2606" s="13"/>
      <c r="K2606" s="13"/>
    </row>
    <row r="2607" customFormat="false" ht="91" hidden="false" customHeight="false" outlineLevel="0" collapsed="false">
      <c r="A2607" s="9" t="n">
        <v>2606</v>
      </c>
      <c r="B2607" s="9" t="s">
        <v>140</v>
      </c>
      <c r="C2607" s="11" t="s">
        <v>147</v>
      </c>
      <c r="D2607" s="9" t="s">
        <v>10273</v>
      </c>
      <c r="E2607" s="9" t="s">
        <v>10274</v>
      </c>
      <c r="F2607" s="9" t="s">
        <v>10275</v>
      </c>
      <c r="G2607" s="9" t="s">
        <v>1852</v>
      </c>
      <c r="H2607" s="12" t="s">
        <v>21</v>
      </c>
      <c r="I2607" s="9" t="s">
        <v>10276</v>
      </c>
      <c r="J2607" s="13"/>
      <c r="K2607" s="13"/>
    </row>
    <row r="2608" customFormat="false" ht="35.05" hidden="false" customHeight="false" outlineLevel="0" collapsed="false">
      <c r="A2608" s="9" t="n">
        <v>2607</v>
      </c>
      <c r="B2608" s="9" t="s">
        <v>140</v>
      </c>
      <c r="C2608" s="11" t="s">
        <v>147</v>
      </c>
      <c r="D2608" s="9" t="s">
        <v>10277</v>
      </c>
      <c r="E2608" s="9" t="s">
        <v>10278</v>
      </c>
      <c r="F2608" s="9" t="s">
        <v>10279</v>
      </c>
      <c r="G2608" s="9" t="s">
        <v>312</v>
      </c>
      <c r="H2608" s="14" t="s">
        <v>22</v>
      </c>
      <c r="I2608" s="9" t="s">
        <v>10280</v>
      </c>
      <c r="J2608" s="13"/>
      <c r="K2608" s="13"/>
    </row>
    <row r="2609" customFormat="false" ht="35.05" hidden="false" customHeight="false" outlineLevel="0" collapsed="false">
      <c r="A2609" s="9" t="n">
        <v>2608</v>
      </c>
      <c r="B2609" s="9" t="s">
        <v>140</v>
      </c>
      <c r="C2609" s="11" t="s">
        <v>147</v>
      </c>
      <c r="D2609" s="9" t="s">
        <v>10281</v>
      </c>
      <c r="E2609" s="9" t="s">
        <v>10282</v>
      </c>
      <c r="F2609" s="9" t="s">
        <v>10283</v>
      </c>
      <c r="G2609" s="9" t="s">
        <v>1058</v>
      </c>
      <c r="H2609" s="14" t="s">
        <v>22</v>
      </c>
      <c r="I2609" s="9" t="s">
        <v>10284</v>
      </c>
      <c r="J2609" s="13"/>
      <c r="K2609" s="13"/>
    </row>
    <row r="2610" customFormat="false" ht="35.05" hidden="false" customHeight="false" outlineLevel="0" collapsed="false">
      <c r="A2610" s="9" t="n">
        <v>2609</v>
      </c>
      <c r="B2610" s="9" t="s">
        <v>140</v>
      </c>
      <c r="C2610" s="11" t="s">
        <v>147</v>
      </c>
      <c r="D2610" s="9" t="s">
        <v>10285</v>
      </c>
      <c r="E2610" s="9" t="s">
        <v>10286</v>
      </c>
      <c r="F2610" s="9" t="s">
        <v>10287</v>
      </c>
      <c r="G2610" s="9" t="s">
        <v>312</v>
      </c>
      <c r="H2610" s="14" t="s">
        <v>22</v>
      </c>
      <c r="I2610" s="9" t="s">
        <v>10288</v>
      </c>
      <c r="J2610" s="13"/>
      <c r="K2610" s="13"/>
    </row>
    <row r="2611" customFormat="false" ht="23.85" hidden="false" customHeight="false" outlineLevel="0" collapsed="false">
      <c r="A2611" s="9" t="n">
        <v>2610</v>
      </c>
      <c r="B2611" s="9" t="s">
        <v>140</v>
      </c>
      <c r="C2611" s="11" t="s">
        <v>147</v>
      </c>
      <c r="D2611" s="9" t="s">
        <v>10289</v>
      </c>
      <c r="E2611" s="9" t="s">
        <v>10290</v>
      </c>
      <c r="F2611" s="9" t="s">
        <v>10291</v>
      </c>
      <c r="G2611" s="9" t="s">
        <v>328</v>
      </c>
      <c r="H2611" s="14" t="s">
        <v>22</v>
      </c>
      <c r="I2611" s="9" t="s">
        <v>10292</v>
      </c>
      <c r="J2611" s="13"/>
      <c r="K2611" s="13"/>
    </row>
    <row r="2612" customFormat="false" ht="91" hidden="false" customHeight="false" outlineLevel="0" collapsed="false">
      <c r="A2612" s="9" t="n">
        <v>2611</v>
      </c>
      <c r="B2612" s="9" t="s">
        <v>140</v>
      </c>
      <c r="C2612" s="11" t="s">
        <v>147</v>
      </c>
      <c r="D2612" s="9" t="s">
        <v>10293</v>
      </c>
      <c r="E2612" s="9" t="s">
        <v>10294</v>
      </c>
      <c r="F2612" s="9" t="s">
        <v>10295</v>
      </c>
      <c r="G2612" s="9" t="s">
        <v>1852</v>
      </c>
      <c r="H2612" s="12" t="s">
        <v>21</v>
      </c>
      <c r="I2612" s="9" t="s">
        <v>10296</v>
      </c>
      <c r="J2612" s="13"/>
      <c r="K2612" s="13"/>
    </row>
    <row r="2613" customFormat="false" ht="46.25" hidden="false" customHeight="false" outlineLevel="0" collapsed="false">
      <c r="A2613" s="9" t="n">
        <v>2612</v>
      </c>
      <c r="B2613" s="9" t="s">
        <v>140</v>
      </c>
      <c r="C2613" s="11" t="s">
        <v>147</v>
      </c>
      <c r="D2613" s="9" t="s">
        <v>10297</v>
      </c>
      <c r="E2613" s="9" t="s">
        <v>10298</v>
      </c>
      <c r="F2613" s="9" t="s">
        <v>10299</v>
      </c>
      <c r="G2613" s="9" t="s">
        <v>1643</v>
      </c>
      <c r="H2613" s="14" t="s">
        <v>22</v>
      </c>
      <c r="I2613" s="9" t="s">
        <v>10300</v>
      </c>
      <c r="J2613" s="13"/>
      <c r="K2613" s="13"/>
    </row>
    <row r="2614" customFormat="false" ht="68.65" hidden="false" customHeight="false" outlineLevel="0" collapsed="false">
      <c r="A2614" s="9" t="n">
        <v>2613</v>
      </c>
      <c r="B2614" s="9" t="s">
        <v>140</v>
      </c>
      <c r="C2614" s="11" t="s">
        <v>147</v>
      </c>
      <c r="D2614" s="9" t="s">
        <v>10301</v>
      </c>
      <c r="E2614" s="9" t="s">
        <v>10302</v>
      </c>
      <c r="F2614" s="9" t="s">
        <v>10303</v>
      </c>
      <c r="G2614" s="9" t="s">
        <v>312</v>
      </c>
      <c r="H2614" s="14" t="s">
        <v>22</v>
      </c>
      <c r="I2614" s="9" t="s">
        <v>10304</v>
      </c>
      <c r="J2614" s="13"/>
      <c r="K2614" s="13"/>
    </row>
    <row r="2615" customFormat="false" ht="46.25" hidden="false" customHeight="false" outlineLevel="0" collapsed="false">
      <c r="A2615" s="9" t="n">
        <v>2614</v>
      </c>
      <c r="B2615" s="9" t="s">
        <v>140</v>
      </c>
      <c r="C2615" s="11" t="s">
        <v>147</v>
      </c>
      <c r="D2615" s="9" t="s">
        <v>10305</v>
      </c>
      <c r="E2615" s="9" t="s">
        <v>10306</v>
      </c>
      <c r="F2615" s="9" t="s">
        <v>10307</v>
      </c>
      <c r="G2615" s="9" t="s">
        <v>392</v>
      </c>
      <c r="H2615" s="14" t="s">
        <v>22</v>
      </c>
      <c r="I2615" s="9" t="s">
        <v>10308</v>
      </c>
      <c r="J2615" s="13"/>
      <c r="K2615" s="13"/>
    </row>
    <row r="2616" customFormat="false" ht="46.25" hidden="false" customHeight="false" outlineLevel="0" collapsed="false">
      <c r="A2616" s="9" t="n">
        <v>2615</v>
      </c>
      <c r="B2616" s="9" t="s">
        <v>140</v>
      </c>
      <c r="C2616" s="11" t="s">
        <v>147</v>
      </c>
      <c r="D2616" s="9" t="s">
        <v>10309</v>
      </c>
      <c r="E2616" s="9" t="s">
        <v>10310</v>
      </c>
      <c r="F2616" s="9" t="s">
        <v>10311</v>
      </c>
      <c r="G2616" s="9" t="s">
        <v>10149</v>
      </c>
      <c r="H2616" s="14" t="s">
        <v>22</v>
      </c>
      <c r="I2616" s="9" t="s">
        <v>10312</v>
      </c>
      <c r="J2616" s="13"/>
      <c r="K2616" s="13"/>
    </row>
    <row r="2617" customFormat="false" ht="35.05" hidden="false" customHeight="false" outlineLevel="0" collapsed="false">
      <c r="A2617" s="9" t="n">
        <v>2616</v>
      </c>
      <c r="B2617" s="9" t="s">
        <v>140</v>
      </c>
      <c r="C2617" s="11" t="s">
        <v>147</v>
      </c>
      <c r="D2617" s="9" t="s">
        <v>10313</v>
      </c>
      <c r="E2617" s="9" t="s">
        <v>10314</v>
      </c>
      <c r="F2617" s="9" t="s">
        <v>10315</v>
      </c>
      <c r="G2617" s="9" t="s">
        <v>392</v>
      </c>
      <c r="H2617" s="15" t="s">
        <v>23</v>
      </c>
      <c r="I2617" s="9" t="s">
        <v>10316</v>
      </c>
      <c r="J2617" s="13"/>
      <c r="K2617" s="13"/>
    </row>
    <row r="2618" customFormat="false" ht="35.05" hidden="false" customHeight="false" outlineLevel="0" collapsed="false">
      <c r="A2618" s="9" t="n">
        <v>2617</v>
      </c>
      <c r="B2618" s="9" t="s">
        <v>140</v>
      </c>
      <c r="C2618" s="11" t="s">
        <v>147</v>
      </c>
      <c r="D2618" s="9" t="s">
        <v>10317</v>
      </c>
      <c r="E2618" s="9" t="s">
        <v>10318</v>
      </c>
      <c r="F2618" s="9" t="s">
        <v>10319</v>
      </c>
      <c r="G2618" s="9" t="s">
        <v>392</v>
      </c>
      <c r="H2618" s="14" t="s">
        <v>22</v>
      </c>
      <c r="I2618" s="9" t="s">
        <v>10320</v>
      </c>
      <c r="J2618" s="13"/>
      <c r="K2618" s="13"/>
    </row>
    <row r="2619" customFormat="false" ht="68.65" hidden="false" customHeight="false" outlineLevel="0" collapsed="false">
      <c r="A2619" s="9" t="n">
        <v>2618</v>
      </c>
      <c r="B2619" s="9" t="s">
        <v>140</v>
      </c>
      <c r="C2619" s="11" t="s">
        <v>147</v>
      </c>
      <c r="D2619" s="9" t="s">
        <v>10321</v>
      </c>
      <c r="E2619" s="9" t="s">
        <v>10322</v>
      </c>
      <c r="F2619" s="9" t="s">
        <v>10323</v>
      </c>
      <c r="G2619" s="9" t="s">
        <v>308</v>
      </c>
      <c r="H2619" s="14" t="s">
        <v>22</v>
      </c>
      <c r="I2619" s="9" t="s">
        <v>10324</v>
      </c>
      <c r="J2619" s="13"/>
      <c r="K2619" s="13"/>
    </row>
    <row r="2620" customFormat="false" ht="46.25" hidden="false" customHeight="false" outlineLevel="0" collapsed="false">
      <c r="A2620" s="9" t="n">
        <v>2619</v>
      </c>
      <c r="B2620" s="9" t="s">
        <v>140</v>
      </c>
      <c r="C2620" s="11" t="s">
        <v>147</v>
      </c>
      <c r="D2620" s="9" t="s">
        <v>10325</v>
      </c>
      <c r="E2620" s="9" t="s">
        <v>10326</v>
      </c>
      <c r="F2620" s="9" t="s">
        <v>10327</v>
      </c>
      <c r="G2620" s="9" t="s">
        <v>1094</v>
      </c>
      <c r="H2620" s="14" t="s">
        <v>22</v>
      </c>
      <c r="I2620" s="9" t="s">
        <v>10328</v>
      </c>
      <c r="J2620" s="13"/>
      <c r="K2620" s="13"/>
    </row>
    <row r="2621" customFormat="false" ht="23.85" hidden="false" customHeight="false" outlineLevel="0" collapsed="false">
      <c r="A2621" s="9" t="n">
        <v>2620</v>
      </c>
      <c r="B2621" s="9" t="s">
        <v>140</v>
      </c>
      <c r="C2621" s="11" t="s">
        <v>147</v>
      </c>
      <c r="D2621" s="9" t="s">
        <v>10329</v>
      </c>
      <c r="E2621" s="9" t="s">
        <v>10330</v>
      </c>
      <c r="F2621" s="9" t="s">
        <v>10331</v>
      </c>
      <c r="G2621" s="9" t="s">
        <v>6425</v>
      </c>
      <c r="H2621" s="15" t="s">
        <v>23</v>
      </c>
      <c r="I2621" s="9" t="s">
        <v>10332</v>
      </c>
      <c r="J2621" s="13"/>
      <c r="K2621" s="13"/>
    </row>
    <row r="2622" customFormat="false" ht="35.05" hidden="false" customHeight="false" outlineLevel="0" collapsed="false">
      <c r="A2622" s="9" t="n">
        <v>2621</v>
      </c>
      <c r="B2622" s="9" t="s">
        <v>140</v>
      </c>
      <c r="C2622" s="11" t="s">
        <v>147</v>
      </c>
      <c r="D2622" s="9" t="s">
        <v>10333</v>
      </c>
      <c r="E2622" s="9" t="s">
        <v>10334</v>
      </c>
      <c r="F2622" s="9" t="s">
        <v>10335</v>
      </c>
      <c r="G2622" s="9" t="s">
        <v>1072</v>
      </c>
      <c r="H2622" s="15" t="s">
        <v>23</v>
      </c>
      <c r="I2622" s="9" t="s">
        <v>10336</v>
      </c>
      <c r="J2622" s="13"/>
      <c r="K2622" s="13"/>
    </row>
    <row r="2623" customFormat="false" ht="23.85" hidden="false" customHeight="false" outlineLevel="0" collapsed="false">
      <c r="A2623" s="9" t="n">
        <v>2622</v>
      </c>
      <c r="B2623" s="9" t="s">
        <v>140</v>
      </c>
      <c r="C2623" s="11" t="s">
        <v>147</v>
      </c>
      <c r="D2623" s="9" t="s">
        <v>10337</v>
      </c>
      <c r="E2623" s="9" t="s">
        <v>10338</v>
      </c>
      <c r="F2623" s="9" t="s">
        <v>10339</v>
      </c>
      <c r="G2623" s="9" t="s">
        <v>328</v>
      </c>
      <c r="H2623" s="15" t="s">
        <v>23</v>
      </c>
      <c r="I2623" s="9" t="s">
        <v>10340</v>
      </c>
      <c r="J2623" s="13"/>
      <c r="K2623" s="13"/>
    </row>
    <row r="2624" customFormat="false" ht="23.85" hidden="false" customHeight="false" outlineLevel="0" collapsed="false">
      <c r="A2624" s="9" t="n">
        <v>2623</v>
      </c>
      <c r="B2624" s="9" t="s">
        <v>140</v>
      </c>
      <c r="C2624" s="11" t="s">
        <v>147</v>
      </c>
      <c r="D2624" s="9" t="s">
        <v>10341</v>
      </c>
      <c r="E2624" s="9" t="s">
        <v>10342</v>
      </c>
      <c r="F2624" s="9" t="s">
        <v>10343</v>
      </c>
      <c r="G2624" s="9" t="s">
        <v>312</v>
      </c>
      <c r="H2624" s="15" t="s">
        <v>23</v>
      </c>
      <c r="I2624" s="9" t="s">
        <v>10344</v>
      </c>
      <c r="J2624" s="13"/>
      <c r="K2624" s="13"/>
    </row>
    <row r="2625" customFormat="false" ht="35.05" hidden="false" customHeight="false" outlineLevel="0" collapsed="false">
      <c r="A2625" s="9" t="n">
        <v>2624</v>
      </c>
      <c r="B2625" s="9" t="s">
        <v>140</v>
      </c>
      <c r="C2625" s="11" t="s">
        <v>147</v>
      </c>
      <c r="D2625" s="9" t="s">
        <v>10345</v>
      </c>
      <c r="E2625" s="9" t="s">
        <v>10346</v>
      </c>
      <c r="F2625" s="9" t="s">
        <v>10347</v>
      </c>
      <c r="G2625" s="9" t="s">
        <v>312</v>
      </c>
      <c r="H2625" s="15" t="s">
        <v>23</v>
      </c>
      <c r="I2625" s="9" t="s">
        <v>10348</v>
      </c>
      <c r="J2625" s="13"/>
      <c r="K2625" s="13"/>
    </row>
    <row r="2626" customFormat="false" ht="35.05" hidden="false" customHeight="false" outlineLevel="0" collapsed="false">
      <c r="A2626" s="9" t="n">
        <v>2625</v>
      </c>
      <c r="B2626" s="9" t="s">
        <v>140</v>
      </c>
      <c r="C2626" s="11" t="s">
        <v>147</v>
      </c>
      <c r="D2626" s="9" t="s">
        <v>10349</v>
      </c>
      <c r="E2626" s="9" t="s">
        <v>10350</v>
      </c>
      <c r="F2626" s="9" t="s">
        <v>10351</v>
      </c>
      <c r="G2626" s="9" t="s">
        <v>328</v>
      </c>
      <c r="H2626" s="15" t="s">
        <v>23</v>
      </c>
      <c r="I2626" s="9" t="s">
        <v>10352</v>
      </c>
      <c r="J2626" s="13"/>
      <c r="K2626" s="13"/>
    </row>
    <row r="2627" customFormat="false" ht="35.05" hidden="false" customHeight="false" outlineLevel="0" collapsed="false">
      <c r="A2627" s="9" t="n">
        <v>2626</v>
      </c>
      <c r="B2627" s="9" t="s">
        <v>140</v>
      </c>
      <c r="C2627" s="11" t="s">
        <v>147</v>
      </c>
      <c r="D2627" s="9" t="s">
        <v>10353</v>
      </c>
      <c r="E2627" s="9" t="s">
        <v>10354</v>
      </c>
      <c r="F2627" s="9" t="s">
        <v>10355</v>
      </c>
      <c r="G2627" s="9" t="s">
        <v>328</v>
      </c>
      <c r="H2627" s="15" t="s">
        <v>23</v>
      </c>
      <c r="I2627" s="9" t="s">
        <v>10356</v>
      </c>
      <c r="J2627" s="13"/>
      <c r="K2627" s="13"/>
    </row>
    <row r="2628" customFormat="false" ht="57.45" hidden="false" customHeight="false" outlineLevel="0" collapsed="false">
      <c r="A2628" s="9" t="n">
        <v>2627</v>
      </c>
      <c r="B2628" s="9" t="s">
        <v>140</v>
      </c>
      <c r="C2628" s="11" t="s">
        <v>147</v>
      </c>
      <c r="D2628" s="9" t="s">
        <v>10357</v>
      </c>
      <c r="E2628" s="9" t="s">
        <v>10358</v>
      </c>
      <c r="F2628" s="9" t="s">
        <v>10359</v>
      </c>
      <c r="G2628" s="9" t="s">
        <v>24</v>
      </c>
      <c r="H2628" s="12" t="s">
        <v>21</v>
      </c>
      <c r="I2628" s="9" t="s">
        <v>10360</v>
      </c>
      <c r="J2628" s="13"/>
      <c r="K2628" s="13"/>
    </row>
    <row r="2629" customFormat="false" ht="46.25" hidden="false" customHeight="false" outlineLevel="0" collapsed="false">
      <c r="A2629" s="9" t="n">
        <v>2628</v>
      </c>
      <c r="B2629" s="9" t="s">
        <v>140</v>
      </c>
      <c r="C2629" s="11" t="s">
        <v>147</v>
      </c>
      <c r="D2629" s="9" t="s">
        <v>10361</v>
      </c>
      <c r="E2629" s="9" t="s">
        <v>10362</v>
      </c>
      <c r="F2629" s="9" t="s">
        <v>10363</v>
      </c>
      <c r="G2629" s="9" t="s">
        <v>24</v>
      </c>
      <c r="H2629" s="14" t="s">
        <v>22</v>
      </c>
      <c r="I2629" s="9" t="s">
        <v>10364</v>
      </c>
      <c r="J2629" s="13"/>
      <c r="K2629" s="13"/>
    </row>
    <row r="2630" customFormat="false" ht="23.85" hidden="false" customHeight="false" outlineLevel="0" collapsed="false">
      <c r="A2630" s="9" t="n">
        <v>2629</v>
      </c>
      <c r="B2630" s="9" t="s">
        <v>140</v>
      </c>
      <c r="C2630" s="11" t="s">
        <v>147</v>
      </c>
      <c r="D2630" s="9" t="s">
        <v>10365</v>
      </c>
      <c r="E2630" s="9" t="s">
        <v>10366</v>
      </c>
      <c r="F2630" s="9" t="s">
        <v>10367</v>
      </c>
      <c r="G2630" s="9" t="s">
        <v>24</v>
      </c>
      <c r="H2630" s="14" t="s">
        <v>22</v>
      </c>
      <c r="I2630" s="9" t="s">
        <v>10368</v>
      </c>
      <c r="J2630" s="13"/>
      <c r="K2630" s="13"/>
    </row>
    <row r="2631" customFormat="false" ht="46.25" hidden="false" customHeight="false" outlineLevel="0" collapsed="false">
      <c r="A2631" s="9" t="n">
        <v>2630</v>
      </c>
      <c r="B2631" s="9" t="s">
        <v>140</v>
      </c>
      <c r="C2631" s="11" t="s">
        <v>147</v>
      </c>
      <c r="D2631" s="9" t="s">
        <v>10369</v>
      </c>
      <c r="E2631" s="9" t="s">
        <v>10370</v>
      </c>
      <c r="F2631" s="9" t="s">
        <v>10371</v>
      </c>
      <c r="G2631" s="9" t="s">
        <v>24</v>
      </c>
      <c r="H2631" s="14" t="s">
        <v>22</v>
      </c>
      <c r="I2631" s="9" t="s">
        <v>10372</v>
      </c>
      <c r="J2631" s="13"/>
      <c r="K2631" s="13"/>
    </row>
    <row r="2632" customFormat="false" ht="23.85" hidden="false" customHeight="false" outlineLevel="0" collapsed="false">
      <c r="A2632" s="9" t="n">
        <v>2631</v>
      </c>
      <c r="B2632" s="9" t="s">
        <v>140</v>
      </c>
      <c r="C2632" s="11" t="s">
        <v>147</v>
      </c>
      <c r="D2632" s="9" t="s">
        <v>10373</v>
      </c>
      <c r="E2632" s="9" t="s">
        <v>10374</v>
      </c>
      <c r="F2632" s="9" t="s">
        <v>10375</v>
      </c>
      <c r="G2632" s="9" t="s">
        <v>24</v>
      </c>
      <c r="H2632" s="14" t="s">
        <v>22</v>
      </c>
      <c r="I2632" s="9" t="s">
        <v>10186</v>
      </c>
      <c r="J2632" s="13"/>
      <c r="K2632" s="13"/>
    </row>
    <row r="2633" customFormat="false" ht="23.85" hidden="false" customHeight="false" outlineLevel="0" collapsed="false">
      <c r="A2633" s="9" t="n">
        <v>2632</v>
      </c>
      <c r="B2633" s="9" t="s">
        <v>140</v>
      </c>
      <c r="C2633" s="11" t="s">
        <v>147</v>
      </c>
      <c r="D2633" s="9" t="s">
        <v>10376</v>
      </c>
      <c r="E2633" s="9" t="s">
        <v>358</v>
      </c>
      <c r="F2633" s="9" t="s">
        <v>10377</v>
      </c>
      <c r="G2633" s="9" t="s">
        <v>24</v>
      </c>
      <c r="H2633" s="14" t="s">
        <v>22</v>
      </c>
      <c r="I2633" s="9" t="s">
        <v>6634</v>
      </c>
      <c r="J2633" s="13"/>
      <c r="K2633" s="13"/>
    </row>
    <row r="2634" customFormat="false" ht="15" hidden="false" customHeight="false" outlineLevel="0" collapsed="false">
      <c r="A2634" s="9" t="n">
        <v>2633</v>
      </c>
      <c r="B2634" s="9" t="s">
        <v>140</v>
      </c>
      <c r="C2634" s="11" t="s">
        <v>147</v>
      </c>
      <c r="D2634" s="9" t="s">
        <v>10378</v>
      </c>
      <c r="E2634" s="9" t="s">
        <v>362</v>
      </c>
      <c r="F2634" s="9" t="s">
        <v>363</v>
      </c>
      <c r="G2634" s="9" t="s">
        <v>24</v>
      </c>
      <c r="H2634" s="14" t="s">
        <v>22</v>
      </c>
      <c r="I2634" s="9" t="s">
        <v>364</v>
      </c>
      <c r="J2634" s="13"/>
      <c r="K2634" s="13"/>
    </row>
    <row r="2635" customFormat="false" ht="23.85" hidden="false" customHeight="false" outlineLevel="0" collapsed="false">
      <c r="A2635" s="9" t="n">
        <v>2634</v>
      </c>
      <c r="B2635" s="9" t="s">
        <v>140</v>
      </c>
      <c r="C2635" s="11" t="s">
        <v>147</v>
      </c>
      <c r="D2635" s="9" t="s">
        <v>10379</v>
      </c>
      <c r="E2635" s="9" t="s">
        <v>10380</v>
      </c>
      <c r="F2635" s="9" t="s">
        <v>10381</v>
      </c>
      <c r="G2635" s="9" t="s">
        <v>24</v>
      </c>
      <c r="H2635" s="15" t="s">
        <v>23</v>
      </c>
      <c r="I2635" s="9" t="s">
        <v>10382</v>
      </c>
      <c r="J2635" s="13"/>
      <c r="K2635" s="13"/>
    </row>
    <row r="2636" customFormat="false" ht="23.85" hidden="false" customHeight="false" outlineLevel="0" collapsed="false">
      <c r="A2636" s="9" t="n">
        <v>2635</v>
      </c>
      <c r="B2636" s="9" t="s">
        <v>140</v>
      </c>
      <c r="C2636" s="11" t="s">
        <v>147</v>
      </c>
      <c r="D2636" s="9" t="s">
        <v>10383</v>
      </c>
      <c r="E2636" s="9" t="s">
        <v>10384</v>
      </c>
      <c r="F2636" s="9" t="s">
        <v>10385</v>
      </c>
      <c r="G2636" s="9" t="s">
        <v>24</v>
      </c>
      <c r="H2636" s="15" t="s">
        <v>23</v>
      </c>
      <c r="I2636" s="9" t="s">
        <v>10386</v>
      </c>
      <c r="J2636" s="13"/>
      <c r="K2636" s="13"/>
    </row>
    <row r="2637" customFormat="false" ht="23.85" hidden="false" customHeight="false" outlineLevel="0" collapsed="false">
      <c r="A2637" s="9" t="n">
        <v>2636</v>
      </c>
      <c r="B2637" s="9" t="s">
        <v>140</v>
      </c>
      <c r="C2637" s="11" t="s">
        <v>147</v>
      </c>
      <c r="D2637" s="9" t="s">
        <v>10387</v>
      </c>
      <c r="E2637" s="9" t="s">
        <v>10388</v>
      </c>
      <c r="F2637" s="9" t="s">
        <v>10389</v>
      </c>
      <c r="G2637" s="9" t="s">
        <v>24</v>
      </c>
      <c r="H2637" s="15" t="s">
        <v>23</v>
      </c>
      <c r="I2637" s="9" t="s">
        <v>10390</v>
      </c>
      <c r="J2637" s="13"/>
      <c r="K2637" s="13"/>
    </row>
    <row r="2638" customFormat="false" ht="23.85" hidden="false" customHeight="false" outlineLevel="0" collapsed="false">
      <c r="A2638" s="9" t="n">
        <v>2637</v>
      </c>
      <c r="B2638" s="9" t="s">
        <v>140</v>
      </c>
      <c r="C2638" s="11" t="s">
        <v>147</v>
      </c>
      <c r="D2638" s="9" t="s">
        <v>10391</v>
      </c>
      <c r="E2638" s="9" t="s">
        <v>10392</v>
      </c>
      <c r="F2638" s="9" t="s">
        <v>10393</v>
      </c>
      <c r="G2638" s="9" t="s">
        <v>24</v>
      </c>
      <c r="H2638" s="15" t="s">
        <v>23</v>
      </c>
      <c r="I2638" s="9" t="s">
        <v>10394</v>
      </c>
      <c r="J2638" s="13"/>
      <c r="K2638" s="13"/>
    </row>
    <row r="2639" customFormat="false" ht="15" hidden="false" customHeight="false" outlineLevel="0" collapsed="false">
      <c r="A2639" s="9" t="n">
        <v>2638</v>
      </c>
      <c r="B2639" s="9" t="s">
        <v>140</v>
      </c>
      <c r="C2639" s="11" t="s">
        <v>147</v>
      </c>
      <c r="D2639" s="9" t="s">
        <v>10395</v>
      </c>
      <c r="E2639" s="9" t="s">
        <v>10396</v>
      </c>
      <c r="F2639" s="9" t="s">
        <v>445</v>
      </c>
      <c r="G2639" s="9" t="s">
        <v>24</v>
      </c>
      <c r="H2639" s="15" t="s">
        <v>23</v>
      </c>
      <c r="I2639" s="9" t="s">
        <v>10217</v>
      </c>
      <c r="J2639" s="13"/>
      <c r="K2639" s="13"/>
    </row>
    <row r="2640" customFormat="false" ht="15" hidden="false" customHeight="false" outlineLevel="0" collapsed="false">
      <c r="A2640" s="9" t="n">
        <v>2639</v>
      </c>
      <c r="B2640" s="9" t="s">
        <v>140</v>
      </c>
      <c r="C2640" s="11" t="s">
        <v>147</v>
      </c>
      <c r="D2640" s="9" t="s">
        <v>10397</v>
      </c>
      <c r="E2640" s="9" t="s">
        <v>3419</v>
      </c>
      <c r="F2640" s="9" t="s">
        <v>10398</v>
      </c>
      <c r="G2640" s="9" t="s">
        <v>24</v>
      </c>
      <c r="H2640" s="15" t="s">
        <v>23</v>
      </c>
      <c r="I2640" s="9" t="s">
        <v>2846</v>
      </c>
      <c r="J2640" s="13"/>
      <c r="K2640" s="13"/>
    </row>
    <row r="2641" customFormat="false" ht="15" hidden="false" customHeight="false" outlineLevel="0" collapsed="false">
      <c r="A2641" s="9" t="n">
        <v>2640</v>
      </c>
      <c r="B2641" s="9" t="s">
        <v>140</v>
      </c>
      <c r="C2641" s="11" t="s">
        <v>147</v>
      </c>
      <c r="D2641" s="9" t="s">
        <v>10399</v>
      </c>
      <c r="E2641" s="9" t="s">
        <v>10400</v>
      </c>
      <c r="F2641" s="9" t="s">
        <v>1037</v>
      </c>
      <c r="G2641" s="9" t="s">
        <v>24</v>
      </c>
      <c r="H2641" s="15" t="s">
        <v>23</v>
      </c>
      <c r="I2641" s="9" t="s">
        <v>10221</v>
      </c>
      <c r="J2641" s="13"/>
      <c r="K2641" s="13"/>
    </row>
    <row r="2642" customFormat="false" ht="15" hidden="false" customHeight="false" outlineLevel="0" collapsed="false">
      <c r="A2642" s="9" t="n">
        <v>2641</v>
      </c>
      <c r="B2642" s="9" t="s">
        <v>140</v>
      </c>
      <c r="C2642" s="11" t="s">
        <v>147</v>
      </c>
      <c r="D2642" s="9" t="s">
        <v>10401</v>
      </c>
      <c r="E2642" s="9" t="s">
        <v>358</v>
      </c>
      <c r="F2642" s="9" t="s">
        <v>10402</v>
      </c>
      <c r="G2642" s="9" t="s">
        <v>24</v>
      </c>
      <c r="H2642" s="15" t="s">
        <v>23</v>
      </c>
      <c r="I2642" s="9" t="s">
        <v>10403</v>
      </c>
      <c r="J2642" s="13"/>
      <c r="K2642" s="13"/>
    </row>
    <row r="2643" customFormat="false" ht="147" hidden="false" customHeight="false" outlineLevel="0" collapsed="false">
      <c r="A2643" s="9" t="n">
        <v>2642</v>
      </c>
      <c r="B2643" s="9" t="s">
        <v>140</v>
      </c>
      <c r="C2643" s="11" t="s">
        <v>149</v>
      </c>
      <c r="D2643" s="9" t="s">
        <v>10404</v>
      </c>
      <c r="E2643" s="9" t="s">
        <v>10405</v>
      </c>
      <c r="F2643" s="9" t="s">
        <v>10406</v>
      </c>
      <c r="G2643" s="9" t="s">
        <v>3498</v>
      </c>
      <c r="H2643" s="12" t="s">
        <v>21</v>
      </c>
      <c r="I2643" s="9" t="s">
        <v>10407</v>
      </c>
      <c r="J2643" s="13"/>
      <c r="K2643" s="13"/>
    </row>
    <row r="2644" customFormat="false" ht="124.6" hidden="false" customHeight="false" outlineLevel="0" collapsed="false">
      <c r="A2644" s="9" t="n">
        <v>2643</v>
      </c>
      <c r="B2644" s="9" t="s">
        <v>140</v>
      </c>
      <c r="C2644" s="11" t="s">
        <v>149</v>
      </c>
      <c r="D2644" s="9" t="s">
        <v>10408</v>
      </c>
      <c r="E2644" s="9" t="s">
        <v>10409</v>
      </c>
      <c r="F2644" s="9" t="s">
        <v>10410</v>
      </c>
      <c r="G2644" s="9" t="s">
        <v>2044</v>
      </c>
      <c r="H2644" s="12" t="s">
        <v>21</v>
      </c>
      <c r="I2644" s="9" t="s">
        <v>10411</v>
      </c>
      <c r="J2644" s="13"/>
      <c r="K2644" s="13"/>
    </row>
    <row r="2645" customFormat="false" ht="79.85" hidden="false" customHeight="false" outlineLevel="0" collapsed="false">
      <c r="A2645" s="9" t="n">
        <v>2644</v>
      </c>
      <c r="B2645" s="9" t="s">
        <v>140</v>
      </c>
      <c r="C2645" s="11" t="s">
        <v>149</v>
      </c>
      <c r="D2645" s="9" t="s">
        <v>10412</v>
      </c>
      <c r="E2645" s="9" t="s">
        <v>10413</v>
      </c>
      <c r="F2645" s="9" t="s">
        <v>10414</v>
      </c>
      <c r="G2645" s="9" t="s">
        <v>312</v>
      </c>
      <c r="H2645" s="12" t="s">
        <v>21</v>
      </c>
      <c r="I2645" s="9" t="s">
        <v>10415</v>
      </c>
      <c r="J2645" s="13"/>
      <c r="K2645" s="13"/>
    </row>
    <row r="2646" customFormat="false" ht="57.45" hidden="false" customHeight="false" outlineLevel="0" collapsed="false">
      <c r="A2646" s="9" t="n">
        <v>2645</v>
      </c>
      <c r="B2646" s="9" t="s">
        <v>140</v>
      </c>
      <c r="C2646" s="11" t="s">
        <v>149</v>
      </c>
      <c r="D2646" s="9" t="s">
        <v>10416</v>
      </c>
      <c r="E2646" s="9" t="s">
        <v>10417</v>
      </c>
      <c r="F2646" s="9" t="s">
        <v>10418</v>
      </c>
      <c r="G2646" s="9" t="s">
        <v>3343</v>
      </c>
      <c r="H2646" s="12" t="s">
        <v>21</v>
      </c>
      <c r="I2646" s="9" t="s">
        <v>10419</v>
      </c>
      <c r="J2646" s="13"/>
      <c r="K2646" s="13"/>
    </row>
    <row r="2647" customFormat="false" ht="57.45" hidden="false" customHeight="false" outlineLevel="0" collapsed="false">
      <c r="A2647" s="9" t="n">
        <v>2646</v>
      </c>
      <c r="B2647" s="9" t="s">
        <v>140</v>
      </c>
      <c r="C2647" s="11" t="s">
        <v>149</v>
      </c>
      <c r="D2647" s="9" t="s">
        <v>10420</v>
      </c>
      <c r="E2647" s="9" t="s">
        <v>10421</v>
      </c>
      <c r="F2647" s="9" t="s">
        <v>10422</v>
      </c>
      <c r="G2647" s="9" t="s">
        <v>317</v>
      </c>
      <c r="H2647" s="14" t="s">
        <v>22</v>
      </c>
      <c r="I2647" s="9" t="s">
        <v>10423</v>
      </c>
      <c r="J2647" s="13"/>
      <c r="K2647" s="13"/>
    </row>
    <row r="2648" customFormat="false" ht="79.85" hidden="false" customHeight="false" outlineLevel="0" collapsed="false">
      <c r="A2648" s="9" t="n">
        <v>2647</v>
      </c>
      <c r="B2648" s="9" t="s">
        <v>140</v>
      </c>
      <c r="C2648" s="11" t="s">
        <v>149</v>
      </c>
      <c r="D2648" s="9" t="s">
        <v>10424</v>
      </c>
      <c r="E2648" s="9" t="s">
        <v>10425</v>
      </c>
      <c r="F2648" s="9" t="s">
        <v>10426</v>
      </c>
      <c r="G2648" s="9" t="s">
        <v>1072</v>
      </c>
      <c r="H2648" s="12" t="s">
        <v>21</v>
      </c>
      <c r="I2648" s="9" t="s">
        <v>10427</v>
      </c>
      <c r="J2648" s="13"/>
      <c r="K2648" s="13"/>
    </row>
    <row r="2649" customFormat="false" ht="91" hidden="false" customHeight="false" outlineLevel="0" collapsed="false">
      <c r="A2649" s="9" t="n">
        <v>2648</v>
      </c>
      <c r="B2649" s="9" t="s">
        <v>140</v>
      </c>
      <c r="C2649" s="11" t="s">
        <v>149</v>
      </c>
      <c r="D2649" s="9" t="s">
        <v>10428</v>
      </c>
      <c r="E2649" s="9" t="s">
        <v>10429</v>
      </c>
      <c r="F2649" s="9" t="s">
        <v>10430</v>
      </c>
      <c r="G2649" s="9" t="s">
        <v>1072</v>
      </c>
      <c r="H2649" s="14" t="s">
        <v>22</v>
      </c>
      <c r="I2649" s="9" t="s">
        <v>10431</v>
      </c>
      <c r="J2649" s="13"/>
      <c r="K2649" s="13"/>
    </row>
    <row r="2650" customFormat="false" ht="91" hidden="false" customHeight="false" outlineLevel="0" collapsed="false">
      <c r="A2650" s="9" t="n">
        <v>2649</v>
      </c>
      <c r="B2650" s="9" t="s">
        <v>140</v>
      </c>
      <c r="C2650" s="11" t="s">
        <v>149</v>
      </c>
      <c r="D2650" s="9" t="s">
        <v>10432</v>
      </c>
      <c r="E2650" s="9" t="s">
        <v>10433</v>
      </c>
      <c r="F2650" s="9" t="s">
        <v>10434</v>
      </c>
      <c r="G2650" s="9" t="s">
        <v>2044</v>
      </c>
      <c r="H2650" s="14" t="s">
        <v>22</v>
      </c>
      <c r="I2650" s="9" t="s">
        <v>10435</v>
      </c>
      <c r="J2650" s="13"/>
      <c r="K2650" s="13"/>
    </row>
    <row r="2651" customFormat="false" ht="46.25" hidden="false" customHeight="false" outlineLevel="0" collapsed="false">
      <c r="A2651" s="9" t="n">
        <v>2650</v>
      </c>
      <c r="B2651" s="9" t="s">
        <v>140</v>
      </c>
      <c r="C2651" s="11" t="s">
        <v>149</v>
      </c>
      <c r="D2651" s="9" t="s">
        <v>10436</v>
      </c>
      <c r="E2651" s="9" t="s">
        <v>10437</v>
      </c>
      <c r="F2651" s="9" t="s">
        <v>10438</v>
      </c>
      <c r="G2651" s="9" t="s">
        <v>303</v>
      </c>
      <c r="H2651" s="15" t="s">
        <v>23</v>
      </c>
      <c r="I2651" s="9" t="s">
        <v>10439</v>
      </c>
      <c r="J2651" s="13"/>
      <c r="K2651" s="13"/>
    </row>
    <row r="2652" customFormat="false" ht="57.45" hidden="false" customHeight="false" outlineLevel="0" collapsed="false">
      <c r="A2652" s="9" t="n">
        <v>2651</v>
      </c>
      <c r="B2652" s="9" t="s">
        <v>140</v>
      </c>
      <c r="C2652" s="11" t="s">
        <v>149</v>
      </c>
      <c r="D2652" s="9" t="s">
        <v>10440</v>
      </c>
      <c r="E2652" s="9" t="s">
        <v>10441</v>
      </c>
      <c r="F2652" s="9" t="s">
        <v>10442</v>
      </c>
      <c r="G2652" s="9" t="s">
        <v>317</v>
      </c>
      <c r="H2652" s="14" t="s">
        <v>22</v>
      </c>
      <c r="I2652" s="9" t="s">
        <v>10443</v>
      </c>
      <c r="J2652" s="13"/>
      <c r="K2652" s="13"/>
    </row>
    <row r="2653" customFormat="false" ht="35.05" hidden="false" customHeight="false" outlineLevel="0" collapsed="false">
      <c r="A2653" s="9" t="n">
        <v>2652</v>
      </c>
      <c r="B2653" s="9" t="s">
        <v>140</v>
      </c>
      <c r="C2653" s="11" t="s">
        <v>149</v>
      </c>
      <c r="D2653" s="9" t="s">
        <v>10444</v>
      </c>
      <c r="E2653" s="9" t="s">
        <v>10445</v>
      </c>
      <c r="F2653" s="9" t="s">
        <v>10446</v>
      </c>
      <c r="G2653" s="9" t="s">
        <v>312</v>
      </c>
      <c r="H2653" s="15" t="s">
        <v>23</v>
      </c>
      <c r="I2653" s="9" t="s">
        <v>10447</v>
      </c>
      <c r="J2653" s="13"/>
      <c r="K2653" s="13"/>
    </row>
    <row r="2654" customFormat="false" ht="23.85" hidden="false" customHeight="false" outlineLevel="0" collapsed="false">
      <c r="A2654" s="9" t="n">
        <v>2653</v>
      </c>
      <c r="B2654" s="9" t="s">
        <v>140</v>
      </c>
      <c r="C2654" s="11" t="s">
        <v>149</v>
      </c>
      <c r="D2654" s="9" t="s">
        <v>10448</v>
      </c>
      <c r="E2654" s="9" t="s">
        <v>10449</v>
      </c>
      <c r="F2654" s="9" t="s">
        <v>10450</v>
      </c>
      <c r="G2654" s="9" t="s">
        <v>317</v>
      </c>
      <c r="H2654" s="15" t="s">
        <v>23</v>
      </c>
      <c r="I2654" s="9" t="s">
        <v>10451</v>
      </c>
      <c r="J2654" s="13"/>
      <c r="K2654" s="13"/>
    </row>
    <row r="2655" customFormat="false" ht="68.65" hidden="false" customHeight="false" outlineLevel="0" collapsed="false">
      <c r="A2655" s="9" t="n">
        <v>2654</v>
      </c>
      <c r="B2655" s="9" t="s">
        <v>140</v>
      </c>
      <c r="C2655" s="11" t="s">
        <v>149</v>
      </c>
      <c r="D2655" s="9" t="s">
        <v>10452</v>
      </c>
      <c r="E2655" s="9" t="s">
        <v>10453</v>
      </c>
      <c r="F2655" s="9" t="s">
        <v>10454</v>
      </c>
      <c r="G2655" s="9" t="s">
        <v>1072</v>
      </c>
      <c r="H2655" s="14" t="s">
        <v>22</v>
      </c>
      <c r="I2655" s="9" t="s">
        <v>10455</v>
      </c>
      <c r="J2655" s="13"/>
      <c r="K2655" s="13"/>
    </row>
    <row r="2656" customFormat="false" ht="68.65" hidden="false" customHeight="false" outlineLevel="0" collapsed="false">
      <c r="A2656" s="9" t="n">
        <v>2655</v>
      </c>
      <c r="B2656" s="9" t="s">
        <v>140</v>
      </c>
      <c r="C2656" s="11" t="s">
        <v>149</v>
      </c>
      <c r="D2656" s="9" t="s">
        <v>10456</v>
      </c>
      <c r="E2656" s="9" t="s">
        <v>10457</v>
      </c>
      <c r="F2656" s="9" t="s">
        <v>10458</v>
      </c>
      <c r="G2656" s="9" t="s">
        <v>312</v>
      </c>
      <c r="H2656" s="15" t="s">
        <v>23</v>
      </c>
      <c r="I2656" s="9" t="s">
        <v>10459</v>
      </c>
      <c r="J2656" s="13"/>
      <c r="K2656" s="13"/>
    </row>
    <row r="2657" customFormat="false" ht="102.2" hidden="false" customHeight="false" outlineLevel="0" collapsed="false">
      <c r="A2657" s="9" t="n">
        <v>2656</v>
      </c>
      <c r="B2657" s="9" t="s">
        <v>140</v>
      </c>
      <c r="C2657" s="11" t="s">
        <v>149</v>
      </c>
      <c r="D2657" s="9" t="s">
        <v>10460</v>
      </c>
      <c r="E2657" s="9" t="s">
        <v>10461</v>
      </c>
      <c r="F2657" s="9" t="s">
        <v>10462</v>
      </c>
      <c r="G2657" s="9" t="s">
        <v>1852</v>
      </c>
      <c r="H2657" s="12" t="s">
        <v>21</v>
      </c>
      <c r="I2657" s="9" t="s">
        <v>10463</v>
      </c>
      <c r="J2657" s="13"/>
      <c r="K2657" s="13"/>
    </row>
    <row r="2658" customFormat="false" ht="46.25" hidden="false" customHeight="false" outlineLevel="0" collapsed="false">
      <c r="A2658" s="9" t="n">
        <v>2657</v>
      </c>
      <c r="B2658" s="9" t="s">
        <v>140</v>
      </c>
      <c r="C2658" s="11" t="s">
        <v>149</v>
      </c>
      <c r="D2658" s="9" t="s">
        <v>10464</v>
      </c>
      <c r="E2658" s="9" t="s">
        <v>10465</v>
      </c>
      <c r="F2658" s="9" t="s">
        <v>10466</v>
      </c>
      <c r="G2658" s="9" t="s">
        <v>2044</v>
      </c>
      <c r="H2658" s="14" t="s">
        <v>22</v>
      </c>
      <c r="I2658" s="9" t="s">
        <v>10467</v>
      </c>
      <c r="J2658" s="13"/>
      <c r="K2658" s="13"/>
    </row>
    <row r="2659" customFormat="false" ht="46.25" hidden="false" customHeight="false" outlineLevel="0" collapsed="false">
      <c r="A2659" s="9" t="n">
        <v>2658</v>
      </c>
      <c r="B2659" s="9" t="s">
        <v>140</v>
      </c>
      <c r="C2659" s="11" t="s">
        <v>149</v>
      </c>
      <c r="D2659" s="9" t="s">
        <v>10468</v>
      </c>
      <c r="E2659" s="9" t="s">
        <v>10469</v>
      </c>
      <c r="F2659" s="9" t="s">
        <v>10470</v>
      </c>
      <c r="G2659" s="9" t="s">
        <v>2044</v>
      </c>
      <c r="H2659" s="14" t="s">
        <v>22</v>
      </c>
      <c r="I2659" s="9" t="s">
        <v>10471</v>
      </c>
      <c r="J2659" s="13"/>
      <c r="K2659" s="13"/>
    </row>
    <row r="2660" customFormat="false" ht="68.65" hidden="false" customHeight="false" outlineLevel="0" collapsed="false">
      <c r="A2660" s="9" t="n">
        <v>2659</v>
      </c>
      <c r="B2660" s="9" t="s">
        <v>140</v>
      </c>
      <c r="C2660" s="11" t="s">
        <v>149</v>
      </c>
      <c r="D2660" s="9" t="s">
        <v>10472</v>
      </c>
      <c r="E2660" s="9" t="s">
        <v>10473</v>
      </c>
      <c r="F2660" s="9" t="s">
        <v>10474</v>
      </c>
      <c r="G2660" s="9" t="s">
        <v>3726</v>
      </c>
      <c r="H2660" s="14" t="s">
        <v>22</v>
      </c>
      <c r="I2660" s="9" t="s">
        <v>10475</v>
      </c>
      <c r="J2660" s="13"/>
      <c r="K2660" s="13"/>
    </row>
    <row r="2661" customFormat="false" ht="68.65" hidden="false" customHeight="false" outlineLevel="0" collapsed="false">
      <c r="A2661" s="9" t="n">
        <v>2660</v>
      </c>
      <c r="B2661" s="9" t="s">
        <v>140</v>
      </c>
      <c r="C2661" s="11" t="s">
        <v>149</v>
      </c>
      <c r="D2661" s="9" t="s">
        <v>10476</v>
      </c>
      <c r="E2661" s="9" t="s">
        <v>10477</v>
      </c>
      <c r="F2661" s="9" t="s">
        <v>10478</v>
      </c>
      <c r="G2661" s="9" t="s">
        <v>317</v>
      </c>
      <c r="H2661" s="15" t="s">
        <v>23</v>
      </c>
      <c r="I2661" s="9" t="s">
        <v>10479</v>
      </c>
      <c r="J2661" s="13"/>
      <c r="K2661" s="13"/>
    </row>
    <row r="2662" customFormat="false" ht="102.2" hidden="false" customHeight="false" outlineLevel="0" collapsed="false">
      <c r="A2662" s="9" t="n">
        <v>2661</v>
      </c>
      <c r="B2662" s="9" t="s">
        <v>140</v>
      </c>
      <c r="C2662" s="11" t="s">
        <v>149</v>
      </c>
      <c r="D2662" s="9" t="s">
        <v>10480</v>
      </c>
      <c r="E2662" s="9" t="s">
        <v>10481</v>
      </c>
      <c r="F2662" s="9" t="s">
        <v>10482</v>
      </c>
      <c r="G2662" s="9" t="s">
        <v>6002</v>
      </c>
      <c r="H2662" s="14" t="s">
        <v>22</v>
      </c>
      <c r="I2662" s="9" t="s">
        <v>10483</v>
      </c>
      <c r="J2662" s="13"/>
      <c r="K2662" s="13"/>
    </row>
    <row r="2663" customFormat="false" ht="57.45" hidden="false" customHeight="false" outlineLevel="0" collapsed="false">
      <c r="A2663" s="9" t="n">
        <v>2662</v>
      </c>
      <c r="B2663" s="9" t="s">
        <v>140</v>
      </c>
      <c r="C2663" s="11" t="s">
        <v>149</v>
      </c>
      <c r="D2663" s="9" t="s">
        <v>10484</v>
      </c>
      <c r="E2663" s="9" t="s">
        <v>10485</v>
      </c>
      <c r="F2663" s="9" t="s">
        <v>10486</v>
      </c>
      <c r="G2663" s="9" t="s">
        <v>1072</v>
      </c>
      <c r="H2663" s="14" t="s">
        <v>22</v>
      </c>
      <c r="I2663" s="9" t="s">
        <v>10487</v>
      </c>
      <c r="J2663" s="13"/>
      <c r="K2663" s="13"/>
    </row>
    <row r="2664" customFormat="false" ht="35.05" hidden="false" customHeight="false" outlineLevel="0" collapsed="false">
      <c r="A2664" s="9" t="n">
        <v>2663</v>
      </c>
      <c r="B2664" s="9" t="s">
        <v>140</v>
      </c>
      <c r="C2664" s="11" t="s">
        <v>149</v>
      </c>
      <c r="D2664" s="9" t="s">
        <v>10488</v>
      </c>
      <c r="E2664" s="9" t="s">
        <v>10489</v>
      </c>
      <c r="F2664" s="9" t="s">
        <v>10490</v>
      </c>
      <c r="G2664" s="9" t="s">
        <v>312</v>
      </c>
      <c r="H2664" s="15" t="s">
        <v>23</v>
      </c>
      <c r="I2664" s="9" t="s">
        <v>10491</v>
      </c>
      <c r="J2664" s="13"/>
      <c r="K2664" s="13"/>
    </row>
    <row r="2665" customFormat="false" ht="57.45" hidden="false" customHeight="false" outlineLevel="0" collapsed="false">
      <c r="A2665" s="9" t="n">
        <v>2664</v>
      </c>
      <c r="B2665" s="9" t="s">
        <v>140</v>
      </c>
      <c r="C2665" s="11" t="s">
        <v>149</v>
      </c>
      <c r="D2665" s="9" t="s">
        <v>10492</v>
      </c>
      <c r="E2665" s="9" t="s">
        <v>10493</v>
      </c>
      <c r="F2665" s="9" t="s">
        <v>10494</v>
      </c>
      <c r="G2665" s="9" t="s">
        <v>1638</v>
      </c>
      <c r="H2665" s="15" t="s">
        <v>23</v>
      </c>
      <c r="I2665" s="9" t="s">
        <v>10495</v>
      </c>
      <c r="J2665" s="13"/>
      <c r="K2665" s="13"/>
    </row>
    <row r="2666" customFormat="false" ht="68.65" hidden="false" customHeight="false" outlineLevel="0" collapsed="false">
      <c r="A2666" s="9" t="n">
        <v>2665</v>
      </c>
      <c r="B2666" s="9" t="s">
        <v>140</v>
      </c>
      <c r="C2666" s="11" t="s">
        <v>149</v>
      </c>
      <c r="D2666" s="9" t="s">
        <v>10496</v>
      </c>
      <c r="E2666" s="9" t="s">
        <v>10497</v>
      </c>
      <c r="F2666" s="9" t="s">
        <v>10498</v>
      </c>
      <c r="G2666" s="9" t="s">
        <v>312</v>
      </c>
      <c r="H2666" s="14" t="s">
        <v>22</v>
      </c>
      <c r="I2666" s="9" t="s">
        <v>10499</v>
      </c>
      <c r="J2666" s="13"/>
      <c r="K2666" s="13"/>
    </row>
    <row r="2667" customFormat="false" ht="68.65" hidden="false" customHeight="false" outlineLevel="0" collapsed="false">
      <c r="A2667" s="9" t="n">
        <v>2666</v>
      </c>
      <c r="B2667" s="9" t="s">
        <v>140</v>
      </c>
      <c r="C2667" s="11" t="s">
        <v>149</v>
      </c>
      <c r="D2667" s="9" t="s">
        <v>10500</v>
      </c>
      <c r="E2667" s="9" t="s">
        <v>10501</v>
      </c>
      <c r="F2667" s="9" t="s">
        <v>10502</v>
      </c>
      <c r="G2667" s="9" t="s">
        <v>312</v>
      </c>
      <c r="H2667" s="14" t="s">
        <v>22</v>
      </c>
      <c r="I2667" s="9" t="s">
        <v>10503</v>
      </c>
      <c r="J2667" s="13"/>
      <c r="K2667" s="13"/>
    </row>
    <row r="2668" customFormat="false" ht="35.05" hidden="false" customHeight="false" outlineLevel="0" collapsed="false">
      <c r="A2668" s="9" t="n">
        <v>2667</v>
      </c>
      <c r="B2668" s="9" t="s">
        <v>140</v>
      </c>
      <c r="C2668" s="11" t="s">
        <v>149</v>
      </c>
      <c r="D2668" s="9" t="s">
        <v>10504</v>
      </c>
      <c r="E2668" s="9" t="s">
        <v>10505</v>
      </c>
      <c r="F2668" s="9" t="s">
        <v>10506</v>
      </c>
      <c r="G2668" s="9" t="s">
        <v>312</v>
      </c>
      <c r="H2668" s="15" t="s">
        <v>23</v>
      </c>
      <c r="I2668" s="9" t="s">
        <v>10507</v>
      </c>
      <c r="J2668" s="13"/>
      <c r="K2668" s="13"/>
    </row>
    <row r="2669" customFormat="false" ht="23.85" hidden="false" customHeight="false" outlineLevel="0" collapsed="false">
      <c r="A2669" s="9" t="n">
        <v>2668</v>
      </c>
      <c r="B2669" s="9" t="s">
        <v>140</v>
      </c>
      <c r="C2669" s="11" t="s">
        <v>149</v>
      </c>
      <c r="D2669" s="9" t="s">
        <v>10508</v>
      </c>
      <c r="E2669" s="9" t="s">
        <v>10509</v>
      </c>
      <c r="F2669" s="9" t="s">
        <v>10510</v>
      </c>
      <c r="G2669" s="9" t="s">
        <v>312</v>
      </c>
      <c r="H2669" s="15" t="s">
        <v>23</v>
      </c>
      <c r="I2669" s="9" t="s">
        <v>10511</v>
      </c>
      <c r="J2669" s="13"/>
      <c r="K2669" s="13"/>
    </row>
    <row r="2670" customFormat="false" ht="57.45" hidden="false" customHeight="false" outlineLevel="0" collapsed="false">
      <c r="A2670" s="9" t="n">
        <v>2669</v>
      </c>
      <c r="B2670" s="9" t="s">
        <v>140</v>
      </c>
      <c r="C2670" s="11" t="s">
        <v>149</v>
      </c>
      <c r="D2670" s="9" t="s">
        <v>10512</v>
      </c>
      <c r="E2670" s="9" t="s">
        <v>10513</v>
      </c>
      <c r="F2670" s="9" t="s">
        <v>10514</v>
      </c>
      <c r="G2670" s="9" t="s">
        <v>6425</v>
      </c>
      <c r="H2670" s="14" t="s">
        <v>22</v>
      </c>
      <c r="I2670" s="9" t="s">
        <v>10515</v>
      </c>
      <c r="J2670" s="13"/>
      <c r="K2670" s="13"/>
    </row>
    <row r="2671" customFormat="false" ht="23.85" hidden="false" customHeight="false" outlineLevel="0" collapsed="false">
      <c r="A2671" s="9" t="n">
        <v>2670</v>
      </c>
      <c r="B2671" s="9" t="s">
        <v>140</v>
      </c>
      <c r="C2671" s="11" t="s">
        <v>149</v>
      </c>
      <c r="D2671" s="9" t="s">
        <v>10516</v>
      </c>
      <c r="E2671" s="9" t="s">
        <v>10517</v>
      </c>
      <c r="F2671" s="9" t="s">
        <v>10518</v>
      </c>
      <c r="G2671" s="9" t="s">
        <v>328</v>
      </c>
      <c r="H2671" s="15" t="s">
        <v>23</v>
      </c>
      <c r="I2671" s="9" t="s">
        <v>8416</v>
      </c>
      <c r="J2671" s="13"/>
      <c r="K2671" s="13"/>
    </row>
    <row r="2672" customFormat="false" ht="68.65" hidden="false" customHeight="false" outlineLevel="0" collapsed="false">
      <c r="A2672" s="9" t="n">
        <v>2671</v>
      </c>
      <c r="B2672" s="9" t="s">
        <v>140</v>
      </c>
      <c r="C2672" s="11" t="s">
        <v>149</v>
      </c>
      <c r="D2672" s="9" t="s">
        <v>10519</v>
      </c>
      <c r="E2672" s="9" t="s">
        <v>10520</v>
      </c>
      <c r="F2672" s="9" t="s">
        <v>10521</v>
      </c>
      <c r="G2672" s="9" t="s">
        <v>1072</v>
      </c>
      <c r="H2672" s="15" t="s">
        <v>23</v>
      </c>
      <c r="I2672" s="9" t="s">
        <v>10522</v>
      </c>
      <c r="J2672" s="13"/>
      <c r="K2672" s="13"/>
    </row>
    <row r="2673" customFormat="false" ht="46.25" hidden="false" customHeight="false" outlineLevel="0" collapsed="false">
      <c r="A2673" s="9" t="n">
        <v>2672</v>
      </c>
      <c r="B2673" s="9" t="s">
        <v>140</v>
      </c>
      <c r="C2673" s="11" t="s">
        <v>149</v>
      </c>
      <c r="D2673" s="9" t="s">
        <v>10523</v>
      </c>
      <c r="E2673" s="9" t="s">
        <v>10524</v>
      </c>
      <c r="F2673" s="9" t="s">
        <v>10525</v>
      </c>
      <c r="G2673" s="9" t="s">
        <v>317</v>
      </c>
      <c r="H2673" s="15" t="s">
        <v>23</v>
      </c>
      <c r="I2673" s="9" t="s">
        <v>10526</v>
      </c>
      <c r="J2673" s="13"/>
      <c r="K2673" s="13"/>
    </row>
    <row r="2674" customFormat="false" ht="46.25" hidden="false" customHeight="false" outlineLevel="0" collapsed="false">
      <c r="A2674" s="9" t="n">
        <v>2673</v>
      </c>
      <c r="B2674" s="9" t="s">
        <v>140</v>
      </c>
      <c r="C2674" s="11" t="s">
        <v>149</v>
      </c>
      <c r="D2674" s="9" t="s">
        <v>10527</v>
      </c>
      <c r="E2674" s="9" t="s">
        <v>10528</v>
      </c>
      <c r="F2674" s="9" t="s">
        <v>10529</v>
      </c>
      <c r="G2674" s="9" t="s">
        <v>328</v>
      </c>
      <c r="H2674" s="15" t="s">
        <v>23</v>
      </c>
      <c r="I2674" s="9" t="s">
        <v>10530</v>
      </c>
      <c r="J2674" s="13"/>
      <c r="K2674" s="13"/>
    </row>
    <row r="2675" customFormat="false" ht="68.65" hidden="false" customHeight="false" outlineLevel="0" collapsed="false">
      <c r="A2675" s="9" t="n">
        <v>2674</v>
      </c>
      <c r="B2675" s="9" t="s">
        <v>140</v>
      </c>
      <c r="C2675" s="11" t="s">
        <v>149</v>
      </c>
      <c r="D2675" s="9" t="s">
        <v>10531</v>
      </c>
      <c r="E2675" s="9" t="s">
        <v>10532</v>
      </c>
      <c r="F2675" s="9" t="s">
        <v>10533</v>
      </c>
      <c r="G2675" s="9" t="s">
        <v>328</v>
      </c>
      <c r="H2675" s="15" t="s">
        <v>23</v>
      </c>
      <c r="I2675" s="9" t="s">
        <v>10534</v>
      </c>
      <c r="J2675" s="13"/>
      <c r="K2675" s="13"/>
    </row>
    <row r="2676" customFormat="false" ht="79.85" hidden="false" customHeight="false" outlineLevel="0" collapsed="false">
      <c r="A2676" s="9" t="n">
        <v>2675</v>
      </c>
      <c r="B2676" s="9" t="s">
        <v>140</v>
      </c>
      <c r="C2676" s="11" t="s">
        <v>149</v>
      </c>
      <c r="D2676" s="9" t="s">
        <v>10535</v>
      </c>
      <c r="E2676" s="9" t="s">
        <v>10536</v>
      </c>
      <c r="F2676" s="9" t="s">
        <v>10537</v>
      </c>
      <c r="G2676" s="9" t="s">
        <v>317</v>
      </c>
      <c r="H2676" s="15" t="s">
        <v>23</v>
      </c>
      <c r="I2676" s="9" t="s">
        <v>10538</v>
      </c>
      <c r="J2676" s="13"/>
      <c r="K2676" s="13"/>
    </row>
    <row r="2677" customFormat="false" ht="23.85" hidden="false" customHeight="false" outlineLevel="0" collapsed="false">
      <c r="A2677" s="9" t="n">
        <v>2676</v>
      </c>
      <c r="B2677" s="9" t="s">
        <v>140</v>
      </c>
      <c r="C2677" s="11" t="s">
        <v>149</v>
      </c>
      <c r="D2677" s="9" t="s">
        <v>10539</v>
      </c>
      <c r="E2677" s="9" t="s">
        <v>10540</v>
      </c>
      <c r="F2677" s="9" t="s">
        <v>10541</v>
      </c>
      <c r="G2677" s="9" t="s">
        <v>312</v>
      </c>
      <c r="H2677" s="15" t="s">
        <v>23</v>
      </c>
      <c r="I2677" s="9" t="s">
        <v>10542</v>
      </c>
      <c r="J2677" s="13"/>
      <c r="K2677" s="13"/>
    </row>
    <row r="2678" customFormat="false" ht="35.05" hidden="false" customHeight="false" outlineLevel="0" collapsed="false">
      <c r="A2678" s="9" t="n">
        <v>2677</v>
      </c>
      <c r="B2678" s="9" t="s">
        <v>140</v>
      </c>
      <c r="C2678" s="11" t="s">
        <v>149</v>
      </c>
      <c r="D2678" s="9" t="s">
        <v>10543</v>
      </c>
      <c r="E2678" s="9" t="s">
        <v>10544</v>
      </c>
      <c r="F2678" s="9" t="s">
        <v>10545</v>
      </c>
      <c r="G2678" s="9" t="s">
        <v>24</v>
      </c>
      <c r="H2678" s="12" t="s">
        <v>21</v>
      </c>
      <c r="I2678" s="9" t="s">
        <v>10546</v>
      </c>
      <c r="J2678" s="13"/>
      <c r="K2678" s="13"/>
    </row>
    <row r="2679" customFormat="false" ht="46.25" hidden="false" customHeight="false" outlineLevel="0" collapsed="false">
      <c r="A2679" s="9" t="n">
        <v>2678</v>
      </c>
      <c r="B2679" s="9" t="s">
        <v>140</v>
      </c>
      <c r="C2679" s="11" t="s">
        <v>149</v>
      </c>
      <c r="D2679" s="9" t="s">
        <v>10547</v>
      </c>
      <c r="E2679" s="9" t="s">
        <v>10548</v>
      </c>
      <c r="F2679" s="9" t="s">
        <v>10549</v>
      </c>
      <c r="G2679" s="9" t="s">
        <v>24</v>
      </c>
      <c r="H2679" s="14" t="s">
        <v>22</v>
      </c>
      <c r="I2679" s="9" t="s">
        <v>10550</v>
      </c>
      <c r="J2679" s="13"/>
      <c r="K2679" s="13"/>
    </row>
    <row r="2680" customFormat="false" ht="46.25" hidden="false" customHeight="false" outlineLevel="0" collapsed="false">
      <c r="A2680" s="9" t="n">
        <v>2679</v>
      </c>
      <c r="B2680" s="9" t="s">
        <v>140</v>
      </c>
      <c r="C2680" s="11" t="s">
        <v>149</v>
      </c>
      <c r="D2680" s="9" t="s">
        <v>10551</v>
      </c>
      <c r="E2680" s="9" t="s">
        <v>10552</v>
      </c>
      <c r="F2680" s="9" t="s">
        <v>10553</v>
      </c>
      <c r="G2680" s="9" t="s">
        <v>24</v>
      </c>
      <c r="H2680" s="14" t="s">
        <v>22</v>
      </c>
      <c r="I2680" s="9" t="s">
        <v>10554</v>
      </c>
      <c r="J2680" s="13"/>
      <c r="K2680" s="13"/>
    </row>
    <row r="2681" customFormat="false" ht="57.45" hidden="false" customHeight="false" outlineLevel="0" collapsed="false">
      <c r="A2681" s="9" t="n">
        <v>2680</v>
      </c>
      <c r="B2681" s="9" t="s">
        <v>140</v>
      </c>
      <c r="C2681" s="11" t="s">
        <v>149</v>
      </c>
      <c r="D2681" s="9" t="s">
        <v>10555</v>
      </c>
      <c r="E2681" s="9" t="s">
        <v>10556</v>
      </c>
      <c r="F2681" s="9" t="s">
        <v>10557</v>
      </c>
      <c r="G2681" s="9" t="s">
        <v>24</v>
      </c>
      <c r="H2681" s="14" t="s">
        <v>22</v>
      </c>
      <c r="I2681" s="9" t="s">
        <v>10558</v>
      </c>
      <c r="J2681" s="13"/>
      <c r="K2681" s="13"/>
    </row>
    <row r="2682" customFormat="false" ht="23.85" hidden="false" customHeight="false" outlineLevel="0" collapsed="false">
      <c r="A2682" s="9" t="n">
        <v>2681</v>
      </c>
      <c r="B2682" s="9" t="s">
        <v>140</v>
      </c>
      <c r="C2682" s="11" t="s">
        <v>149</v>
      </c>
      <c r="D2682" s="9" t="s">
        <v>10559</v>
      </c>
      <c r="E2682" s="9" t="s">
        <v>358</v>
      </c>
      <c r="F2682" s="9" t="s">
        <v>10560</v>
      </c>
      <c r="G2682" s="9" t="s">
        <v>24</v>
      </c>
      <c r="H2682" s="14" t="s">
        <v>22</v>
      </c>
      <c r="I2682" s="9" t="s">
        <v>6634</v>
      </c>
      <c r="J2682" s="13"/>
      <c r="K2682" s="13"/>
    </row>
    <row r="2683" customFormat="false" ht="15" hidden="false" customHeight="false" outlineLevel="0" collapsed="false">
      <c r="A2683" s="9" t="n">
        <v>2682</v>
      </c>
      <c r="B2683" s="9" t="s">
        <v>140</v>
      </c>
      <c r="C2683" s="11" t="s">
        <v>149</v>
      </c>
      <c r="D2683" s="9" t="s">
        <v>10561</v>
      </c>
      <c r="E2683" s="9" t="s">
        <v>362</v>
      </c>
      <c r="F2683" s="9" t="s">
        <v>363</v>
      </c>
      <c r="G2683" s="9" t="s">
        <v>24</v>
      </c>
      <c r="H2683" s="14" t="s">
        <v>22</v>
      </c>
      <c r="I2683" s="9" t="s">
        <v>364</v>
      </c>
      <c r="J2683" s="13"/>
      <c r="K2683" s="13"/>
    </row>
    <row r="2684" customFormat="false" ht="23.85" hidden="false" customHeight="false" outlineLevel="0" collapsed="false">
      <c r="A2684" s="9" t="n">
        <v>2683</v>
      </c>
      <c r="B2684" s="9" t="s">
        <v>140</v>
      </c>
      <c r="C2684" s="11" t="s">
        <v>149</v>
      </c>
      <c r="D2684" s="9" t="s">
        <v>10562</v>
      </c>
      <c r="E2684" s="9" t="s">
        <v>10563</v>
      </c>
      <c r="F2684" s="9" t="s">
        <v>10564</v>
      </c>
      <c r="G2684" s="9" t="s">
        <v>24</v>
      </c>
      <c r="H2684" s="15" t="s">
        <v>23</v>
      </c>
      <c r="I2684" s="9" t="s">
        <v>356</v>
      </c>
      <c r="J2684" s="13"/>
      <c r="K2684" s="13"/>
    </row>
    <row r="2685" customFormat="false" ht="35.05" hidden="false" customHeight="false" outlineLevel="0" collapsed="false">
      <c r="A2685" s="9" t="n">
        <v>2684</v>
      </c>
      <c r="B2685" s="9" t="s">
        <v>140</v>
      </c>
      <c r="C2685" s="11" t="s">
        <v>149</v>
      </c>
      <c r="D2685" s="9" t="s">
        <v>10565</v>
      </c>
      <c r="E2685" s="9" t="s">
        <v>10566</v>
      </c>
      <c r="F2685" s="9" t="s">
        <v>10567</v>
      </c>
      <c r="G2685" s="9" t="s">
        <v>24</v>
      </c>
      <c r="H2685" s="15" t="s">
        <v>23</v>
      </c>
      <c r="I2685" s="9" t="s">
        <v>434</v>
      </c>
      <c r="J2685" s="13"/>
      <c r="K2685" s="13"/>
    </row>
    <row r="2686" customFormat="false" ht="23.85" hidden="false" customHeight="false" outlineLevel="0" collapsed="false">
      <c r="A2686" s="9" t="n">
        <v>2685</v>
      </c>
      <c r="B2686" s="9" t="s">
        <v>140</v>
      </c>
      <c r="C2686" s="11" t="s">
        <v>149</v>
      </c>
      <c r="D2686" s="9" t="s">
        <v>10568</v>
      </c>
      <c r="E2686" s="9" t="s">
        <v>10569</v>
      </c>
      <c r="F2686" s="9" t="s">
        <v>10570</v>
      </c>
      <c r="G2686" s="9" t="s">
        <v>24</v>
      </c>
      <c r="H2686" s="15" t="s">
        <v>23</v>
      </c>
      <c r="I2686" s="9" t="s">
        <v>10571</v>
      </c>
      <c r="J2686" s="13"/>
      <c r="K2686" s="13"/>
    </row>
    <row r="2687" customFormat="false" ht="15" hidden="false" customHeight="false" outlineLevel="0" collapsed="false">
      <c r="A2687" s="9" t="n">
        <v>2686</v>
      </c>
      <c r="B2687" s="9" t="s">
        <v>140</v>
      </c>
      <c r="C2687" s="11" t="s">
        <v>149</v>
      </c>
      <c r="D2687" s="9" t="s">
        <v>10572</v>
      </c>
      <c r="E2687" s="9" t="s">
        <v>10573</v>
      </c>
      <c r="F2687" s="9" t="s">
        <v>10574</v>
      </c>
      <c r="G2687" s="9" t="s">
        <v>24</v>
      </c>
      <c r="H2687" s="15" t="s">
        <v>23</v>
      </c>
      <c r="I2687" s="9" t="s">
        <v>10575</v>
      </c>
      <c r="J2687" s="13"/>
      <c r="K2687" s="13"/>
    </row>
    <row r="2688" customFormat="false" ht="15" hidden="false" customHeight="false" outlineLevel="0" collapsed="false">
      <c r="A2688" s="9" t="n">
        <v>2687</v>
      </c>
      <c r="B2688" s="9" t="s">
        <v>140</v>
      </c>
      <c r="C2688" s="11" t="s">
        <v>149</v>
      </c>
      <c r="D2688" s="9" t="s">
        <v>10576</v>
      </c>
      <c r="E2688" s="9" t="s">
        <v>10577</v>
      </c>
      <c r="F2688" s="9" t="s">
        <v>445</v>
      </c>
      <c r="G2688" s="9" t="s">
        <v>24</v>
      </c>
      <c r="H2688" s="15" t="s">
        <v>23</v>
      </c>
      <c r="I2688" s="9" t="s">
        <v>10217</v>
      </c>
      <c r="J2688" s="13"/>
      <c r="K2688" s="13"/>
    </row>
    <row r="2689" customFormat="false" ht="15" hidden="false" customHeight="false" outlineLevel="0" collapsed="false">
      <c r="A2689" s="9" t="n">
        <v>2688</v>
      </c>
      <c r="B2689" s="9" t="s">
        <v>140</v>
      </c>
      <c r="C2689" s="11" t="s">
        <v>149</v>
      </c>
      <c r="D2689" s="9" t="s">
        <v>10578</v>
      </c>
      <c r="E2689" s="9" t="s">
        <v>10579</v>
      </c>
      <c r="F2689" s="9" t="s">
        <v>10398</v>
      </c>
      <c r="G2689" s="9" t="s">
        <v>24</v>
      </c>
      <c r="H2689" s="15" t="s">
        <v>23</v>
      </c>
      <c r="I2689" s="9" t="s">
        <v>2846</v>
      </c>
      <c r="J2689" s="13"/>
      <c r="K2689" s="13"/>
    </row>
    <row r="2690" customFormat="false" ht="15" hidden="false" customHeight="false" outlineLevel="0" collapsed="false">
      <c r="A2690" s="9" t="n">
        <v>2689</v>
      </c>
      <c r="B2690" s="9" t="s">
        <v>140</v>
      </c>
      <c r="C2690" s="11" t="s">
        <v>149</v>
      </c>
      <c r="D2690" s="9" t="s">
        <v>10580</v>
      </c>
      <c r="E2690" s="9" t="s">
        <v>358</v>
      </c>
      <c r="F2690" s="9" t="s">
        <v>10402</v>
      </c>
      <c r="G2690" s="9" t="s">
        <v>24</v>
      </c>
      <c r="H2690" s="15" t="s">
        <v>23</v>
      </c>
      <c r="I2690" s="9" t="s">
        <v>10403</v>
      </c>
      <c r="J2690" s="13"/>
      <c r="K2690" s="13"/>
    </row>
    <row r="2691" customFormat="false" ht="68.65" hidden="false" customHeight="false" outlineLevel="0" collapsed="false">
      <c r="A2691" s="9" t="n">
        <v>2690</v>
      </c>
      <c r="B2691" s="9" t="s">
        <v>140</v>
      </c>
      <c r="C2691" s="11" t="s">
        <v>151</v>
      </c>
      <c r="D2691" s="9" t="s">
        <v>10581</v>
      </c>
      <c r="E2691" s="9" t="s">
        <v>10582</v>
      </c>
      <c r="F2691" s="9" t="s">
        <v>10583</v>
      </c>
      <c r="G2691" s="9" t="s">
        <v>312</v>
      </c>
      <c r="H2691" s="12" t="s">
        <v>21</v>
      </c>
      <c r="I2691" s="9" t="s">
        <v>10584</v>
      </c>
      <c r="J2691" s="13"/>
      <c r="K2691" s="13"/>
    </row>
    <row r="2692" customFormat="false" ht="124.6" hidden="false" customHeight="false" outlineLevel="0" collapsed="false">
      <c r="A2692" s="9" t="n">
        <v>2691</v>
      </c>
      <c r="B2692" s="9" t="s">
        <v>140</v>
      </c>
      <c r="C2692" s="11" t="s">
        <v>151</v>
      </c>
      <c r="D2692" s="9" t="s">
        <v>10585</v>
      </c>
      <c r="E2692" s="9" t="s">
        <v>10586</v>
      </c>
      <c r="F2692" s="9" t="s">
        <v>10587</v>
      </c>
      <c r="G2692" s="9" t="s">
        <v>1072</v>
      </c>
      <c r="H2692" s="12" t="s">
        <v>21</v>
      </c>
      <c r="I2692" s="9" t="s">
        <v>10588</v>
      </c>
      <c r="J2692" s="13"/>
      <c r="K2692" s="13"/>
    </row>
    <row r="2693" customFormat="false" ht="68.65" hidden="false" customHeight="false" outlineLevel="0" collapsed="false">
      <c r="A2693" s="9" t="n">
        <v>2692</v>
      </c>
      <c r="B2693" s="9" t="s">
        <v>140</v>
      </c>
      <c r="C2693" s="11" t="s">
        <v>151</v>
      </c>
      <c r="D2693" s="9" t="s">
        <v>10589</v>
      </c>
      <c r="E2693" s="9" t="s">
        <v>10590</v>
      </c>
      <c r="F2693" s="9" t="s">
        <v>10591</v>
      </c>
      <c r="G2693" s="9" t="s">
        <v>1072</v>
      </c>
      <c r="H2693" s="12" t="s">
        <v>21</v>
      </c>
      <c r="I2693" s="9" t="s">
        <v>10592</v>
      </c>
      <c r="J2693" s="13"/>
      <c r="K2693" s="13"/>
    </row>
    <row r="2694" customFormat="false" ht="46.25" hidden="false" customHeight="false" outlineLevel="0" collapsed="false">
      <c r="A2694" s="9" t="n">
        <v>2693</v>
      </c>
      <c r="B2694" s="9" t="s">
        <v>140</v>
      </c>
      <c r="C2694" s="11" t="s">
        <v>151</v>
      </c>
      <c r="D2694" s="9" t="s">
        <v>10593</v>
      </c>
      <c r="E2694" s="9" t="s">
        <v>10594</v>
      </c>
      <c r="F2694" s="9" t="s">
        <v>10595</v>
      </c>
      <c r="G2694" s="9" t="s">
        <v>1072</v>
      </c>
      <c r="H2694" s="14" t="s">
        <v>22</v>
      </c>
      <c r="I2694" s="9" t="s">
        <v>10596</v>
      </c>
      <c r="J2694" s="13"/>
      <c r="K2694" s="13"/>
    </row>
    <row r="2695" customFormat="false" ht="35.05" hidden="false" customHeight="false" outlineLevel="0" collapsed="false">
      <c r="A2695" s="9" t="n">
        <v>2694</v>
      </c>
      <c r="B2695" s="9" t="s">
        <v>140</v>
      </c>
      <c r="C2695" s="11" t="s">
        <v>151</v>
      </c>
      <c r="D2695" s="9" t="s">
        <v>10597</v>
      </c>
      <c r="E2695" s="9" t="s">
        <v>10598</v>
      </c>
      <c r="F2695" s="9" t="s">
        <v>10599</v>
      </c>
      <c r="G2695" s="9" t="s">
        <v>312</v>
      </c>
      <c r="H2695" s="12" t="s">
        <v>21</v>
      </c>
      <c r="I2695" s="9" t="s">
        <v>10600</v>
      </c>
      <c r="J2695" s="13"/>
      <c r="K2695" s="13"/>
    </row>
    <row r="2696" customFormat="false" ht="113.4" hidden="false" customHeight="false" outlineLevel="0" collapsed="false">
      <c r="A2696" s="9" t="n">
        <v>2695</v>
      </c>
      <c r="B2696" s="9" t="s">
        <v>140</v>
      </c>
      <c r="C2696" s="11" t="s">
        <v>151</v>
      </c>
      <c r="D2696" s="9" t="s">
        <v>10601</v>
      </c>
      <c r="E2696" s="9" t="s">
        <v>10602</v>
      </c>
      <c r="F2696" s="9" t="s">
        <v>10603</v>
      </c>
      <c r="G2696" s="9" t="s">
        <v>312</v>
      </c>
      <c r="H2696" s="12" t="s">
        <v>21</v>
      </c>
      <c r="I2696" s="9" t="s">
        <v>10604</v>
      </c>
      <c r="J2696" s="13"/>
      <c r="K2696" s="13"/>
    </row>
    <row r="2697" customFormat="false" ht="57.45" hidden="false" customHeight="false" outlineLevel="0" collapsed="false">
      <c r="A2697" s="9" t="n">
        <v>2696</v>
      </c>
      <c r="B2697" s="9" t="s">
        <v>140</v>
      </c>
      <c r="C2697" s="11" t="s">
        <v>151</v>
      </c>
      <c r="D2697" s="9" t="s">
        <v>10605</v>
      </c>
      <c r="E2697" s="9" t="s">
        <v>10606</v>
      </c>
      <c r="F2697" s="9" t="s">
        <v>10607</v>
      </c>
      <c r="G2697" s="9" t="s">
        <v>3279</v>
      </c>
      <c r="H2697" s="12" t="s">
        <v>21</v>
      </c>
      <c r="I2697" s="9" t="s">
        <v>10608</v>
      </c>
      <c r="J2697" s="13"/>
      <c r="K2697" s="13"/>
    </row>
    <row r="2698" customFormat="false" ht="158.2" hidden="false" customHeight="false" outlineLevel="0" collapsed="false">
      <c r="A2698" s="9" t="n">
        <v>2697</v>
      </c>
      <c r="B2698" s="9" t="s">
        <v>140</v>
      </c>
      <c r="C2698" s="11" t="s">
        <v>151</v>
      </c>
      <c r="D2698" s="9" t="s">
        <v>10609</v>
      </c>
      <c r="E2698" s="9" t="s">
        <v>10610</v>
      </c>
      <c r="F2698" s="9" t="s">
        <v>10611</v>
      </c>
      <c r="G2698" s="9" t="s">
        <v>2044</v>
      </c>
      <c r="H2698" s="12" t="s">
        <v>21</v>
      </c>
      <c r="I2698" s="9" t="s">
        <v>10612</v>
      </c>
      <c r="J2698" s="13"/>
      <c r="K2698" s="13"/>
    </row>
    <row r="2699" customFormat="false" ht="68.65" hidden="false" customHeight="false" outlineLevel="0" collapsed="false">
      <c r="A2699" s="9" t="n">
        <v>2698</v>
      </c>
      <c r="B2699" s="9" t="s">
        <v>140</v>
      </c>
      <c r="C2699" s="11" t="s">
        <v>151</v>
      </c>
      <c r="D2699" s="9" t="s">
        <v>10613</v>
      </c>
      <c r="E2699" s="9" t="s">
        <v>10614</v>
      </c>
      <c r="F2699" s="9" t="s">
        <v>10615</v>
      </c>
      <c r="G2699" s="9" t="s">
        <v>1852</v>
      </c>
      <c r="H2699" s="12" t="s">
        <v>21</v>
      </c>
      <c r="I2699" s="9" t="s">
        <v>10616</v>
      </c>
      <c r="J2699" s="13"/>
      <c r="K2699" s="13"/>
    </row>
    <row r="2700" customFormat="false" ht="91" hidden="false" customHeight="false" outlineLevel="0" collapsed="false">
      <c r="A2700" s="9" t="n">
        <v>2699</v>
      </c>
      <c r="B2700" s="9" t="s">
        <v>140</v>
      </c>
      <c r="C2700" s="11" t="s">
        <v>151</v>
      </c>
      <c r="D2700" s="9" t="s">
        <v>10617</v>
      </c>
      <c r="E2700" s="9" t="s">
        <v>10618</v>
      </c>
      <c r="F2700" s="9" t="s">
        <v>10619</v>
      </c>
      <c r="G2700" s="9" t="s">
        <v>1072</v>
      </c>
      <c r="H2700" s="12" t="s">
        <v>21</v>
      </c>
      <c r="I2700" s="9" t="s">
        <v>10620</v>
      </c>
      <c r="J2700" s="13"/>
      <c r="K2700" s="13"/>
    </row>
    <row r="2701" customFormat="false" ht="35.05" hidden="false" customHeight="false" outlineLevel="0" collapsed="false">
      <c r="A2701" s="9" t="n">
        <v>2700</v>
      </c>
      <c r="B2701" s="9" t="s">
        <v>140</v>
      </c>
      <c r="C2701" s="11" t="s">
        <v>151</v>
      </c>
      <c r="D2701" s="9" t="s">
        <v>10621</v>
      </c>
      <c r="E2701" s="9" t="s">
        <v>10622</v>
      </c>
      <c r="F2701" s="9" t="s">
        <v>10623</v>
      </c>
      <c r="G2701" s="9" t="s">
        <v>3726</v>
      </c>
      <c r="H2701" s="14" t="s">
        <v>22</v>
      </c>
      <c r="I2701" s="9" t="s">
        <v>10624</v>
      </c>
      <c r="J2701" s="13"/>
      <c r="K2701" s="13"/>
    </row>
    <row r="2702" customFormat="false" ht="57.45" hidden="false" customHeight="false" outlineLevel="0" collapsed="false">
      <c r="A2702" s="9" t="n">
        <v>2701</v>
      </c>
      <c r="B2702" s="9" t="s">
        <v>140</v>
      </c>
      <c r="C2702" s="11" t="s">
        <v>151</v>
      </c>
      <c r="D2702" s="9" t="s">
        <v>10625</v>
      </c>
      <c r="E2702" s="9" t="s">
        <v>10626</v>
      </c>
      <c r="F2702" s="9" t="s">
        <v>10627</v>
      </c>
      <c r="G2702" s="9" t="s">
        <v>312</v>
      </c>
      <c r="H2702" s="14" t="s">
        <v>22</v>
      </c>
      <c r="I2702" s="9" t="s">
        <v>10628</v>
      </c>
      <c r="J2702" s="13"/>
      <c r="K2702" s="13"/>
    </row>
    <row r="2703" customFormat="false" ht="35.05" hidden="false" customHeight="false" outlineLevel="0" collapsed="false">
      <c r="A2703" s="9" t="n">
        <v>2702</v>
      </c>
      <c r="B2703" s="9" t="s">
        <v>140</v>
      </c>
      <c r="C2703" s="11" t="s">
        <v>151</v>
      </c>
      <c r="D2703" s="9" t="s">
        <v>10629</v>
      </c>
      <c r="E2703" s="9" t="s">
        <v>10630</v>
      </c>
      <c r="F2703" s="9" t="s">
        <v>10631</v>
      </c>
      <c r="G2703" s="9" t="s">
        <v>312</v>
      </c>
      <c r="H2703" s="15" t="s">
        <v>23</v>
      </c>
      <c r="I2703" s="9" t="s">
        <v>10632</v>
      </c>
      <c r="J2703" s="13"/>
      <c r="K2703" s="13"/>
    </row>
    <row r="2704" customFormat="false" ht="68.65" hidden="false" customHeight="false" outlineLevel="0" collapsed="false">
      <c r="A2704" s="9" t="n">
        <v>2703</v>
      </c>
      <c r="B2704" s="9" t="s">
        <v>140</v>
      </c>
      <c r="C2704" s="11" t="s">
        <v>151</v>
      </c>
      <c r="D2704" s="9" t="s">
        <v>10633</v>
      </c>
      <c r="E2704" s="9" t="s">
        <v>10634</v>
      </c>
      <c r="F2704" s="9" t="s">
        <v>10635</v>
      </c>
      <c r="G2704" s="9" t="s">
        <v>1370</v>
      </c>
      <c r="H2704" s="14" t="s">
        <v>22</v>
      </c>
      <c r="I2704" s="9" t="s">
        <v>10636</v>
      </c>
      <c r="J2704" s="13"/>
      <c r="K2704" s="13"/>
    </row>
    <row r="2705" customFormat="false" ht="57.45" hidden="false" customHeight="false" outlineLevel="0" collapsed="false">
      <c r="A2705" s="9" t="n">
        <v>2704</v>
      </c>
      <c r="B2705" s="9" t="s">
        <v>140</v>
      </c>
      <c r="C2705" s="11" t="s">
        <v>151</v>
      </c>
      <c r="D2705" s="9" t="s">
        <v>10637</v>
      </c>
      <c r="E2705" s="9" t="s">
        <v>10638</v>
      </c>
      <c r="F2705" s="9" t="s">
        <v>10639</v>
      </c>
      <c r="G2705" s="9" t="s">
        <v>1072</v>
      </c>
      <c r="H2705" s="15" t="s">
        <v>23</v>
      </c>
      <c r="I2705" s="9" t="s">
        <v>10640</v>
      </c>
      <c r="J2705" s="13"/>
      <c r="K2705" s="13"/>
    </row>
    <row r="2706" customFormat="false" ht="57.45" hidden="false" customHeight="false" outlineLevel="0" collapsed="false">
      <c r="A2706" s="9" t="n">
        <v>2705</v>
      </c>
      <c r="B2706" s="9" t="s">
        <v>140</v>
      </c>
      <c r="C2706" s="11" t="s">
        <v>151</v>
      </c>
      <c r="D2706" s="9" t="s">
        <v>10641</v>
      </c>
      <c r="E2706" s="9" t="s">
        <v>10642</v>
      </c>
      <c r="F2706" s="9" t="s">
        <v>10643</v>
      </c>
      <c r="G2706" s="9" t="s">
        <v>312</v>
      </c>
      <c r="H2706" s="14" t="s">
        <v>22</v>
      </c>
      <c r="I2706" s="9" t="s">
        <v>10644</v>
      </c>
      <c r="J2706" s="13"/>
      <c r="K2706" s="13"/>
    </row>
    <row r="2707" customFormat="false" ht="91" hidden="false" customHeight="false" outlineLevel="0" collapsed="false">
      <c r="A2707" s="9" t="n">
        <v>2706</v>
      </c>
      <c r="B2707" s="9" t="s">
        <v>140</v>
      </c>
      <c r="C2707" s="11" t="s">
        <v>151</v>
      </c>
      <c r="D2707" s="9" t="s">
        <v>10645</v>
      </c>
      <c r="E2707" s="9" t="s">
        <v>10646</v>
      </c>
      <c r="F2707" s="9" t="s">
        <v>10647</v>
      </c>
      <c r="G2707" s="9" t="s">
        <v>312</v>
      </c>
      <c r="H2707" s="14" t="s">
        <v>22</v>
      </c>
      <c r="I2707" s="9" t="s">
        <v>10648</v>
      </c>
      <c r="J2707" s="13"/>
      <c r="K2707" s="13"/>
    </row>
    <row r="2708" customFormat="false" ht="79.85" hidden="false" customHeight="false" outlineLevel="0" collapsed="false">
      <c r="A2708" s="9" t="n">
        <v>2707</v>
      </c>
      <c r="B2708" s="9" t="s">
        <v>140</v>
      </c>
      <c r="C2708" s="11" t="s">
        <v>151</v>
      </c>
      <c r="D2708" s="9" t="s">
        <v>10649</v>
      </c>
      <c r="E2708" s="9" t="s">
        <v>10650</v>
      </c>
      <c r="F2708" s="9" t="s">
        <v>10651</v>
      </c>
      <c r="G2708" s="9" t="s">
        <v>1072</v>
      </c>
      <c r="H2708" s="14" t="s">
        <v>22</v>
      </c>
      <c r="I2708" s="9" t="s">
        <v>10652</v>
      </c>
      <c r="J2708" s="13"/>
      <c r="K2708" s="13"/>
    </row>
    <row r="2709" customFormat="false" ht="23.85" hidden="false" customHeight="false" outlineLevel="0" collapsed="false">
      <c r="A2709" s="9" t="n">
        <v>2708</v>
      </c>
      <c r="B2709" s="9" t="s">
        <v>140</v>
      </c>
      <c r="C2709" s="11" t="s">
        <v>151</v>
      </c>
      <c r="D2709" s="9" t="s">
        <v>10653</v>
      </c>
      <c r="E2709" s="9" t="s">
        <v>10654</v>
      </c>
      <c r="F2709" s="9" t="s">
        <v>10655</v>
      </c>
      <c r="G2709" s="9" t="s">
        <v>1072</v>
      </c>
      <c r="H2709" s="15" t="s">
        <v>23</v>
      </c>
      <c r="I2709" s="9" t="s">
        <v>10656</v>
      </c>
      <c r="J2709" s="13"/>
      <c r="K2709" s="13"/>
    </row>
    <row r="2710" customFormat="false" ht="46.25" hidden="false" customHeight="false" outlineLevel="0" collapsed="false">
      <c r="A2710" s="9" t="n">
        <v>2709</v>
      </c>
      <c r="B2710" s="9" t="s">
        <v>140</v>
      </c>
      <c r="C2710" s="11" t="s">
        <v>151</v>
      </c>
      <c r="D2710" s="9" t="s">
        <v>10657</v>
      </c>
      <c r="E2710" s="9" t="s">
        <v>10658</v>
      </c>
      <c r="F2710" s="9" t="s">
        <v>10659</v>
      </c>
      <c r="G2710" s="9" t="s">
        <v>2044</v>
      </c>
      <c r="H2710" s="15" t="s">
        <v>23</v>
      </c>
      <c r="I2710" s="9" t="s">
        <v>10660</v>
      </c>
      <c r="J2710" s="13"/>
      <c r="K2710" s="13"/>
    </row>
    <row r="2711" customFormat="false" ht="79.85" hidden="false" customHeight="false" outlineLevel="0" collapsed="false">
      <c r="A2711" s="9" t="n">
        <v>2710</v>
      </c>
      <c r="B2711" s="9" t="s">
        <v>140</v>
      </c>
      <c r="C2711" s="11" t="s">
        <v>151</v>
      </c>
      <c r="D2711" s="9" t="s">
        <v>10661</v>
      </c>
      <c r="E2711" s="9" t="s">
        <v>10662</v>
      </c>
      <c r="F2711" s="9" t="s">
        <v>10663</v>
      </c>
      <c r="G2711" s="9" t="s">
        <v>2044</v>
      </c>
      <c r="H2711" s="14" t="s">
        <v>22</v>
      </c>
      <c r="I2711" s="9" t="s">
        <v>10664</v>
      </c>
      <c r="J2711" s="13"/>
      <c r="K2711" s="13"/>
    </row>
    <row r="2712" customFormat="false" ht="68.65" hidden="false" customHeight="false" outlineLevel="0" collapsed="false">
      <c r="A2712" s="9" t="n">
        <v>2711</v>
      </c>
      <c r="B2712" s="9" t="s">
        <v>140</v>
      </c>
      <c r="C2712" s="11" t="s">
        <v>151</v>
      </c>
      <c r="D2712" s="9" t="s">
        <v>10665</v>
      </c>
      <c r="E2712" s="9" t="s">
        <v>10666</v>
      </c>
      <c r="F2712" s="9" t="s">
        <v>10667</v>
      </c>
      <c r="G2712" s="9" t="s">
        <v>1072</v>
      </c>
      <c r="H2712" s="14" t="s">
        <v>22</v>
      </c>
      <c r="I2712" s="9" t="s">
        <v>10668</v>
      </c>
      <c r="J2712" s="13"/>
      <c r="K2712" s="13"/>
    </row>
    <row r="2713" customFormat="false" ht="57.45" hidden="false" customHeight="false" outlineLevel="0" collapsed="false">
      <c r="A2713" s="9" t="n">
        <v>2712</v>
      </c>
      <c r="B2713" s="9" t="s">
        <v>140</v>
      </c>
      <c r="C2713" s="11" t="s">
        <v>151</v>
      </c>
      <c r="D2713" s="9" t="s">
        <v>10669</v>
      </c>
      <c r="E2713" s="9" t="s">
        <v>10670</v>
      </c>
      <c r="F2713" s="9" t="s">
        <v>10671</v>
      </c>
      <c r="G2713" s="9" t="s">
        <v>312</v>
      </c>
      <c r="H2713" s="14" t="s">
        <v>22</v>
      </c>
      <c r="I2713" s="9" t="s">
        <v>10672</v>
      </c>
      <c r="J2713" s="13"/>
      <c r="K2713" s="13"/>
    </row>
    <row r="2714" customFormat="false" ht="57.45" hidden="false" customHeight="false" outlineLevel="0" collapsed="false">
      <c r="A2714" s="9" t="n">
        <v>2713</v>
      </c>
      <c r="B2714" s="9" t="s">
        <v>140</v>
      </c>
      <c r="C2714" s="11" t="s">
        <v>151</v>
      </c>
      <c r="D2714" s="9" t="s">
        <v>10673</v>
      </c>
      <c r="E2714" s="9" t="s">
        <v>10674</v>
      </c>
      <c r="F2714" s="9" t="s">
        <v>10675</v>
      </c>
      <c r="G2714" s="9" t="s">
        <v>308</v>
      </c>
      <c r="H2714" s="14" t="s">
        <v>22</v>
      </c>
      <c r="I2714" s="9" t="s">
        <v>10676</v>
      </c>
      <c r="J2714" s="13"/>
      <c r="K2714" s="13"/>
    </row>
    <row r="2715" customFormat="false" ht="35.05" hidden="false" customHeight="false" outlineLevel="0" collapsed="false">
      <c r="A2715" s="9" t="n">
        <v>2714</v>
      </c>
      <c r="B2715" s="9" t="s">
        <v>140</v>
      </c>
      <c r="C2715" s="11" t="s">
        <v>151</v>
      </c>
      <c r="D2715" s="9" t="s">
        <v>10677</v>
      </c>
      <c r="E2715" s="9" t="s">
        <v>10678</v>
      </c>
      <c r="F2715" s="9" t="s">
        <v>10679</v>
      </c>
      <c r="G2715" s="9" t="s">
        <v>1072</v>
      </c>
      <c r="H2715" s="15" t="s">
        <v>23</v>
      </c>
      <c r="I2715" s="9" t="s">
        <v>10680</v>
      </c>
      <c r="J2715" s="13"/>
      <c r="K2715" s="13"/>
    </row>
    <row r="2716" customFormat="false" ht="46.25" hidden="false" customHeight="false" outlineLevel="0" collapsed="false">
      <c r="A2716" s="9" t="n">
        <v>2715</v>
      </c>
      <c r="B2716" s="9" t="s">
        <v>140</v>
      </c>
      <c r="C2716" s="11" t="s">
        <v>151</v>
      </c>
      <c r="D2716" s="9" t="s">
        <v>10681</v>
      </c>
      <c r="E2716" s="9" t="s">
        <v>10682</v>
      </c>
      <c r="F2716" s="9" t="s">
        <v>10683</v>
      </c>
      <c r="G2716" s="9" t="s">
        <v>1072</v>
      </c>
      <c r="H2716" s="14" t="s">
        <v>22</v>
      </c>
      <c r="I2716" s="9" t="s">
        <v>10684</v>
      </c>
      <c r="J2716" s="13"/>
      <c r="K2716" s="13"/>
    </row>
    <row r="2717" customFormat="false" ht="46.25" hidden="false" customHeight="false" outlineLevel="0" collapsed="false">
      <c r="A2717" s="9" t="n">
        <v>2716</v>
      </c>
      <c r="B2717" s="9" t="s">
        <v>140</v>
      </c>
      <c r="C2717" s="11" t="s">
        <v>151</v>
      </c>
      <c r="D2717" s="9" t="s">
        <v>10685</v>
      </c>
      <c r="E2717" s="9" t="s">
        <v>10686</v>
      </c>
      <c r="F2717" s="9" t="s">
        <v>10687</v>
      </c>
      <c r="G2717" s="9" t="s">
        <v>1072</v>
      </c>
      <c r="H2717" s="15" t="s">
        <v>23</v>
      </c>
      <c r="I2717" s="9" t="s">
        <v>10688</v>
      </c>
      <c r="J2717" s="13"/>
      <c r="K2717" s="13"/>
    </row>
    <row r="2718" customFormat="false" ht="46.25" hidden="false" customHeight="false" outlineLevel="0" collapsed="false">
      <c r="A2718" s="9" t="n">
        <v>2717</v>
      </c>
      <c r="B2718" s="9" t="s">
        <v>140</v>
      </c>
      <c r="C2718" s="11" t="s">
        <v>151</v>
      </c>
      <c r="D2718" s="9" t="s">
        <v>10689</v>
      </c>
      <c r="E2718" s="9" t="s">
        <v>10690</v>
      </c>
      <c r="F2718" s="9" t="s">
        <v>10691</v>
      </c>
      <c r="G2718" s="9" t="s">
        <v>312</v>
      </c>
      <c r="H2718" s="15" t="s">
        <v>23</v>
      </c>
      <c r="I2718" s="9" t="s">
        <v>10692</v>
      </c>
      <c r="J2718" s="13"/>
      <c r="K2718" s="13"/>
    </row>
    <row r="2719" customFormat="false" ht="57.45" hidden="false" customHeight="false" outlineLevel="0" collapsed="false">
      <c r="A2719" s="9" t="n">
        <v>2718</v>
      </c>
      <c r="B2719" s="9" t="s">
        <v>140</v>
      </c>
      <c r="C2719" s="11" t="s">
        <v>151</v>
      </c>
      <c r="D2719" s="9" t="s">
        <v>10693</v>
      </c>
      <c r="E2719" s="9" t="s">
        <v>10694</v>
      </c>
      <c r="F2719" s="9" t="s">
        <v>10695</v>
      </c>
      <c r="G2719" s="9" t="s">
        <v>312</v>
      </c>
      <c r="H2719" s="15" t="s">
        <v>23</v>
      </c>
      <c r="I2719" s="9" t="s">
        <v>10696</v>
      </c>
      <c r="J2719" s="13"/>
      <c r="K2719" s="13"/>
    </row>
    <row r="2720" customFormat="false" ht="46.25" hidden="false" customHeight="false" outlineLevel="0" collapsed="false">
      <c r="A2720" s="9" t="n">
        <v>2719</v>
      </c>
      <c r="B2720" s="9" t="s">
        <v>140</v>
      </c>
      <c r="C2720" s="11" t="s">
        <v>151</v>
      </c>
      <c r="D2720" s="9" t="s">
        <v>10697</v>
      </c>
      <c r="E2720" s="9" t="s">
        <v>10698</v>
      </c>
      <c r="F2720" s="9" t="s">
        <v>10699</v>
      </c>
      <c r="G2720" s="9" t="s">
        <v>6425</v>
      </c>
      <c r="H2720" s="14" t="s">
        <v>22</v>
      </c>
      <c r="I2720" s="9" t="s">
        <v>10700</v>
      </c>
      <c r="J2720" s="13"/>
      <c r="K2720" s="13"/>
    </row>
    <row r="2721" customFormat="false" ht="46.25" hidden="false" customHeight="false" outlineLevel="0" collapsed="false">
      <c r="A2721" s="9" t="n">
        <v>2720</v>
      </c>
      <c r="B2721" s="9" t="s">
        <v>140</v>
      </c>
      <c r="C2721" s="11" t="s">
        <v>151</v>
      </c>
      <c r="D2721" s="9" t="s">
        <v>10701</v>
      </c>
      <c r="E2721" s="9" t="s">
        <v>10702</v>
      </c>
      <c r="F2721" s="9" t="s">
        <v>10703</v>
      </c>
      <c r="G2721" s="9" t="s">
        <v>328</v>
      </c>
      <c r="H2721" s="15" t="s">
        <v>23</v>
      </c>
      <c r="I2721" s="9" t="s">
        <v>10704</v>
      </c>
      <c r="J2721" s="13"/>
      <c r="K2721" s="13"/>
    </row>
    <row r="2722" customFormat="false" ht="57.45" hidden="false" customHeight="false" outlineLevel="0" collapsed="false">
      <c r="A2722" s="9" t="n">
        <v>2721</v>
      </c>
      <c r="B2722" s="9" t="s">
        <v>140</v>
      </c>
      <c r="C2722" s="11" t="s">
        <v>151</v>
      </c>
      <c r="D2722" s="9" t="s">
        <v>10705</v>
      </c>
      <c r="E2722" s="9" t="s">
        <v>10706</v>
      </c>
      <c r="F2722" s="9" t="s">
        <v>10707</v>
      </c>
      <c r="G2722" s="9" t="s">
        <v>328</v>
      </c>
      <c r="H2722" s="15" t="s">
        <v>23</v>
      </c>
      <c r="I2722" s="9" t="s">
        <v>10708</v>
      </c>
      <c r="J2722" s="13"/>
      <c r="K2722" s="13"/>
    </row>
    <row r="2723" customFormat="false" ht="35.05" hidden="false" customHeight="false" outlineLevel="0" collapsed="false">
      <c r="A2723" s="9" t="n">
        <v>2722</v>
      </c>
      <c r="B2723" s="9" t="s">
        <v>140</v>
      </c>
      <c r="C2723" s="11" t="s">
        <v>151</v>
      </c>
      <c r="D2723" s="9" t="s">
        <v>10709</v>
      </c>
      <c r="E2723" s="9" t="s">
        <v>10710</v>
      </c>
      <c r="F2723" s="9" t="s">
        <v>10711</v>
      </c>
      <c r="G2723" s="9" t="s">
        <v>2044</v>
      </c>
      <c r="H2723" s="15" t="s">
        <v>23</v>
      </c>
      <c r="I2723" s="9" t="s">
        <v>10712</v>
      </c>
      <c r="J2723" s="13"/>
      <c r="K2723" s="13"/>
    </row>
    <row r="2724" customFormat="false" ht="46.25" hidden="false" customHeight="false" outlineLevel="0" collapsed="false">
      <c r="A2724" s="9" t="n">
        <v>2723</v>
      </c>
      <c r="B2724" s="9" t="s">
        <v>140</v>
      </c>
      <c r="C2724" s="11" t="s">
        <v>151</v>
      </c>
      <c r="D2724" s="9" t="s">
        <v>10713</v>
      </c>
      <c r="E2724" s="9" t="s">
        <v>10714</v>
      </c>
      <c r="F2724" s="9" t="s">
        <v>10715</v>
      </c>
      <c r="G2724" s="9" t="s">
        <v>317</v>
      </c>
      <c r="H2724" s="15" t="s">
        <v>23</v>
      </c>
      <c r="I2724" s="9" t="s">
        <v>10716</v>
      </c>
      <c r="J2724" s="13"/>
      <c r="K2724" s="13"/>
    </row>
    <row r="2725" customFormat="false" ht="68.65" hidden="false" customHeight="false" outlineLevel="0" collapsed="false">
      <c r="A2725" s="9" t="n">
        <v>2724</v>
      </c>
      <c r="B2725" s="9" t="s">
        <v>140</v>
      </c>
      <c r="C2725" s="11" t="s">
        <v>151</v>
      </c>
      <c r="D2725" s="9" t="s">
        <v>10717</v>
      </c>
      <c r="E2725" s="9" t="s">
        <v>10718</v>
      </c>
      <c r="F2725" s="9" t="s">
        <v>10719</v>
      </c>
      <c r="G2725" s="9" t="s">
        <v>24</v>
      </c>
      <c r="H2725" s="14" t="s">
        <v>22</v>
      </c>
      <c r="I2725" s="9" t="s">
        <v>10720</v>
      </c>
      <c r="J2725" s="13"/>
      <c r="K2725" s="13"/>
    </row>
    <row r="2726" customFormat="false" ht="23.85" hidden="false" customHeight="false" outlineLevel="0" collapsed="false">
      <c r="A2726" s="9" t="n">
        <v>2725</v>
      </c>
      <c r="B2726" s="9" t="s">
        <v>140</v>
      </c>
      <c r="C2726" s="11" t="s">
        <v>151</v>
      </c>
      <c r="D2726" s="9" t="s">
        <v>10721</v>
      </c>
      <c r="E2726" s="9" t="s">
        <v>10722</v>
      </c>
      <c r="F2726" s="9" t="s">
        <v>10723</v>
      </c>
      <c r="G2726" s="9" t="s">
        <v>24</v>
      </c>
      <c r="H2726" s="14" t="s">
        <v>22</v>
      </c>
      <c r="I2726" s="9" t="s">
        <v>10368</v>
      </c>
      <c r="J2726" s="13"/>
      <c r="K2726" s="13"/>
    </row>
    <row r="2727" customFormat="false" ht="35.05" hidden="false" customHeight="false" outlineLevel="0" collapsed="false">
      <c r="A2727" s="9" t="n">
        <v>2726</v>
      </c>
      <c r="B2727" s="9" t="s">
        <v>140</v>
      </c>
      <c r="C2727" s="11" t="s">
        <v>151</v>
      </c>
      <c r="D2727" s="9" t="s">
        <v>10724</v>
      </c>
      <c r="E2727" s="9" t="s">
        <v>10725</v>
      </c>
      <c r="F2727" s="9" t="s">
        <v>10726</v>
      </c>
      <c r="G2727" s="9" t="s">
        <v>24</v>
      </c>
      <c r="H2727" s="14" t="s">
        <v>22</v>
      </c>
      <c r="I2727" s="9" t="s">
        <v>10727</v>
      </c>
      <c r="J2727" s="13"/>
      <c r="K2727" s="13"/>
    </row>
    <row r="2728" customFormat="false" ht="35.05" hidden="false" customHeight="false" outlineLevel="0" collapsed="false">
      <c r="A2728" s="9" t="n">
        <v>2727</v>
      </c>
      <c r="B2728" s="9" t="s">
        <v>140</v>
      </c>
      <c r="C2728" s="11" t="s">
        <v>151</v>
      </c>
      <c r="D2728" s="9" t="s">
        <v>10728</v>
      </c>
      <c r="E2728" s="9" t="s">
        <v>10729</v>
      </c>
      <c r="F2728" s="9" t="s">
        <v>10730</v>
      </c>
      <c r="G2728" s="9" t="s">
        <v>24</v>
      </c>
      <c r="H2728" s="14" t="s">
        <v>22</v>
      </c>
      <c r="I2728" s="9" t="s">
        <v>10731</v>
      </c>
      <c r="J2728" s="13"/>
      <c r="K2728" s="13"/>
    </row>
    <row r="2729" customFormat="false" ht="23.85" hidden="false" customHeight="false" outlineLevel="0" collapsed="false">
      <c r="A2729" s="9" t="n">
        <v>2728</v>
      </c>
      <c r="B2729" s="9" t="s">
        <v>140</v>
      </c>
      <c r="C2729" s="11" t="s">
        <v>151</v>
      </c>
      <c r="D2729" s="9" t="s">
        <v>10732</v>
      </c>
      <c r="E2729" s="9" t="s">
        <v>358</v>
      </c>
      <c r="F2729" s="9" t="s">
        <v>10733</v>
      </c>
      <c r="G2729" s="9" t="s">
        <v>24</v>
      </c>
      <c r="H2729" s="14" t="s">
        <v>22</v>
      </c>
      <c r="I2729" s="9" t="s">
        <v>6634</v>
      </c>
      <c r="J2729" s="13"/>
      <c r="K2729" s="13"/>
    </row>
    <row r="2730" customFormat="false" ht="15" hidden="false" customHeight="false" outlineLevel="0" collapsed="false">
      <c r="A2730" s="9" t="n">
        <v>2729</v>
      </c>
      <c r="B2730" s="9" t="s">
        <v>140</v>
      </c>
      <c r="C2730" s="11" t="s">
        <v>151</v>
      </c>
      <c r="D2730" s="9" t="s">
        <v>10734</v>
      </c>
      <c r="E2730" s="9" t="s">
        <v>362</v>
      </c>
      <c r="F2730" s="9" t="s">
        <v>363</v>
      </c>
      <c r="G2730" s="9" t="s">
        <v>24</v>
      </c>
      <c r="H2730" s="14" t="s">
        <v>22</v>
      </c>
      <c r="I2730" s="9" t="s">
        <v>364</v>
      </c>
      <c r="J2730" s="13"/>
      <c r="K2730" s="13"/>
    </row>
    <row r="2731" customFormat="false" ht="23.85" hidden="false" customHeight="false" outlineLevel="0" collapsed="false">
      <c r="A2731" s="9" t="n">
        <v>2730</v>
      </c>
      <c r="B2731" s="9" t="s">
        <v>140</v>
      </c>
      <c r="C2731" s="11" t="s">
        <v>151</v>
      </c>
      <c r="D2731" s="9" t="s">
        <v>10735</v>
      </c>
      <c r="E2731" s="9" t="s">
        <v>10736</v>
      </c>
      <c r="F2731" s="9" t="s">
        <v>10737</v>
      </c>
      <c r="G2731" s="9" t="s">
        <v>24</v>
      </c>
      <c r="H2731" s="15" t="s">
        <v>23</v>
      </c>
      <c r="I2731" s="9" t="s">
        <v>10738</v>
      </c>
      <c r="J2731" s="13"/>
      <c r="K2731" s="13"/>
    </row>
    <row r="2732" customFormat="false" ht="35.05" hidden="false" customHeight="false" outlineLevel="0" collapsed="false">
      <c r="A2732" s="9" t="n">
        <v>2731</v>
      </c>
      <c r="B2732" s="9" t="s">
        <v>140</v>
      </c>
      <c r="C2732" s="11" t="s">
        <v>151</v>
      </c>
      <c r="D2732" s="9" t="s">
        <v>10739</v>
      </c>
      <c r="E2732" s="9" t="s">
        <v>10740</v>
      </c>
      <c r="F2732" s="9" t="s">
        <v>10741</v>
      </c>
      <c r="G2732" s="9" t="s">
        <v>24</v>
      </c>
      <c r="H2732" s="15" t="s">
        <v>23</v>
      </c>
      <c r="I2732" s="9" t="s">
        <v>10742</v>
      </c>
      <c r="J2732" s="13"/>
      <c r="K2732" s="13"/>
    </row>
    <row r="2733" customFormat="false" ht="35.05" hidden="false" customHeight="false" outlineLevel="0" collapsed="false">
      <c r="A2733" s="9" t="n">
        <v>2732</v>
      </c>
      <c r="B2733" s="9" t="s">
        <v>140</v>
      </c>
      <c r="C2733" s="11" t="s">
        <v>151</v>
      </c>
      <c r="D2733" s="9" t="s">
        <v>10743</v>
      </c>
      <c r="E2733" s="9" t="s">
        <v>10744</v>
      </c>
      <c r="F2733" s="9" t="s">
        <v>10745</v>
      </c>
      <c r="G2733" s="9" t="s">
        <v>24</v>
      </c>
      <c r="H2733" s="15" t="s">
        <v>23</v>
      </c>
      <c r="I2733" s="9" t="s">
        <v>10746</v>
      </c>
      <c r="J2733" s="13"/>
      <c r="K2733" s="13"/>
    </row>
    <row r="2734" customFormat="false" ht="15" hidden="false" customHeight="false" outlineLevel="0" collapsed="false">
      <c r="A2734" s="9" t="n">
        <v>2733</v>
      </c>
      <c r="B2734" s="9" t="s">
        <v>140</v>
      </c>
      <c r="C2734" s="11" t="s">
        <v>151</v>
      </c>
      <c r="D2734" s="9" t="s">
        <v>10747</v>
      </c>
      <c r="E2734" s="9" t="s">
        <v>10577</v>
      </c>
      <c r="F2734" s="9" t="s">
        <v>445</v>
      </c>
      <c r="G2734" s="9" t="s">
        <v>24</v>
      </c>
      <c r="H2734" s="15" t="s">
        <v>23</v>
      </c>
      <c r="I2734" s="9" t="s">
        <v>10217</v>
      </c>
      <c r="J2734" s="13"/>
      <c r="K2734" s="13"/>
    </row>
    <row r="2735" customFormat="false" ht="15" hidden="false" customHeight="false" outlineLevel="0" collapsed="false">
      <c r="A2735" s="9" t="n">
        <v>2734</v>
      </c>
      <c r="B2735" s="9" t="s">
        <v>140</v>
      </c>
      <c r="C2735" s="11" t="s">
        <v>151</v>
      </c>
      <c r="D2735" s="9" t="s">
        <v>10748</v>
      </c>
      <c r="E2735" s="9" t="s">
        <v>3945</v>
      </c>
      <c r="F2735" s="9" t="s">
        <v>10398</v>
      </c>
      <c r="G2735" s="9" t="s">
        <v>24</v>
      </c>
      <c r="H2735" s="15" t="s">
        <v>23</v>
      </c>
      <c r="I2735" s="9" t="s">
        <v>2846</v>
      </c>
      <c r="J2735" s="13"/>
      <c r="K2735" s="13"/>
    </row>
    <row r="2736" customFormat="false" ht="15" hidden="false" customHeight="false" outlineLevel="0" collapsed="false">
      <c r="A2736" s="9" t="n">
        <v>2735</v>
      </c>
      <c r="B2736" s="9" t="s">
        <v>140</v>
      </c>
      <c r="C2736" s="11" t="s">
        <v>151</v>
      </c>
      <c r="D2736" s="9" t="s">
        <v>10749</v>
      </c>
      <c r="E2736" s="9" t="s">
        <v>358</v>
      </c>
      <c r="F2736" s="9" t="s">
        <v>10402</v>
      </c>
      <c r="G2736" s="9" t="s">
        <v>24</v>
      </c>
      <c r="H2736" s="15" t="s">
        <v>23</v>
      </c>
      <c r="I2736" s="9" t="s">
        <v>10403</v>
      </c>
      <c r="J2736" s="13"/>
      <c r="K2736" s="13"/>
    </row>
    <row r="2737" customFormat="false" ht="113.4" hidden="false" customHeight="false" outlineLevel="0" collapsed="false">
      <c r="A2737" s="9" t="n">
        <v>2736</v>
      </c>
      <c r="B2737" s="9" t="s">
        <v>140</v>
      </c>
      <c r="C2737" s="11" t="s">
        <v>153</v>
      </c>
      <c r="D2737" s="9" t="s">
        <v>10750</v>
      </c>
      <c r="E2737" s="9" t="s">
        <v>10751</v>
      </c>
      <c r="F2737" s="9" t="s">
        <v>10752</v>
      </c>
      <c r="G2737" s="9" t="s">
        <v>312</v>
      </c>
      <c r="H2737" s="12" t="s">
        <v>21</v>
      </c>
      <c r="I2737" s="9" t="s">
        <v>10753</v>
      </c>
      <c r="J2737" s="13"/>
      <c r="K2737" s="13"/>
    </row>
    <row r="2738" customFormat="false" ht="46.25" hidden="false" customHeight="false" outlineLevel="0" collapsed="false">
      <c r="A2738" s="9" t="n">
        <v>2737</v>
      </c>
      <c r="B2738" s="9" t="s">
        <v>140</v>
      </c>
      <c r="C2738" s="11" t="s">
        <v>153</v>
      </c>
      <c r="D2738" s="9" t="s">
        <v>10754</v>
      </c>
      <c r="E2738" s="9" t="s">
        <v>10755</v>
      </c>
      <c r="F2738" s="9" t="s">
        <v>10756</v>
      </c>
      <c r="G2738" s="9" t="s">
        <v>6425</v>
      </c>
      <c r="H2738" s="14" t="s">
        <v>22</v>
      </c>
      <c r="I2738" s="9" t="s">
        <v>10757</v>
      </c>
      <c r="J2738" s="13"/>
      <c r="K2738" s="13"/>
    </row>
    <row r="2739" customFormat="false" ht="35.05" hidden="false" customHeight="false" outlineLevel="0" collapsed="false">
      <c r="A2739" s="9" t="n">
        <v>2738</v>
      </c>
      <c r="B2739" s="9" t="s">
        <v>140</v>
      </c>
      <c r="C2739" s="11" t="s">
        <v>153</v>
      </c>
      <c r="D2739" s="9" t="s">
        <v>10758</v>
      </c>
      <c r="E2739" s="9" t="s">
        <v>10759</v>
      </c>
      <c r="F2739" s="9" t="s">
        <v>10760</v>
      </c>
      <c r="G2739" s="9" t="s">
        <v>6425</v>
      </c>
      <c r="H2739" s="14" t="s">
        <v>22</v>
      </c>
      <c r="I2739" s="9" t="s">
        <v>10761</v>
      </c>
      <c r="J2739" s="13"/>
      <c r="K2739" s="13"/>
    </row>
    <row r="2740" customFormat="false" ht="23.85" hidden="false" customHeight="false" outlineLevel="0" collapsed="false">
      <c r="A2740" s="9" t="n">
        <v>2739</v>
      </c>
      <c r="B2740" s="9" t="s">
        <v>140</v>
      </c>
      <c r="C2740" s="11" t="s">
        <v>153</v>
      </c>
      <c r="D2740" s="9" t="s">
        <v>10762</v>
      </c>
      <c r="E2740" s="9" t="s">
        <v>10763</v>
      </c>
      <c r="F2740" s="9" t="s">
        <v>10764</v>
      </c>
      <c r="G2740" s="9" t="s">
        <v>6425</v>
      </c>
      <c r="H2740" s="14" t="s">
        <v>22</v>
      </c>
      <c r="I2740" s="9" t="s">
        <v>10765</v>
      </c>
      <c r="J2740" s="13"/>
      <c r="K2740" s="13"/>
    </row>
    <row r="2741" customFormat="false" ht="46.25" hidden="false" customHeight="false" outlineLevel="0" collapsed="false">
      <c r="A2741" s="9" t="n">
        <v>2740</v>
      </c>
      <c r="B2741" s="9" t="s">
        <v>140</v>
      </c>
      <c r="C2741" s="11" t="s">
        <v>153</v>
      </c>
      <c r="D2741" s="9" t="s">
        <v>10766</v>
      </c>
      <c r="E2741" s="9" t="s">
        <v>10767</v>
      </c>
      <c r="F2741" s="9" t="s">
        <v>10768</v>
      </c>
      <c r="G2741" s="9" t="s">
        <v>6425</v>
      </c>
      <c r="H2741" s="14" t="s">
        <v>22</v>
      </c>
      <c r="I2741" s="9" t="s">
        <v>10769</v>
      </c>
      <c r="J2741" s="13"/>
      <c r="K2741" s="13"/>
    </row>
    <row r="2742" customFormat="false" ht="23.85" hidden="false" customHeight="false" outlineLevel="0" collapsed="false">
      <c r="A2742" s="9" t="n">
        <v>2741</v>
      </c>
      <c r="B2742" s="9" t="s">
        <v>140</v>
      </c>
      <c r="C2742" s="11" t="s">
        <v>153</v>
      </c>
      <c r="D2742" s="9" t="s">
        <v>10770</v>
      </c>
      <c r="E2742" s="9" t="s">
        <v>10771</v>
      </c>
      <c r="F2742" s="9" t="s">
        <v>10772</v>
      </c>
      <c r="G2742" s="9" t="s">
        <v>6425</v>
      </c>
      <c r="H2742" s="15" t="s">
        <v>23</v>
      </c>
      <c r="I2742" s="9" t="s">
        <v>10773</v>
      </c>
      <c r="J2742" s="13"/>
      <c r="K2742" s="13"/>
    </row>
    <row r="2743" customFormat="false" ht="46.25" hidden="false" customHeight="false" outlineLevel="0" collapsed="false">
      <c r="A2743" s="9" t="n">
        <v>2742</v>
      </c>
      <c r="B2743" s="9" t="s">
        <v>140</v>
      </c>
      <c r="C2743" s="11" t="s">
        <v>153</v>
      </c>
      <c r="D2743" s="9" t="s">
        <v>10774</v>
      </c>
      <c r="E2743" s="9" t="s">
        <v>10775</v>
      </c>
      <c r="F2743" s="9" t="s">
        <v>10776</v>
      </c>
      <c r="G2743" s="9" t="s">
        <v>312</v>
      </c>
      <c r="H2743" s="14" t="s">
        <v>22</v>
      </c>
      <c r="I2743" s="9" t="s">
        <v>10777</v>
      </c>
      <c r="J2743" s="13"/>
      <c r="K2743" s="13"/>
    </row>
    <row r="2744" customFormat="false" ht="79.85" hidden="false" customHeight="false" outlineLevel="0" collapsed="false">
      <c r="A2744" s="9" t="n">
        <v>2743</v>
      </c>
      <c r="B2744" s="9" t="s">
        <v>140</v>
      </c>
      <c r="C2744" s="11" t="s">
        <v>153</v>
      </c>
      <c r="D2744" s="9" t="s">
        <v>10778</v>
      </c>
      <c r="E2744" s="9" t="s">
        <v>10779</v>
      </c>
      <c r="F2744" s="9" t="s">
        <v>10780</v>
      </c>
      <c r="G2744" s="9" t="s">
        <v>1072</v>
      </c>
      <c r="H2744" s="14" t="s">
        <v>22</v>
      </c>
      <c r="I2744" s="9" t="s">
        <v>10781</v>
      </c>
      <c r="J2744" s="13"/>
      <c r="K2744" s="13"/>
    </row>
    <row r="2745" customFormat="false" ht="35.05" hidden="false" customHeight="false" outlineLevel="0" collapsed="false">
      <c r="A2745" s="9" t="n">
        <v>2744</v>
      </c>
      <c r="B2745" s="9" t="s">
        <v>140</v>
      </c>
      <c r="C2745" s="11" t="s">
        <v>153</v>
      </c>
      <c r="D2745" s="9" t="s">
        <v>10782</v>
      </c>
      <c r="E2745" s="9" t="s">
        <v>10783</v>
      </c>
      <c r="F2745" s="9" t="s">
        <v>10784</v>
      </c>
      <c r="G2745" s="9" t="s">
        <v>312</v>
      </c>
      <c r="H2745" s="15" t="s">
        <v>23</v>
      </c>
      <c r="I2745" s="9" t="s">
        <v>10785</v>
      </c>
      <c r="J2745" s="13"/>
      <c r="K2745" s="13"/>
    </row>
    <row r="2746" customFormat="false" ht="46.25" hidden="false" customHeight="false" outlineLevel="0" collapsed="false">
      <c r="A2746" s="9" t="n">
        <v>2745</v>
      </c>
      <c r="B2746" s="9" t="s">
        <v>140</v>
      </c>
      <c r="C2746" s="11" t="s">
        <v>153</v>
      </c>
      <c r="D2746" s="9" t="s">
        <v>10786</v>
      </c>
      <c r="E2746" s="9" t="s">
        <v>10787</v>
      </c>
      <c r="F2746" s="9" t="s">
        <v>10788</v>
      </c>
      <c r="G2746" s="9" t="s">
        <v>3343</v>
      </c>
      <c r="H2746" s="15" t="s">
        <v>23</v>
      </c>
      <c r="I2746" s="9" t="s">
        <v>10789</v>
      </c>
      <c r="J2746" s="13"/>
      <c r="K2746" s="13"/>
    </row>
    <row r="2747" customFormat="false" ht="79.85" hidden="false" customHeight="false" outlineLevel="0" collapsed="false">
      <c r="A2747" s="9" t="n">
        <v>2746</v>
      </c>
      <c r="B2747" s="9" t="s">
        <v>140</v>
      </c>
      <c r="C2747" s="11" t="s">
        <v>153</v>
      </c>
      <c r="D2747" s="9" t="s">
        <v>10790</v>
      </c>
      <c r="E2747" s="9" t="s">
        <v>10791</v>
      </c>
      <c r="F2747" s="9" t="s">
        <v>10792</v>
      </c>
      <c r="G2747" s="9" t="s">
        <v>312</v>
      </c>
      <c r="H2747" s="15" t="s">
        <v>23</v>
      </c>
      <c r="I2747" s="9" t="s">
        <v>10793</v>
      </c>
      <c r="J2747" s="13"/>
      <c r="K2747" s="13"/>
    </row>
    <row r="2748" customFormat="false" ht="102.2" hidden="false" customHeight="false" outlineLevel="0" collapsed="false">
      <c r="A2748" s="9" t="n">
        <v>2747</v>
      </c>
      <c r="B2748" s="9" t="s">
        <v>140</v>
      </c>
      <c r="C2748" s="11" t="s">
        <v>153</v>
      </c>
      <c r="D2748" s="9" t="s">
        <v>10794</v>
      </c>
      <c r="E2748" s="9" t="s">
        <v>10795</v>
      </c>
      <c r="F2748" s="9" t="s">
        <v>10796</v>
      </c>
      <c r="G2748" s="9" t="s">
        <v>8927</v>
      </c>
      <c r="H2748" s="14" t="s">
        <v>22</v>
      </c>
      <c r="I2748" s="9" t="s">
        <v>10797</v>
      </c>
      <c r="J2748" s="13"/>
      <c r="K2748" s="13"/>
    </row>
    <row r="2749" customFormat="false" ht="79.85" hidden="false" customHeight="false" outlineLevel="0" collapsed="false">
      <c r="A2749" s="9" t="n">
        <v>2748</v>
      </c>
      <c r="B2749" s="9" t="s">
        <v>140</v>
      </c>
      <c r="C2749" s="11" t="s">
        <v>153</v>
      </c>
      <c r="D2749" s="9" t="s">
        <v>10798</v>
      </c>
      <c r="E2749" s="9" t="s">
        <v>10799</v>
      </c>
      <c r="F2749" s="9" t="s">
        <v>10800</v>
      </c>
      <c r="G2749" s="9" t="s">
        <v>317</v>
      </c>
      <c r="H2749" s="15" t="s">
        <v>23</v>
      </c>
      <c r="I2749" s="9" t="s">
        <v>10801</v>
      </c>
      <c r="J2749" s="13"/>
      <c r="K2749" s="13"/>
    </row>
    <row r="2750" customFormat="false" ht="35.05" hidden="false" customHeight="false" outlineLevel="0" collapsed="false">
      <c r="A2750" s="9" t="n">
        <v>2749</v>
      </c>
      <c r="B2750" s="9" t="s">
        <v>140</v>
      </c>
      <c r="C2750" s="11" t="s">
        <v>153</v>
      </c>
      <c r="D2750" s="9" t="s">
        <v>10802</v>
      </c>
      <c r="E2750" s="9" t="s">
        <v>10803</v>
      </c>
      <c r="F2750" s="9" t="s">
        <v>10804</v>
      </c>
      <c r="G2750" s="9" t="s">
        <v>317</v>
      </c>
      <c r="H2750" s="15" t="s">
        <v>23</v>
      </c>
      <c r="I2750" s="9" t="s">
        <v>10805</v>
      </c>
      <c r="J2750" s="13"/>
      <c r="K2750" s="13"/>
    </row>
    <row r="2751" customFormat="false" ht="35.05" hidden="false" customHeight="false" outlineLevel="0" collapsed="false">
      <c r="A2751" s="9" t="n">
        <v>2750</v>
      </c>
      <c r="B2751" s="9" t="s">
        <v>140</v>
      </c>
      <c r="C2751" s="11" t="s">
        <v>153</v>
      </c>
      <c r="D2751" s="9" t="s">
        <v>10806</v>
      </c>
      <c r="E2751" s="9" t="s">
        <v>10807</v>
      </c>
      <c r="F2751" s="9" t="s">
        <v>10808</v>
      </c>
      <c r="G2751" s="9" t="s">
        <v>328</v>
      </c>
      <c r="H2751" s="15" t="s">
        <v>23</v>
      </c>
      <c r="I2751" s="9" t="s">
        <v>10809</v>
      </c>
      <c r="J2751" s="13"/>
      <c r="K2751" s="13"/>
    </row>
    <row r="2752" customFormat="false" ht="46.25" hidden="false" customHeight="false" outlineLevel="0" collapsed="false">
      <c r="A2752" s="9" t="n">
        <v>2751</v>
      </c>
      <c r="B2752" s="9" t="s">
        <v>140</v>
      </c>
      <c r="C2752" s="11" t="s">
        <v>153</v>
      </c>
      <c r="D2752" s="9" t="s">
        <v>10810</v>
      </c>
      <c r="E2752" s="9" t="s">
        <v>10811</v>
      </c>
      <c r="F2752" s="9" t="s">
        <v>10812</v>
      </c>
      <c r="G2752" s="9" t="s">
        <v>312</v>
      </c>
      <c r="H2752" s="15" t="s">
        <v>23</v>
      </c>
      <c r="I2752" s="9" t="s">
        <v>10813</v>
      </c>
      <c r="J2752" s="13"/>
      <c r="K2752" s="13"/>
    </row>
    <row r="2753" customFormat="false" ht="57.45" hidden="false" customHeight="false" outlineLevel="0" collapsed="false">
      <c r="A2753" s="9" t="n">
        <v>2752</v>
      </c>
      <c r="B2753" s="9" t="s">
        <v>140</v>
      </c>
      <c r="C2753" s="11" t="s">
        <v>153</v>
      </c>
      <c r="D2753" s="9" t="s">
        <v>10814</v>
      </c>
      <c r="E2753" s="9" t="s">
        <v>10815</v>
      </c>
      <c r="F2753" s="9" t="s">
        <v>10816</v>
      </c>
      <c r="G2753" s="9" t="s">
        <v>312</v>
      </c>
      <c r="H2753" s="15" t="s">
        <v>23</v>
      </c>
      <c r="I2753" s="9" t="s">
        <v>10817</v>
      </c>
      <c r="J2753" s="13"/>
      <c r="K2753" s="13"/>
    </row>
    <row r="2754" customFormat="false" ht="46.25" hidden="false" customHeight="false" outlineLevel="0" collapsed="false">
      <c r="A2754" s="9" t="n">
        <v>2753</v>
      </c>
      <c r="B2754" s="9" t="s">
        <v>140</v>
      </c>
      <c r="C2754" s="11" t="s">
        <v>153</v>
      </c>
      <c r="D2754" s="9" t="s">
        <v>10818</v>
      </c>
      <c r="E2754" s="9" t="s">
        <v>10819</v>
      </c>
      <c r="F2754" s="9" t="s">
        <v>10820</v>
      </c>
      <c r="G2754" s="9" t="s">
        <v>24</v>
      </c>
      <c r="H2754" s="14" t="s">
        <v>22</v>
      </c>
      <c r="I2754" s="9" t="s">
        <v>10821</v>
      </c>
      <c r="J2754" s="13"/>
      <c r="K2754" s="13"/>
    </row>
    <row r="2755" customFormat="false" ht="35.05" hidden="false" customHeight="false" outlineLevel="0" collapsed="false">
      <c r="A2755" s="9" t="n">
        <v>2754</v>
      </c>
      <c r="B2755" s="9" t="s">
        <v>140</v>
      </c>
      <c r="C2755" s="11" t="s">
        <v>153</v>
      </c>
      <c r="D2755" s="9" t="s">
        <v>10822</v>
      </c>
      <c r="E2755" s="9" t="s">
        <v>10823</v>
      </c>
      <c r="F2755" s="9" t="s">
        <v>10824</v>
      </c>
      <c r="G2755" s="9" t="s">
        <v>24</v>
      </c>
      <c r="H2755" s="14" t="s">
        <v>22</v>
      </c>
      <c r="I2755" s="9" t="s">
        <v>10825</v>
      </c>
      <c r="J2755" s="13"/>
      <c r="K2755" s="13"/>
    </row>
    <row r="2756" customFormat="false" ht="35.05" hidden="false" customHeight="false" outlineLevel="0" collapsed="false">
      <c r="A2756" s="9" t="n">
        <v>2755</v>
      </c>
      <c r="B2756" s="9" t="s">
        <v>140</v>
      </c>
      <c r="C2756" s="11" t="s">
        <v>153</v>
      </c>
      <c r="D2756" s="9" t="s">
        <v>10826</v>
      </c>
      <c r="E2756" s="9" t="s">
        <v>10827</v>
      </c>
      <c r="F2756" s="9" t="s">
        <v>10828</v>
      </c>
      <c r="G2756" s="9" t="s">
        <v>24</v>
      </c>
      <c r="H2756" s="14" t="s">
        <v>22</v>
      </c>
      <c r="I2756" s="9" t="s">
        <v>10829</v>
      </c>
      <c r="J2756" s="13"/>
      <c r="K2756" s="13"/>
    </row>
    <row r="2757" customFormat="false" ht="23.85" hidden="false" customHeight="false" outlineLevel="0" collapsed="false">
      <c r="A2757" s="9" t="n">
        <v>2756</v>
      </c>
      <c r="B2757" s="9" t="s">
        <v>140</v>
      </c>
      <c r="C2757" s="11" t="s">
        <v>153</v>
      </c>
      <c r="D2757" s="9" t="s">
        <v>10830</v>
      </c>
      <c r="E2757" s="9" t="s">
        <v>358</v>
      </c>
      <c r="F2757" s="9" t="s">
        <v>10831</v>
      </c>
      <c r="G2757" s="9" t="s">
        <v>24</v>
      </c>
      <c r="H2757" s="14" t="s">
        <v>22</v>
      </c>
      <c r="I2757" s="9" t="s">
        <v>6634</v>
      </c>
      <c r="J2757" s="13"/>
      <c r="K2757" s="13"/>
    </row>
    <row r="2758" customFormat="false" ht="15" hidden="false" customHeight="false" outlineLevel="0" collapsed="false">
      <c r="A2758" s="9" t="n">
        <v>2757</v>
      </c>
      <c r="B2758" s="9" t="s">
        <v>140</v>
      </c>
      <c r="C2758" s="11" t="s">
        <v>153</v>
      </c>
      <c r="D2758" s="9" t="s">
        <v>10832</v>
      </c>
      <c r="E2758" s="9" t="s">
        <v>362</v>
      </c>
      <c r="F2758" s="9" t="s">
        <v>363</v>
      </c>
      <c r="G2758" s="9" t="s">
        <v>24</v>
      </c>
      <c r="H2758" s="14" t="s">
        <v>22</v>
      </c>
      <c r="I2758" s="9" t="s">
        <v>364</v>
      </c>
      <c r="J2758" s="13"/>
      <c r="K2758" s="13"/>
    </row>
    <row r="2759" customFormat="false" ht="35.05" hidden="false" customHeight="false" outlineLevel="0" collapsed="false">
      <c r="A2759" s="9" t="n">
        <v>2758</v>
      </c>
      <c r="B2759" s="9" t="s">
        <v>140</v>
      </c>
      <c r="C2759" s="11" t="s">
        <v>153</v>
      </c>
      <c r="D2759" s="9" t="s">
        <v>10833</v>
      </c>
      <c r="E2759" s="9" t="s">
        <v>10834</v>
      </c>
      <c r="F2759" s="9" t="s">
        <v>10835</v>
      </c>
      <c r="G2759" s="9" t="s">
        <v>24</v>
      </c>
      <c r="H2759" s="15" t="s">
        <v>23</v>
      </c>
      <c r="I2759" s="9" t="s">
        <v>10836</v>
      </c>
      <c r="J2759" s="13"/>
      <c r="K2759" s="13"/>
    </row>
    <row r="2760" customFormat="false" ht="35.05" hidden="false" customHeight="false" outlineLevel="0" collapsed="false">
      <c r="A2760" s="9" t="n">
        <v>2759</v>
      </c>
      <c r="B2760" s="9" t="s">
        <v>140</v>
      </c>
      <c r="C2760" s="11" t="s">
        <v>153</v>
      </c>
      <c r="D2760" s="9" t="s">
        <v>10837</v>
      </c>
      <c r="E2760" s="9" t="s">
        <v>10834</v>
      </c>
      <c r="F2760" s="9" t="s">
        <v>10838</v>
      </c>
      <c r="G2760" s="9" t="s">
        <v>24</v>
      </c>
      <c r="H2760" s="15" t="s">
        <v>23</v>
      </c>
      <c r="I2760" s="9" t="s">
        <v>10839</v>
      </c>
      <c r="J2760" s="13"/>
      <c r="K2760" s="13"/>
    </row>
    <row r="2761" customFormat="false" ht="23.85" hidden="false" customHeight="false" outlineLevel="0" collapsed="false">
      <c r="A2761" s="9" t="n">
        <v>2760</v>
      </c>
      <c r="B2761" s="9" t="s">
        <v>140</v>
      </c>
      <c r="C2761" s="11" t="s">
        <v>153</v>
      </c>
      <c r="D2761" s="9" t="s">
        <v>10840</v>
      </c>
      <c r="E2761" s="9" t="s">
        <v>10841</v>
      </c>
      <c r="F2761" s="9" t="s">
        <v>10842</v>
      </c>
      <c r="G2761" s="9" t="s">
        <v>24</v>
      </c>
      <c r="H2761" s="15" t="s">
        <v>23</v>
      </c>
      <c r="I2761" s="9" t="s">
        <v>10843</v>
      </c>
      <c r="J2761" s="13"/>
      <c r="K2761" s="13"/>
    </row>
    <row r="2762" customFormat="false" ht="15" hidden="false" customHeight="false" outlineLevel="0" collapsed="false">
      <c r="A2762" s="9" t="n">
        <v>2761</v>
      </c>
      <c r="B2762" s="9" t="s">
        <v>140</v>
      </c>
      <c r="C2762" s="11" t="s">
        <v>153</v>
      </c>
      <c r="D2762" s="9" t="s">
        <v>10844</v>
      </c>
      <c r="E2762" s="9" t="s">
        <v>358</v>
      </c>
      <c r="F2762" s="9" t="s">
        <v>10402</v>
      </c>
      <c r="G2762" s="9" t="s">
        <v>24</v>
      </c>
      <c r="H2762" s="15" t="s">
        <v>23</v>
      </c>
      <c r="I2762" s="9" t="s">
        <v>10403</v>
      </c>
      <c r="J2762" s="13"/>
      <c r="K2762" s="13"/>
    </row>
    <row r="2763" customFormat="false" ht="91" hidden="false" customHeight="false" outlineLevel="0" collapsed="false">
      <c r="A2763" s="9" t="n">
        <v>2762</v>
      </c>
      <c r="B2763" s="9" t="s">
        <v>155</v>
      </c>
      <c r="C2763" s="11" t="s">
        <v>156</v>
      </c>
      <c r="D2763" s="9" t="s">
        <v>10845</v>
      </c>
      <c r="E2763" s="9" t="s">
        <v>10846</v>
      </c>
      <c r="F2763" s="9" t="s">
        <v>10847</v>
      </c>
      <c r="G2763" s="9" t="s">
        <v>312</v>
      </c>
      <c r="H2763" s="12" t="s">
        <v>21</v>
      </c>
      <c r="I2763" s="9" t="s">
        <v>10848</v>
      </c>
      <c r="J2763" s="13"/>
      <c r="K2763" s="13"/>
    </row>
    <row r="2764" customFormat="false" ht="68.65" hidden="false" customHeight="false" outlineLevel="0" collapsed="false">
      <c r="A2764" s="9" t="n">
        <v>2763</v>
      </c>
      <c r="B2764" s="9" t="s">
        <v>155</v>
      </c>
      <c r="C2764" s="11" t="s">
        <v>156</v>
      </c>
      <c r="D2764" s="9" t="s">
        <v>10849</v>
      </c>
      <c r="E2764" s="9" t="s">
        <v>10850</v>
      </c>
      <c r="F2764" s="9" t="s">
        <v>10851</v>
      </c>
      <c r="G2764" s="9" t="s">
        <v>312</v>
      </c>
      <c r="H2764" s="12" t="s">
        <v>21</v>
      </c>
      <c r="I2764" s="9" t="s">
        <v>10852</v>
      </c>
      <c r="J2764" s="13"/>
      <c r="K2764" s="13"/>
    </row>
    <row r="2765" customFormat="false" ht="68.65" hidden="false" customHeight="false" outlineLevel="0" collapsed="false">
      <c r="A2765" s="9" t="n">
        <v>2764</v>
      </c>
      <c r="B2765" s="9" t="s">
        <v>155</v>
      </c>
      <c r="C2765" s="11" t="s">
        <v>156</v>
      </c>
      <c r="D2765" s="9" t="s">
        <v>10853</v>
      </c>
      <c r="E2765" s="9" t="s">
        <v>10854</v>
      </c>
      <c r="F2765" s="9" t="s">
        <v>10855</v>
      </c>
      <c r="G2765" s="9" t="s">
        <v>312</v>
      </c>
      <c r="H2765" s="14" t="s">
        <v>22</v>
      </c>
      <c r="I2765" s="9" t="s">
        <v>10856</v>
      </c>
      <c r="J2765" s="13"/>
      <c r="K2765" s="13"/>
    </row>
    <row r="2766" customFormat="false" ht="68.65" hidden="false" customHeight="false" outlineLevel="0" collapsed="false">
      <c r="A2766" s="9" t="n">
        <v>2765</v>
      </c>
      <c r="B2766" s="9" t="s">
        <v>155</v>
      </c>
      <c r="C2766" s="11" t="s">
        <v>156</v>
      </c>
      <c r="D2766" s="9" t="s">
        <v>10857</v>
      </c>
      <c r="E2766" s="9" t="s">
        <v>10858</v>
      </c>
      <c r="F2766" s="9" t="s">
        <v>10859</v>
      </c>
      <c r="G2766" s="9" t="s">
        <v>317</v>
      </c>
      <c r="H2766" s="14" t="s">
        <v>22</v>
      </c>
      <c r="I2766" s="9" t="s">
        <v>10860</v>
      </c>
      <c r="J2766" s="13"/>
      <c r="K2766" s="13"/>
    </row>
    <row r="2767" customFormat="false" ht="68.65" hidden="false" customHeight="false" outlineLevel="0" collapsed="false">
      <c r="A2767" s="9" t="n">
        <v>2766</v>
      </c>
      <c r="B2767" s="9" t="s">
        <v>155</v>
      </c>
      <c r="C2767" s="11" t="s">
        <v>156</v>
      </c>
      <c r="D2767" s="9" t="s">
        <v>10861</v>
      </c>
      <c r="E2767" s="9" t="s">
        <v>10862</v>
      </c>
      <c r="F2767" s="9" t="s">
        <v>10863</v>
      </c>
      <c r="G2767" s="9" t="s">
        <v>1072</v>
      </c>
      <c r="H2767" s="14" t="s">
        <v>22</v>
      </c>
      <c r="I2767" s="9" t="s">
        <v>10864</v>
      </c>
      <c r="J2767" s="13"/>
      <c r="K2767" s="13"/>
    </row>
    <row r="2768" customFormat="false" ht="79.85" hidden="false" customHeight="false" outlineLevel="0" collapsed="false">
      <c r="A2768" s="9" t="n">
        <v>2767</v>
      </c>
      <c r="B2768" s="9" t="s">
        <v>155</v>
      </c>
      <c r="C2768" s="11" t="s">
        <v>156</v>
      </c>
      <c r="D2768" s="9" t="s">
        <v>10865</v>
      </c>
      <c r="E2768" s="9" t="s">
        <v>10866</v>
      </c>
      <c r="F2768" s="9" t="s">
        <v>10867</v>
      </c>
      <c r="G2768" s="9" t="s">
        <v>10868</v>
      </c>
      <c r="H2768" s="14" t="s">
        <v>22</v>
      </c>
      <c r="I2768" s="9" t="s">
        <v>10869</v>
      </c>
      <c r="J2768" s="13"/>
      <c r="K2768" s="13"/>
    </row>
    <row r="2769" customFormat="false" ht="57.45" hidden="false" customHeight="false" outlineLevel="0" collapsed="false">
      <c r="A2769" s="9" t="n">
        <v>2768</v>
      </c>
      <c r="B2769" s="9" t="s">
        <v>155</v>
      </c>
      <c r="C2769" s="11" t="s">
        <v>156</v>
      </c>
      <c r="D2769" s="9" t="s">
        <v>10870</v>
      </c>
      <c r="E2769" s="9" t="s">
        <v>10871</v>
      </c>
      <c r="F2769" s="9" t="s">
        <v>10872</v>
      </c>
      <c r="G2769" s="9" t="s">
        <v>312</v>
      </c>
      <c r="H2769" s="14" t="s">
        <v>22</v>
      </c>
      <c r="I2769" s="9" t="s">
        <v>10873</v>
      </c>
      <c r="J2769" s="13"/>
      <c r="K2769" s="13"/>
    </row>
    <row r="2770" customFormat="false" ht="57.45" hidden="false" customHeight="false" outlineLevel="0" collapsed="false">
      <c r="A2770" s="9" t="n">
        <v>2769</v>
      </c>
      <c r="B2770" s="9" t="s">
        <v>155</v>
      </c>
      <c r="C2770" s="11" t="s">
        <v>156</v>
      </c>
      <c r="D2770" s="9" t="s">
        <v>10874</v>
      </c>
      <c r="E2770" s="9" t="s">
        <v>10875</v>
      </c>
      <c r="F2770" s="9" t="s">
        <v>10876</v>
      </c>
      <c r="G2770" s="9" t="s">
        <v>312</v>
      </c>
      <c r="H2770" s="14" t="s">
        <v>22</v>
      </c>
      <c r="I2770" s="9" t="s">
        <v>10877</v>
      </c>
      <c r="J2770" s="13"/>
      <c r="K2770" s="13"/>
    </row>
    <row r="2771" customFormat="false" ht="57.45" hidden="false" customHeight="false" outlineLevel="0" collapsed="false">
      <c r="A2771" s="9" t="n">
        <v>2770</v>
      </c>
      <c r="B2771" s="9" t="s">
        <v>155</v>
      </c>
      <c r="C2771" s="11" t="s">
        <v>156</v>
      </c>
      <c r="D2771" s="9" t="s">
        <v>10878</v>
      </c>
      <c r="E2771" s="9" t="s">
        <v>10879</v>
      </c>
      <c r="F2771" s="9" t="s">
        <v>10880</v>
      </c>
      <c r="G2771" s="9" t="s">
        <v>312</v>
      </c>
      <c r="H2771" s="14" t="s">
        <v>22</v>
      </c>
      <c r="I2771" s="9" t="s">
        <v>10881</v>
      </c>
      <c r="J2771" s="13"/>
      <c r="K2771" s="13"/>
    </row>
    <row r="2772" customFormat="false" ht="46.25" hidden="false" customHeight="false" outlineLevel="0" collapsed="false">
      <c r="A2772" s="9" t="n">
        <v>2771</v>
      </c>
      <c r="B2772" s="9" t="s">
        <v>155</v>
      </c>
      <c r="C2772" s="11" t="s">
        <v>156</v>
      </c>
      <c r="D2772" s="9" t="s">
        <v>10882</v>
      </c>
      <c r="E2772" s="9" t="s">
        <v>10883</v>
      </c>
      <c r="F2772" s="9" t="s">
        <v>10884</v>
      </c>
      <c r="G2772" s="9" t="s">
        <v>312</v>
      </c>
      <c r="H2772" s="14" t="s">
        <v>22</v>
      </c>
      <c r="I2772" s="9" t="s">
        <v>10885</v>
      </c>
      <c r="J2772" s="13"/>
      <c r="K2772" s="13"/>
    </row>
    <row r="2773" customFormat="false" ht="57.45" hidden="false" customHeight="false" outlineLevel="0" collapsed="false">
      <c r="A2773" s="9" t="n">
        <v>2772</v>
      </c>
      <c r="B2773" s="9" t="s">
        <v>155</v>
      </c>
      <c r="C2773" s="11" t="s">
        <v>156</v>
      </c>
      <c r="D2773" s="9" t="s">
        <v>10886</v>
      </c>
      <c r="E2773" s="9" t="s">
        <v>10887</v>
      </c>
      <c r="F2773" s="9" t="s">
        <v>10888</v>
      </c>
      <c r="G2773" s="9" t="s">
        <v>312</v>
      </c>
      <c r="H2773" s="14" t="s">
        <v>22</v>
      </c>
      <c r="I2773" s="9" t="s">
        <v>10889</v>
      </c>
      <c r="J2773" s="13"/>
      <c r="K2773" s="13"/>
    </row>
    <row r="2774" customFormat="false" ht="46.25" hidden="false" customHeight="false" outlineLevel="0" collapsed="false">
      <c r="A2774" s="9" t="n">
        <v>2773</v>
      </c>
      <c r="B2774" s="9" t="s">
        <v>155</v>
      </c>
      <c r="C2774" s="11" t="s">
        <v>156</v>
      </c>
      <c r="D2774" s="9" t="s">
        <v>10890</v>
      </c>
      <c r="E2774" s="9" t="s">
        <v>10891</v>
      </c>
      <c r="F2774" s="9" t="s">
        <v>10892</v>
      </c>
      <c r="G2774" s="9" t="s">
        <v>312</v>
      </c>
      <c r="H2774" s="14" t="s">
        <v>22</v>
      </c>
      <c r="I2774" s="9" t="s">
        <v>10893</v>
      </c>
      <c r="J2774" s="13"/>
      <c r="K2774" s="13"/>
    </row>
    <row r="2775" customFormat="false" ht="46.25" hidden="false" customHeight="false" outlineLevel="0" collapsed="false">
      <c r="A2775" s="9" t="n">
        <v>2774</v>
      </c>
      <c r="B2775" s="9" t="s">
        <v>155</v>
      </c>
      <c r="C2775" s="11" t="s">
        <v>156</v>
      </c>
      <c r="D2775" s="9" t="s">
        <v>10894</v>
      </c>
      <c r="E2775" s="9" t="s">
        <v>10895</v>
      </c>
      <c r="F2775" s="9" t="s">
        <v>10896</v>
      </c>
      <c r="G2775" s="9" t="s">
        <v>312</v>
      </c>
      <c r="H2775" s="15" t="s">
        <v>23</v>
      </c>
      <c r="I2775" s="9" t="s">
        <v>10897</v>
      </c>
      <c r="J2775" s="13"/>
      <c r="K2775" s="13"/>
    </row>
    <row r="2776" customFormat="false" ht="68.65" hidden="false" customHeight="false" outlineLevel="0" collapsed="false">
      <c r="A2776" s="9" t="n">
        <v>2775</v>
      </c>
      <c r="B2776" s="9" t="s">
        <v>155</v>
      </c>
      <c r="C2776" s="11" t="s">
        <v>156</v>
      </c>
      <c r="D2776" s="9" t="s">
        <v>10898</v>
      </c>
      <c r="E2776" s="9" t="s">
        <v>10899</v>
      </c>
      <c r="F2776" s="9" t="s">
        <v>10900</v>
      </c>
      <c r="G2776" s="9" t="s">
        <v>317</v>
      </c>
      <c r="H2776" s="14" t="s">
        <v>22</v>
      </c>
      <c r="I2776" s="9" t="s">
        <v>10901</v>
      </c>
      <c r="J2776" s="13"/>
      <c r="K2776" s="13"/>
    </row>
    <row r="2777" customFormat="false" ht="35.05" hidden="false" customHeight="false" outlineLevel="0" collapsed="false">
      <c r="A2777" s="9" t="n">
        <v>2776</v>
      </c>
      <c r="B2777" s="9" t="s">
        <v>155</v>
      </c>
      <c r="C2777" s="11" t="s">
        <v>156</v>
      </c>
      <c r="D2777" s="9" t="s">
        <v>10902</v>
      </c>
      <c r="E2777" s="9" t="s">
        <v>10903</v>
      </c>
      <c r="F2777" s="9" t="s">
        <v>10904</v>
      </c>
      <c r="G2777" s="9" t="s">
        <v>308</v>
      </c>
      <c r="H2777" s="14" t="s">
        <v>22</v>
      </c>
      <c r="I2777" s="9" t="s">
        <v>10905</v>
      </c>
      <c r="J2777" s="13"/>
      <c r="K2777" s="13"/>
    </row>
    <row r="2778" customFormat="false" ht="57.45" hidden="false" customHeight="false" outlineLevel="0" collapsed="false">
      <c r="A2778" s="9" t="n">
        <v>2777</v>
      </c>
      <c r="B2778" s="9" t="s">
        <v>155</v>
      </c>
      <c r="C2778" s="11" t="s">
        <v>156</v>
      </c>
      <c r="D2778" s="9" t="s">
        <v>10906</v>
      </c>
      <c r="E2778" s="9" t="s">
        <v>10907</v>
      </c>
      <c r="F2778" s="9" t="s">
        <v>10908</v>
      </c>
      <c r="G2778" s="9" t="s">
        <v>312</v>
      </c>
      <c r="H2778" s="14" t="s">
        <v>22</v>
      </c>
      <c r="I2778" s="9" t="s">
        <v>10909</v>
      </c>
      <c r="J2778" s="13"/>
      <c r="K2778" s="13"/>
    </row>
    <row r="2779" customFormat="false" ht="35.05" hidden="false" customHeight="false" outlineLevel="0" collapsed="false">
      <c r="A2779" s="9" t="n">
        <v>2778</v>
      </c>
      <c r="B2779" s="9" t="s">
        <v>155</v>
      </c>
      <c r="C2779" s="11" t="s">
        <v>156</v>
      </c>
      <c r="D2779" s="9" t="s">
        <v>10910</v>
      </c>
      <c r="E2779" s="9" t="s">
        <v>10911</v>
      </c>
      <c r="F2779" s="9" t="s">
        <v>10912</v>
      </c>
      <c r="G2779" s="9" t="s">
        <v>312</v>
      </c>
      <c r="H2779" s="15" t="s">
        <v>23</v>
      </c>
      <c r="I2779" s="9" t="s">
        <v>10913</v>
      </c>
      <c r="J2779" s="13"/>
      <c r="K2779" s="13"/>
    </row>
    <row r="2780" customFormat="false" ht="46.25" hidden="false" customHeight="false" outlineLevel="0" collapsed="false">
      <c r="A2780" s="9" t="n">
        <v>2779</v>
      </c>
      <c r="B2780" s="9" t="s">
        <v>155</v>
      </c>
      <c r="C2780" s="11" t="s">
        <v>156</v>
      </c>
      <c r="D2780" s="9" t="s">
        <v>10914</v>
      </c>
      <c r="E2780" s="9" t="s">
        <v>10915</v>
      </c>
      <c r="F2780" s="9" t="s">
        <v>10916</v>
      </c>
      <c r="G2780" s="9" t="s">
        <v>1072</v>
      </c>
      <c r="H2780" s="15" t="s">
        <v>23</v>
      </c>
      <c r="I2780" s="9" t="s">
        <v>10917</v>
      </c>
      <c r="J2780" s="13"/>
      <c r="K2780" s="13"/>
    </row>
    <row r="2781" customFormat="false" ht="68.65" hidden="false" customHeight="false" outlineLevel="0" collapsed="false">
      <c r="A2781" s="9" t="n">
        <v>2780</v>
      </c>
      <c r="B2781" s="9" t="s">
        <v>155</v>
      </c>
      <c r="C2781" s="11" t="s">
        <v>156</v>
      </c>
      <c r="D2781" s="9" t="s">
        <v>10918</v>
      </c>
      <c r="E2781" s="9" t="s">
        <v>10919</v>
      </c>
      <c r="F2781" s="9" t="s">
        <v>10920</v>
      </c>
      <c r="G2781" s="9" t="s">
        <v>10921</v>
      </c>
      <c r="H2781" s="14" t="s">
        <v>22</v>
      </c>
      <c r="I2781" s="9" t="s">
        <v>10922</v>
      </c>
      <c r="J2781" s="13"/>
      <c r="K2781" s="13"/>
    </row>
    <row r="2782" customFormat="false" ht="46.25" hidden="false" customHeight="false" outlineLevel="0" collapsed="false">
      <c r="A2782" s="9" t="n">
        <v>2781</v>
      </c>
      <c r="B2782" s="9" t="s">
        <v>155</v>
      </c>
      <c r="C2782" s="11" t="s">
        <v>156</v>
      </c>
      <c r="D2782" s="9" t="s">
        <v>10923</v>
      </c>
      <c r="E2782" s="9" t="s">
        <v>10924</v>
      </c>
      <c r="F2782" s="9" t="s">
        <v>10925</v>
      </c>
      <c r="G2782" s="9" t="s">
        <v>6425</v>
      </c>
      <c r="H2782" s="14" t="s">
        <v>22</v>
      </c>
      <c r="I2782" s="9" t="s">
        <v>10926</v>
      </c>
      <c r="J2782" s="13"/>
      <c r="K2782" s="13"/>
    </row>
    <row r="2783" customFormat="false" ht="35.05" hidden="false" customHeight="false" outlineLevel="0" collapsed="false">
      <c r="A2783" s="9" t="n">
        <v>2782</v>
      </c>
      <c r="B2783" s="9" t="s">
        <v>155</v>
      </c>
      <c r="C2783" s="11" t="s">
        <v>156</v>
      </c>
      <c r="D2783" s="9" t="s">
        <v>10927</v>
      </c>
      <c r="E2783" s="9" t="s">
        <v>10928</v>
      </c>
      <c r="F2783" s="9" t="s">
        <v>10929</v>
      </c>
      <c r="G2783" s="9" t="s">
        <v>312</v>
      </c>
      <c r="H2783" s="15" t="s">
        <v>23</v>
      </c>
      <c r="I2783" s="9" t="s">
        <v>10930</v>
      </c>
      <c r="J2783" s="13"/>
      <c r="K2783" s="13"/>
    </row>
    <row r="2784" customFormat="false" ht="23.85" hidden="false" customHeight="false" outlineLevel="0" collapsed="false">
      <c r="A2784" s="9" t="n">
        <v>2783</v>
      </c>
      <c r="B2784" s="9" t="s">
        <v>155</v>
      </c>
      <c r="C2784" s="11" t="s">
        <v>156</v>
      </c>
      <c r="D2784" s="9" t="s">
        <v>10931</v>
      </c>
      <c r="E2784" s="9" t="s">
        <v>10932</v>
      </c>
      <c r="F2784" s="9" t="s">
        <v>10933</v>
      </c>
      <c r="G2784" s="9" t="s">
        <v>312</v>
      </c>
      <c r="H2784" s="15" t="s">
        <v>23</v>
      </c>
      <c r="I2784" s="9" t="s">
        <v>10934</v>
      </c>
      <c r="J2784" s="13"/>
      <c r="K2784" s="13"/>
    </row>
    <row r="2785" customFormat="false" ht="35.05" hidden="false" customHeight="false" outlineLevel="0" collapsed="false">
      <c r="A2785" s="9" t="n">
        <v>2784</v>
      </c>
      <c r="B2785" s="9" t="s">
        <v>155</v>
      </c>
      <c r="C2785" s="11" t="s">
        <v>156</v>
      </c>
      <c r="D2785" s="9" t="s">
        <v>10935</v>
      </c>
      <c r="E2785" s="9" t="s">
        <v>10936</v>
      </c>
      <c r="F2785" s="9" t="s">
        <v>10937</v>
      </c>
      <c r="G2785" s="9" t="s">
        <v>317</v>
      </c>
      <c r="H2785" s="15" t="s">
        <v>23</v>
      </c>
      <c r="I2785" s="9" t="s">
        <v>10938</v>
      </c>
      <c r="J2785" s="13"/>
      <c r="K2785" s="13"/>
    </row>
    <row r="2786" customFormat="false" ht="35.05" hidden="false" customHeight="false" outlineLevel="0" collapsed="false">
      <c r="A2786" s="9" t="n">
        <v>2785</v>
      </c>
      <c r="B2786" s="9" t="s">
        <v>155</v>
      </c>
      <c r="C2786" s="11" t="s">
        <v>156</v>
      </c>
      <c r="D2786" s="9" t="s">
        <v>10939</v>
      </c>
      <c r="E2786" s="9" t="s">
        <v>10940</v>
      </c>
      <c r="F2786" s="9" t="s">
        <v>10941</v>
      </c>
      <c r="G2786" s="9" t="s">
        <v>1072</v>
      </c>
      <c r="H2786" s="15" t="s">
        <v>23</v>
      </c>
      <c r="I2786" s="9" t="s">
        <v>10942</v>
      </c>
      <c r="J2786" s="13"/>
      <c r="K2786" s="13"/>
    </row>
    <row r="2787" customFormat="false" ht="57.45" hidden="false" customHeight="false" outlineLevel="0" collapsed="false">
      <c r="A2787" s="9" t="n">
        <v>2786</v>
      </c>
      <c r="B2787" s="9" t="s">
        <v>155</v>
      </c>
      <c r="C2787" s="11" t="s">
        <v>156</v>
      </c>
      <c r="D2787" s="9" t="s">
        <v>10943</v>
      </c>
      <c r="E2787" s="9" t="s">
        <v>10944</v>
      </c>
      <c r="F2787" s="9" t="s">
        <v>10945</v>
      </c>
      <c r="G2787" s="9" t="s">
        <v>10946</v>
      </c>
      <c r="H2787" s="15" t="s">
        <v>23</v>
      </c>
      <c r="I2787" s="9" t="s">
        <v>10947</v>
      </c>
      <c r="J2787" s="13"/>
      <c r="K2787" s="13"/>
    </row>
    <row r="2788" customFormat="false" ht="35.05" hidden="false" customHeight="false" outlineLevel="0" collapsed="false">
      <c r="A2788" s="9" t="n">
        <v>2787</v>
      </c>
      <c r="B2788" s="9" t="s">
        <v>155</v>
      </c>
      <c r="C2788" s="11" t="s">
        <v>156</v>
      </c>
      <c r="D2788" s="9" t="s">
        <v>10948</v>
      </c>
      <c r="E2788" s="9" t="s">
        <v>10949</v>
      </c>
      <c r="F2788" s="9" t="s">
        <v>10950</v>
      </c>
      <c r="G2788" s="9" t="s">
        <v>317</v>
      </c>
      <c r="H2788" s="15" t="s">
        <v>23</v>
      </c>
      <c r="I2788" s="9" t="s">
        <v>10951</v>
      </c>
      <c r="J2788" s="13"/>
      <c r="K2788" s="13"/>
    </row>
    <row r="2789" customFormat="false" ht="23.85" hidden="false" customHeight="false" outlineLevel="0" collapsed="false">
      <c r="A2789" s="9" t="n">
        <v>2788</v>
      </c>
      <c r="B2789" s="9" t="s">
        <v>155</v>
      </c>
      <c r="C2789" s="11" t="s">
        <v>156</v>
      </c>
      <c r="D2789" s="9" t="s">
        <v>10952</v>
      </c>
      <c r="E2789" s="9" t="s">
        <v>2094</v>
      </c>
      <c r="F2789" s="9" t="s">
        <v>4608</v>
      </c>
      <c r="G2789" s="9" t="s">
        <v>328</v>
      </c>
      <c r="H2789" s="15" t="s">
        <v>23</v>
      </c>
      <c r="I2789" s="9" t="s">
        <v>2096</v>
      </c>
      <c r="J2789" s="13"/>
      <c r="K2789" s="13"/>
    </row>
    <row r="2790" customFormat="false" ht="46.25" hidden="false" customHeight="false" outlineLevel="0" collapsed="false">
      <c r="A2790" s="9" t="n">
        <v>2789</v>
      </c>
      <c r="B2790" s="9" t="s">
        <v>155</v>
      </c>
      <c r="C2790" s="11" t="s">
        <v>156</v>
      </c>
      <c r="D2790" s="9" t="s">
        <v>10953</v>
      </c>
      <c r="E2790" s="9" t="s">
        <v>10954</v>
      </c>
      <c r="F2790" s="9" t="s">
        <v>10955</v>
      </c>
      <c r="G2790" s="9" t="s">
        <v>24</v>
      </c>
      <c r="H2790" s="12" t="s">
        <v>21</v>
      </c>
      <c r="I2790" s="9" t="s">
        <v>10956</v>
      </c>
      <c r="J2790" s="13"/>
      <c r="K2790" s="13"/>
    </row>
    <row r="2791" customFormat="false" ht="68.65" hidden="false" customHeight="false" outlineLevel="0" collapsed="false">
      <c r="A2791" s="9" t="n">
        <v>2790</v>
      </c>
      <c r="B2791" s="9" t="s">
        <v>155</v>
      </c>
      <c r="C2791" s="11" t="s">
        <v>156</v>
      </c>
      <c r="D2791" s="9" t="s">
        <v>10957</v>
      </c>
      <c r="E2791" s="9" t="s">
        <v>10958</v>
      </c>
      <c r="F2791" s="9" t="s">
        <v>10959</v>
      </c>
      <c r="G2791" s="9" t="s">
        <v>24</v>
      </c>
      <c r="H2791" s="14" t="s">
        <v>22</v>
      </c>
      <c r="I2791" s="9" t="s">
        <v>10960</v>
      </c>
      <c r="J2791" s="13"/>
      <c r="K2791" s="13"/>
    </row>
    <row r="2792" customFormat="false" ht="23.85" hidden="false" customHeight="false" outlineLevel="0" collapsed="false">
      <c r="A2792" s="9" t="n">
        <v>2791</v>
      </c>
      <c r="B2792" s="9" t="s">
        <v>155</v>
      </c>
      <c r="C2792" s="11" t="s">
        <v>156</v>
      </c>
      <c r="D2792" s="9" t="s">
        <v>10961</v>
      </c>
      <c r="E2792" s="9" t="s">
        <v>10962</v>
      </c>
      <c r="F2792" s="9" t="s">
        <v>10963</v>
      </c>
      <c r="G2792" s="9" t="s">
        <v>24</v>
      </c>
      <c r="H2792" s="14" t="s">
        <v>22</v>
      </c>
      <c r="I2792" s="9" t="s">
        <v>10964</v>
      </c>
      <c r="J2792" s="13"/>
      <c r="K2792" s="13"/>
    </row>
    <row r="2793" customFormat="false" ht="23.85" hidden="false" customHeight="false" outlineLevel="0" collapsed="false">
      <c r="A2793" s="9" t="n">
        <v>2792</v>
      </c>
      <c r="B2793" s="9" t="s">
        <v>155</v>
      </c>
      <c r="C2793" s="11" t="s">
        <v>156</v>
      </c>
      <c r="D2793" s="9" t="s">
        <v>10965</v>
      </c>
      <c r="E2793" s="9" t="s">
        <v>10966</v>
      </c>
      <c r="F2793" s="9" t="s">
        <v>10967</v>
      </c>
      <c r="G2793" s="9" t="s">
        <v>24</v>
      </c>
      <c r="H2793" s="14" t="s">
        <v>22</v>
      </c>
      <c r="I2793" s="9" t="s">
        <v>10968</v>
      </c>
      <c r="J2793" s="13"/>
      <c r="K2793" s="13"/>
    </row>
    <row r="2794" customFormat="false" ht="23.85" hidden="false" customHeight="false" outlineLevel="0" collapsed="false">
      <c r="A2794" s="9" t="n">
        <v>2793</v>
      </c>
      <c r="B2794" s="9" t="s">
        <v>155</v>
      </c>
      <c r="C2794" s="11" t="s">
        <v>156</v>
      </c>
      <c r="D2794" s="9" t="s">
        <v>10969</v>
      </c>
      <c r="E2794" s="9" t="s">
        <v>10970</v>
      </c>
      <c r="F2794" s="9" t="s">
        <v>10971</v>
      </c>
      <c r="G2794" s="9" t="s">
        <v>24</v>
      </c>
      <c r="H2794" s="14" t="s">
        <v>22</v>
      </c>
      <c r="I2794" s="9" t="s">
        <v>10972</v>
      </c>
      <c r="J2794" s="13"/>
      <c r="K2794" s="13"/>
    </row>
    <row r="2795" customFormat="false" ht="35.05" hidden="false" customHeight="false" outlineLevel="0" collapsed="false">
      <c r="A2795" s="9" t="n">
        <v>2794</v>
      </c>
      <c r="B2795" s="9" t="s">
        <v>155</v>
      </c>
      <c r="C2795" s="11" t="s">
        <v>156</v>
      </c>
      <c r="D2795" s="9" t="s">
        <v>10973</v>
      </c>
      <c r="E2795" s="9" t="s">
        <v>358</v>
      </c>
      <c r="F2795" s="9" t="s">
        <v>10974</v>
      </c>
      <c r="G2795" s="9" t="s">
        <v>24</v>
      </c>
      <c r="H2795" s="14" t="s">
        <v>22</v>
      </c>
      <c r="I2795" s="9" t="s">
        <v>10975</v>
      </c>
      <c r="J2795" s="13"/>
      <c r="K2795" s="13"/>
    </row>
    <row r="2796" customFormat="false" ht="15" hidden="false" customHeight="false" outlineLevel="0" collapsed="false">
      <c r="A2796" s="9" t="n">
        <v>2795</v>
      </c>
      <c r="B2796" s="9" t="s">
        <v>155</v>
      </c>
      <c r="C2796" s="11" t="s">
        <v>156</v>
      </c>
      <c r="D2796" s="9" t="s">
        <v>10976</v>
      </c>
      <c r="E2796" s="9" t="s">
        <v>362</v>
      </c>
      <c r="F2796" s="9" t="s">
        <v>363</v>
      </c>
      <c r="G2796" s="9" t="s">
        <v>24</v>
      </c>
      <c r="H2796" s="14" t="s">
        <v>22</v>
      </c>
      <c r="I2796" s="9" t="s">
        <v>364</v>
      </c>
      <c r="J2796" s="13"/>
      <c r="K2796" s="13"/>
    </row>
    <row r="2797" customFormat="false" ht="35.05" hidden="false" customHeight="false" outlineLevel="0" collapsed="false">
      <c r="A2797" s="9" t="n">
        <v>2796</v>
      </c>
      <c r="B2797" s="9" t="s">
        <v>155</v>
      </c>
      <c r="C2797" s="11" t="s">
        <v>156</v>
      </c>
      <c r="D2797" s="9" t="s">
        <v>10977</v>
      </c>
      <c r="E2797" s="9" t="s">
        <v>10978</v>
      </c>
      <c r="F2797" s="9" t="s">
        <v>10979</v>
      </c>
      <c r="G2797" s="9" t="s">
        <v>24</v>
      </c>
      <c r="H2797" s="15" t="s">
        <v>23</v>
      </c>
      <c r="I2797" s="9" t="s">
        <v>10980</v>
      </c>
      <c r="J2797" s="13"/>
      <c r="K2797" s="13"/>
    </row>
    <row r="2798" customFormat="false" ht="15" hidden="false" customHeight="false" outlineLevel="0" collapsed="false">
      <c r="A2798" s="9" t="n">
        <v>2797</v>
      </c>
      <c r="B2798" s="9" t="s">
        <v>155</v>
      </c>
      <c r="C2798" s="11" t="s">
        <v>156</v>
      </c>
      <c r="D2798" s="9" t="s">
        <v>10981</v>
      </c>
      <c r="E2798" s="9" t="s">
        <v>10982</v>
      </c>
      <c r="F2798" s="9" t="s">
        <v>10983</v>
      </c>
      <c r="G2798" s="9" t="s">
        <v>24</v>
      </c>
      <c r="H2798" s="15" t="s">
        <v>23</v>
      </c>
      <c r="I2798" s="9" t="s">
        <v>10984</v>
      </c>
      <c r="J2798" s="13"/>
      <c r="K2798" s="13"/>
    </row>
    <row r="2799" customFormat="false" ht="35.05" hidden="false" customHeight="false" outlineLevel="0" collapsed="false">
      <c r="A2799" s="9" t="n">
        <v>2798</v>
      </c>
      <c r="B2799" s="9" t="s">
        <v>155</v>
      </c>
      <c r="C2799" s="11" t="s">
        <v>156</v>
      </c>
      <c r="D2799" s="9" t="s">
        <v>10985</v>
      </c>
      <c r="E2799" s="9" t="s">
        <v>10986</v>
      </c>
      <c r="F2799" s="9" t="s">
        <v>10987</v>
      </c>
      <c r="G2799" s="9" t="s">
        <v>24</v>
      </c>
      <c r="H2799" s="15" t="s">
        <v>23</v>
      </c>
      <c r="I2799" s="9" t="s">
        <v>10988</v>
      </c>
      <c r="J2799" s="13"/>
      <c r="K2799" s="13"/>
    </row>
    <row r="2800" customFormat="false" ht="15" hidden="false" customHeight="false" outlineLevel="0" collapsed="false">
      <c r="A2800" s="9" t="n">
        <v>2799</v>
      </c>
      <c r="B2800" s="9" t="s">
        <v>155</v>
      </c>
      <c r="C2800" s="11" t="s">
        <v>156</v>
      </c>
      <c r="D2800" s="9" t="s">
        <v>10989</v>
      </c>
      <c r="E2800" s="9" t="s">
        <v>10990</v>
      </c>
      <c r="F2800" s="9" t="s">
        <v>445</v>
      </c>
      <c r="G2800" s="9" t="s">
        <v>24</v>
      </c>
      <c r="H2800" s="15" t="s">
        <v>23</v>
      </c>
      <c r="I2800" s="9" t="s">
        <v>10217</v>
      </c>
      <c r="J2800" s="13"/>
      <c r="K2800" s="13"/>
    </row>
    <row r="2801" customFormat="false" ht="15" hidden="false" customHeight="false" outlineLevel="0" collapsed="false">
      <c r="A2801" s="9" t="n">
        <v>2800</v>
      </c>
      <c r="B2801" s="9" t="s">
        <v>155</v>
      </c>
      <c r="C2801" s="11" t="s">
        <v>156</v>
      </c>
      <c r="D2801" s="9" t="s">
        <v>10991</v>
      </c>
      <c r="E2801" s="9" t="s">
        <v>3945</v>
      </c>
      <c r="F2801" s="9" t="s">
        <v>10398</v>
      </c>
      <c r="G2801" s="9" t="s">
        <v>24</v>
      </c>
      <c r="H2801" s="15" t="s">
        <v>23</v>
      </c>
      <c r="I2801" s="9" t="s">
        <v>2846</v>
      </c>
      <c r="J2801" s="13"/>
      <c r="K2801" s="13"/>
    </row>
    <row r="2802" customFormat="false" ht="15" hidden="false" customHeight="false" outlineLevel="0" collapsed="false">
      <c r="A2802" s="9" t="n">
        <v>2801</v>
      </c>
      <c r="B2802" s="9" t="s">
        <v>155</v>
      </c>
      <c r="C2802" s="11" t="s">
        <v>156</v>
      </c>
      <c r="D2802" s="9" t="s">
        <v>10992</v>
      </c>
      <c r="E2802" s="9" t="s">
        <v>358</v>
      </c>
      <c r="F2802" s="9" t="s">
        <v>10993</v>
      </c>
      <c r="G2802" s="9" t="s">
        <v>24</v>
      </c>
      <c r="H2802" s="15" t="s">
        <v>23</v>
      </c>
      <c r="I2802" s="9" t="s">
        <v>10403</v>
      </c>
      <c r="J2802" s="13"/>
      <c r="K2802" s="13"/>
    </row>
    <row r="2803" customFormat="false" ht="79.85" hidden="false" customHeight="false" outlineLevel="0" collapsed="false">
      <c r="A2803" s="9" t="n">
        <v>2802</v>
      </c>
      <c r="B2803" s="9" t="s">
        <v>155</v>
      </c>
      <c r="C2803" s="11" t="s">
        <v>158</v>
      </c>
      <c r="D2803" s="9" t="s">
        <v>10994</v>
      </c>
      <c r="E2803" s="9" t="s">
        <v>10995</v>
      </c>
      <c r="F2803" s="9" t="s">
        <v>10996</v>
      </c>
      <c r="G2803" s="9" t="s">
        <v>3257</v>
      </c>
      <c r="H2803" s="12" t="s">
        <v>21</v>
      </c>
      <c r="I2803" s="9" t="s">
        <v>10997</v>
      </c>
      <c r="J2803" s="13"/>
      <c r="K2803" s="13"/>
    </row>
    <row r="2804" customFormat="false" ht="68.65" hidden="false" customHeight="false" outlineLevel="0" collapsed="false">
      <c r="A2804" s="9" t="n">
        <v>2803</v>
      </c>
      <c r="B2804" s="9" t="s">
        <v>155</v>
      </c>
      <c r="C2804" s="11" t="s">
        <v>158</v>
      </c>
      <c r="D2804" s="9" t="s">
        <v>10998</v>
      </c>
      <c r="E2804" s="9" t="s">
        <v>10999</v>
      </c>
      <c r="F2804" s="9" t="s">
        <v>11000</v>
      </c>
      <c r="G2804" s="9" t="s">
        <v>1072</v>
      </c>
      <c r="H2804" s="12" t="s">
        <v>21</v>
      </c>
      <c r="I2804" s="9" t="s">
        <v>11001</v>
      </c>
      <c r="J2804" s="13"/>
      <c r="K2804" s="13"/>
    </row>
    <row r="2805" customFormat="false" ht="57.45" hidden="false" customHeight="false" outlineLevel="0" collapsed="false">
      <c r="A2805" s="9" t="n">
        <v>2804</v>
      </c>
      <c r="B2805" s="9" t="s">
        <v>155</v>
      </c>
      <c r="C2805" s="11" t="s">
        <v>158</v>
      </c>
      <c r="D2805" s="9" t="s">
        <v>11002</v>
      </c>
      <c r="E2805" s="9" t="s">
        <v>11003</v>
      </c>
      <c r="F2805" s="9" t="s">
        <v>11004</v>
      </c>
      <c r="G2805" s="9" t="s">
        <v>312</v>
      </c>
      <c r="H2805" s="12" t="s">
        <v>21</v>
      </c>
      <c r="I2805" s="9" t="s">
        <v>11005</v>
      </c>
      <c r="J2805" s="13"/>
      <c r="K2805" s="13"/>
    </row>
    <row r="2806" customFormat="false" ht="35.05" hidden="false" customHeight="false" outlineLevel="0" collapsed="false">
      <c r="A2806" s="9" t="n">
        <v>2805</v>
      </c>
      <c r="B2806" s="9" t="s">
        <v>155</v>
      </c>
      <c r="C2806" s="11" t="s">
        <v>158</v>
      </c>
      <c r="D2806" s="9" t="s">
        <v>11006</v>
      </c>
      <c r="E2806" s="9" t="s">
        <v>11007</v>
      </c>
      <c r="F2806" s="9" t="s">
        <v>11008</v>
      </c>
      <c r="G2806" s="9" t="s">
        <v>1072</v>
      </c>
      <c r="H2806" s="14" t="s">
        <v>22</v>
      </c>
      <c r="I2806" s="9" t="s">
        <v>11009</v>
      </c>
      <c r="J2806" s="13"/>
      <c r="K2806" s="13"/>
    </row>
    <row r="2807" customFormat="false" ht="68.65" hidden="false" customHeight="false" outlineLevel="0" collapsed="false">
      <c r="A2807" s="9" t="n">
        <v>2806</v>
      </c>
      <c r="B2807" s="9" t="s">
        <v>155</v>
      </c>
      <c r="C2807" s="11" t="s">
        <v>158</v>
      </c>
      <c r="D2807" s="9" t="s">
        <v>11010</v>
      </c>
      <c r="E2807" s="9" t="s">
        <v>11011</v>
      </c>
      <c r="F2807" s="9" t="s">
        <v>11012</v>
      </c>
      <c r="G2807" s="9" t="s">
        <v>1643</v>
      </c>
      <c r="H2807" s="14" t="s">
        <v>22</v>
      </c>
      <c r="I2807" s="9" t="s">
        <v>11013</v>
      </c>
      <c r="J2807" s="13"/>
      <c r="K2807" s="13"/>
    </row>
    <row r="2808" customFormat="false" ht="57.45" hidden="false" customHeight="false" outlineLevel="0" collapsed="false">
      <c r="A2808" s="9" t="n">
        <v>2807</v>
      </c>
      <c r="B2808" s="9" t="s">
        <v>155</v>
      </c>
      <c r="C2808" s="11" t="s">
        <v>158</v>
      </c>
      <c r="D2808" s="9" t="s">
        <v>11014</v>
      </c>
      <c r="E2808" s="9" t="s">
        <v>11015</v>
      </c>
      <c r="F2808" s="9" t="s">
        <v>11016</v>
      </c>
      <c r="G2808" s="9" t="s">
        <v>1072</v>
      </c>
      <c r="H2808" s="14" t="s">
        <v>22</v>
      </c>
      <c r="I2808" s="9" t="s">
        <v>11017</v>
      </c>
      <c r="J2808" s="13"/>
      <c r="K2808" s="13"/>
    </row>
    <row r="2809" customFormat="false" ht="46.25" hidden="false" customHeight="false" outlineLevel="0" collapsed="false">
      <c r="A2809" s="9" t="n">
        <v>2808</v>
      </c>
      <c r="B2809" s="9" t="s">
        <v>155</v>
      </c>
      <c r="C2809" s="11" t="s">
        <v>158</v>
      </c>
      <c r="D2809" s="9" t="s">
        <v>11018</v>
      </c>
      <c r="E2809" s="9" t="s">
        <v>11019</v>
      </c>
      <c r="F2809" s="9" t="s">
        <v>11020</v>
      </c>
      <c r="G2809" s="9" t="s">
        <v>1072</v>
      </c>
      <c r="H2809" s="14" t="s">
        <v>22</v>
      </c>
      <c r="I2809" s="9" t="s">
        <v>11021</v>
      </c>
      <c r="J2809" s="13"/>
      <c r="K2809" s="13"/>
    </row>
    <row r="2810" customFormat="false" ht="35.05" hidden="false" customHeight="false" outlineLevel="0" collapsed="false">
      <c r="A2810" s="9" t="n">
        <v>2809</v>
      </c>
      <c r="B2810" s="9" t="s">
        <v>155</v>
      </c>
      <c r="C2810" s="11" t="s">
        <v>158</v>
      </c>
      <c r="D2810" s="9" t="s">
        <v>11022</v>
      </c>
      <c r="E2810" s="9" t="s">
        <v>11023</v>
      </c>
      <c r="F2810" s="9" t="s">
        <v>11024</v>
      </c>
      <c r="G2810" s="9" t="s">
        <v>312</v>
      </c>
      <c r="H2810" s="14" t="s">
        <v>22</v>
      </c>
      <c r="I2810" s="9" t="s">
        <v>11025</v>
      </c>
      <c r="J2810" s="13"/>
      <c r="K2810" s="13"/>
    </row>
    <row r="2811" customFormat="false" ht="68.65" hidden="false" customHeight="false" outlineLevel="0" collapsed="false">
      <c r="A2811" s="9" t="n">
        <v>2810</v>
      </c>
      <c r="B2811" s="9" t="s">
        <v>155</v>
      </c>
      <c r="C2811" s="11" t="s">
        <v>158</v>
      </c>
      <c r="D2811" s="9" t="s">
        <v>11026</v>
      </c>
      <c r="E2811" s="9" t="s">
        <v>11027</v>
      </c>
      <c r="F2811" s="9" t="s">
        <v>11028</v>
      </c>
      <c r="G2811" s="9" t="s">
        <v>312</v>
      </c>
      <c r="H2811" s="14" t="s">
        <v>22</v>
      </c>
      <c r="I2811" s="9" t="s">
        <v>11029</v>
      </c>
      <c r="J2811" s="13"/>
      <c r="K2811" s="13"/>
    </row>
    <row r="2812" customFormat="false" ht="46.25" hidden="false" customHeight="false" outlineLevel="0" collapsed="false">
      <c r="A2812" s="9" t="n">
        <v>2811</v>
      </c>
      <c r="B2812" s="9" t="s">
        <v>155</v>
      </c>
      <c r="C2812" s="11" t="s">
        <v>158</v>
      </c>
      <c r="D2812" s="9" t="s">
        <v>11030</v>
      </c>
      <c r="E2812" s="9" t="s">
        <v>11031</v>
      </c>
      <c r="F2812" s="9" t="s">
        <v>11032</v>
      </c>
      <c r="G2812" s="9" t="s">
        <v>312</v>
      </c>
      <c r="H2812" s="14" t="s">
        <v>22</v>
      </c>
      <c r="I2812" s="9" t="s">
        <v>11033</v>
      </c>
      <c r="J2812" s="13"/>
      <c r="K2812" s="13"/>
    </row>
    <row r="2813" customFormat="false" ht="91" hidden="false" customHeight="false" outlineLevel="0" collapsed="false">
      <c r="A2813" s="9" t="n">
        <v>2812</v>
      </c>
      <c r="B2813" s="9" t="s">
        <v>155</v>
      </c>
      <c r="C2813" s="11" t="s">
        <v>158</v>
      </c>
      <c r="D2813" s="9" t="s">
        <v>11034</v>
      </c>
      <c r="E2813" s="9" t="s">
        <v>11035</v>
      </c>
      <c r="F2813" s="9" t="s">
        <v>11036</v>
      </c>
      <c r="G2813" s="9" t="s">
        <v>2044</v>
      </c>
      <c r="H2813" s="14" t="s">
        <v>22</v>
      </c>
      <c r="I2813" s="9" t="s">
        <v>11037</v>
      </c>
      <c r="J2813" s="13"/>
      <c r="K2813" s="13"/>
    </row>
    <row r="2814" customFormat="false" ht="35.05" hidden="false" customHeight="false" outlineLevel="0" collapsed="false">
      <c r="A2814" s="9" t="n">
        <v>2813</v>
      </c>
      <c r="B2814" s="9" t="s">
        <v>155</v>
      </c>
      <c r="C2814" s="11" t="s">
        <v>158</v>
      </c>
      <c r="D2814" s="9" t="s">
        <v>11038</v>
      </c>
      <c r="E2814" s="9" t="s">
        <v>11039</v>
      </c>
      <c r="F2814" s="9" t="s">
        <v>11040</v>
      </c>
      <c r="G2814" s="9" t="s">
        <v>312</v>
      </c>
      <c r="H2814" s="14" t="s">
        <v>22</v>
      </c>
      <c r="I2814" s="9" t="s">
        <v>11041</v>
      </c>
      <c r="J2814" s="13"/>
      <c r="K2814" s="13"/>
    </row>
    <row r="2815" customFormat="false" ht="68.65" hidden="false" customHeight="false" outlineLevel="0" collapsed="false">
      <c r="A2815" s="9" t="n">
        <v>2814</v>
      </c>
      <c r="B2815" s="9" t="s">
        <v>155</v>
      </c>
      <c r="C2815" s="11" t="s">
        <v>158</v>
      </c>
      <c r="D2815" s="9" t="s">
        <v>11042</v>
      </c>
      <c r="E2815" s="9" t="s">
        <v>11043</v>
      </c>
      <c r="F2815" s="9" t="s">
        <v>11044</v>
      </c>
      <c r="G2815" s="9" t="s">
        <v>1072</v>
      </c>
      <c r="H2815" s="14" t="s">
        <v>22</v>
      </c>
      <c r="I2815" s="9" t="s">
        <v>11045</v>
      </c>
      <c r="J2815" s="13"/>
      <c r="K2815" s="13"/>
    </row>
    <row r="2816" customFormat="false" ht="57.45" hidden="false" customHeight="false" outlineLevel="0" collapsed="false">
      <c r="A2816" s="9" t="n">
        <v>2815</v>
      </c>
      <c r="B2816" s="9" t="s">
        <v>155</v>
      </c>
      <c r="C2816" s="11" t="s">
        <v>158</v>
      </c>
      <c r="D2816" s="9" t="s">
        <v>11046</v>
      </c>
      <c r="E2816" s="9" t="s">
        <v>11047</v>
      </c>
      <c r="F2816" s="9" t="s">
        <v>11048</v>
      </c>
      <c r="G2816" s="9" t="s">
        <v>1072</v>
      </c>
      <c r="H2816" s="14" t="s">
        <v>22</v>
      </c>
      <c r="I2816" s="9" t="s">
        <v>11049</v>
      </c>
      <c r="J2816" s="13"/>
      <c r="K2816" s="13"/>
    </row>
    <row r="2817" customFormat="false" ht="124.6" hidden="false" customHeight="false" outlineLevel="0" collapsed="false">
      <c r="A2817" s="9" t="n">
        <v>2816</v>
      </c>
      <c r="B2817" s="9" t="s">
        <v>155</v>
      </c>
      <c r="C2817" s="11" t="s">
        <v>158</v>
      </c>
      <c r="D2817" s="9" t="s">
        <v>11050</v>
      </c>
      <c r="E2817" s="9" t="s">
        <v>11051</v>
      </c>
      <c r="F2817" s="9" t="s">
        <v>11052</v>
      </c>
      <c r="G2817" s="9" t="s">
        <v>1843</v>
      </c>
      <c r="H2817" s="14" t="s">
        <v>22</v>
      </c>
      <c r="I2817" s="9" t="s">
        <v>11053</v>
      </c>
      <c r="J2817" s="13"/>
      <c r="K2817" s="13"/>
    </row>
    <row r="2818" customFormat="false" ht="35.05" hidden="false" customHeight="false" outlineLevel="0" collapsed="false">
      <c r="A2818" s="9" t="n">
        <v>2817</v>
      </c>
      <c r="B2818" s="9" t="s">
        <v>155</v>
      </c>
      <c r="C2818" s="11" t="s">
        <v>158</v>
      </c>
      <c r="D2818" s="9" t="s">
        <v>11054</v>
      </c>
      <c r="E2818" s="9" t="s">
        <v>11055</v>
      </c>
      <c r="F2818" s="9" t="s">
        <v>11056</v>
      </c>
      <c r="G2818" s="9" t="s">
        <v>6425</v>
      </c>
      <c r="H2818" s="14" t="s">
        <v>22</v>
      </c>
      <c r="I2818" s="9" t="s">
        <v>11057</v>
      </c>
      <c r="J2818" s="13"/>
      <c r="K2818" s="13"/>
    </row>
    <row r="2819" customFormat="false" ht="46.25" hidden="false" customHeight="false" outlineLevel="0" collapsed="false">
      <c r="A2819" s="9" t="n">
        <v>2818</v>
      </c>
      <c r="B2819" s="9" t="s">
        <v>155</v>
      </c>
      <c r="C2819" s="11" t="s">
        <v>158</v>
      </c>
      <c r="D2819" s="9" t="s">
        <v>11058</v>
      </c>
      <c r="E2819" s="9" t="s">
        <v>11059</v>
      </c>
      <c r="F2819" s="9" t="s">
        <v>11060</v>
      </c>
      <c r="G2819" s="9" t="s">
        <v>312</v>
      </c>
      <c r="H2819" s="15" t="s">
        <v>23</v>
      </c>
      <c r="I2819" s="9" t="s">
        <v>11061</v>
      </c>
      <c r="J2819" s="13"/>
      <c r="K2819" s="13"/>
    </row>
    <row r="2820" customFormat="false" ht="46.25" hidden="false" customHeight="false" outlineLevel="0" collapsed="false">
      <c r="A2820" s="9" t="n">
        <v>2819</v>
      </c>
      <c r="B2820" s="9" t="s">
        <v>155</v>
      </c>
      <c r="C2820" s="11" t="s">
        <v>158</v>
      </c>
      <c r="D2820" s="9" t="s">
        <v>11062</v>
      </c>
      <c r="E2820" s="9" t="s">
        <v>11063</v>
      </c>
      <c r="F2820" s="9" t="s">
        <v>11064</v>
      </c>
      <c r="G2820" s="9" t="s">
        <v>308</v>
      </c>
      <c r="H2820" s="15" t="s">
        <v>23</v>
      </c>
      <c r="I2820" s="9" t="s">
        <v>11065</v>
      </c>
      <c r="J2820" s="13"/>
      <c r="K2820" s="13"/>
    </row>
    <row r="2821" customFormat="false" ht="23.85" hidden="false" customHeight="false" outlineLevel="0" collapsed="false">
      <c r="A2821" s="9" t="n">
        <v>2820</v>
      </c>
      <c r="B2821" s="9" t="s">
        <v>155</v>
      </c>
      <c r="C2821" s="11" t="s">
        <v>158</v>
      </c>
      <c r="D2821" s="9" t="s">
        <v>11066</v>
      </c>
      <c r="E2821" s="9" t="s">
        <v>11067</v>
      </c>
      <c r="F2821" s="9" t="s">
        <v>11068</v>
      </c>
      <c r="G2821" s="9" t="s">
        <v>312</v>
      </c>
      <c r="H2821" s="15" t="s">
        <v>23</v>
      </c>
      <c r="I2821" s="9" t="s">
        <v>11069</v>
      </c>
      <c r="J2821" s="13"/>
      <c r="K2821" s="13"/>
    </row>
    <row r="2822" customFormat="false" ht="35.05" hidden="false" customHeight="false" outlineLevel="0" collapsed="false">
      <c r="A2822" s="9" t="n">
        <v>2821</v>
      </c>
      <c r="B2822" s="9" t="s">
        <v>155</v>
      </c>
      <c r="C2822" s="11" t="s">
        <v>158</v>
      </c>
      <c r="D2822" s="9" t="s">
        <v>11070</v>
      </c>
      <c r="E2822" s="9" t="s">
        <v>11071</v>
      </c>
      <c r="F2822" s="9" t="s">
        <v>11072</v>
      </c>
      <c r="G2822" s="9" t="s">
        <v>1072</v>
      </c>
      <c r="H2822" s="15" t="s">
        <v>23</v>
      </c>
      <c r="I2822" s="9" t="s">
        <v>11073</v>
      </c>
      <c r="J2822" s="13"/>
      <c r="K2822" s="13"/>
    </row>
    <row r="2823" customFormat="false" ht="35.05" hidden="false" customHeight="false" outlineLevel="0" collapsed="false">
      <c r="A2823" s="9" t="n">
        <v>2822</v>
      </c>
      <c r="B2823" s="9" t="s">
        <v>155</v>
      </c>
      <c r="C2823" s="11" t="s">
        <v>158</v>
      </c>
      <c r="D2823" s="9" t="s">
        <v>11074</v>
      </c>
      <c r="E2823" s="9" t="s">
        <v>11075</v>
      </c>
      <c r="F2823" s="9" t="s">
        <v>11076</v>
      </c>
      <c r="G2823" s="9" t="s">
        <v>312</v>
      </c>
      <c r="H2823" s="15" t="s">
        <v>23</v>
      </c>
      <c r="I2823" s="9" t="s">
        <v>11077</v>
      </c>
      <c r="J2823" s="13"/>
      <c r="K2823" s="13"/>
    </row>
    <row r="2824" customFormat="false" ht="23.85" hidden="false" customHeight="false" outlineLevel="0" collapsed="false">
      <c r="A2824" s="9" t="n">
        <v>2823</v>
      </c>
      <c r="B2824" s="9" t="s">
        <v>155</v>
      </c>
      <c r="C2824" s="11" t="s">
        <v>158</v>
      </c>
      <c r="D2824" s="9" t="s">
        <v>11078</v>
      </c>
      <c r="E2824" s="9" t="s">
        <v>11079</v>
      </c>
      <c r="F2824" s="9" t="s">
        <v>11080</v>
      </c>
      <c r="G2824" s="9" t="s">
        <v>312</v>
      </c>
      <c r="H2824" s="15" t="s">
        <v>23</v>
      </c>
      <c r="I2824" s="9" t="s">
        <v>11081</v>
      </c>
      <c r="J2824" s="13"/>
      <c r="K2824" s="13"/>
    </row>
    <row r="2825" customFormat="false" ht="35.05" hidden="false" customHeight="false" outlineLevel="0" collapsed="false">
      <c r="A2825" s="9" t="n">
        <v>2824</v>
      </c>
      <c r="B2825" s="9" t="s">
        <v>155</v>
      </c>
      <c r="C2825" s="11" t="s">
        <v>158</v>
      </c>
      <c r="D2825" s="9" t="s">
        <v>11082</v>
      </c>
      <c r="E2825" s="9" t="s">
        <v>11083</v>
      </c>
      <c r="F2825" s="9" t="s">
        <v>11084</v>
      </c>
      <c r="G2825" s="9" t="s">
        <v>2044</v>
      </c>
      <c r="H2825" s="15" t="s">
        <v>23</v>
      </c>
      <c r="I2825" s="9" t="s">
        <v>11085</v>
      </c>
      <c r="J2825" s="13"/>
      <c r="K2825" s="13"/>
    </row>
    <row r="2826" customFormat="false" ht="15" hidden="false" customHeight="false" outlineLevel="0" collapsed="false">
      <c r="A2826" s="9" t="n">
        <v>2825</v>
      </c>
      <c r="B2826" s="9" t="s">
        <v>155</v>
      </c>
      <c r="C2826" s="11" t="s">
        <v>158</v>
      </c>
      <c r="D2826" s="9" t="s">
        <v>11086</v>
      </c>
      <c r="E2826" s="9" t="s">
        <v>11087</v>
      </c>
      <c r="F2826" s="9" t="s">
        <v>11088</v>
      </c>
      <c r="G2826" s="9" t="s">
        <v>328</v>
      </c>
      <c r="H2826" s="15" t="s">
        <v>23</v>
      </c>
      <c r="I2826" s="9" t="s">
        <v>11089</v>
      </c>
      <c r="J2826" s="13"/>
      <c r="K2826" s="13"/>
    </row>
    <row r="2827" customFormat="false" ht="23.85" hidden="false" customHeight="false" outlineLevel="0" collapsed="false">
      <c r="A2827" s="9" t="n">
        <v>2826</v>
      </c>
      <c r="B2827" s="9" t="s">
        <v>155</v>
      </c>
      <c r="C2827" s="11" t="s">
        <v>158</v>
      </c>
      <c r="D2827" s="9" t="s">
        <v>11090</v>
      </c>
      <c r="E2827" s="9" t="s">
        <v>11091</v>
      </c>
      <c r="F2827" s="9" t="s">
        <v>11092</v>
      </c>
      <c r="G2827" s="9" t="s">
        <v>328</v>
      </c>
      <c r="H2827" s="15" t="s">
        <v>23</v>
      </c>
      <c r="I2827" s="9" t="s">
        <v>11093</v>
      </c>
      <c r="J2827" s="13"/>
      <c r="K2827" s="13"/>
    </row>
    <row r="2828" customFormat="false" ht="23.85" hidden="false" customHeight="false" outlineLevel="0" collapsed="false">
      <c r="A2828" s="9" t="n">
        <v>2827</v>
      </c>
      <c r="B2828" s="9" t="s">
        <v>155</v>
      </c>
      <c r="C2828" s="11" t="s">
        <v>158</v>
      </c>
      <c r="D2828" s="9" t="s">
        <v>11094</v>
      </c>
      <c r="E2828" s="9" t="s">
        <v>2094</v>
      </c>
      <c r="F2828" s="9" t="s">
        <v>4608</v>
      </c>
      <c r="G2828" s="9" t="s">
        <v>328</v>
      </c>
      <c r="H2828" s="15" t="s">
        <v>23</v>
      </c>
      <c r="I2828" s="9" t="s">
        <v>2298</v>
      </c>
      <c r="J2828" s="13"/>
      <c r="K2828" s="13"/>
    </row>
    <row r="2829" customFormat="false" ht="68.65" hidden="false" customHeight="false" outlineLevel="0" collapsed="false">
      <c r="A2829" s="9" t="n">
        <v>2828</v>
      </c>
      <c r="B2829" s="9" t="s">
        <v>155</v>
      </c>
      <c r="C2829" s="11" t="s">
        <v>158</v>
      </c>
      <c r="D2829" s="9" t="s">
        <v>11095</v>
      </c>
      <c r="E2829" s="9" t="s">
        <v>11096</v>
      </c>
      <c r="F2829" s="9" t="s">
        <v>11097</v>
      </c>
      <c r="G2829" s="9" t="s">
        <v>24</v>
      </c>
      <c r="H2829" s="12" t="s">
        <v>21</v>
      </c>
      <c r="I2829" s="9" t="s">
        <v>11098</v>
      </c>
      <c r="J2829" s="13"/>
      <c r="K2829" s="13"/>
    </row>
    <row r="2830" customFormat="false" ht="35.05" hidden="false" customHeight="false" outlineLevel="0" collapsed="false">
      <c r="A2830" s="9" t="n">
        <v>2829</v>
      </c>
      <c r="B2830" s="9" t="s">
        <v>155</v>
      </c>
      <c r="C2830" s="11" t="s">
        <v>158</v>
      </c>
      <c r="D2830" s="9" t="s">
        <v>11099</v>
      </c>
      <c r="E2830" s="9" t="s">
        <v>11100</v>
      </c>
      <c r="F2830" s="9" t="s">
        <v>11101</v>
      </c>
      <c r="G2830" s="9" t="s">
        <v>24</v>
      </c>
      <c r="H2830" s="14" t="s">
        <v>22</v>
      </c>
      <c r="I2830" s="9" t="s">
        <v>11102</v>
      </c>
      <c r="J2830" s="13"/>
      <c r="K2830" s="13"/>
    </row>
    <row r="2831" customFormat="false" ht="23.85" hidden="false" customHeight="false" outlineLevel="0" collapsed="false">
      <c r="A2831" s="9" t="n">
        <v>2830</v>
      </c>
      <c r="B2831" s="9" t="s">
        <v>155</v>
      </c>
      <c r="C2831" s="11" t="s">
        <v>158</v>
      </c>
      <c r="D2831" s="9" t="s">
        <v>11103</v>
      </c>
      <c r="E2831" s="9" t="s">
        <v>11104</v>
      </c>
      <c r="F2831" s="9" t="s">
        <v>11105</v>
      </c>
      <c r="G2831" s="9" t="s">
        <v>24</v>
      </c>
      <c r="H2831" s="14" t="s">
        <v>22</v>
      </c>
      <c r="I2831" s="9" t="s">
        <v>11106</v>
      </c>
      <c r="J2831" s="13"/>
      <c r="K2831" s="13"/>
    </row>
    <row r="2832" customFormat="false" ht="23.85" hidden="false" customHeight="false" outlineLevel="0" collapsed="false">
      <c r="A2832" s="9" t="n">
        <v>2831</v>
      </c>
      <c r="B2832" s="9" t="s">
        <v>155</v>
      </c>
      <c r="C2832" s="11" t="s">
        <v>158</v>
      </c>
      <c r="D2832" s="9" t="s">
        <v>11107</v>
      </c>
      <c r="E2832" s="9" t="s">
        <v>11108</v>
      </c>
      <c r="F2832" s="9" t="s">
        <v>11109</v>
      </c>
      <c r="G2832" s="9" t="s">
        <v>24</v>
      </c>
      <c r="H2832" s="14" t="s">
        <v>22</v>
      </c>
      <c r="I2832" s="9" t="s">
        <v>11110</v>
      </c>
      <c r="J2832" s="13"/>
      <c r="K2832" s="13"/>
    </row>
    <row r="2833" customFormat="false" ht="35.05" hidden="false" customHeight="false" outlineLevel="0" collapsed="false">
      <c r="A2833" s="9" t="n">
        <v>2832</v>
      </c>
      <c r="B2833" s="9" t="s">
        <v>155</v>
      </c>
      <c r="C2833" s="11" t="s">
        <v>158</v>
      </c>
      <c r="D2833" s="9" t="s">
        <v>11111</v>
      </c>
      <c r="E2833" s="9" t="s">
        <v>358</v>
      </c>
      <c r="F2833" s="9" t="s">
        <v>11112</v>
      </c>
      <c r="G2833" s="9" t="s">
        <v>24</v>
      </c>
      <c r="H2833" s="14" t="s">
        <v>22</v>
      </c>
      <c r="I2833" s="9" t="s">
        <v>479</v>
      </c>
      <c r="J2833" s="13"/>
      <c r="K2833" s="13"/>
    </row>
    <row r="2834" customFormat="false" ht="15" hidden="false" customHeight="false" outlineLevel="0" collapsed="false">
      <c r="A2834" s="9" t="n">
        <v>2833</v>
      </c>
      <c r="B2834" s="9" t="s">
        <v>155</v>
      </c>
      <c r="C2834" s="11" t="s">
        <v>158</v>
      </c>
      <c r="D2834" s="9" t="s">
        <v>11113</v>
      </c>
      <c r="E2834" s="9" t="s">
        <v>362</v>
      </c>
      <c r="F2834" s="9" t="s">
        <v>363</v>
      </c>
      <c r="G2834" s="9" t="s">
        <v>24</v>
      </c>
      <c r="H2834" s="14" t="s">
        <v>22</v>
      </c>
      <c r="I2834" s="9" t="s">
        <v>364</v>
      </c>
      <c r="J2834" s="13"/>
      <c r="K2834" s="13"/>
    </row>
    <row r="2835" customFormat="false" ht="15" hidden="false" customHeight="false" outlineLevel="0" collapsed="false">
      <c r="A2835" s="9" t="n">
        <v>2834</v>
      </c>
      <c r="B2835" s="9" t="s">
        <v>155</v>
      </c>
      <c r="C2835" s="11" t="s">
        <v>158</v>
      </c>
      <c r="D2835" s="9" t="s">
        <v>11114</v>
      </c>
      <c r="E2835" s="9" t="s">
        <v>11115</v>
      </c>
      <c r="F2835" s="9" t="s">
        <v>11116</v>
      </c>
      <c r="G2835" s="9" t="s">
        <v>24</v>
      </c>
      <c r="H2835" s="15" t="s">
        <v>23</v>
      </c>
      <c r="I2835" s="9" t="s">
        <v>11117</v>
      </c>
      <c r="J2835" s="13"/>
      <c r="K2835" s="13"/>
    </row>
    <row r="2836" customFormat="false" ht="23.85" hidden="false" customHeight="false" outlineLevel="0" collapsed="false">
      <c r="A2836" s="9" t="n">
        <v>2835</v>
      </c>
      <c r="B2836" s="9" t="s">
        <v>155</v>
      </c>
      <c r="C2836" s="11" t="s">
        <v>158</v>
      </c>
      <c r="D2836" s="9" t="s">
        <v>11118</v>
      </c>
      <c r="E2836" s="9" t="s">
        <v>11119</v>
      </c>
      <c r="F2836" s="9" t="s">
        <v>11120</v>
      </c>
      <c r="G2836" s="9" t="s">
        <v>24</v>
      </c>
      <c r="H2836" s="15" t="s">
        <v>23</v>
      </c>
      <c r="I2836" s="9" t="s">
        <v>434</v>
      </c>
      <c r="J2836" s="13"/>
      <c r="K2836" s="13"/>
    </row>
    <row r="2837" customFormat="false" ht="23.85" hidden="false" customHeight="false" outlineLevel="0" collapsed="false">
      <c r="A2837" s="9" t="n">
        <v>2836</v>
      </c>
      <c r="B2837" s="9" t="s">
        <v>155</v>
      </c>
      <c r="C2837" s="11" t="s">
        <v>158</v>
      </c>
      <c r="D2837" s="9" t="s">
        <v>11121</v>
      </c>
      <c r="E2837" s="9" t="s">
        <v>11122</v>
      </c>
      <c r="F2837" s="9" t="s">
        <v>11123</v>
      </c>
      <c r="G2837" s="9" t="s">
        <v>24</v>
      </c>
      <c r="H2837" s="15" t="s">
        <v>23</v>
      </c>
      <c r="I2837" s="9" t="s">
        <v>11124</v>
      </c>
      <c r="J2837" s="13"/>
      <c r="K2837" s="13"/>
    </row>
    <row r="2838" customFormat="false" ht="23.85" hidden="false" customHeight="false" outlineLevel="0" collapsed="false">
      <c r="A2838" s="9" t="n">
        <v>2837</v>
      </c>
      <c r="B2838" s="9" t="s">
        <v>155</v>
      </c>
      <c r="C2838" s="11" t="s">
        <v>158</v>
      </c>
      <c r="D2838" s="9" t="s">
        <v>11125</v>
      </c>
      <c r="E2838" s="9" t="s">
        <v>11126</v>
      </c>
      <c r="F2838" s="9" t="s">
        <v>11127</v>
      </c>
      <c r="G2838" s="9" t="s">
        <v>24</v>
      </c>
      <c r="H2838" s="15" t="s">
        <v>23</v>
      </c>
      <c r="I2838" s="9" t="s">
        <v>11128</v>
      </c>
      <c r="J2838" s="13"/>
      <c r="K2838" s="13"/>
    </row>
    <row r="2839" customFormat="false" ht="23.85" hidden="false" customHeight="false" outlineLevel="0" collapsed="false">
      <c r="A2839" s="9" t="n">
        <v>2838</v>
      </c>
      <c r="B2839" s="9" t="s">
        <v>155</v>
      </c>
      <c r="C2839" s="11" t="s">
        <v>158</v>
      </c>
      <c r="D2839" s="9" t="s">
        <v>11129</v>
      </c>
      <c r="E2839" s="9" t="s">
        <v>11130</v>
      </c>
      <c r="F2839" s="9" t="s">
        <v>11131</v>
      </c>
      <c r="G2839" s="9" t="s">
        <v>24</v>
      </c>
      <c r="H2839" s="15" t="s">
        <v>23</v>
      </c>
      <c r="I2839" s="9" t="s">
        <v>11132</v>
      </c>
      <c r="J2839" s="13"/>
      <c r="K2839" s="13"/>
    </row>
    <row r="2840" customFormat="false" ht="15" hidden="false" customHeight="false" outlineLevel="0" collapsed="false">
      <c r="A2840" s="9" t="n">
        <v>2839</v>
      </c>
      <c r="B2840" s="9" t="s">
        <v>155</v>
      </c>
      <c r="C2840" s="11" t="s">
        <v>158</v>
      </c>
      <c r="D2840" s="9" t="s">
        <v>11133</v>
      </c>
      <c r="E2840" s="9" t="s">
        <v>11134</v>
      </c>
      <c r="F2840" s="9" t="s">
        <v>445</v>
      </c>
      <c r="G2840" s="9" t="s">
        <v>24</v>
      </c>
      <c r="H2840" s="15" t="s">
        <v>23</v>
      </c>
      <c r="I2840" s="9" t="s">
        <v>10217</v>
      </c>
      <c r="J2840" s="13"/>
      <c r="K2840" s="13"/>
    </row>
    <row r="2841" customFormat="false" ht="23.85" hidden="false" customHeight="false" outlineLevel="0" collapsed="false">
      <c r="A2841" s="9" t="n">
        <v>2840</v>
      </c>
      <c r="B2841" s="9" t="s">
        <v>155</v>
      </c>
      <c r="C2841" s="11" t="s">
        <v>158</v>
      </c>
      <c r="D2841" s="9" t="s">
        <v>11135</v>
      </c>
      <c r="E2841" s="9" t="s">
        <v>11136</v>
      </c>
      <c r="F2841" s="9" t="s">
        <v>11137</v>
      </c>
      <c r="G2841" s="9" t="s">
        <v>24</v>
      </c>
      <c r="H2841" s="15" t="s">
        <v>23</v>
      </c>
      <c r="I2841" s="9" t="s">
        <v>11138</v>
      </c>
      <c r="J2841" s="13"/>
      <c r="K2841" s="13"/>
    </row>
    <row r="2842" customFormat="false" ht="15" hidden="false" customHeight="false" outlineLevel="0" collapsed="false">
      <c r="A2842" s="9" t="n">
        <v>2841</v>
      </c>
      <c r="B2842" s="9" t="s">
        <v>155</v>
      </c>
      <c r="C2842" s="11" t="s">
        <v>158</v>
      </c>
      <c r="D2842" s="9" t="s">
        <v>11139</v>
      </c>
      <c r="E2842" s="9" t="s">
        <v>11140</v>
      </c>
      <c r="F2842" s="9" t="s">
        <v>10398</v>
      </c>
      <c r="G2842" s="9" t="s">
        <v>24</v>
      </c>
      <c r="H2842" s="15" t="s">
        <v>23</v>
      </c>
      <c r="I2842" s="9" t="s">
        <v>2846</v>
      </c>
      <c r="J2842" s="13"/>
      <c r="K2842" s="13"/>
    </row>
    <row r="2843" customFormat="false" ht="15" hidden="false" customHeight="false" outlineLevel="0" collapsed="false">
      <c r="A2843" s="9" t="n">
        <v>2842</v>
      </c>
      <c r="B2843" s="9" t="s">
        <v>155</v>
      </c>
      <c r="C2843" s="11" t="s">
        <v>158</v>
      </c>
      <c r="D2843" s="9" t="s">
        <v>11141</v>
      </c>
      <c r="E2843" s="9" t="s">
        <v>358</v>
      </c>
      <c r="F2843" s="9" t="s">
        <v>10993</v>
      </c>
      <c r="G2843" s="9" t="s">
        <v>24</v>
      </c>
      <c r="H2843" s="15" t="s">
        <v>23</v>
      </c>
      <c r="I2843" s="9" t="s">
        <v>10403</v>
      </c>
      <c r="J2843" s="13"/>
      <c r="K2843" s="13"/>
    </row>
    <row r="2844" customFormat="false" ht="113.4" hidden="false" customHeight="false" outlineLevel="0" collapsed="false">
      <c r="A2844" s="9" t="n">
        <v>2843</v>
      </c>
      <c r="B2844" s="9" t="s">
        <v>155</v>
      </c>
      <c r="C2844" s="11" t="s">
        <v>160</v>
      </c>
      <c r="D2844" s="9" t="s">
        <v>11142</v>
      </c>
      <c r="E2844" s="9" t="s">
        <v>11143</v>
      </c>
      <c r="F2844" s="9" t="s">
        <v>11144</v>
      </c>
      <c r="G2844" s="9" t="s">
        <v>312</v>
      </c>
      <c r="H2844" s="12" t="s">
        <v>21</v>
      </c>
      <c r="I2844" s="9" t="s">
        <v>11145</v>
      </c>
      <c r="J2844" s="13"/>
      <c r="K2844" s="13"/>
    </row>
    <row r="2845" customFormat="false" ht="46.25" hidden="false" customHeight="false" outlineLevel="0" collapsed="false">
      <c r="A2845" s="9" t="n">
        <v>2844</v>
      </c>
      <c r="B2845" s="9" t="s">
        <v>155</v>
      </c>
      <c r="C2845" s="11" t="s">
        <v>160</v>
      </c>
      <c r="D2845" s="9" t="s">
        <v>11146</v>
      </c>
      <c r="E2845" s="9" t="s">
        <v>11147</v>
      </c>
      <c r="F2845" s="9" t="s">
        <v>11148</v>
      </c>
      <c r="G2845" s="9" t="s">
        <v>6425</v>
      </c>
      <c r="H2845" s="12" t="s">
        <v>21</v>
      </c>
      <c r="I2845" s="9" t="s">
        <v>11149</v>
      </c>
      <c r="J2845" s="13"/>
      <c r="K2845" s="13"/>
    </row>
    <row r="2846" customFormat="false" ht="35.05" hidden="false" customHeight="false" outlineLevel="0" collapsed="false">
      <c r="A2846" s="9" t="n">
        <v>2845</v>
      </c>
      <c r="B2846" s="9" t="s">
        <v>155</v>
      </c>
      <c r="C2846" s="11" t="s">
        <v>160</v>
      </c>
      <c r="D2846" s="9" t="s">
        <v>11150</v>
      </c>
      <c r="E2846" s="9" t="s">
        <v>11151</v>
      </c>
      <c r="F2846" s="9" t="s">
        <v>11152</v>
      </c>
      <c r="G2846" s="9" t="s">
        <v>6425</v>
      </c>
      <c r="H2846" s="14" t="s">
        <v>22</v>
      </c>
      <c r="I2846" s="9" t="s">
        <v>11153</v>
      </c>
      <c r="J2846" s="13"/>
      <c r="K2846" s="13"/>
    </row>
    <row r="2847" customFormat="false" ht="57.45" hidden="false" customHeight="false" outlineLevel="0" collapsed="false">
      <c r="A2847" s="9" t="n">
        <v>2846</v>
      </c>
      <c r="B2847" s="9" t="s">
        <v>155</v>
      </c>
      <c r="C2847" s="11" t="s">
        <v>160</v>
      </c>
      <c r="D2847" s="9" t="s">
        <v>11154</v>
      </c>
      <c r="E2847" s="9" t="s">
        <v>11155</v>
      </c>
      <c r="F2847" s="9" t="s">
        <v>11156</v>
      </c>
      <c r="G2847" s="9" t="s">
        <v>328</v>
      </c>
      <c r="H2847" s="14" t="s">
        <v>22</v>
      </c>
      <c r="I2847" s="9" t="s">
        <v>11157</v>
      </c>
      <c r="J2847" s="13"/>
      <c r="K2847" s="13"/>
    </row>
    <row r="2848" customFormat="false" ht="46.25" hidden="false" customHeight="false" outlineLevel="0" collapsed="false">
      <c r="A2848" s="9" t="n">
        <v>2847</v>
      </c>
      <c r="B2848" s="9" t="s">
        <v>155</v>
      </c>
      <c r="C2848" s="11" t="s">
        <v>160</v>
      </c>
      <c r="D2848" s="9" t="s">
        <v>11158</v>
      </c>
      <c r="E2848" s="9" t="s">
        <v>11159</v>
      </c>
      <c r="F2848" s="9" t="s">
        <v>11160</v>
      </c>
      <c r="G2848" s="9" t="s">
        <v>1072</v>
      </c>
      <c r="H2848" s="14" t="s">
        <v>22</v>
      </c>
      <c r="I2848" s="9" t="s">
        <v>11161</v>
      </c>
      <c r="J2848" s="13"/>
      <c r="K2848" s="13"/>
    </row>
    <row r="2849" customFormat="false" ht="57.45" hidden="false" customHeight="false" outlineLevel="0" collapsed="false">
      <c r="A2849" s="9" t="n">
        <v>2848</v>
      </c>
      <c r="B2849" s="9" t="s">
        <v>155</v>
      </c>
      <c r="C2849" s="11" t="s">
        <v>160</v>
      </c>
      <c r="D2849" s="9" t="s">
        <v>11162</v>
      </c>
      <c r="E2849" s="9" t="s">
        <v>11163</v>
      </c>
      <c r="F2849" s="9" t="s">
        <v>11164</v>
      </c>
      <c r="G2849" s="9" t="s">
        <v>317</v>
      </c>
      <c r="H2849" s="14" t="s">
        <v>22</v>
      </c>
      <c r="I2849" s="9" t="s">
        <v>11165</v>
      </c>
      <c r="J2849" s="13"/>
      <c r="K2849" s="13"/>
    </row>
    <row r="2850" customFormat="false" ht="68.65" hidden="false" customHeight="false" outlineLevel="0" collapsed="false">
      <c r="A2850" s="9" t="n">
        <v>2849</v>
      </c>
      <c r="B2850" s="9" t="s">
        <v>155</v>
      </c>
      <c r="C2850" s="11" t="s">
        <v>160</v>
      </c>
      <c r="D2850" s="9" t="s">
        <v>11166</v>
      </c>
      <c r="E2850" s="9" t="s">
        <v>11167</v>
      </c>
      <c r="F2850" s="9" t="s">
        <v>11168</v>
      </c>
      <c r="G2850" s="9" t="s">
        <v>1072</v>
      </c>
      <c r="H2850" s="14" t="s">
        <v>22</v>
      </c>
      <c r="I2850" s="9" t="s">
        <v>11169</v>
      </c>
      <c r="J2850" s="13"/>
      <c r="K2850" s="13"/>
    </row>
    <row r="2851" customFormat="false" ht="57.45" hidden="false" customHeight="false" outlineLevel="0" collapsed="false">
      <c r="A2851" s="9" t="n">
        <v>2850</v>
      </c>
      <c r="B2851" s="9" t="s">
        <v>155</v>
      </c>
      <c r="C2851" s="11" t="s">
        <v>160</v>
      </c>
      <c r="D2851" s="9" t="s">
        <v>11170</v>
      </c>
      <c r="E2851" s="9" t="s">
        <v>11171</v>
      </c>
      <c r="F2851" s="9" t="s">
        <v>11172</v>
      </c>
      <c r="G2851" s="9" t="s">
        <v>317</v>
      </c>
      <c r="H2851" s="14" t="s">
        <v>22</v>
      </c>
      <c r="I2851" s="9" t="s">
        <v>11173</v>
      </c>
      <c r="J2851" s="13"/>
      <c r="K2851" s="13"/>
    </row>
    <row r="2852" customFormat="false" ht="35.05" hidden="false" customHeight="false" outlineLevel="0" collapsed="false">
      <c r="A2852" s="9" t="n">
        <v>2851</v>
      </c>
      <c r="B2852" s="9" t="s">
        <v>155</v>
      </c>
      <c r="C2852" s="11" t="s">
        <v>160</v>
      </c>
      <c r="D2852" s="9" t="s">
        <v>11174</v>
      </c>
      <c r="E2852" s="9" t="s">
        <v>11175</v>
      </c>
      <c r="F2852" s="9" t="s">
        <v>11176</v>
      </c>
      <c r="G2852" s="9" t="s">
        <v>312</v>
      </c>
      <c r="H2852" s="14" t="s">
        <v>22</v>
      </c>
      <c r="I2852" s="9" t="s">
        <v>11177</v>
      </c>
      <c r="J2852" s="13"/>
      <c r="K2852" s="13"/>
    </row>
    <row r="2853" customFormat="false" ht="68.65" hidden="false" customHeight="false" outlineLevel="0" collapsed="false">
      <c r="A2853" s="9" t="n">
        <v>2852</v>
      </c>
      <c r="B2853" s="9" t="s">
        <v>155</v>
      </c>
      <c r="C2853" s="11" t="s">
        <v>160</v>
      </c>
      <c r="D2853" s="9" t="s">
        <v>11178</v>
      </c>
      <c r="E2853" s="9" t="s">
        <v>11179</v>
      </c>
      <c r="F2853" s="9" t="s">
        <v>11180</v>
      </c>
      <c r="G2853" s="9" t="s">
        <v>317</v>
      </c>
      <c r="H2853" s="14" t="s">
        <v>22</v>
      </c>
      <c r="I2853" s="9" t="s">
        <v>11181</v>
      </c>
      <c r="J2853" s="13"/>
      <c r="K2853" s="13"/>
    </row>
    <row r="2854" customFormat="false" ht="23.85" hidden="false" customHeight="false" outlineLevel="0" collapsed="false">
      <c r="A2854" s="9" t="n">
        <v>2853</v>
      </c>
      <c r="B2854" s="9" t="s">
        <v>155</v>
      </c>
      <c r="C2854" s="11" t="s">
        <v>160</v>
      </c>
      <c r="D2854" s="9" t="s">
        <v>11182</v>
      </c>
      <c r="E2854" s="9" t="s">
        <v>11183</v>
      </c>
      <c r="F2854" s="9" t="s">
        <v>11184</v>
      </c>
      <c r="G2854" s="9" t="s">
        <v>308</v>
      </c>
      <c r="H2854" s="15" t="s">
        <v>23</v>
      </c>
      <c r="I2854" s="9" t="s">
        <v>11185</v>
      </c>
      <c r="J2854" s="13"/>
      <c r="K2854" s="13"/>
    </row>
    <row r="2855" customFormat="false" ht="35.05" hidden="false" customHeight="false" outlineLevel="0" collapsed="false">
      <c r="A2855" s="9" t="n">
        <v>2854</v>
      </c>
      <c r="B2855" s="9" t="s">
        <v>155</v>
      </c>
      <c r="C2855" s="11" t="s">
        <v>160</v>
      </c>
      <c r="D2855" s="9" t="s">
        <v>11186</v>
      </c>
      <c r="E2855" s="9" t="s">
        <v>11187</v>
      </c>
      <c r="F2855" s="9" t="s">
        <v>11188</v>
      </c>
      <c r="G2855" s="9" t="s">
        <v>1072</v>
      </c>
      <c r="H2855" s="15" t="s">
        <v>23</v>
      </c>
      <c r="I2855" s="9" t="s">
        <v>11189</v>
      </c>
      <c r="J2855" s="13"/>
      <c r="K2855" s="13"/>
    </row>
    <row r="2856" customFormat="false" ht="35.05" hidden="false" customHeight="false" outlineLevel="0" collapsed="false">
      <c r="A2856" s="9" t="n">
        <v>2855</v>
      </c>
      <c r="B2856" s="9" t="s">
        <v>155</v>
      </c>
      <c r="C2856" s="11" t="s">
        <v>160</v>
      </c>
      <c r="D2856" s="9" t="s">
        <v>11190</v>
      </c>
      <c r="E2856" s="9" t="s">
        <v>11191</v>
      </c>
      <c r="F2856" s="9" t="s">
        <v>11192</v>
      </c>
      <c r="G2856" s="9" t="s">
        <v>312</v>
      </c>
      <c r="H2856" s="15" t="s">
        <v>23</v>
      </c>
      <c r="I2856" s="9" t="s">
        <v>11193</v>
      </c>
      <c r="J2856" s="13"/>
      <c r="K2856" s="13"/>
    </row>
    <row r="2857" customFormat="false" ht="35.05" hidden="false" customHeight="false" outlineLevel="0" collapsed="false">
      <c r="A2857" s="9" t="n">
        <v>2856</v>
      </c>
      <c r="B2857" s="9" t="s">
        <v>155</v>
      </c>
      <c r="C2857" s="11" t="s">
        <v>160</v>
      </c>
      <c r="D2857" s="9" t="s">
        <v>11194</v>
      </c>
      <c r="E2857" s="9" t="s">
        <v>11195</v>
      </c>
      <c r="F2857" s="9" t="s">
        <v>11196</v>
      </c>
      <c r="G2857" s="9" t="s">
        <v>312</v>
      </c>
      <c r="H2857" s="15" t="s">
        <v>23</v>
      </c>
      <c r="I2857" s="9" t="s">
        <v>11197</v>
      </c>
      <c r="J2857" s="13"/>
      <c r="K2857" s="13"/>
    </row>
    <row r="2858" customFormat="false" ht="35.05" hidden="false" customHeight="false" outlineLevel="0" collapsed="false">
      <c r="A2858" s="9" t="n">
        <v>2857</v>
      </c>
      <c r="B2858" s="9" t="s">
        <v>155</v>
      </c>
      <c r="C2858" s="11" t="s">
        <v>160</v>
      </c>
      <c r="D2858" s="9" t="s">
        <v>11198</v>
      </c>
      <c r="E2858" s="9" t="s">
        <v>11199</v>
      </c>
      <c r="F2858" s="9" t="s">
        <v>11200</v>
      </c>
      <c r="G2858" s="9" t="s">
        <v>328</v>
      </c>
      <c r="H2858" s="15" t="s">
        <v>23</v>
      </c>
      <c r="I2858" s="9" t="s">
        <v>11201</v>
      </c>
      <c r="J2858" s="13"/>
      <c r="K2858" s="13"/>
    </row>
    <row r="2859" customFormat="false" ht="35.05" hidden="false" customHeight="false" outlineLevel="0" collapsed="false">
      <c r="A2859" s="9" t="n">
        <v>2858</v>
      </c>
      <c r="B2859" s="9" t="s">
        <v>155</v>
      </c>
      <c r="C2859" s="11" t="s">
        <v>160</v>
      </c>
      <c r="D2859" s="9" t="s">
        <v>11202</v>
      </c>
      <c r="E2859" s="9" t="s">
        <v>11203</v>
      </c>
      <c r="F2859" s="9" t="s">
        <v>11204</v>
      </c>
      <c r="G2859" s="9" t="s">
        <v>328</v>
      </c>
      <c r="H2859" s="15" t="s">
        <v>23</v>
      </c>
      <c r="I2859" s="9" t="s">
        <v>11205</v>
      </c>
      <c r="J2859" s="13"/>
      <c r="K2859" s="13"/>
    </row>
    <row r="2860" customFormat="false" ht="35.05" hidden="false" customHeight="false" outlineLevel="0" collapsed="false">
      <c r="A2860" s="9" t="n">
        <v>2859</v>
      </c>
      <c r="B2860" s="9" t="s">
        <v>155</v>
      </c>
      <c r="C2860" s="11" t="s">
        <v>160</v>
      </c>
      <c r="D2860" s="9" t="s">
        <v>11206</v>
      </c>
      <c r="E2860" s="9" t="s">
        <v>11207</v>
      </c>
      <c r="F2860" s="9" t="s">
        <v>11208</v>
      </c>
      <c r="G2860" s="9" t="s">
        <v>312</v>
      </c>
      <c r="H2860" s="15" t="s">
        <v>23</v>
      </c>
      <c r="I2860" s="9" t="s">
        <v>11209</v>
      </c>
      <c r="J2860" s="13"/>
      <c r="K2860" s="13"/>
    </row>
    <row r="2861" customFormat="false" ht="35.05" hidden="false" customHeight="false" outlineLevel="0" collapsed="false">
      <c r="A2861" s="9" t="n">
        <v>2860</v>
      </c>
      <c r="B2861" s="9" t="s">
        <v>155</v>
      </c>
      <c r="C2861" s="11" t="s">
        <v>160</v>
      </c>
      <c r="D2861" s="9" t="s">
        <v>11210</v>
      </c>
      <c r="E2861" s="9" t="s">
        <v>11211</v>
      </c>
      <c r="F2861" s="9" t="s">
        <v>11212</v>
      </c>
      <c r="G2861" s="9" t="s">
        <v>6425</v>
      </c>
      <c r="H2861" s="15" t="s">
        <v>23</v>
      </c>
      <c r="I2861" s="9" t="s">
        <v>11213</v>
      </c>
      <c r="J2861" s="13"/>
      <c r="K2861" s="13"/>
    </row>
    <row r="2862" customFormat="false" ht="23.85" hidden="false" customHeight="false" outlineLevel="0" collapsed="false">
      <c r="A2862" s="9" t="n">
        <v>2861</v>
      </c>
      <c r="B2862" s="9" t="s">
        <v>155</v>
      </c>
      <c r="C2862" s="11" t="s">
        <v>160</v>
      </c>
      <c r="D2862" s="9" t="s">
        <v>11214</v>
      </c>
      <c r="E2862" s="9" t="s">
        <v>2094</v>
      </c>
      <c r="F2862" s="9" t="s">
        <v>4608</v>
      </c>
      <c r="G2862" s="9" t="s">
        <v>328</v>
      </c>
      <c r="H2862" s="15" t="s">
        <v>23</v>
      </c>
      <c r="I2862" s="9" t="s">
        <v>2298</v>
      </c>
      <c r="J2862" s="13"/>
      <c r="K2862" s="13"/>
    </row>
    <row r="2863" customFormat="false" ht="23.85" hidden="false" customHeight="false" outlineLevel="0" collapsed="false">
      <c r="A2863" s="9" t="n">
        <v>2862</v>
      </c>
      <c r="B2863" s="9" t="s">
        <v>155</v>
      </c>
      <c r="C2863" s="11" t="s">
        <v>160</v>
      </c>
      <c r="D2863" s="9" t="s">
        <v>11215</v>
      </c>
      <c r="E2863" s="9" t="s">
        <v>11216</v>
      </c>
      <c r="F2863" s="9" t="s">
        <v>11217</v>
      </c>
      <c r="G2863" s="9" t="s">
        <v>24</v>
      </c>
      <c r="H2863" s="12" t="s">
        <v>21</v>
      </c>
      <c r="I2863" s="9" t="s">
        <v>11218</v>
      </c>
      <c r="J2863" s="13"/>
      <c r="K2863" s="13"/>
    </row>
    <row r="2864" customFormat="false" ht="35.05" hidden="false" customHeight="false" outlineLevel="0" collapsed="false">
      <c r="A2864" s="9" t="n">
        <v>2863</v>
      </c>
      <c r="B2864" s="9" t="s">
        <v>155</v>
      </c>
      <c r="C2864" s="11" t="s">
        <v>160</v>
      </c>
      <c r="D2864" s="9" t="s">
        <v>11219</v>
      </c>
      <c r="E2864" s="9" t="s">
        <v>11220</v>
      </c>
      <c r="F2864" s="9" t="s">
        <v>11221</v>
      </c>
      <c r="G2864" s="9" t="s">
        <v>24</v>
      </c>
      <c r="H2864" s="14" t="s">
        <v>22</v>
      </c>
      <c r="I2864" s="9" t="s">
        <v>11222</v>
      </c>
      <c r="J2864" s="13"/>
      <c r="K2864" s="13"/>
    </row>
    <row r="2865" customFormat="false" ht="46.25" hidden="false" customHeight="false" outlineLevel="0" collapsed="false">
      <c r="A2865" s="9" t="n">
        <v>2864</v>
      </c>
      <c r="B2865" s="9" t="s">
        <v>155</v>
      </c>
      <c r="C2865" s="11" t="s">
        <v>160</v>
      </c>
      <c r="D2865" s="9" t="s">
        <v>11223</v>
      </c>
      <c r="E2865" s="9" t="s">
        <v>11224</v>
      </c>
      <c r="F2865" s="9" t="s">
        <v>11225</v>
      </c>
      <c r="G2865" s="9" t="s">
        <v>24</v>
      </c>
      <c r="H2865" s="14" t="s">
        <v>22</v>
      </c>
      <c r="I2865" s="9" t="s">
        <v>11226</v>
      </c>
      <c r="J2865" s="13"/>
      <c r="K2865" s="13"/>
    </row>
    <row r="2866" customFormat="false" ht="23.85" hidden="false" customHeight="false" outlineLevel="0" collapsed="false">
      <c r="A2866" s="9" t="n">
        <v>2865</v>
      </c>
      <c r="B2866" s="9" t="s">
        <v>155</v>
      </c>
      <c r="C2866" s="11" t="s">
        <v>160</v>
      </c>
      <c r="D2866" s="9" t="s">
        <v>11227</v>
      </c>
      <c r="E2866" s="9" t="s">
        <v>11228</v>
      </c>
      <c r="F2866" s="9" t="s">
        <v>11229</v>
      </c>
      <c r="G2866" s="9" t="s">
        <v>24</v>
      </c>
      <c r="H2866" s="14" t="s">
        <v>22</v>
      </c>
      <c r="I2866" s="9" t="s">
        <v>10368</v>
      </c>
      <c r="J2866" s="13"/>
      <c r="K2866" s="13"/>
    </row>
    <row r="2867" customFormat="false" ht="23.85" hidden="false" customHeight="false" outlineLevel="0" collapsed="false">
      <c r="A2867" s="9" t="n">
        <v>2866</v>
      </c>
      <c r="B2867" s="9" t="s">
        <v>155</v>
      </c>
      <c r="C2867" s="11" t="s">
        <v>160</v>
      </c>
      <c r="D2867" s="9" t="s">
        <v>11230</v>
      </c>
      <c r="E2867" s="9" t="s">
        <v>11231</v>
      </c>
      <c r="F2867" s="9" t="s">
        <v>11232</v>
      </c>
      <c r="G2867" s="9" t="s">
        <v>24</v>
      </c>
      <c r="H2867" s="14" t="s">
        <v>22</v>
      </c>
      <c r="I2867" s="9" t="s">
        <v>11233</v>
      </c>
      <c r="J2867" s="13"/>
      <c r="K2867" s="13"/>
    </row>
    <row r="2868" customFormat="false" ht="35.05" hidden="false" customHeight="false" outlineLevel="0" collapsed="false">
      <c r="A2868" s="9" t="n">
        <v>2867</v>
      </c>
      <c r="B2868" s="9" t="s">
        <v>155</v>
      </c>
      <c r="C2868" s="11" t="s">
        <v>160</v>
      </c>
      <c r="D2868" s="9" t="s">
        <v>11234</v>
      </c>
      <c r="E2868" s="9" t="s">
        <v>358</v>
      </c>
      <c r="F2868" s="9" t="s">
        <v>11235</v>
      </c>
      <c r="G2868" s="9" t="s">
        <v>24</v>
      </c>
      <c r="H2868" s="14" t="s">
        <v>22</v>
      </c>
      <c r="I2868" s="9" t="s">
        <v>479</v>
      </c>
      <c r="J2868" s="13"/>
      <c r="K2868" s="13"/>
    </row>
    <row r="2869" customFormat="false" ht="15" hidden="false" customHeight="false" outlineLevel="0" collapsed="false">
      <c r="A2869" s="9" t="n">
        <v>2868</v>
      </c>
      <c r="B2869" s="9" t="s">
        <v>155</v>
      </c>
      <c r="C2869" s="11" t="s">
        <v>160</v>
      </c>
      <c r="D2869" s="9" t="s">
        <v>11236</v>
      </c>
      <c r="E2869" s="9" t="s">
        <v>362</v>
      </c>
      <c r="F2869" s="9" t="s">
        <v>363</v>
      </c>
      <c r="G2869" s="9" t="s">
        <v>24</v>
      </c>
      <c r="H2869" s="14" t="s">
        <v>22</v>
      </c>
      <c r="I2869" s="9" t="s">
        <v>364</v>
      </c>
      <c r="J2869" s="13"/>
      <c r="K2869" s="13"/>
    </row>
    <row r="2870" customFormat="false" ht="23.85" hidden="false" customHeight="false" outlineLevel="0" collapsed="false">
      <c r="A2870" s="9" t="n">
        <v>2869</v>
      </c>
      <c r="B2870" s="9" t="s">
        <v>155</v>
      </c>
      <c r="C2870" s="11" t="s">
        <v>160</v>
      </c>
      <c r="D2870" s="9" t="s">
        <v>11237</v>
      </c>
      <c r="E2870" s="9" t="s">
        <v>11238</v>
      </c>
      <c r="F2870" s="9" t="s">
        <v>11239</v>
      </c>
      <c r="G2870" s="9" t="s">
        <v>24</v>
      </c>
      <c r="H2870" s="15" t="s">
        <v>23</v>
      </c>
      <c r="I2870" s="9" t="s">
        <v>11240</v>
      </c>
      <c r="J2870" s="13"/>
      <c r="K2870" s="13"/>
    </row>
    <row r="2871" customFormat="false" ht="15" hidden="false" customHeight="false" outlineLevel="0" collapsed="false">
      <c r="A2871" s="9" t="n">
        <v>2870</v>
      </c>
      <c r="B2871" s="9" t="s">
        <v>155</v>
      </c>
      <c r="C2871" s="11" t="s">
        <v>160</v>
      </c>
      <c r="D2871" s="9" t="s">
        <v>11241</v>
      </c>
      <c r="E2871" s="9" t="s">
        <v>11242</v>
      </c>
      <c r="F2871" s="9" t="s">
        <v>10983</v>
      </c>
      <c r="G2871" s="9" t="s">
        <v>24</v>
      </c>
      <c r="H2871" s="15" t="s">
        <v>23</v>
      </c>
      <c r="I2871" s="9" t="s">
        <v>10984</v>
      </c>
      <c r="J2871" s="13"/>
      <c r="K2871" s="13"/>
    </row>
    <row r="2872" customFormat="false" ht="15" hidden="false" customHeight="false" outlineLevel="0" collapsed="false">
      <c r="A2872" s="9" t="n">
        <v>2871</v>
      </c>
      <c r="B2872" s="9" t="s">
        <v>155</v>
      </c>
      <c r="C2872" s="11" t="s">
        <v>160</v>
      </c>
      <c r="D2872" s="9" t="s">
        <v>11243</v>
      </c>
      <c r="E2872" s="9" t="s">
        <v>11244</v>
      </c>
      <c r="F2872" s="9" t="s">
        <v>11245</v>
      </c>
      <c r="G2872" s="9" t="s">
        <v>24</v>
      </c>
      <c r="H2872" s="15" t="s">
        <v>23</v>
      </c>
      <c r="I2872" s="9" t="s">
        <v>10217</v>
      </c>
      <c r="J2872" s="13"/>
      <c r="K2872" s="13"/>
    </row>
    <row r="2873" customFormat="false" ht="15" hidden="false" customHeight="false" outlineLevel="0" collapsed="false">
      <c r="A2873" s="9" t="n">
        <v>2872</v>
      </c>
      <c r="B2873" s="9" t="s">
        <v>155</v>
      </c>
      <c r="C2873" s="11" t="s">
        <v>160</v>
      </c>
      <c r="D2873" s="9" t="s">
        <v>11246</v>
      </c>
      <c r="E2873" s="9" t="s">
        <v>11140</v>
      </c>
      <c r="F2873" s="9" t="s">
        <v>10398</v>
      </c>
      <c r="G2873" s="9" t="s">
        <v>24</v>
      </c>
      <c r="H2873" s="15" t="s">
        <v>23</v>
      </c>
      <c r="I2873" s="9" t="s">
        <v>2846</v>
      </c>
      <c r="J2873" s="13"/>
      <c r="K2873" s="13"/>
    </row>
    <row r="2874" customFormat="false" ht="15" hidden="false" customHeight="false" outlineLevel="0" collapsed="false">
      <c r="A2874" s="9" t="n">
        <v>2873</v>
      </c>
      <c r="B2874" s="9" t="s">
        <v>155</v>
      </c>
      <c r="C2874" s="11" t="s">
        <v>160</v>
      </c>
      <c r="D2874" s="9" t="s">
        <v>11247</v>
      </c>
      <c r="E2874" s="9" t="s">
        <v>358</v>
      </c>
      <c r="F2874" s="9" t="s">
        <v>10993</v>
      </c>
      <c r="G2874" s="9" t="s">
        <v>24</v>
      </c>
      <c r="H2874" s="15" t="s">
        <v>23</v>
      </c>
      <c r="I2874" s="9" t="s">
        <v>10403</v>
      </c>
      <c r="J2874" s="13"/>
      <c r="K2874" s="13"/>
    </row>
    <row r="2875" customFormat="false" ht="79.85" hidden="false" customHeight="false" outlineLevel="0" collapsed="false">
      <c r="A2875" s="9" t="n">
        <v>2874</v>
      </c>
      <c r="B2875" s="9" t="s">
        <v>155</v>
      </c>
      <c r="C2875" s="11" t="s">
        <v>162</v>
      </c>
      <c r="D2875" s="9" t="s">
        <v>11248</v>
      </c>
      <c r="E2875" s="9" t="s">
        <v>11249</v>
      </c>
      <c r="F2875" s="9" t="s">
        <v>11250</v>
      </c>
      <c r="G2875" s="9" t="s">
        <v>312</v>
      </c>
      <c r="H2875" s="12" t="s">
        <v>21</v>
      </c>
      <c r="I2875" s="9" t="s">
        <v>11251</v>
      </c>
      <c r="J2875" s="13"/>
      <c r="K2875" s="13"/>
    </row>
    <row r="2876" customFormat="false" ht="57.45" hidden="false" customHeight="false" outlineLevel="0" collapsed="false">
      <c r="A2876" s="9" t="n">
        <v>2875</v>
      </c>
      <c r="B2876" s="9" t="s">
        <v>155</v>
      </c>
      <c r="C2876" s="11" t="s">
        <v>162</v>
      </c>
      <c r="D2876" s="9" t="s">
        <v>11252</v>
      </c>
      <c r="E2876" s="9" t="s">
        <v>11253</v>
      </c>
      <c r="F2876" s="9" t="s">
        <v>11254</v>
      </c>
      <c r="G2876" s="9" t="s">
        <v>312</v>
      </c>
      <c r="H2876" s="12" t="s">
        <v>21</v>
      </c>
      <c r="I2876" s="9" t="s">
        <v>11255</v>
      </c>
      <c r="J2876" s="13"/>
      <c r="K2876" s="13"/>
    </row>
    <row r="2877" customFormat="false" ht="46.25" hidden="false" customHeight="false" outlineLevel="0" collapsed="false">
      <c r="A2877" s="9" t="n">
        <v>2876</v>
      </c>
      <c r="B2877" s="9" t="s">
        <v>155</v>
      </c>
      <c r="C2877" s="11" t="s">
        <v>162</v>
      </c>
      <c r="D2877" s="9" t="s">
        <v>11256</v>
      </c>
      <c r="E2877" s="9" t="s">
        <v>11257</v>
      </c>
      <c r="F2877" s="9" t="s">
        <v>11258</v>
      </c>
      <c r="G2877" s="9" t="s">
        <v>7870</v>
      </c>
      <c r="H2877" s="12" t="s">
        <v>21</v>
      </c>
      <c r="I2877" s="9" t="s">
        <v>11259</v>
      </c>
      <c r="J2877" s="13"/>
      <c r="K2877" s="13"/>
    </row>
    <row r="2878" customFormat="false" ht="57.45" hidden="false" customHeight="false" outlineLevel="0" collapsed="false">
      <c r="A2878" s="9" t="n">
        <v>2877</v>
      </c>
      <c r="B2878" s="9" t="s">
        <v>155</v>
      </c>
      <c r="C2878" s="11" t="s">
        <v>162</v>
      </c>
      <c r="D2878" s="9" t="s">
        <v>11260</v>
      </c>
      <c r="E2878" s="9" t="s">
        <v>11261</v>
      </c>
      <c r="F2878" s="9" t="s">
        <v>11262</v>
      </c>
      <c r="G2878" s="9" t="s">
        <v>312</v>
      </c>
      <c r="H2878" s="14" t="s">
        <v>22</v>
      </c>
      <c r="I2878" s="9" t="s">
        <v>11263</v>
      </c>
      <c r="J2878" s="13"/>
      <c r="K2878" s="13"/>
    </row>
    <row r="2879" customFormat="false" ht="68.65" hidden="false" customHeight="false" outlineLevel="0" collapsed="false">
      <c r="A2879" s="9" t="n">
        <v>2878</v>
      </c>
      <c r="B2879" s="9" t="s">
        <v>155</v>
      </c>
      <c r="C2879" s="11" t="s">
        <v>162</v>
      </c>
      <c r="D2879" s="9" t="s">
        <v>11264</v>
      </c>
      <c r="E2879" s="9" t="s">
        <v>11265</v>
      </c>
      <c r="F2879" s="9" t="s">
        <v>11266</v>
      </c>
      <c r="G2879" s="9" t="s">
        <v>1072</v>
      </c>
      <c r="H2879" s="14" t="s">
        <v>22</v>
      </c>
      <c r="I2879" s="9" t="s">
        <v>11267</v>
      </c>
      <c r="J2879" s="13"/>
      <c r="K2879" s="13"/>
    </row>
    <row r="2880" customFormat="false" ht="79.85" hidden="false" customHeight="false" outlineLevel="0" collapsed="false">
      <c r="A2880" s="9" t="n">
        <v>2879</v>
      </c>
      <c r="B2880" s="9" t="s">
        <v>155</v>
      </c>
      <c r="C2880" s="11" t="s">
        <v>162</v>
      </c>
      <c r="D2880" s="9" t="s">
        <v>11268</v>
      </c>
      <c r="E2880" s="9" t="s">
        <v>11269</v>
      </c>
      <c r="F2880" s="9" t="s">
        <v>11270</v>
      </c>
      <c r="G2880" s="9" t="s">
        <v>11271</v>
      </c>
      <c r="H2880" s="14" t="s">
        <v>22</v>
      </c>
      <c r="I2880" s="9" t="s">
        <v>11272</v>
      </c>
      <c r="J2880" s="13"/>
      <c r="K2880" s="13"/>
    </row>
    <row r="2881" customFormat="false" ht="57.45" hidden="false" customHeight="false" outlineLevel="0" collapsed="false">
      <c r="A2881" s="9" t="n">
        <v>2880</v>
      </c>
      <c r="B2881" s="9" t="s">
        <v>155</v>
      </c>
      <c r="C2881" s="11" t="s">
        <v>162</v>
      </c>
      <c r="D2881" s="9" t="s">
        <v>11273</v>
      </c>
      <c r="E2881" s="9" t="s">
        <v>11274</v>
      </c>
      <c r="F2881" s="9" t="s">
        <v>11275</v>
      </c>
      <c r="G2881" s="9" t="s">
        <v>317</v>
      </c>
      <c r="H2881" s="14" t="s">
        <v>22</v>
      </c>
      <c r="I2881" s="9" t="s">
        <v>11276</v>
      </c>
      <c r="J2881" s="13"/>
      <c r="K2881" s="13"/>
    </row>
    <row r="2882" customFormat="false" ht="46.25" hidden="false" customHeight="false" outlineLevel="0" collapsed="false">
      <c r="A2882" s="9" t="n">
        <v>2881</v>
      </c>
      <c r="B2882" s="9" t="s">
        <v>155</v>
      </c>
      <c r="C2882" s="11" t="s">
        <v>162</v>
      </c>
      <c r="D2882" s="9" t="s">
        <v>11277</v>
      </c>
      <c r="E2882" s="9" t="s">
        <v>11278</v>
      </c>
      <c r="F2882" s="9" t="s">
        <v>11279</v>
      </c>
      <c r="G2882" s="9" t="s">
        <v>1072</v>
      </c>
      <c r="H2882" s="14" t="s">
        <v>22</v>
      </c>
      <c r="I2882" s="9" t="s">
        <v>11280</v>
      </c>
      <c r="J2882" s="13"/>
      <c r="K2882" s="13"/>
    </row>
    <row r="2883" customFormat="false" ht="46.25" hidden="false" customHeight="false" outlineLevel="0" collapsed="false">
      <c r="A2883" s="9" t="n">
        <v>2882</v>
      </c>
      <c r="B2883" s="9" t="s">
        <v>155</v>
      </c>
      <c r="C2883" s="11" t="s">
        <v>162</v>
      </c>
      <c r="D2883" s="9" t="s">
        <v>11281</v>
      </c>
      <c r="E2883" s="9" t="s">
        <v>11282</v>
      </c>
      <c r="F2883" s="9" t="s">
        <v>11283</v>
      </c>
      <c r="G2883" s="9" t="s">
        <v>1421</v>
      </c>
      <c r="H2883" s="14" t="s">
        <v>22</v>
      </c>
      <c r="I2883" s="9" t="s">
        <v>11284</v>
      </c>
      <c r="J2883" s="13"/>
      <c r="K2883" s="13"/>
    </row>
    <row r="2884" customFormat="false" ht="57.45" hidden="false" customHeight="false" outlineLevel="0" collapsed="false">
      <c r="A2884" s="9" t="n">
        <v>2883</v>
      </c>
      <c r="B2884" s="9" t="s">
        <v>155</v>
      </c>
      <c r="C2884" s="11" t="s">
        <v>162</v>
      </c>
      <c r="D2884" s="9" t="s">
        <v>11285</v>
      </c>
      <c r="E2884" s="9" t="s">
        <v>11286</v>
      </c>
      <c r="F2884" s="9" t="s">
        <v>11287</v>
      </c>
      <c r="G2884" s="9" t="s">
        <v>3343</v>
      </c>
      <c r="H2884" s="14" t="s">
        <v>22</v>
      </c>
      <c r="I2884" s="9" t="s">
        <v>11288</v>
      </c>
      <c r="J2884" s="13"/>
      <c r="K2884" s="13"/>
    </row>
    <row r="2885" customFormat="false" ht="79.85" hidden="false" customHeight="false" outlineLevel="0" collapsed="false">
      <c r="A2885" s="9" t="n">
        <v>2884</v>
      </c>
      <c r="B2885" s="9" t="s">
        <v>155</v>
      </c>
      <c r="C2885" s="11" t="s">
        <v>162</v>
      </c>
      <c r="D2885" s="9" t="s">
        <v>11289</v>
      </c>
      <c r="E2885" s="9" t="s">
        <v>11290</v>
      </c>
      <c r="F2885" s="9" t="s">
        <v>11291</v>
      </c>
      <c r="G2885" s="9" t="s">
        <v>852</v>
      </c>
      <c r="H2885" s="14" t="s">
        <v>22</v>
      </c>
      <c r="I2885" s="9" t="s">
        <v>11292</v>
      </c>
      <c r="J2885" s="13"/>
      <c r="K2885" s="13"/>
    </row>
    <row r="2886" customFormat="false" ht="46.25" hidden="false" customHeight="false" outlineLevel="0" collapsed="false">
      <c r="A2886" s="9" t="n">
        <v>2885</v>
      </c>
      <c r="B2886" s="9" t="s">
        <v>155</v>
      </c>
      <c r="C2886" s="11" t="s">
        <v>162</v>
      </c>
      <c r="D2886" s="9" t="s">
        <v>11293</v>
      </c>
      <c r="E2886" s="9" t="s">
        <v>11294</v>
      </c>
      <c r="F2886" s="9" t="s">
        <v>11295</v>
      </c>
      <c r="G2886" s="9" t="s">
        <v>312</v>
      </c>
      <c r="H2886" s="14" t="s">
        <v>22</v>
      </c>
      <c r="I2886" s="9" t="s">
        <v>11296</v>
      </c>
      <c r="J2886" s="13"/>
      <c r="K2886" s="13"/>
    </row>
    <row r="2887" customFormat="false" ht="35.05" hidden="false" customHeight="false" outlineLevel="0" collapsed="false">
      <c r="A2887" s="9" t="n">
        <v>2886</v>
      </c>
      <c r="B2887" s="9" t="s">
        <v>155</v>
      </c>
      <c r="C2887" s="11" t="s">
        <v>162</v>
      </c>
      <c r="D2887" s="9" t="s">
        <v>11297</v>
      </c>
      <c r="E2887" s="9" t="s">
        <v>11298</v>
      </c>
      <c r="F2887" s="9" t="s">
        <v>11299</v>
      </c>
      <c r="G2887" s="9" t="s">
        <v>1604</v>
      </c>
      <c r="H2887" s="14" t="s">
        <v>22</v>
      </c>
      <c r="I2887" s="9" t="s">
        <v>11300</v>
      </c>
      <c r="J2887" s="13"/>
      <c r="K2887" s="13"/>
    </row>
    <row r="2888" customFormat="false" ht="35.05" hidden="false" customHeight="false" outlineLevel="0" collapsed="false">
      <c r="A2888" s="9" t="n">
        <v>2887</v>
      </c>
      <c r="B2888" s="9" t="s">
        <v>155</v>
      </c>
      <c r="C2888" s="11" t="s">
        <v>162</v>
      </c>
      <c r="D2888" s="9" t="s">
        <v>11301</v>
      </c>
      <c r="E2888" s="9" t="s">
        <v>11302</v>
      </c>
      <c r="F2888" s="9" t="s">
        <v>11303</v>
      </c>
      <c r="G2888" s="9" t="s">
        <v>312</v>
      </c>
      <c r="H2888" s="14" t="s">
        <v>22</v>
      </c>
      <c r="I2888" s="9" t="s">
        <v>11304</v>
      </c>
      <c r="J2888" s="13"/>
      <c r="K2888" s="13"/>
    </row>
    <row r="2889" customFormat="false" ht="46.25" hidden="false" customHeight="false" outlineLevel="0" collapsed="false">
      <c r="A2889" s="9" t="n">
        <v>2888</v>
      </c>
      <c r="B2889" s="9" t="s">
        <v>155</v>
      </c>
      <c r="C2889" s="11" t="s">
        <v>162</v>
      </c>
      <c r="D2889" s="9" t="s">
        <v>11305</v>
      </c>
      <c r="E2889" s="9" t="s">
        <v>11306</v>
      </c>
      <c r="F2889" s="9" t="s">
        <v>11307</v>
      </c>
      <c r="G2889" s="9" t="s">
        <v>312</v>
      </c>
      <c r="H2889" s="15" t="s">
        <v>23</v>
      </c>
      <c r="I2889" s="9" t="s">
        <v>11308</v>
      </c>
      <c r="J2889" s="13"/>
      <c r="K2889" s="13"/>
    </row>
    <row r="2890" customFormat="false" ht="23.85" hidden="false" customHeight="false" outlineLevel="0" collapsed="false">
      <c r="A2890" s="9" t="n">
        <v>2889</v>
      </c>
      <c r="B2890" s="9" t="s">
        <v>155</v>
      </c>
      <c r="C2890" s="11" t="s">
        <v>162</v>
      </c>
      <c r="D2890" s="9" t="s">
        <v>11309</v>
      </c>
      <c r="E2890" s="9" t="s">
        <v>11310</v>
      </c>
      <c r="F2890" s="9" t="s">
        <v>11311</v>
      </c>
      <c r="G2890" s="9" t="s">
        <v>328</v>
      </c>
      <c r="H2890" s="15" t="s">
        <v>23</v>
      </c>
      <c r="I2890" s="9" t="s">
        <v>11312</v>
      </c>
      <c r="J2890" s="13"/>
      <c r="K2890" s="13"/>
    </row>
    <row r="2891" customFormat="false" ht="46.25" hidden="false" customHeight="false" outlineLevel="0" collapsed="false">
      <c r="A2891" s="9" t="n">
        <v>2890</v>
      </c>
      <c r="B2891" s="9" t="s">
        <v>155</v>
      </c>
      <c r="C2891" s="11" t="s">
        <v>162</v>
      </c>
      <c r="D2891" s="9" t="s">
        <v>11313</v>
      </c>
      <c r="E2891" s="9" t="s">
        <v>11314</v>
      </c>
      <c r="F2891" s="9" t="s">
        <v>11315</v>
      </c>
      <c r="G2891" s="9" t="s">
        <v>312</v>
      </c>
      <c r="H2891" s="15" t="s">
        <v>23</v>
      </c>
      <c r="I2891" s="9" t="s">
        <v>11316</v>
      </c>
      <c r="J2891" s="13"/>
      <c r="K2891" s="13"/>
    </row>
    <row r="2892" customFormat="false" ht="23.85" hidden="false" customHeight="false" outlineLevel="0" collapsed="false">
      <c r="A2892" s="9" t="n">
        <v>2891</v>
      </c>
      <c r="B2892" s="9" t="s">
        <v>155</v>
      </c>
      <c r="C2892" s="11" t="s">
        <v>162</v>
      </c>
      <c r="D2892" s="9" t="s">
        <v>11317</v>
      </c>
      <c r="E2892" s="9" t="s">
        <v>11318</v>
      </c>
      <c r="F2892" s="9" t="s">
        <v>11319</v>
      </c>
      <c r="G2892" s="9" t="s">
        <v>328</v>
      </c>
      <c r="H2892" s="15" t="s">
        <v>23</v>
      </c>
      <c r="I2892" s="9" t="s">
        <v>11320</v>
      </c>
      <c r="J2892" s="13"/>
      <c r="K2892" s="13"/>
    </row>
    <row r="2893" customFormat="false" ht="23.85" hidden="false" customHeight="false" outlineLevel="0" collapsed="false">
      <c r="A2893" s="9" t="n">
        <v>2892</v>
      </c>
      <c r="B2893" s="9" t="s">
        <v>155</v>
      </c>
      <c r="C2893" s="11" t="s">
        <v>162</v>
      </c>
      <c r="D2893" s="9" t="s">
        <v>11321</v>
      </c>
      <c r="E2893" s="9" t="s">
        <v>11322</v>
      </c>
      <c r="F2893" s="9" t="s">
        <v>11323</v>
      </c>
      <c r="G2893" s="9" t="s">
        <v>328</v>
      </c>
      <c r="H2893" s="15" t="s">
        <v>23</v>
      </c>
      <c r="I2893" s="9" t="s">
        <v>11324</v>
      </c>
      <c r="J2893" s="13"/>
      <c r="K2893" s="13"/>
    </row>
    <row r="2894" customFormat="false" ht="23.85" hidden="false" customHeight="false" outlineLevel="0" collapsed="false">
      <c r="A2894" s="9" t="n">
        <v>2893</v>
      </c>
      <c r="B2894" s="9" t="s">
        <v>155</v>
      </c>
      <c r="C2894" s="11" t="s">
        <v>162</v>
      </c>
      <c r="D2894" s="9" t="s">
        <v>11325</v>
      </c>
      <c r="E2894" s="9" t="s">
        <v>11326</v>
      </c>
      <c r="F2894" s="9" t="s">
        <v>11327</v>
      </c>
      <c r="G2894" s="9" t="s">
        <v>312</v>
      </c>
      <c r="H2894" s="15" t="s">
        <v>23</v>
      </c>
      <c r="I2894" s="9" t="s">
        <v>11328</v>
      </c>
      <c r="J2894" s="13"/>
      <c r="K2894" s="13"/>
    </row>
    <row r="2895" customFormat="false" ht="35.05" hidden="false" customHeight="false" outlineLevel="0" collapsed="false">
      <c r="A2895" s="9" t="n">
        <v>2894</v>
      </c>
      <c r="B2895" s="9" t="s">
        <v>155</v>
      </c>
      <c r="C2895" s="11" t="s">
        <v>162</v>
      </c>
      <c r="D2895" s="9" t="s">
        <v>11329</v>
      </c>
      <c r="E2895" s="9" t="s">
        <v>11330</v>
      </c>
      <c r="F2895" s="9" t="s">
        <v>11331</v>
      </c>
      <c r="G2895" s="9" t="s">
        <v>312</v>
      </c>
      <c r="H2895" s="15" t="s">
        <v>23</v>
      </c>
      <c r="I2895" s="9" t="s">
        <v>11332</v>
      </c>
      <c r="J2895" s="13"/>
      <c r="K2895" s="13"/>
    </row>
    <row r="2896" customFormat="false" ht="46.25" hidden="false" customHeight="false" outlineLevel="0" collapsed="false">
      <c r="A2896" s="9" t="n">
        <v>2895</v>
      </c>
      <c r="B2896" s="9" t="s">
        <v>155</v>
      </c>
      <c r="C2896" s="11" t="s">
        <v>162</v>
      </c>
      <c r="D2896" s="9" t="s">
        <v>11333</v>
      </c>
      <c r="E2896" s="9" t="s">
        <v>11334</v>
      </c>
      <c r="F2896" s="9" t="s">
        <v>11335</v>
      </c>
      <c r="G2896" s="9" t="s">
        <v>6425</v>
      </c>
      <c r="H2896" s="15" t="s">
        <v>23</v>
      </c>
      <c r="I2896" s="9" t="s">
        <v>11336</v>
      </c>
      <c r="J2896" s="13"/>
      <c r="K2896" s="13"/>
    </row>
    <row r="2897" customFormat="false" ht="23.85" hidden="false" customHeight="false" outlineLevel="0" collapsed="false">
      <c r="A2897" s="9" t="n">
        <v>2896</v>
      </c>
      <c r="B2897" s="9" t="s">
        <v>155</v>
      </c>
      <c r="C2897" s="11" t="s">
        <v>162</v>
      </c>
      <c r="D2897" s="9" t="s">
        <v>11337</v>
      </c>
      <c r="E2897" s="9" t="s">
        <v>2094</v>
      </c>
      <c r="F2897" s="9" t="s">
        <v>4608</v>
      </c>
      <c r="G2897" s="9" t="s">
        <v>328</v>
      </c>
      <c r="H2897" s="15" t="s">
        <v>23</v>
      </c>
      <c r="I2897" s="9" t="s">
        <v>2298</v>
      </c>
      <c r="J2897" s="13"/>
      <c r="K2897" s="13"/>
    </row>
    <row r="2898" customFormat="false" ht="57.45" hidden="false" customHeight="false" outlineLevel="0" collapsed="false">
      <c r="A2898" s="9" t="n">
        <v>2897</v>
      </c>
      <c r="B2898" s="9" t="s">
        <v>155</v>
      </c>
      <c r="C2898" s="11" t="s">
        <v>162</v>
      </c>
      <c r="D2898" s="9" t="s">
        <v>11338</v>
      </c>
      <c r="E2898" s="9" t="s">
        <v>11339</v>
      </c>
      <c r="F2898" s="9" t="s">
        <v>11340</v>
      </c>
      <c r="G2898" s="9" t="s">
        <v>24</v>
      </c>
      <c r="H2898" s="12" t="s">
        <v>21</v>
      </c>
      <c r="I2898" s="9" t="s">
        <v>11341</v>
      </c>
      <c r="J2898" s="13"/>
      <c r="K2898" s="13"/>
    </row>
    <row r="2899" customFormat="false" ht="35.05" hidden="false" customHeight="false" outlineLevel="0" collapsed="false">
      <c r="A2899" s="9" t="n">
        <v>2898</v>
      </c>
      <c r="B2899" s="9" t="s">
        <v>155</v>
      </c>
      <c r="C2899" s="11" t="s">
        <v>162</v>
      </c>
      <c r="D2899" s="9" t="s">
        <v>11342</v>
      </c>
      <c r="E2899" s="9" t="s">
        <v>11343</v>
      </c>
      <c r="F2899" s="9" t="s">
        <v>11344</v>
      </c>
      <c r="G2899" s="9" t="s">
        <v>24</v>
      </c>
      <c r="H2899" s="12" t="s">
        <v>21</v>
      </c>
      <c r="I2899" s="9" t="s">
        <v>11345</v>
      </c>
      <c r="J2899" s="13"/>
      <c r="K2899" s="13"/>
    </row>
    <row r="2900" customFormat="false" ht="35.05" hidden="false" customHeight="false" outlineLevel="0" collapsed="false">
      <c r="A2900" s="9" t="n">
        <v>2899</v>
      </c>
      <c r="B2900" s="9" t="s">
        <v>155</v>
      </c>
      <c r="C2900" s="11" t="s">
        <v>162</v>
      </c>
      <c r="D2900" s="9" t="s">
        <v>11346</v>
      </c>
      <c r="E2900" s="9" t="s">
        <v>11347</v>
      </c>
      <c r="F2900" s="9" t="s">
        <v>11348</v>
      </c>
      <c r="G2900" s="9" t="s">
        <v>24</v>
      </c>
      <c r="H2900" s="12" t="s">
        <v>21</v>
      </c>
      <c r="I2900" s="9" t="s">
        <v>11349</v>
      </c>
      <c r="J2900" s="13"/>
      <c r="K2900" s="13"/>
    </row>
    <row r="2901" customFormat="false" ht="23.85" hidden="false" customHeight="false" outlineLevel="0" collapsed="false">
      <c r="A2901" s="9" t="n">
        <v>2900</v>
      </c>
      <c r="B2901" s="9" t="s">
        <v>155</v>
      </c>
      <c r="C2901" s="11" t="s">
        <v>162</v>
      </c>
      <c r="D2901" s="9" t="s">
        <v>11350</v>
      </c>
      <c r="E2901" s="9" t="s">
        <v>11351</v>
      </c>
      <c r="F2901" s="9" t="s">
        <v>11352</v>
      </c>
      <c r="G2901" s="9" t="s">
        <v>24</v>
      </c>
      <c r="H2901" s="12" t="s">
        <v>21</v>
      </c>
      <c r="I2901" s="9" t="s">
        <v>11353</v>
      </c>
      <c r="J2901" s="13"/>
      <c r="K2901" s="13"/>
    </row>
    <row r="2902" customFormat="false" ht="35.05" hidden="false" customHeight="false" outlineLevel="0" collapsed="false">
      <c r="A2902" s="9" t="n">
        <v>2901</v>
      </c>
      <c r="B2902" s="9" t="s">
        <v>155</v>
      </c>
      <c r="C2902" s="11" t="s">
        <v>162</v>
      </c>
      <c r="D2902" s="9" t="s">
        <v>11354</v>
      </c>
      <c r="E2902" s="9" t="s">
        <v>11355</v>
      </c>
      <c r="F2902" s="9" t="s">
        <v>11356</v>
      </c>
      <c r="G2902" s="9" t="s">
        <v>24</v>
      </c>
      <c r="H2902" s="12" t="s">
        <v>21</v>
      </c>
      <c r="I2902" s="9" t="s">
        <v>11357</v>
      </c>
      <c r="J2902" s="13"/>
      <c r="K2902" s="13"/>
    </row>
    <row r="2903" customFormat="false" ht="46.25" hidden="false" customHeight="false" outlineLevel="0" collapsed="false">
      <c r="A2903" s="9" t="n">
        <v>2902</v>
      </c>
      <c r="B2903" s="9" t="s">
        <v>155</v>
      </c>
      <c r="C2903" s="11" t="s">
        <v>162</v>
      </c>
      <c r="D2903" s="9" t="s">
        <v>11358</v>
      </c>
      <c r="E2903" s="9" t="s">
        <v>11359</v>
      </c>
      <c r="F2903" s="9" t="s">
        <v>11360</v>
      </c>
      <c r="G2903" s="9" t="s">
        <v>24</v>
      </c>
      <c r="H2903" s="14" t="s">
        <v>22</v>
      </c>
      <c r="I2903" s="9" t="s">
        <v>11361</v>
      </c>
      <c r="J2903" s="13"/>
      <c r="K2903" s="13"/>
    </row>
    <row r="2904" customFormat="false" ht="46.25" hidden="false" customHeight="false" outlineLevel="0" collapsed="false">
      <c r="A2904" s="9" t="n">
        <v>2903</v>
      </c>
      <c r="B2904" s="9" t="s">
        <v>155</v>
      </c>
      <c r="C2904" s="11" t="s">
        <v>162</v>
      </c>
      <c r="D2904" s="9" t="s">
        <v>11362</v>
      </c>
      <c r="E2904" s="9" t="s">
        <v>11363</v>
      </c>
      <c r="F2904" s="9" t="s">
        <v>11364</v>
      </c>
      <c r="G2904" s="9" t="s">
        <v>24</v>
      </c>
      <c r="H2904" s="14" t="s">
        <v>22</v>
      </c>
      <c r="I2904" s="9" t="s">
        <v>11365</v>
      </c>
      <c r="J2904" s="13"/>
      <c r="K2904" s="13"/>
    </row>
    <row r="2905" customFormat="false" ht="15" hidden="false" customHeight="false" outlineLevel="0" collapsed="false">
      <c r="A2905" s="9" t="n">
        <v>2904</v>
      </c>
      <c r="B2905" s="9" t="s">
        <v>155</v>
      </c>
      <c r="C2905" s="11" t="s">
        <v>162</v>
      </c>
      <c r="D2905" s="9" t="s">
        <v>11366</v>
      </c>
      <c r="E2905" s="9" t="s">
        <v>362</v>
      </c>
      <c r="F2905" s="9" t="s">
        <v>363</v>
      </c>
      <c r="G2905" s="9" t="s">
        <v>24</v>
      </c>
      <c r="H2905" s="14" t="s">
        <v>22</v>
      </c>
      <c r="I2905" s="9" t="s">
        <v>364</v>
      </c>
      <c r="J2905" s="13"/>
      <c r="K2905" s="13"/>
    </row>
    <row r="2906" customFormat="false" ht="23.85" hidden="false" customHeight="false" outlineLevel="0" collapsed="false">
      <c r="A2906" s="9" t="n">
        <v>2905</v>
      </c>
      <c r="B2906" s="9" t="s">
        <v>155</v>
      </c>
      <c r="C2906" s="11" t="s">
        <v>162</v>
      </c>
      <c r="D2906" s="9" t="s">
        <v>11367</v>
      </c>
      <c r="E2906" s="9" t="s">
        <v>11368</v>
      </c>
      <c r="F2906" s="9" t="s">
        <v>11369</v>
      </c>
      <c r="G2906" s="9" t="s">
        <v>24</v>
      </c>
      <c r="H2906" s="14" t="s">
        <v>22</v>
      </c>
      <c r="I2906" s="9" t="s">
        <v>11370</v>
      </c>
      <c r="J2906" s="13"/>
      <c r="K2906" s="13"/>
    </row>
    <row r="2907" customFormat="false" ht="15" hidden="false" customHeight="false" outlineLevel="0" collapsed="false">
      <c r="A2907" s="9" t="n">
        <v>2906</v>
      </c>
      <c r="B2907" s="9" t="s">
        <v>155</v>
      </c>
      <c r="C2907" s="11" t="s">
        <v>162</v>
      </c>
      <c r="D2907" s="9" t="s">
        <v>11371</v>
      </c>
      <c r="E2907" s="9" t="s">
        <v>11372</v>
      </c>
      <c r="F2907" s="9" t="s">
        <v>11373</v>
      </c>
      <c r="G2907" s="9" t="s">
        <v>24</v>
      </c>
      <c r="H2907" s="15" t="s">
        <v>23</v>
      </c>
      <c r="I2907" s="9" t="s">
        <v>11374</v>
      </c>
      <c r="J2907" s="13"/>
      <c r="K2907" s="13"/>
    </row>
    <row r="2908" customFormat="false" ht="23.85" hidden="false" customHeight="false" outlineLevel="0" collapsed="false">
      <c r="A2908" s="9" t="n">
        <v>2907</v>
      </c>
      <c r="B2908" s="9" t="s">
        <v>155</v>
      </c>
      <c r="C2908" s="11" t="s">
        <v>162</v>
      </c>
      <c r="D2908" s="9" t="s">
        <v>11375</v>
      </c>
      <c r="E2908" s="9" t="s">
        <v>11376</v>
      </c>
      <c r="F2908" s="9" t="s">
        <v>11377</v>
      </c>
      <c r="G2908" s="9" t="s">
        <v>24</v>
      </c>
      <c r="H2908" s="15" t="s">
        <v>23</v>
      </c>
      <c r="I2908" s="9" t="s">
        <v>11378</v>
      </c>
      <c r="J2908" s="13"/>
      <c r="K2908" s="13"/>
    </row>
    <row r="2909" customFormat="false" ht="35.05" hidden="false" customHeight="false" outlineLevel="0" collapsed="false">
      <c r="A2909" s="9" t="n">
        <v>2908</v>
      </c>
      <c r="B2909" s="9" t="s">
        <v>155</v>
      </c>
      <c r="C2909" s="11" t="s">
        <v>162</v>
      </c>
      <c r="D2909" s="9" t="s">
        <v>11379</v>
      </c>
      <c r="E2909" s="9" t="s">
        <v>11380</v>
      </c>
      <c r="F2909" s="9" t="s">
        <v>11381</v>
      </c>
      <c r="G2909" s="9" t="s">
        <v>24</v>
      </c>
      <c r="H2909" s="15" t="s">
        <v>23</v>
      </c>
      <c r="I2909" s="9" t="s">
        <v>11382</v>
      </c>
      <c r="J2909" s="13"/>
      <c r="K2909" s="13"/>
    </row>
    <row r="2910" customFormat="false" ht="23.85" hidden="false" customHeight="false" outlineLevel="0" collapsed="false">
      <c r="A2910" s="9" t="n">
        <v>2909</v>
      </c>
      <c r="B2910" s="9" t="s">
        <v>155</v>
      </c>
      <c r="C2910" s="11" t="s">
        <v>162</v>
      </c>
      <c r="D2910" s="9" t="s">
        <v>11383</v>
      </c>
      <c r="E2910" s="9" t="s">
        <v>11384</v>
      </c>
      <c r="F2910" s="9" t="s">
        <v>11385</v>
      </c>
      <c r="G2910" s="9" t="s">
        <v>24</v>
      </c>
      <c r="H2910" s="15" t="s">
        <v>23</v>
      </c>
      <c r="I2910" s="9" t="s">
        <v>11386</v>
      </c>
      <c r="J2910" s="13"/>
      <c r="K2910" s="13"/>
    </row>
    <row r="2911" customFormat="false" ht="23.85" hidden="false" customHeight="false" outlineLevel="0" collapsed="false">
      <c r="A2911" s="9" t="n">
        <v>2910</v>
      </c>
      <c r="B2911" s="9" t="s">
        <v>155</v>
      </c>
      <c r="C2911" s="11" t="s">
        <v>162</v>
      </c>
      <c r="D2911" s="9" t="s">
        <v>11387</v>
      </c>
      <c r="E2911" s="9" t="s">
        <v>9177</v>
      </c>
      <c r="F2911" s="9" t="s">
        <v>11388</v>
      </c>
      <c r="G2911" s="9" t="s">
        <v>24</v>
      </c>
      <c r="H2911" s="15" t="s">
        <v>23</v>
      </c>
      <c r="I2911" s="9" t="s">
        <v>11389</v>
      </c>
      <c r="J2911" s="13"/>
      <c r="K2911" s="13"/>
    </row>
    <row r="2912" customFormat="false" ht="23.85" hidden="false" customHeight="false" outlineLevel="0" collapsed="false">
      <c r="A2912" s="9" t="n">
        <v>2911</v>
      </c>
      <c r="B2912" s="9" t="s">
        <v>155</v>
      </c>
      <c r="C2912" s="11" t="s">
        <v>162</v>
      </c>
      <c r="D2912" s="9" t="s">
        <v>11390</v>
      </c>
      <c r="E2912" s="9" t="s">
        <v>10579</v>
      </c>
      <c r="F2912" s="9" t="s">
        <v>2586</v>
      </c>
      <c r="G2912" s="9" t="s">
        <v>24</v>
      </c>
      <c r="H2912" s="15" t="s">
        <v>23</v>
      </c>
      <c r="I2912" s="9" t="s">
        <v>11391</v>
      </c>
      <c r="J2912" s="13"/>
      <c r="K2912" s="13"/>
    </row>
    <row r="2913" customFormat="false" ht="68.65" hidden="false" customHeight="false" outlineLevel="0" collapsed="false">
      <c r="A2913" s="9" t="n">
        <v>2912</v>
      </c>
      <c r="B2913" s="9" t="s">
        <v>155</v>
      </c>
      <c r="C2913" s="11" t="s">
        <v>164</v>
      </c>
      <c r="D2913" s="9" t="s">
        <v>11392</v>
      </c>
      <c r="E2913" s="9" t="s">
        <v>11393</v>
      </c>
      <c r="F2913" s="9" t="s">
        <v>11394</v>
      </c>
      <c r="G2913" s="9" t="s">
        <v>312</v>
      </c>
      <c r="H2913" s="12" t="s">
        <v>21</v>
      </c>
      <c r="I2913" s="9" t="s">
        <v>11395</v>
      </c>
      <c r="J2913" s="13"/>
      <c r="K2913" s="13"/>
    </row>
    <row r="2914" customFormat="false" ht="68.65" hidden="false" customHeight="false" outlineLevel="0" collapsed="false">
      <c r="A2914" s="9" t="n">
        <v>2913</v>
      </c>
      <c r="B2914" s="9" t="s">
        <v>155</v>
      </c>
      <c r="C2914" s="11" t="s">
        <v>164</v>
      </c>
      <c r="D2914" s="9" t="s">
        <v>11396</v>
      </c>
      <c r="E2914" s="9" t="s">
        <v>11397</v>
      </c>
      <c r="F2914" s="9" t="s">
        <v>11398</v>
      </c>
      <c r="G2914" s="9" t="s">
        <v>312</v>
      </c>
      <c r="H2914" s="12" t="s">
        <v>21</v>
      </c>
      <c r="I2914" s="9" t="s">
        <v>11399</v>
      </c>
      <c r="J2914" s="13"/>
      <c r="K2914" s="13"/>
    </row>
    <row r="2915" customFormat="false" ht="46.25" hidden="false" customHeight="false" outlineLevel="0" collapsed="false">
      <c r="A2915" s="9" t="n">
        <v>2914</v>
      </c>
      <c r="B2915" s="9" t="s">
        <v>155</v>
      </c>
      <c r="C2915" s="11" t="s">
        <v>164</v>
      </c>
      <c r="D2915" s="9" t="s">
        <v>11400</v>
      </c>
      <c r="E2915" s="9" t="s">
        <v>11401</v>
      </c>
      <c r="F2915" s="9" t="s">
        <v>11402</v>
      </c>
      <c r="G2915" s="9" t="s">
        <v>312</v>
      </c>
      <c r="H2915" s="14" t="s">
        <v>22</v>
      </c>
      <c r="I2915" s="9" t="s">
        <v>11403</v>
      </c>
      <c r="J2915" s="13"/>
      <c r="K2915" s="13"/>
    </row>
    <row r="2916" customFormat="false" ht="169.4" hidden="false" customHeight="false" outlineLevel="0" collapsed="false">
      <c r="A2916" s="9" t="n">
        <v>2915</v>
      </c>
      <c r="B2916" s="9" t="s">
        <v>155</v>
      </c>
      <c r="C2916" s="11" t="s">
        <v>164</v>
      </c>
      <c r="D2916" s="9" t="s">
        <v>11404</v>
      </c>
      <c r="E2916" s="9" t="s">
        <v>11405</v>
      </c>
      <c r="F2916" s="9" t="s">
        <v>11406</v>
      </c>
      <c r="G2916" s="9" t="s">
        <v>1349</v>
      </c>
      <c r="H2916" s="12" t="s">
        <v>21</v>
      </c>
      <c r="I2916" s="9" t="s">
        <v>11407</v>
      </c>
      <c r="J2916" s="13"/>
      <c r="K2916" s="13"/>
    </row>
    <row r="2917" customFormat="false" ht="57.45" hidden="false" customHeight="false" outlineLevel="0" collapsed="false">
      <c r="A2917" s="9" t="n">
        <v>2916</v>
      </c>
      <c r="B2917" s="9" t="s">
        <v>155</v>
      </c>
      <c r="C2917" s="11" t="s">
        <v>164</v>
      </c>
      <c r="D2917" s="9" t="s">
        <v>11408</v>
      </c>
      <c r="E2917" s="9" t="s">
        <v>11409</v>
      </c>
      <c r="F2917" s="9" t="s">
        <v>11410</v>
      </c>
      <c r="G2917" s="9" t="s">
        <v>308</v>
      </c>
      <c r="H2917" s="14" t="s">
        <v>22</v>
      </c>
      <c r="I2917" s="9" t="s">
        <v>11411</v>
      </c>
      <c r="J2917" s="13"/>
      <c r="K2917" s="13"/>
    </row>
    <row r="2918" customFormat="false" ht="46.25" hidden="false" customHeight="false" outlineLevel="0" collapsed="false">
      <c r="A2918" s="9" t="n">
        <v>2917</v>
      </c>
      <c r="B2918" s="9" t="s">
        <v>155</v>
      </c>
      <c r="C2918" s="11" t="s">
        <v>164</v>
      </c>
      <c r="D2918" s="9" t="s">
        <v>11412</v>
      </c>
      <c r="E2918" s="9" t="s">
        <v>11413</v>
      </c>
      <c r="F2918" s="9" t="s">
        <v>11414</v>
      </c>
      <c r="G2918" s="9" t="s">
        <v>317</v>
      </c>
      <c r="H2918" s="12" t="s">
        <v>21</v>
      </c>
      <c r="I2918" s="9" t="s">
        <v>11415</v>
      </c>
      <c r="J2918" s="13"/>
      <c r="K2918" s="13"/>
    </row>
    <row r="2919" customFormat="false" ht="79.85" hidden="false" customHeight="false" outlineLevel="0" collapsed="false">
      <c r="A2919" s="9" t="n">
        <v>2918</v>
      </c>
      <c r="B2919" s="9" t="s">
        <v>155</v>
      </c>
      <c r="C2919" s="11" t="s">
        <v>164</v>
      </c>
      <c r="D2919" s="9" t="s">
        <v>11416</v>
      </c>
      <c r="E2919" s="9" t="s">
        <v>11417</v>
      </c>
      <c r="F2919" s="9" t="s">
        <v>11418</v>
      </c>
      <c r="G2919" s="9" t="s">
        <v>1072</v>
      </c>
      <c r="H2919" s="12" t="s">
        <v>21</v>
      </c>
      <c r="I2919" s="9" t="s">
        <v>11419</v>
      </c>
      <c r="J2919" s="13"/>
      <c r="K2919" s="13"/>
    </row>
    <row r="2920" customFormat="false" ht="68.65" hidden="false" customHeight="false" outlineLevel="0" collapsed="false">
      <c r="A2920" s="9" t="n">
        <v>2919</v>
      </c>
      <c r="B2920" s="9" t="s">
        <v>155</v>
      </c>
      <c r="C2920" s="11" t="s">
        <v>164</v>
      </c>
      <c r="D2920" s="9" t="s">
        <v>11420</v>
      </c>
      <c r="E2920" s="9" t="s">
        <v>11421</v>
      </c>
      <c r="F2920" s="9" t="s">
        <v>11422</v>
      </c>
      <c r="G2920" s="9" t="s">
        <v>1072</v>
      </c>
      <c r="H2920" s="14" t="s">
        <v>22</v>
      </c>
      <c r="I2920" s="9" t="s">
        <v>11423</v>
      </c>
      <c r="J2920" s="13"/>
      <c r="K2920" s="13"/>
    </row>
    <row r="2921" customFormat="false" ht="57.45" hidden="false" customHeight="false" outlineLevel="0" collapsed="false">
      <c r="A2921" s="9" t="n">
        <v>2920</v>
      </c>
      <c r="B2921" s="9" t="s">
        <v>155</v>
      </c>
      <c r="C2921" s="11" t="s">
        <v>164</v>
      </c>
      <c r="D2921" s="9" t="s">
        <v>11424</v>
      </c>
      <c r="E2921" s="9" t="s">
        <v>11425</v>
      </c>
      <c r="F2921" s="9" t="s">
        <v>11426</v>
      </c>
      <c r="G2921" s="9" t="s">
        <v>1643</v>
      </c>
      <c r="H2921" s="14" t="s">
        <v>22</v>
      </c>
      <c r="I2921" s="9" t="s">
        <v>11427</v>
      </c>
      <c r="J2921" s="13"/>
      <c r="K2921" s="13"/>
    </row>
    <row r="2922" customFormat="false" ht="46.25" hidden="false" customHeight="false" outlineLevel="0" collapsed="false">
      <c r="A2922" s="9" t="n">
        <v>2921</v>
      </c>
      <c r="B2922" s="9" t="s">
        <v>155</v>
      </c>
      <c r="C2922" s="11" t="s">
        <v>164</v>
      </c>
      <c r="D2922" s="9" t="s">
        <v>11428</v>
      </c>
      <c r="E2922" s="9" t="s">
        <v>11429</v>
      </c>
      <c r="F2922" s="9" t="s">
        <v>11430</v>
      </c>
      <c r="G2922" s="9" t="s">
        <v>1072</v>
      </c>
      <c r="H2922" s="14" t="s">
        <v>22</v>
      </c>
      <c r="I2922" s="9" t="s">
        <v>11431</v>
      </c>
      <c r="J2922" s="13"/>
      <c r="K2922" s="13"/>
    </row>
    <row r="2923" customFormat="false" ht="57.45" hidden="false" customHeight="false" outlineLevel="0" collapsed="false">
      <c r="A2923" s="9" t="n">
        <v>2922</v>
      </c>
      <c r="B2923" s="9" t="s">
        <v>155</v>
      </c>
      <c r="C2923" s="11" t="s">
        <v>164</v>
      </c>
      <c r="D2923" s="9" t="s">
        <v>11432</v>
      </c>
      <c r="E2923" s="9" t="s">
        <v>11433</v>
      </c>
      <c r="F2923" s="9" t="s">
        <v>11434</v>
      </c>
      <c r="G2923" s="9" t="s">
        <v>1072</v>
      </c>
      <c r="H2923" s="14" t="s">
        <v>22</v>
      </c>
      <c r="I2923" s="9" t="s">
        <v>11435</v>
      </c>
      <c r="J2923" s="13"/>
      <c r="K2923" s="13"/>
    </row>
    <row r="2924" customFormat="false" ht="91" hidden="false" customHeight="false" outlineLevel="0" collapsed="false">
      <c r="A2924" s="9" t="n">
        <v>2923</v>
      </c>
      <c r="B2924" s="9" t="s">
        <v>155</v>
      </c>
      <c r="C2924" s="11" t="s">
        <v>164</v>
      </c>
      <c r="D2924" s="9" t="s">
        <v>11436</v>
      </c>
      <c r="E2924" s="9" t="s">
        <v>11437</v>
      </c>
      <c r="F2924" s="9" t="s">
        <v>11438</v>
      </c>
      <c r="G2924" s="9" t="s">
        <v>1072</v>
      </c>
      <c r="H2924" s="12" t="s">
        <v>21</v>
      </c>
      <c r="I2924" s="9" t="s">
        <v>11439</v>
      </c>
      <c r="J2924" s="13"/>
      <c r="K2924" s="13"/>
    </row>
    <row r="2925" customFormat="false" ht="35.05" hidden="false" customHeight="false" outlineLevel="0" collapsed="false">
      <c r="A2925" s="9" t="n">
        <v>2924</v>
      </c>
      <c r="B2925" s="9" t="s">
        <v>155</v>
      </c>
      <c r="C2925" s="11" t="s">
        <v>164</v>
      </c>
      <c r="D2925" s="9" t="s">
        <v>11440</v>
      </c>
      <c r="E2925" s="9" t="s">
        <v>11441</v>
      </c>
      <c r="F2925" s="9" t="s">
        <v>11442</v>
      </c>
      <c r="G2925" s="9" t="s">
        <v>1072</v>
      </c>
      <c r="H2925" s="15" t="s">
        <v>23</v>
      </c>
      <c r="I2925" s="9" t="s">
        <v>11443</v>
      </c>
      <c r="J2925" s="13"/>
      <c r="K2925" s="13"/>
    </row>
    <row r="2926" customFormat="false" ht="57.45" hidden="false" customHeight="false" outlineLevel="0" collapsed="false">
      <c r="A2926" s="9" t="n">
        <v>2925</v>
      </c>
      <c r="B2926" s="9" t="s">
        <v>155</v>
      </c>
      <c r="C2926" s="11" t="s">
        <v>164</v>
      </c>
      <c r="D2926" s="9" t="s">
        <v>11444</v>
      </c>
      <c r="E2926" s="9" t="s">
        <v>11445</v>
      </c>
      <c r="F2926" s="9" t="s">
        <v>11446</v>
      </c>
      <c r="G2926" s="9" t="s">
        <v>312</v>
      </c>
      <c r="H2926" s="15" t="s">
        <v>23</v>
      </c>
      <c r="I2926" s="9" t="s">
        <v>11447</v>
      </c>
      <c r="J2926" s="13"/>
      <c r="K2926" s="13"/>
    </row>
    <row r="2927" customFormat="false" ht="79.85" hidden="false" customHeight="false" outlineLevel="0" collapsed="false">
      <c r="A2927" s="9" t="n">
        <v>2926</v>
      </c>
      <c r="B2927" s="9" t="s">
        <v>155</v>
      </c>
      <c r="C2927" s="11" t="s">
        <v>164</v>
      </c>
      <c r="D2927" s="9" t="s">
        <v>11448</v>
      </c>
      <c r="E2927" s="9" t="s">
        <v>11449</v>
      </c>
      <c r="F2927" s="9" t="s">
        <v>11450</v>
      </c>
      <c r="G2927" s="9" t="s">
        <v>3266</v>
      </c>
      <c r="H2927" s="14" t="s">
        <v>22</v>
      </c>
      <c r="I2927" s="9" t="s">
        <v>11451</v>
      </c>
      <c r="J2927" s="13"/>
      <c r="K2927" s="13"/>
    </row>
    <row r="2928" customFormat="false" ht="91" hidden="false" customHeight="false" outlineLevel="0" collapsed="false">
      <c r="A2928" s="9" t="n">
        <v>2927</v>
      </c>
      <c r="B2928" s="9" t="s">
        <v>155</v>
      </c>
      <c r="C2928" s="11" t="s">
        <v>164</v>
      </c>
      <c r="D2928" s="9" t="s">
        <v>11452</v>
      </c>
      <c r="E2928" s="9" t="s">
        <v>11453</v>
      </c>
      <c r="F2928" s="9" t="s">
        <v>11454</v>
      </c>
      <c r="G2928" s="9" t="s">
        <v>11455</v>
      </c>
      <c r="H2928" s="12" t="s">
        <v>21</v>
      </c>
      <c r="I2928" s="9" t="s">
        <v>11456</v>
      </c>
      <c r="J2928" s="13"/>
      <c r="K2928" s="13"/>
    </row>
    <row r="2929" customFormat="false" ht="46.25" hidden="false" customHeight="false" outlineLevel="0" collapsed="false">
      <c r="A2929" s="9" t="n">
        <v>2928</v>
      </c>
      <c r="B2929" s="9" t="s">
        <v>155</v>
      </c>
      <c r="C2929" s="11" t="s">
        <v>164</v>
      </c>
      <c r="D2929" s="9" t="s">
        <v>11457</v>
      </c>
      <c r="E2929" s="9" t="s">
        <v>11458</v>
      </c>
      <c r="F2929" s="9" t="s">
        <v>11459</v>
      </c>
      <c r="G2929" s="9" t="s">
        <v>11460</v>
      </c>
      <c r="H2929" s="14" t="s">
        <v>22</v>
      </c>
      <c r="I2929" s="9" t="s">
        <v>11461</v>
      </c>
      <c r="J2929" s="13"/>
      <c r="K2929" s="13"/>
    </row>
    <row r="2930" customFormat="false" ht="57.45" hidden="false" customHeight="false" outlineLevel="0" collapsed="false">
      <c r="A2930" s="9" t="n">
        <v>2929</v>
      </c>
      <c r="B2930" s="9" t="s">
        <v>155</v>
      </c>
      <c r="C2930" s="11" t="s">
        <v>164</v>
      </c>
      <c r="D2930" s="9" t="s">
        <v>11462</v>
      </c>
      <c r="E2930" s="9" t="s">
        <v>11463</v>
      </c>
      <c r="F2930" s="9" t="s">
        <v>11464</v>
      </c>
      <c r="G2930" s="9" t="s">
        <v>3266</v>
      </c>
      <c r="H2930" s="14" t="s">
        <v>22</v>
      </c>
      <c r="I2930" s="9" t="s">
        <v>11465</v>
      </c>
      <c r="J2930" s="13"/>
      <c r="K2930" s="13"/>
    </row>
    <row r="2931" customFormat="false" ht="57.45" hidden="false" customHeight="false" outlineLevel="0" collapsed="false">
      <c r="A2931" s="9" t="n">
        <v>2930</v>
      </c>
      <c r="B2931" s="9" t="s">
        <v>155</v>
      </c>
      <c r="C2931" s="11" t="s">
        <v>164</v>
      </c>
      <c r="D2931" s="9" t="s">
        <v>11466</v>
      </c>
      <c r="E2931" s="9" t="s">
        <v>11467</v>
      </c>
      <c r="F2931" s="9" t="s">
        <v>11468</v>
      </c>
      <c r="G2931" s="9" t="s">
        <v>2044</v>
      </c>
      <c r="H2931" s="14" t="s">
        <v>22</v>
      </c>
      <c r="I2931" s="9" t="s">
        <v>11469</v>
      </c>
      <c r="J2931" s="13"/>
      <c r="K2931" s="13"/>
    </row>
    <row r="2932" customFormat="false" ht="35.05" hidden="false" customHeight="false" outlineLevel="0" collapsed="false">
      <c r="A2932" s="9" t="n">
        <v>2931</v>
      </c>
      <c r="B2932" s="9" t="s">
        <v>155</v>
      </c>
      <c r="C2932" s="11" t="s">
        <v>164</v>
      </c>
      <c r="D2932" s="9" t="s">
        <v>11470</v>
      </c>
      <c r="E2932" s="9" t="s">
        <v>11471</v>
      </c>
      <c r="F2932" s="9" t="s">
        <v>11472</v>
      </c>
      <c r="G2932" s="9" t="s">
        <v>11473</v>
      </c>
      <c r="H2932" s="15" t="s">
        <v>23</v>
      </c>
      <c r="I2932" s="9" t="s">
        <v>11474</v>
      </c>
      <c r="J2932" s="13"/>
      <c r="K2932" s="13"/>
    </row>
    <row r="2933" customFormat="false" ht="46.25" hidden="false" customHeight="false" outlineLevel="0" collapsed="false">
      <c r="A2933" s="9" t="n">
        <v>2932</v>
      </c>
      <c r="B2933" s="9" t="s">
        <v>155</v>
      </c>
      <c r="C2933" s="11" t="s">
        <v>164</v>
      </c>
      <c r="D2933" s="9" t="s">
        <v>11475</v>
      </c>
      <c r="E2933" s="9" t="s">
        <v>11476</v>
      </c>
      <c r="F2933" s="9" t="s">
        <v>11477</v>
      </c>
      <c r="G2933" s="9" t="s">
        <v>1072</v>
      </c>
      <c r="H2933" s="14" t="s">
        <v>22</v>
      </c>
      <c r="I2933" s="9" t="s">
        <v>11478</v>
      </c>
      <c r="J2933" s="13"/>
      <c r="K2933" s="13"/>
    </row>
    <row r="2934" customFormat="false" ht="57.45" hidden="false" customHeight="false" outlineLevel="0" collapsed="false">
      <c r="A2934" s="9" t="n">
        <v>2933</v>
      </c>
      <c r="B2934" s="9" t="s">
        <v>155</v>
      </c>
      <c r="C2934" s="11" t="s">
        <v>164</v>
      </c>
      <c r="D2934" s="9" t="s">
        <v>11479</v>
      </c>
      <c r="E2934" s="9" t="s">
        <v>11480</v>
      </c>
      <c r="F2934" s="9" t="s">
        <v>11481</v>
      </c>
      <c r="G2934" s="9" t="s">
        <v>3266</v>
      </c>
      <c r="H2934" s="14" t="s">
        <v>22</v>
      </c>
      <c r="I2934" s="9" t="s">
        <v>11482</v>
      </c>
      <c r="J2934" s="13"/>
      <c r="K2934" s="13"/>
    </row>
    <row r="2935" customFormat="false" ht="46.25" hidden="false" customHeight="false" outlineLevel="0" collapsed="false">
      <c r="A2935" s="9" t="n">
        <v>2934</v>
      </c>
      <c r="B2935" s="9" t="s">
        <v>155</v>
      </c>
      <c r="C2935" s="11" t="s">
        <v>164</v>
      </c>
      <c r="D2935" s="9" t="s">
        <v>11483</v>
      </c>
      <c r="E2935" s="9" t="s">
        <v>11484</v>
      </c>
      <c r="F2935" s="9" t="s">
        <v>11485</v>
      </c>
      <c r="G2935" s="9" t="s">
        <v>312</v>
      </c>
      <c r="H2935" s="14" t="s">
        <v>22</v>
      </c>
      <c r="I2935" s="9" t="s">
        <v>11486</v>
      </c>
      <c r="J2935" s="13"/>
      <c r="K2935" s="13"/>
    </row>
    <row r="2936" customFormat="false" ht="35.05" hidden="false" customHeight="false" outlineLevel="0" collapsed="false">
      <c r="A2936" s="9" t="n">
        <v>2935</v>
      </c>
      <c r="B2936" s="9" t="s">
        <v>155</v>
      </c>
      <c r="C2936" s="11" t="s">
        <v>164</v>
      </c>
      <c r="D2936" s="9" t="s">
        <v>11487</v>
      </c>
      <c r="E2936" s="9" t="s">
        <v>11488</v>
      </c>
      <c r="F2936" s="9" t="s">
        <v>11489</v>
      </c>
      <c r="G2936" s="9" t="s">
        <v>11490</v>
      </c>
      <c r="H2936" s="14" t="s">
        <v>22</v>
      </c>
      <c r="I2936" s="9" t="s">
        <v>11491</v>
      </c>
      <c r="J2936" s="13"/>
      <c r="K2936" s="13"/>
    </row>
    <row r="2937" customFormat="false" ht="46.25" hidden="false" customHeight="false" outlineLevel="0" collapsed="false">
      <c r="A2937" s="9" t="n">
        <v>2936</v>
      </c>
      <c r="B2937" s="9" t="s">
        <v>155</v>
      </c>
      <c r="C2937" s="11" t="s">
        <v>164</v>
      </c>
      <c r="D2937" s="9" t="s">
        <v>11492</v>
      </c>
      <c r="E2937" s="9" t="s">
        <v>11493</v>
      </c>
      <c r="F2937" s="9" t="s">
        <v>11494</v>
      </c>
      <c r="G2937" s="9" t="s">
        <v>11490</v>
      </c>
      <c r="H2937" s="15" t="s">
        <v>23</v>
      </c>
      <c r="I2937" s="9" t="s">
        <v>11495</v>
      </c>
      <c r="J2937" s="13"/>
      <c r="K2937" s="13"/>
    </row>
    <row r="2938" customFormat="false" ht="23.85" hidden="false" customHeight="false" outlineLevel="0" collapsed="false">
      <c r="A2938" s="9" t="n">
        <v>2937</v>
      </c>
      <c r="B2938" s="9" t="s">
        <v>155</v>
      </c>
      <c r="C2938" s="11" t="s">
        <v>164</v>
      </c>
      <c r="D2938" s="9" t="s">
        <v>11496</v>
      </c>
      <c r="E2938" s="9" t="s">
        <v>11497</v>
      </c>
      <c r="F2938" s="9" t="s">
        <v>11498</v>
      </c>
      <c r="G2938" s="9" t="s">
        <v>11490</v>
      </c>
      <c r="H2938" s="15" t="s">
        <v>23</v>
      </c>
      <c r="I2938" s="9" t="s">
        <v>11499</v>
      </c>
      <c r="J2938" s="13"/>
      <c r="K2938" s="13"/>
    </row>
    <row r="2939" customFormat="false" ht="57.45" hidden="false" customHeight="false" outlineLevel="0" collapsed="false">
      <c r="A2939" s="9" t="n">
        <v>2938</v>
      </c>
      <c r="B2939" s="9" t="s">
        <v>155</v>
      </c>
      <c r="C2939" s="11" t="s">
        <v>164</v>
      </c>
      <c r="D2939" s="9" t="s">
        <v>11500</v>
      </c>
      <c r="E2939" s="9" t="s">
        <v>11501</v>
      </c>
      <c r="F2939" s="9" t="s">
        <v>11502</v>
      </c>
      <c r="G2939" s="9" t="s">
        <v>312</v>
      </c>
      <c r="H2939" s="14" t="s">
        <v>22</v>
      </c>
      <c r="I2939" s="9" t="s">
        <v>11503</v>
      </c>
      <c r="J2939" s="13"/>
      <c r="K2939" s="13"/>
    </row>
    <row r="2940" customFormat="false" ht="15" hidden="false" customHeight="false" outlineLevel="0" collapsed="false">
      <c r="A2940" s="9" t="n">
        <v>2939</v>
      </c>
      <c r="B2940" s="9" t="s">
        <v>155</v>
      </c>
      <c r="C2940" s="11" t="s">
        <v>164</v>
      </c>
      <c r="D2940" s="9" t="s">
        <v>11504</v>
      </c>
      <c r="E2940" s="9" t="s">
        <v>11505</v>
      </c>
      <c r="F2940" s="9" t="s">
        <v>11323</v>
      </c>
      <c r="G2940" s="9" t="s">
        <v>328</v>
      </c>
      <c r="H2940" s="15" t="s">
        <v>23</v>
      </c>
      <c r="I2940" s="9" t="s">
        <v>11506</v>
      </c>
      <c r="J2940" s="13"/>
      <c r="K2940" s="13"/>
    </row>
    <row r="2941" customFormat="false" ht="57.45" hidden="false" customHeight="false" outlineLevel="0" collapsed="false">
      <c r="A2941" s="9" t="n">
        <v>2940</v>
      </c>
      <c r="B2941" s="9" t="s">
        <v>155</v>
      </c>
      <c r="C2941" s="11" t="s">
        <v>164</v>
      </c>
      <c r="D2941" s="9" t="s">
        <v>11507</v>
      </c>
      <c r="E2941" s="9" t="s">
        <v>11508</v>
      </c>
      <c r="F2941" s="9" t="s">
        <v>11509</v>
      </c>
      <c r="G2941" s="9" t="s">
        <v>4146</v>
      </c>
      <c r="H2941" s="15" t="s">
        <v>23</v>
      </c>
      <c r="I2941" s="9" t="s">
        <v>11510</v>
      </c>
      <c r="J2941" s="13"/>
      <c r="K2941" s="13"/>
    </row>
    <row r="2942" customFormat="false" ht="46.25" hidden="false" customHeight="false" outlineLevel="0" collapsed="false">
      <c r="A2942" s="9" t="n">
        <v>2941</v>
      </c>
      <c r="B2942" s="9" t="s">
        <v>155</v>
      </c>
      <c r="C2942" s="11" t="s">
        <v>164</v>
      </c>
      <c r="D2942" s="9" t="s">
        <v>11511</v>
      </c>
      <c r="E2942" s="9" t="s">
        <v>11512</v>
      </c>
      <c r="F2942" s="9" t="s">
        <v>11513</v>
      </c>
      <c r="G2942" s="9" t="s">
        <v>308</v>
      </c>
      <c r="H2942" s="14" t="s">
        <v>22</v>
      </c>
      <c r="I2942" s="9" t="s">
        <v>11514</v>
      </c>
      <c r="J2942" s="13"/>
      <c r="K2942" s="13"/>
    </row>
    <row r="2943" customFormat="false" ht="91" hidden="false" customHeight="false" outlineLevel="0" collapsed="false">
      <c r="A2943" s="9" t="n">
        <v>2942</v>
      </c>
      <c r="B2943" s="9" t="s">
        <v>155</v>
      </c>
      <c r="C2943" s="11" t="s">
        <v>164</v>
      </c>
      <c r="D2943" s="9" t="s">
        <v>11515</v>
      </c>
      <c r="E2943" s="9" t="s">
        <v>11516</v>
      </c>
      <c r="F2943" s="9" t="s">
        <v>11517</v>
      </c>
      <c r="G2943" s="9" t="s">
        <v>11518</v>
      </c>
      <c r="H2943" s="12" t="s">
        <v>21</v>
      </c>
      <c r="I2943" s="9" t="s">
        <v>11519</v>
      </c>
      <c r="J2943" s="13"/>
      <c r="K2943" s="13"/>
    </row>
    <row r="2944" customFormat="false" ht="91" hidden="false" customHeight="false" outlineLevel="0" collapsed="false">
      <c r="A2944" s="9" t="n">
        <v>2943</v>
      </c>
      <c r="B2944" s="9" t="s">
        <v>155</v>
      </c>
      <c r="C2944" s="11" t="s">
        <v>164</v>
      </c>
      <c r="D2944" s="9" t="s">
        <v>11520</v>
      </c>
      <c r="E2944" s="9" t="s">
        <v>11521</v>
      </c>
      <c r="F2944" s="9" t="s">
        <v>11522</v>
      </c>
      <c r="G2944" s="9" t="s">
        <v>11518</v>
      </c>
      <c r="H2944" s="12" t="s">
        <v>21</v>
      </c>
      <c r="I2944" s="9" t="s">
        <v>11523</v>
      </c>
      <c r="J2944" s="13"/>
      <c r="K2944" s="13"/>
    </row>
    <row r="2945" customFormat="false" ht="46.25" hidden="false" customHeight="false" outlineLevel="0" collapsed="false">
      <c r="A2945" s="9" t="n">
        <v>2944</v>
      </c>
      <c r="B2945" s="9" t="s">
        <v>155</v>
      </c>
      <c r="C2945" s="11" t="s">
        <v>164</v>
      </c>
      <c r="D2945" s="9" t="s">
        <v>11524</v>
      </c>
      <c r="E2945" s="9" t="s">
        <v>11525</v>
      </c>
      <c r="F2945" s="9" t="s">
        <v>11526</v>
      </c>
      <c r="G2945" s="9" t="s">
        <v>11518</v>
      </c>
      <c r="H2945" s="14" t="s">
        <v>22</v>
      </c>
      <c r="I2945" s="9" t="s">
        <v>11527</v>
      </c>
      <c r="J2945" s="13"/>
      <c r="K2945" s="13"/>
    </row>
    <row r="2946" customFormat="false" ht="57.45" hidden="false" customHeight="false" outlineLevel="0" collapsed="false">
      <c r="A2946" s="9" t="n">
        <v>2945</v>
      </c>
      <c r="B2946" s="9" t="s">
        <v>155</v>
      </c>
      <c r="C2946" s="11" t="s">
        <v>164</v>
      </c>
      <c r="D2946" s="9" t="s">
        <v>11528</v>
      </c>
      <c r="E2946" s="9" t="s">
        <v>11529</v>
      </c>
      <c r="F2946" s="9" t="s">
        <v>11530</v>
      </c>
      <c r="G2946" s="9" t="s">
        <v>11518</v>
      </c>
      <c r="H2946" s="15" t="s">
        <v>23</v>
      </c>
      <c r="I2946" s="9" t="s">
        <v>11531</v>
      </c>
      <c r="J2946" s="13"/>
      <c r="K2946" s="13"/>
    </row>
    <row r="2947" customFormat="false" ht="35.05" hidden="false" customHeight="false" outlineLevel="0" collapsed="false">
      <c r="A2947" s="9" t="n">
        <v>2946</v>
      </c>
      <c r="B2947" s="9" t="s">
        <v>155</v>
      </c>
      <c r="C2947" s="11" t="s">
        <v>164</v>
      </c>
      <c r="D2947" s="9" t="s">
        <v>11532</v>
      </c>
      <c r="E2947" s="9" t="s">
        <v>11533</v>
      </c>
      <c r="F2947" s="9" t="s">
        <v>11534</v>
      </c>
      <c r="G2947" s="9" t="s">
        <v>317</v>
      </c>
      <c r="H2947" s="15" t="s">
        <v>23</v>
      </c>
      <c r="I2947" s="9" t="s">
        <v>11535</v>
      </c>
      <c r="J2947" s="13"/>
      <c r="K2947" s="13"/>
    </row>
    <row r="2948" customFormat="false" ht="46.25" hidden="false" customHeight="false" outlineLevel="0" collapsed="false">
      <c r="A2948" s="9" t="n">
        <v>2947</v>
      </c>
      <c r="B2948" s="9" t="s">
        <v>155</v>
      </c>
      <c r="C2948" s="11" t="s">
        <v>164</v>
      </c>
      <c r="D2948" s="9" t="s">
        <v>11536</v>
      </c>
      <c r="E2948" s="9" t="s">
        <v>11537</v>
      </c>
      <c r="F2948" s="9" t="s">
        <v>11538</v>
      </c>
      <c r="G2948" s="9" t="s">
        <v>1072</v>
      </c>
      <c r="H2948" s="15" t="s">
        <v>23</v>
      </c>
      <c r="I2948" s="9" t="s">
        <v>11539</v>
      </c>
      <c r="J2948" s="13"/>
      <c r="K2948" s="13"/>
    </row>
    <row r="2949" customFormat="false" ht="23.85" hidden="false" customHeight="false" outlineLevel="0" collapsed="false">
      <c r="A2949" s="9" t="n">
        <v>2948</v>
      </c>
      <c r="B2949" s="9" t="s">
        <v>155</v>
      </c>
      <c r="C2949" s="11" t="s">
        <v>164</v>
      </c>
      <c r="D2949" s="9" t="s">
        <v>11540</v>
      </c>
      <c r="E2949" s="9" t="s">
        <v>11541</v>
      </c>
      <c r="F2949" s="9" t="s">
        <v>11542</v>
      </c>
      <c r="G2949" s="9" t="s">
        <v>1072</v>
      </c>
      <c r="H2949" s="15" t="s">
        <v>23</v>
      </c>
      <c r="I2949" s="9" t="s">
        <v>11543</v>
      </c>
      <c r="J2949" s="13"/>
      <c r="K2949" s="13"/>
    </row>
    <row r="2950" customFormat="false" ht="35.05" hidden="false" customHeight="false" outlineLevel="0" collapsed="false">
      <c r="A2950" s="9" t="n">
        <v>2949</v>
      </c>
      <c r="B2950" s="9" t="s">
        <v>155</v>
      </c>
      <c r="C2950" s="11" t="s">
        <v>164</v>
      </c>
      <c r="D2950" s="9" t="s">
        <v>11544</v>
      </c>
      <c r="E2950" s="9" t="s">
        <v>11545</v>
      </c>
      <c r="F2950" s="9" t="s">
        <v>11546</v>
      </c>
      <c r="G2950" s="9" t="s">
        <v>312</v>
      </c>
      <c r="H2950" s="15" t="s">
        <v>23</v>
      </c>
      <c r="I2950" s="9" t="s">
        <v>11547</v>
      </c>
      <c r="J2950" s="13"/>
      <c r="K2950" s="13"/>
    </row>
    <row r="2951" customFormat="false" ht="46.25" hidden="false" customHeight="false" outlineLevel="0" collapsed="false">
      <c r="A2951" s="9" t="n">
        <v>2950</v>
      </c>
      <c r="B2951" s="9" t="s">
        <v>155</v>
      </c>
      <c r="C2951" s="11" t="s">
        <v>164</v>
      </c>
      <c r="D2951" s="9" t="s">
        <v>11548</v>
      </c>
      <c r="E2951" s="9" t="s">
        <v>11549</v>
      </c>
      <c r="F2951" s="9" t="s">
        <v>11550</v>
      </c>
      <c r="G2951" s="9" t="s">
        <v>328</v>
      </c>
      <c r="H2951" s="15" t="s">
        <v>23</v>
      </c>
      <c r="I2951" s="9" t="s">
        <v>11551</v>
      </c>
      <c r="J2951" s="13"/>
      <c r="K2951" s="13"/>
    </row>
    <row r="2952" customFormat="false" ht="46.25" hidden="false" customHeight="false" outlineLevel="0" collapsed="false">
      <c r="A2952" s="9" t="n">
        <v>2951</v>
      </c>
      <c r="B2952" s="9" t="s">
        <v>155</v>
      </c>
      <c r="C2952" s="11" t="s">
        <v>164</v>
      </c>
      <c r="D2952" s="9" t="s">
        <v>11552</v>
      </c>
      <c r="E2952" s="9" t="s">
        <v>11553</v>
      </c>
      <c r="F2952" s="9" t="s">
        <v>11554</v>
      </c>
      <c r="G2952" s="9" t="s">
        <v>328</v>
      </c>
      <c r="H2952" s="15" t="s">
        <v>23</v>
      </c>
      <c r="I2952" s="9" t="s">
        <v>11555</v>
      </c>
      <c r="J2952" s="13"/>
      <c r="K2952" s="13"/>
    </row>
    <row r="2953" customFormat="false" ht="23.85" hidden="false" customHeight="false" outlineLevel="0" collapsed="false">
      <c r="A2953" s="9" t="n">
        <v>2952</v>
      </c>
      <c r="B2953" s="9" t="s">
        <v>155</v>
      </c>
      <c r="C2953" s="11" t="s">
        <v>164</v>
      </c>
      <c r="D2953" s="9" t="s">
        <v>11556</v>
      </c>
      <c r="E2953" s="9" t="s">
        <v>11557</v>
      </c>
      <c r="F2953" s="9" t="s">
        <v>4608</v>
      </c>
      <c r="G2953" s="9" t="s">
        <v>328</v>
      </c>
      <c r="H2953" s="15" t="s">
        <v>23</v>
      </c>
      <c r="I2953" s="9" t="s">
        <v>11558</v>
      </c>
      <c r="J2953" s="13"/>
      <c r="K2953" s="13"/>
    </row>
    <row r="2954" customFormat="false" ht="35.05" hidden="false" customHeight="false" outlineLevel="0" collapsed="false">
      <c r="A2954" s="9" t="n">
        <v>2953</v>
      </c>
      <c r="B2954" s="9" t="s">
        <v>155</v>
      </c>
      <c r="C2954" s="11" t="s">
        <v>164</v>
      </c>
      <c r="D2954" s="9" t="s">
        <v>11559</v>
      </c>
      <c r="E2954" s="9" t="s">
        <v>11560</v>
      </c>
      <c r="F2954" s="9" t="s">
        <v>11561</v>
      </c>
      <c r="G2954" s="9" t="s">
        <v>328</v>
      </c>
      <c r="H2954" s="15" t="s">
        <v>23</v>
      </c>
      <c r="I2954" s="9" t="s">
        <v>11562</v>
      </c>
      <c r="J2954" s="13"/>
      <c r="K2954" s="13"/>
    </row>
    <row r="2955" customFormat="false" ht="23.85" hidden="false" customHeight="false" outlineLevel="0" collapsed="false">
      <c r="A2955" s="9" t="n">
        <v>2954</v>
      </c>
      <c r="B2955" s="9" t="s">
        <v>155</v>
      </c>
      <c r="C2955" s="11" t="s">
        <v>164</v>
      </c>
      <c r="D2955" s="9" t="s">
        <v>11563</v>
      </c>
      <c r="E2955" s="9" t="s">
        <v>11564</v>
      </c>
      <c r="F2955" s="9" t="s">
        <v>11565</v>
      </c>
      <c r="G2955" s="9" t="s">
        <v>308</v>
      </c>
      <c r="H2955" s="15" t="s">
        <v>23</v>
      </c>
      <c r="I2955" s="9" t="s">
        <v>11566</v>
      </c>
      <c r="J2955" s="13"/>
      <c r="K2955" s="13"/>
    </row>
    <row r="2956" customFormat="false" ht="79.85" hidden="false" customHeight="false" outlineLevel="0" collapsed="false">
      <c r="A2956" s="9" t="n">
        <v>2955</v>
      </c>
      <c r="B2956" s="9" t="s">
        <v>155</v>
      </c>
      <c r="C2956" s="11" t="s">
        <v>164</v>
      </c>
      <c r="D2956" s="9" t="s">
        <v>11567</v>
      </c>
      <c r="E2956" s="9" t="s">
        <v>11568</v>
      </c>
      <c r="F2956" s="9" t="s">
        <v>11569</v>
      </c>
      <c r="G2956" s="9" t="s">
        <v>24</v>
      </c>
      <c r="H2956" s="12" t="s">
        <v>21</v>
      </c>
      <c r="I2956" s="9" t="s">
        <v>11570</v>
      </c>
      <c r="J2956" s="13"/>
      <c r="K2956" s="13"/>
    </row>
    <row r="2957" customFormat="false" ht="35.05" hidden="false" customHeight="false" outlineLevel="0" collapsed="false">
      <c r="A2957" s="9" t="n">
        <v>2956</v>
      </c>
      <c r="B2957" s="9" t="s">
        <v>155</v>
      </c>
      <c r="C2957" s="11" t="s">
        <v>164</v>
      </c>
      <c r="D2957" s="9" t="s">
        <v>11571</v>
      </c>
      <c r="E2957" s="9" t="s">
        <v>11572</v>
      </c>
      <c r="F2957" s="9" t="s">
        <v>11573</v>
      </c>
      <c r="G2957" s="9" t="s">
        <v>24</v>
      </c>
      <c r="H2957" s="12" t="s">
        <v>21</v>
      </c>
      <c r="I2957" s="9" t="s">
        <v>11574</v>
      </c>
      <c r="J2957" s="13"/>
      <c r="K2957" s="13"/>
    </row>
    <row r="2958" customFormat="false" ht="23.85" hidden="false" customHeight="false" outlineLevel="0" collapsed="false">
      <c r="A2958" s="9" t="n">
        <v>2957</v>
      </c>
      <c r="B2958" s="9" t="s">
        <v>155</v>
      </c>
      <c r="C2958" s="11" t="s">
        <v>164</v>
      </c>
      <c r="D2958" s="9" t="s">
        <v>11575</v>
      </c>
      <c r="E2958" s="9" t="s">
        <v>11576</v>
      </c>
      <c r="F2958" s="9" t="s">
        <v>11577</v>
      </c>
      <c r="G2958" s="9" t="s">
        <v>24</v>
      </c>
      <c r="H2958" s="14" t="s">
        <v>22</v>
      </c>
      <c r="I2958" s="9" t="s">
        <v>11578</v>
      </c>
      <c r="J2958" s="13"/>
      <c r="K2958" s="13"/>
    </row>
    <row r="2959" customFormat="false" ht="23.85" hidden="false" customHeight="false" outlineLevel="0" collapsed="false">
      <c r="A2959" s="9" t="n">
        <v>2958</v>
      </c>
      <c r="B2959" s="9" t="s">
        <v>155</v>
      </c>
      <c r="C2959" s="11" t="s">
        <v>164</v>
      </c>
      <c r="D2959" s="9" t="s">
        <v>11579</v>
      </c>
      <c r="E2959" s="9" t="s">
        <v>11580</v>
      </c>
      <c r="F2959" s="9" t="s">
        <v>11581</v>
      </c>
      <c r="G2959" s="9" t="s">
        <v>24</v>
      </c>
      <c r="H2959" s="14" t="s">
        <v>22</v>
      </c>
      <c r="I2959" s="9" t="s">
        <v>11582</v>
      </c>
      <c r="J2959" s="13"/>
      <c r="K2959" s="13"/>
    </row>
    <row r="2960" customFormat="false" ht="23.85" hidden="false" customHeight="false" outlineLevel="0" collapsed="false">
      <c r="A2960" s="9" t="n">
        <v>2959</v>
      </c>
      <c r="B2960" s="9" t="s">
        <v>155</v>
      </c>
      <c r="C2960" s="11" t="s">
        <v>164</v>
      </c>
      <c r="D2960" s="9" t="s">
        <v>11583</v>
      </c>
      <c r="E2960" s="9" t="s">
        <v>11584</v>
      </c>
      <c r="F2960" s="9" t="s">
        <v>11585</v>
      </c>
      <c r="G2960" s="9" t="s">
        <v>24</v>
      </c>
      <c r="H2960" s="14" t="s">
        <v>22</v>
      </c>
      <c r="I2960" s="9" t="s">
        <v>11586</v>
      </c>
      <c r="J2960" s="13"/>
      <c r="K2960" s="13"/>
    </row>
    <row r="2961" customFormat="false" ht="46.25" hidden="false" customHeight="false" outlineLevel="0" collapsed="false">
      <c r="A2961" s="9" t="n">
        <v>2960</v>
      </c>
      <c r="B2961" s="9" t="s">
        <v>155</v>
      </c>
      <c r="C2961" s="11" t="s">
        <v>164</v>
      </c>
      <c r="D2961" s="9" t="s">
        <v>11587</v>
      </c>
      <c r="E2961" s="9" t="s">
        <v>11363</v>
      </c>
      <c r="F2961" s="9" t="s">
        <v>11588</v>
      </c>
      <c r="G2961" s="9" t="s">
        <v>24</v>
      </c>
      <c r="H2961" s="14" t="s">
        <v>22</v>
      </c>
      <c r="I2961" s="9" t="s">
        <v>11589</v>
      </c>
      <c r="J2961" s="13"/>
      <c r="K2961" s="13"/>
    </row>
    <row r="2962" customFormat="false" ht="15" hidden="false" customHeight="false" outlineLevel="0" collapsed="false">
      <c r="A2962" s="9" t="n">
        <v>2961</v>
      </c>
      <c r="B2962" s="9" t="s">
        <v>155</v>
      </c>
      <c r="C2962" s="11" t="s">
        <v>164</v>
      </c>
      <c r="D2962" s="9" t="s">
        <v>11590</v>
      </c>
      <c r="E2962" s="9" t="s">
        <v>362</v>
      </c>
      <c r="F2962" s="9" t="s">
        <v>363</v>
      </c>
      <c r="G2962" s="9" t="s">
        <v>24</v>
      </c>
      <c r="H2962" s="14" t="s">
        <v>22</v>
      </c>
      <c r="I2962" s="9" t="s">
        <v>364</v>
      </c>
      <c r="J2962" s="13"/>
      <c r="K2962" s="13"/>
    </row>
    <row r="2963" customFormat="false" ht="23.85" hidden="false" customHeight="false" outlineLevel="0" collapsed="false">
      <c r="A2963" s="9" t="n">
        <v>2962</v>
      </c>
      <c r="B2963" s="9" t="s">
        <v>155</v>
      </c>
      <c r="C2963" s="11" t="s">
        <v>164</v>
      </c>
      <c r="D2963" s="9" t="s">
        <v>11591</v>
      </c>
      <c r="E2963" s="9" t="s">
        <v>11592</v>
      </c>
      <c r="F2963" s="9" t="s">
        <v>11593</v>
      </c>
      <c r="G2963" s="9" t="s">
        <v>24</v>
      </c>
      <c r="H2963" s="14" t="s">
        <v>22</v>
      </c>
      <c r="I2963" s="9" t="s">
        <v>11594</v>
      </c>
      <c r="J2963" s="13"/>
      <c r="K2963" s="13"/>
    </row>
    <row r="2964" customFormat="false" ht="23.85" hidden="false" customHeight="false" outlineLevel="0" collapsed="false">
      <c r="A2964" s="9" t="n">
        <v>2963</v>
      </c>
      <c r="B2964" s="9" t="s">
        <v>155</v>
      </c>
      <c r="C2964" s="11" t="s">
        <v>164</v>
      </c>
      <c r="D2964" s="9" t="s">
        <v>11595</v>
      </c>
      <c r="E2964" s="9" t="s">
        <v>11596</v>
      </c>
      <c r="F2964" s="9" t="s">
        <v>11597</v>
      </c>
      <c r="G2964" s="9" t="s">
        <v>24</v>
      </c>
      <c r="H2964" s="15" t="s">
        <v>23</v>
      </c>
      <c r="I2964" s="9" t="s">
        <v>11598</v>
      </c>
      <c r="J2964" s="13"/>
      <c r="K2964" s="13"/>
    </row>
    <row r="2965" customFormat="false" ht="35.05" hidden="false" customHeight="false" outlineLevel="0" collapsed="false">
      <c r="A2965" s="9" t="n">
        <v>2964</v>
      </c>
      <c r="B2965" s="9" t="s">
        <v>155</v>
      </c>
      <c r="C2965" s="11" t="s">
        <v>164</v>
      </c>
      <c r="D2965" s="9" t="s">
        <v>11599</v>
      </c>
      <c r="E2965" s="9" t="s">
        <v>11600</v>
      </c>
      <c r="F2965" s="9" t="s">
        <v>11601</v>
      </c>
      <c r="G2965" s="9" t="s">
        <v>24</v>
      </c>
      <c r="H2965" s="15" t="s">
        <v>23</v>
      </c>
      <c r="I2965" s="9" t="s">
        <v>11602</v>
      </c>
      <c r="J2965" s="13"/>
      <c r="K2965" s="13"/>
    </row>
    <row r="2966" customFormat="false" ht="35.05" hidden="false" customHeight="false" outlineLevel="0" collapsed="false">
      <c r="A2966" s="9" t="n">
        <v>2965</v>
      </c>
      <c r="B2966" s="9" t="s">
        <v>155</v>
      </c>
      <c r="C2966" s="11" t="s">
        <v>164</v>
      </c>
      <c r="D2966" s="9" t="s">
        <v>11603</v>
      </c>
      <c r="E2966" s="9" t="s">
        <v>11604</v>
      </c>
      <c r="F2966" s="9" t="s">
        <v>11605</v>
      </c>
      <c r="G2966" s="9" t="s">
        <v>24</v>
      </c>
      <c r="H2966" s="15" t="s">
        <v>23</v>
      </c>
      <c r="I2966" s="9" t="s">
        <v>11606</v>
      </c>
      <c r="J2966" s="13"/>
      <c r="K2966" s="13"/>
    </row>
    <row r="2967" customFormat="false" ht="23.85" hidden="false" customHeight="false" outlineLevel="0" collapsed="false">
      <c r="A2967" s="9" t="n">
        <v>2966</v>
      </c>
      <c r="B2967" s="9" t="s">
        <v>155</v>
      </c>
      <c r="C2967" s="11" t="s">
        <v>164</v>
      </c>
      <c r="D2967" s="9" t="s">
        <v>11607</v>
      </c>
      <c r="E2967" s="9" t="s">
        <v>10579</v>
      </c>
      <c r="F2967" s="9" t="s">
        <v>2586</v>
      </c>
      <c r="G2967" s="9" t="s">
        <v>24</v>
      </c>
      <c r="H2967" s="15" t="s">
        <v>23</v>
      </c>
      <c r="I2967" s="9" t="s">
        <v>11391</v>
      </c>
      <c r="J2967" s="13"/>
      <c r="K2967" s="13"/>
    </row>
    <row r="2968" customFormat="false" ht="57.45" hidden="false" customHeight="false" outlineLevel="0" collapsed="false">
      <c r="A2968" s="9" t="n">
        <v>2967</v>
      </c>
      <c r="B2968" s="9" t="s">
        <v>155</v>
      </c>
      <c r="C2968" s="11" t="s">
        <v>166</v>
      </c>
      <c r="D2968" s="9" t="s">
        <v>11608</v>
      </c>
      <c r="E2968" s="9" t="s">
        <v>11609</v>
      </c>
      <c r="F2968" s="9" t="s">
        <v>11610</v>
      </c>
      <c r="G2968" s="9" t="s">
        <v>1638</v>
      </c>
      <c r="H2968" s="12" t="s">
        <v>21</v>
      </c>
      <c r="I2968" s="9" t="s">
        <v>11611</v>
      </c>
      <c r="J2968" s="13"/>
      <c r="K2968" s="13"/>
    </row>
    <row r="2969" customFormat="false" ht="35.05" hidden="false" customHeight="false" outlineLevel="0" collapsed="false">
      <c r="A2969" s="9" t="n">
        <v>2968</v>
      </c>
      <c r="B2969" s="9" t="s">
        <v>155</v>
      </c>
      <c r="C2969" s="11" t="s">
        <v>166</v>
      </c>
      <c r="D2969" s="9" t="s">
        <v>11612</v>
      </c>
      <c r="E2969" s="9" t="s">
        <v>11613</v>
      </c>
      <c r="F2969" s="9" t="s">
        <v>11614</v>
      </c>
      <c r="G2969" s="9" t="s">
        <v>312</v>
      </c>
      <c r="H2969" s="12" t="s">
        <v>21</v>
      </c>
      <c r="I2969" s="9" t="s">
        <v>11615</v>
      </c>
      <c r="J2969" s="13"/>
      <c r="K2969" s="13"/>
    </row>
    <row r="2970" customFormat="false" ht="68.65" hidden="false" customHeight="false" outlineLevel="0" collapsed="false">
      <c r="A2970" s="9" t="n">
        <v>2969</v>
      </c>
      <c r="B2970" s="9" t="s">
        <v>155</v>
      </c>
      <c r="C2970" s="11" t="s">
        <v>166</v>
      </c>
      <c r="D2970" s="9" t="s">
        <v>11616</v>
      </c>
      <c r="E2970" s="9" t="s">
        <v>11617</v>
      </c>
      <c r="F2970" s="9" t="s">
        <v>11618</v>
      </c>
      <c r="G2970" s="9" t="s">
        <v>1638</v>
      </c>
      <c r="H2970" s="12" t="s">
        <v>21</v>
      </c>
      <c r="I2970" s="9" t="s">
        <v>11619</v>
      </c>
      <c r="J2970" s="13"/>
      <c r="K2970" s="13"/>
    </row>
    <row r="2971" customFormat="false" ht="79.85" hidden="false" customHeight="false" outlineLevel="0" collapsed="false">
      <c r="A2971" s="9" t="n">
        <v>2970</v>
      </c>
      <c r="B2971" s="9" t="s">
        <v>155</v>
      </c>
      <c r="C2971" s="11" t="s">
        <v>166</v>
      </c>
      <c r="D2971" s="9" t="s">
        <v>11620</v>
      </c>
      <c r="E2971" s="9" t="s">
        <v>11621</v>
      </c>
      <c r="F2971" s="9" t="s">
        <v>11622</v>
      </c>
      <c r="G2971" s="9" t="s">
        <v>1072</v>
      </c>
      <c r="H2971" s="12" t="s">
        <v>21</v>
      </c>
      <c r="I2971" s="9" t="s">
        <v>11623</v>
      </c>
      <c r="J2971" s="13"/>
      <c r="K2971" s="13"/>
    </row>
    <row r="2972" customFormat="false" ht="68.65" hidden="false" customHeight="false" outlineLevel="0" collapsed="false">
      <c r="A2972" s="9" t="n">
        <v>2971</v>
      </c>
      <c r="B2972" s="9" t="s">
        <v>155</v>
      </c>
      <c r="C2972" s="11" t="s">
        <v>166</v>
      </c>
      <c r="D2972" s="9" t="s">
        <v>11624</v>
      </c>
      <c r="E2972" s="9" t="s">
        <v>11625</v>
      </c>
      <c r="F2972" s="9" t="s">
        <v>11626</v>
      </c>
      <c r="G2972" s="9" t="s">
        <v>312</v>
      </c>
      <c r="H2972" s="12" t="s">
        <v>21</v>
      </c>
      <c r="I2972" s="9" t="s">
        <v>11627</v>
      </c>
      <c r="J2972" s="13"/>
      <c r="K2972" s="13"/>
    </row>
    <row r="2973" customFormat="false" ht="68.65" hidden="false" customHeight="false" outlineLevel="0" collapsed="false">
      <c r="A2973" s="9" t="n">
        <v>2972</v>
      </c>
      <c r="B2973" s="9" t="s">
        <v>155</v>
      </c>
      <c r="C2973" s="11" t="s">
        <v>166</v>
      </c>
      <c r="D2973" s="9" t="s">
        <v>11628</v>
      </c>
      <c r="E2973" s="9" t="s">
        <v>11629</v>
      </c>
      <c r="F2973" s="9" t="s">
        <v>11630</v>
      </c>
      <c r="G2973" s="9" t="s">
        <v>312</v>
      </c>
      <c r="H2973" s="12" t="s">
        <v>21</v>
      </c>
      <c r="I2973" s="9" t="s">
        <v>11631</v>
      </c>
      <c r="J2973" s="13"/>
      <c r="K2973" s="13"/>
    </row>
    <row r="2974" customFormat="false" ht="35.05" hidden="false" customHeight="false" outlineLevel="0" collapsed="false">
      <c r="A2974" s="9" t="n">
        <v>2973</v>
      </c>
      <c r="B2974" s="9" t="s">
        <v>155</v>
      </c>
      <c r="C2974" s="11" t="s">
        <v>166</v>
      </c>
      <c r="D2974" s="9" t="s">
        <v>11632</v>
      </c>
      <c r="E2974" s="9" t="s">
        <v>11633</v>
      </c>
      <c r="F2974" s="9" t="s">
        <v>11634</v>
      </c>
      <c r="G2974" s="9" t="s">
        <v>312</v>
      </c>
      <c r="H2974" s="14" t="s">
        <v>22</v>
      </c>
      <c r="I2974" s="9" t="s">
        <v>11635</v>
      </c>
      <c r="J2974" s="13"/>
      <c r="K2974" s="13"/>
    </row>
    <row r="2975" customFormat="false" ht="79.85" hidden="false" customHeight="false" outlineLevel="0" collapsed="false">
      <c r="A2975" s="9" t="n">
        <v>2974</v>
      </c>
      <c r="B2975" s="9" t="s">
        <v>155</v>
      </c>
      <c r="C2975" s="11" t="s">
        <v>166</v>
      </c>
      <c r="D2975" s="9" t="s">
        <v>11636</v>
      </c>
      <c r="E2975" s="9" t="s">
        <v>11637</v>
      </c>
      <c r="F2975" s="9" t="s">
        <v>11638</v>
      </c>
      <c r="G2975" s="9" t="s">
        <v>1072</v>
      </c>
      <c r="H2975" s="14" t="s">
        <v>22</v>
      </c>
      <c r="I2975" s="9" t="s">
        <v>11639</v>
      </c>
      <c r="J2975" s="13"/>
      <c r="K2975" s="13"/>
    </row>
    <row r="2976" customFormat="false" ht="23.85" hidden="false" customHeight="false" outlineLevel="0" collapsed="false">
      <c r="A2976" s="9" t="n">
        <v>2975</v>
      </c>
      <c r="B2976" s="9" t="s">
        <v>155</v>
      </c>
      <c r="C2976" s="11" t="s">
        <v>166</v>
      </c>
      <c r="D2976" s="9" t="s">
        <v>11640</v>
      </c>
      <c r="E2976" s="9" t="s">
        <v>11641</v>
      </c>
      <c r="F2976" s="9" t="s">
        <v>11642</v>
      </c>
      <c r="G2976" s="9" t="s">
        <v>1421</v>
      </c>
      <c r="H2976" s="14" t="s">
        <v>22</v>
      </c>
      <c r="I2976" s="9" t="s">
        <v>11643</v>
      </c>
      <c r="J2976" s="13"/>
      <c r="K2976" s="13"/>
    </row>
    <row r="2977" customFormat="false" ht="79.85" hidden="false" customHeight="false" outlineLevel="0" collapsed="false">
      <c r="A2977" s="9" t="n">
        <v>2976</v>
      </c>
      <c r="B2977" s="9" t="s">
        <v>155</v>
      </c>
      <c r="C2977" s="11" t="s">
        <v>166</v>
      </c>
      <c r="D2977" s="9" t="s">
        <v>11644</v>
      </c>
      <c r="E2977" s="9" t="s">
        <v>11645</v>
      </c>
      <c r="F2977" s="9" t="s">
        <v>11646</v>
      </c>
      <c r="G2977" s="9" t="s">
        <v>3279</v>
      </c>
      <c r="H2977" s="12" t="s">
        <v>21</v>
      </c>
      <c r="I2977" s="9" t="s">
        <v>11647</v>
      </c>
      <c r="J2977" s="13"/>
      <c r="K2977" s="13"/>
    </row>
    <row r="2978" customFormat="false" ht="35.05" hidden="false" customHeight="false" outlineLevel="0" collapsed="false">
      <c r="A2978" s="9" t="n">
        <v>2977</v>
      </c>
      <c r="B2978" s="9" t="s">
        <v>155</v>
      </c>
      <c r="C2978" s="11" t="s">
        <v>166</v>
      </c>
      <c r="D2978" s="9" t="s">
        <v>11648</v>
      </c>
      <c r="E2978" s="9" t="s">
        <v>11649</v>
      </c>
      <c r="F2978" s="9" t="s">
        <v>11650</v>
      </c>
      <c r="G2978" s="9" t="s">
        <v>1072</v>
      </c>
      <c r="H2978" s="14" t="s">
        <v>22</v>
      </c>
      <c r="I2978" s="9" t="s">
        <v>11651</v>
      </c>
      <c r="J2978" s="13"/>
      <c r="K2978" s="13"/>
    </row>
    <row r="2979" customFormat="false" ht="35.05" hidden="false" customHeight="false" outlineLevel="0" collapsed="false">
      <c r="A2979" s="9" t="n">
        <v>2978</v>
      </c>
      <c r="B2979" s="9" t="s">
        <v>155</v>
      </c>
      <c r="C2979" s="11" t="s">
        <v>166</v>
      </c>
      <c r="D2979" s="9" t="s">
        <v>11652</v>
      </c>
      <c r="E2979" s="9" t="s">
        <v>11653</v>
      </c>
      <c r="F2979" s="9" t="s">
        <v>11654</v>
      </c>
      <c r="G2979" s="9" t="s">
        <v>312</v>
      </c>
      <c r="H2979" s="15" t="s">
        <v>23</v>
      </c>
      <c r="I2979" s="9" t="s">
        <v>11655</v>
      </c>
      <c r="J2979" s="13"/>
      <c r="K2979" s="13"/>
    </row>
    <row r="2980" customFormat="false" ht="23.85" hidden="false" customHeight="false" outlineLevel="0" collapsed="false">
      <c r="A2980" s="9" t="n">
        <v>2979</v>
      </c>
      <c r="B2980" s="9" t="s">
        <v>155</v>
      </c>
      <c r="C2980" s="11" t="s">
        <v>166</v>
      </c>
      <c r="D2980" s="9" t="s">
        <v>11656</v>
      </c>
      <c r="E2980" s="9" t="s">
        <v>11657</v>
      </c>
      <c r="F2980" s="9" t="s">
        <v>11658</v>
      </c>
      <c r="G2980" s="9" t="s">
        <v>11490</v>
      </c>
      <c r="H2980" s="14" t="s">
        <v>22</v>
      </c>
      <c r="I2980" s="9" t="s">
        <v>11659</v>
      </c>
      <c r="J2980" s="13"/>
      <c r="K2980" s="13"/>
    </row>
    <row r="2981" customFormat="false" ht="79.85" hidden="false" customHeight="false" outlineLevel="0" collapsed="false">
      <c r="A2981" s="9" t="n">
        <v>2980</v>
      </c>
      <c r="B2981" s="9" t="s">
        <v>155</v>
      </c>
      <c r="C2981" s="11" t="s">
        <v>166</v>
      </c>
      <c r="D2981" s="9" t="s">
        <v>11660</v>
      </c>
      <c r="E2981" s="9" t="s">
        <v>11661</v>
      </c>
      <c r="F2981" s="9" t="s">
        <v>11662</v>
      </c>
      <c r="G2981" s="9" t="s">
        <v>317</v>
      </c>
      <c r="H2981" s="12" t="s">
        <v>21</v>
      </c>
      <c r="I2981" s="9" t="s">
        <v>11663</v>
      </c>
      <c r="J2981" s="13"/>
      <c r="K2981" s="13"/>
    </row>
    <row r="2982" customFormat="false" ht="46.25" hidden="false" customHeight="false" outlineLevel="0" collapsed="false">
      <c r="A2982" s="9" t="n">
        <v>2981</v>
      </c>
      <c r="B2982" s="9" t="s">
        <v>155</v>
      </c>
      <c r="C2982" s="11" t="s">
        <v>166</v>
      </c>
      <c r="D2982" s="9" t="s">
        <v>11664</v>
      </c>
      <c r="E2982" s="9" t="s">
        <v>11665</v>
      </c>
      <c r="F2982" s="9" t="s">
        <v>11666</v>
      </c>
      <c r="G2982" s="9" t="s">
        <v>1072</v>
      </c>
      <c r="H2982" s="14" t="s">
        <v>22</v>
      </c>
      <c r="I2982" s="9" t="s">
        <v>11667</v>
      </c>
      <c r="J2982" s="13"/>
      <c r="K2982" s="13"/>
    </row>
    <row r="2983" customFormat="false" ht="68.65" hidden="false" customHeight="false" outlineLevel="0" collapsed="false">
      <c r="A2983" s="9" t="n">
        <v>2982</v>
      </c>
      <c r="B2983" s="9" t="s">
        <v>155</v>
      </c>
      <c r="C2983" s="11" t="s">
        <v>166</v>
      </c>
      <c r="D2983" s="9" t="s">
        <v>11668</v>
      </c>
      <c r="E2983" s="9" t="s">
        <v>11669</v>
      </c>
      <c r="F2983" s="9" t="s">
        <v>11670</v>
      </c>
      <c r="G2983" s="9" t="s">
        <v>2044</v>
      </c>
      <c r="H2983" s="14" t="s">
        <v>22</v>
      </c>
      <c r="I2983" s="9" t="s">
        <v>11671</v>
      </c>
      <c r="J2983" s="13"/>
      <c r="K2983" s="13"/>
    </row>
    <row r="2984" customFormat="false" ht="23.85" hidden="false" customHeight="false" outlineLevel="0" collapsed="false">
      <c r="A2984" s="9" t="n">
        <v>2983</v>
      </c>
      <c r="B2984" s="9" t="s">
        <v>155</v>
      </c>
      <c r="C2984" s="11" t="s">
        <v>166</v>
      </c>
      <c r="D2984" s="9" t="s">
        <v>11672</v>
      </c>
      <c r="E2984" s="9" t="s">
        <v>11673</v>
      </c>
      <c r="F2984" s="9" t="s">
        <v>11674</v>
      </c>
      <c r="G2984" s="9" t="s">
        <v>2044</v>
      </c>
      <c r="H2984" s="14" t="s">
        <v>22</v>
      </c>
      <c r="I2984" s="9" t="s">
        <v>11675</v>
      </c>
      <c r="J2984" s="13"/>
      <c r="K2984" s="13"/>
    </row>
    <row r="2985" customFormat="false" ht="23.85" hidden="false" customHeight="false" outlineLevel="0" collapsed="false">
      <c r="A2985" s="9" t="n">
        <v>2984</v>
      </c>
      <c r="B2985" s="9" t="s">
        <v>155</v>
      </c>
      <c r="C2985" s="11" t="s">
        <v>166</v>
      </c>
      <c r="D2985" s="9" t="s">
        <v>11676</v>
      </c>
      <c r="E2985" s="9" t="s">
        <v>11677</v>
      </c>
      <c r="F2985" s="9" t="s">
        <v>11678</v>
      </c>
      <c r="G2985" s="9" t="s">
        <v>317</v>
      </c>
      <c r="H2985" s="15" t="s">
        <v>23</v>
      </c>
      <c r="I2985" s="9" t="s">
        <v>11679</v>
      </c>
      <c r="J2985" s="13"/>
      <c r="K2985" s="13"/>
    </row>
    <row r="2986" customFormat="false" ht="23.85" hidden="false" customHeight="false" outlineLevel="0" collapsed="false">
      <c r="A2986" s="9" t="n">
        <v>2985</v>
      </c>
      <c r="B2986" s="9" t="s">
        <v>155</v>
      </c>
      <c r="C2986" s="11" t="s">
        <v>166</v>
      </c>
      <c r="D2986" s="9" t="s">
        <v>11680</v>
      </c>
      <c r="E2986" s="9" t="s">
        <v>11681</v>
      </c>
      <c r="F2986" s="9" t="s">
        <v>11682</v>
      </c>
      <c r="G2986" s="9" t="s">
        <v>328</v>
      </c>
      <c r="H2986" s="15" t="s">
        <v>23</v>
      </c>
      <c r="I2986" s="9" t="s">
        <v>11683</v>
      </c>
      <c r="J2986" s="13"/>
      <c r="K2986" s="13"/>
    </row>
    <row r="2987" customFormat="false" ht="35.05" hidden="false" customHeight="false" outlineLevel="0" collapsed="false">
      <c r="A2987" s="9" t="n">
        <v>2986</v>
      </c>
      <c r="B2987" s="9" t="s">
        <v>155</v>
      </c>
      <c r="C2987" s="11" t="s">
        <v>166</v>
      </c>
      <c r="D2987" s="9" t="s">
        <v>11684</v>
      </c>
      <c r="E2987" s="9" t="s">
        <v>11685</v>
      </c>
      <c r="F2987" s="9" t="s">
        <v>11686</v>
      </c>
      <c r="G2987" s="9" t="s">
        <v>1072</v>
      </c>
      <c r="H2987" s="15" t="s">
        <v>23</v>
      </c>
      <c r="I2987" s="9" t="s">
        <v>11687</v>
      </c>
      <c r="J2987" s="13"/>
      <c r="K2987" s="13"/>
    </row>
    <row r="2988" customFormat="false" ht="35.05" hidden="false" customHeight="false" outlineLevel="0" collapsed="false">
      <c r="A2988" s="9" t="n">
        <v>2987</v>
      </c>
      <c r="B2988" s="9" t="s">
        <v>155</v>
      </c>
      <c r="C2988" s="11" t="s">
        <v>166</v>
      </c>
      <c r="D2988" s="9" t="s">
        <v>11688</v>
      </c>
      <c r="E2988" s="9" t="s">
        <v>11689</v>
      </c>
      <c r="F2988" s="9" t="s">
        <v>11690</v>
      </c>
      <c r="G2988" s="9" t="s">
        <v>11490</v>
      </c>
      <c r="H2988" s="15" t="s">
        <v>23</v>
      </c>
      <c r="I2988" s="9" t="s">
        <v>11691</v>
      </c>
      <c r="J2988" s="13"/>
      <c r="K2988" s="13"/>
    </row>
    <row r="2989" customFormat="false" ht="23.85" hidden="false" customHeight="false" outlineLevel="0" collapsed="false">
      <c r="A2989" s="9" t="n">
        <v>2988</v>
      </c>
      <c r="B2989" s="9" t="s">
        <v>155</v>
      </c>
      <c r="C2989" s="11" t="s">
        <v>166</v>
      </c>
      <c r="D2989" s="9" t="s">
        <v>11692</v>
      </c>
      <c r="E2989" s="9" t="s">
        <v>11693</v>
      </c>
      <c r="F2989" s="9" t="s">
        <v>11694</v>
      </c>
      <c r="G2989" s="9" t="s">
        <v>1072</v>
      </c>
      <c r="H2989" s="15" t="s">
        <v>23</v>
      </c>
      <c r="I2989" s="9" t="s">
        <v>11695</v>
      </c>
      <c r="J2989" s="13"/>
      <c r="K2989" s="13"/>
    </row>
    <row r="2990" customFormat="false" ht="23.85" hidden="false" customHeight="false" outlineLevel="0" collapsed="false">
      <c r="A2990" s="9" t="n">
        <v>2989</v>
      </c>
      <c r="B2990" s="9" t="s">
        <v>155</v>
      </c>
      <c r="C2990" s="11" t="s">
        <v>166</v>
      </c>
      <c r="D2990" s="9" t="s">
        <v>11696</v>
      </c>
      <c r="E2990" s="9" t="s">
        <v>11697</v>
      </c>
      <c r="F2990" s="9" t="s">
        <v>11698</v>
      </c>
      <c r="G2990" s="9" t="s">
        <v>308</v>
      </c>
      <c r="H2990" s="15" t="s">
        <v>23</v>
      </c>
      <c r="I2990" s="9" t="s">
        <v>11699</v>
      </c>
      <c r="J2990" s="13"/>
      <c r="K2990" s="13"/>
    </row>
    <row r="2991" customFormat="false" ht="35.05" hidden="false" customHeight="false" outlineLevel="0" collapsed="false">
      <c r="A2991" s="9" t="n">
        <v>2990</v>
      </c>
      <c r="B2991" s="9" t="s">
        <v>155</v>
      </c>
      <c r="C2991" s="11" t="s">
        <v>166</v>
      </c>
      <c r="D2991" s="9" t="s">
        <v>11700</v>
      </c>
      <c r="E2991" s="9" t="s">
        <v>11701</v>
      </c>
      <c r="F2991" s="9" t="s">
        <v>11702</v>
      </c>
      <c r="G2991" s="9" t="s">
        <v>308</v>
      </c>
      <c r="H2991" s="15" t="s">
        <v>23</v>
      </c>
      <c r="I2991" s="9" t="s">
        <v>11703</v>
      </c>
      <c r="J2991" s="13"/>
      <c r="K2991" s="13"/>
    </row>
    <row r="2992" customFormat="false" ht="35.05" hidden="false" customHeight="false" outlineLevel="0" collapsed="false">
      <c r="A2992" s="9" t="n">
        <v>2991</v>
      </c>
      <c r="B2992" s="9" t="s">
        <v>155</v>
      </c>
      <c r="C2992" s="11" t="s">
        <v>166</v>
      </c>
      <c r="D2992" s="9" t="s">
        <v>11704</v>
      </c>
      <c r="E2992" s="9" t="s">
        <v>11705</v>
      </c>
      <c r="F2992" s="9" t="s">
        <v>11706</v>
      </c>
      <c r="G2992" s="9" t="s">
        <v>312</v>
      </c>
      <c r="H2992" s="15" t="s">
        <v>23</v>
      </c>
      <c r="I2992" s="9" t="s">
        <v>11707</v>
      </c>
      <c r="J2992" s="13"/>
      <c r="K2992" s="13"/>
    </row>
    <row r="2993" customFormat="false" ht="57.45" hidden="false" customHeight="false" outlineLevel="0" collapsed="false">
      <c r="A2993" s="9" t="n">
        <v>2992</v>
      </c>
      <c r="B2993" s="9" t="s">
        <v>155</v>
      </c>
      <c r="C2993" s="11" t="s">
        <v>166</v>
      </c>
      <c r="D2993" s="9" t="s">
        <v>11708</v>
      </c>
      <c r="E2993" s="9" t="s">
        <v>11709</v>
      </c>
      <c r="F2993" s="9" t="s">
        <v>11710</v>
      </c>
      <c r="G2993" s="9" t="s">
        <v>312</v>
      </c>
      <c r="H2993" s="15" t="s">
        <v>23</v>
      </c>
      <c r="I2993" s="9" t="s">
        <v>11711</v>
      </c>
      <c r="J2993" s="13"/>
      <c r="K2993" s="13"/>
    </row>
    <row r="2994" customFormat="false" ht="68.65" hidden="false" customHeight="false" outlineLevel="0" collapsed="false">
      <c r="A2994" s="9" t="n">
        <v>2993</v>
      </c>
      <c r="B2994" s="9" t="s">
        <v>155</v>
      </c>
      <c r="C2994" s="11" t="s">
        <v>166</v>
      </c>
      <c r="D2994" s="9" t="s">
        <v>11712</v>
      </c>
      <c r="E2994" s="9" t="s">
        <v>11713</v>
      </c>
      <c r="F2994" s="9" t="s">
        <v>11714</v>
      </c>
      <c r="G2994" s="9" t="s">
        <v>328</v>
      </c>
      <c r="H2994" s="15" t="s">
        <v>23</v>
      </c>
      <c r="I2994" s="9" t="s">
        <v>11715</v>
      </c>
      <c r="J2994" s="13"/>
      <c r="K2994" s="13"/>
    </row>
    <row r="2995" customFormat="false" ht="23.85" hidden="false" customHeight="false" outlineLevel="0" collapsed="false">
      <c r="A2995" s="9" t="n">
        <v>2994</v>
      </c>
      <c r="B2995" s="9" t="s">
        <v>155</v>
      </c>
      <c r="C2995" s="11" t="s">
        <v>166</v>
      </c>
      <c r="D2995" s="9" t="s">
        <v>11716</v>
      </c>
      <c r="E2995" s="9" t="s">
        <v>11557</v>
      </c>
      <c r="F2995" s="9" t="s">
        <v>4608</v>
      </c>
      <c r="G2995" s="9" t="s">
        <v>328</v>
      </c>
      <c r="H2995" s="15" t="s">
        <v>23</v>
      </c>
      <c r="I2995" s="9" t="s">
        <v>2298</v>
      </c>
      <c r="J2995" s="13"/>
      <c r="K2995" s="13"/>
    </row>
    <row r="2996" customFormat="false" ht="35.05" hidden="false" customHeight="false" outlineLevel="0" collapsed="false">
      <c r="A2996" s="9" t="n">
        <v>2995</v>
      </c>
      <c r="B2996" s="9" t="s">
        <v>155</v>
      </c>
      <c r="C2996" s="11" t="s">
        <v>166</v>
      </c>
      <c r="D2996" s="9" t="s">
        <v>11717</v>
      </c>
      <c r="E2996" s="9" t="s">
        <v>11718</v>
      </c>
      <c r="F2996" s="9" t="s">
        <v>11719</v>
      </c>
      <c r="G2996" s="9" t="s">
        <v>312</v>
      </c>
      <c r="H2996" s="15" t="s">
        <v>23</v>
      </c>
      <c r="I2996" s="9" t="s">
        <v>11720</v>
      </c>
      <c r="J2996" s="13"/>
      <c r="K2996" s="13"/>
    </row>
    <row r="2997" customFormat="false" ht="23.85" hidden="false" customHeight="false" outlineLevel="0" collapsed="false">
      <c r="A2997" s="9" t="n">
        <v>2996</v>
      </c>
      <c r="B2997" s="9" t="s">
        <v>155</v>
      </c>
      <c r="C2997" s="11" t="s">
        <v>166</v>
      </c>
      <c r="D2997" s="9" t="s">
        <v>11721</v>
      </c>
      <c r="E2997" s="9" t="s">
        <v>11722</v>
      </c>
      <c r="F2997" s="9" t="s">
        <v>11723</v>
      </c>
      <c r="G2997" s="9" t="s">
        <v>308</v>
      </c>
      <c r="H2997" s="15" t="s">
        <v>23</v>
      </c>
      <c r="I2997" s="9" t="s">
        <v>11724</v>
      </c>
      <c r="J2997" s="13"/>
      <c r="K2997" s="13"/>
    </row>
    <row r="2998" customFormat="false" ht="57.45" hidden="false" customHeight="false" outlineLevel="0" collapsed="false">
      <c r="A2998" s="9" t="n">
        <v>2997</v>
      </c>
      <c r="B2998" s="9" t="s">
        <v>155</v>
      </c>
      <c r="C2998" s="11" t="s">
        <v>166</v>
      </c>
      <c r="D2998" s="9" t="s">
        <v>11725</v>
      </c>
      <c r="E2998" s="9" t="s">
        <v>11726</v>
      </c>
      <c r="F2998" s="9" t="s">
        <v>11727</v>
      </c>
      <c r="G2998" s="9" t="s">
        <v>24</v>
      </c>
      <c r="H2998" s="12" t="s">
        <v>21</v>
      </c>
      <c r="I2998" s="9" t="s">
        <v>11728</v>
      </c>
      <c r="J2998" s="13"/>
      <c r="K2998" s="13"/>
    </row>
    <row r="2999" customFormat="false" ht="35.05" hidden="false" customHeight="false" outlineLevel="0" collapsed="false">
      <c r="A2999" s="9" t="n">
        <v>2998</v>
      </c>
      <c r="B2999" s="9" t="s">
        <v>155</v>
      </c>
      <c r="C2999" s="11" t="s">
        <v>166</v>
      </c>
      <c r="D2999" s="9" t="s">
        <v>11729</v>
      </c>
      <c r="E2999" s="9" t="s">
        <v>11730</v>
      </c>
      <c r="F2999" s="9" t="s">
        <v>11731</v>
      </c>
      <c r="G2999" s="9" t="s">
        <v>24</v>
      </c>
      <c r="H2999" s="14" t="s">
        <v>22</v>
      </c>
      <c r="I2999" s="9" t="s">
        <v>11732</v>
      </c>
      <c r="J2999" s="13"/>
      <c r="K2999" s="13"/>
    </row>
    <row r="3000" customFormat="false" ht="35.05" hidden="false" customHeight="false" outlineLevel="0" collapsed="false">
      <c r="A3000" s="9" t="n">
        <v>2999</v>
      </c>
      <c r="B3000" s="9" t="s">
        <v>155</v>
      </c>
      <c r="C3000" s="11" t="s">
        <v>166</v>
      </c>
      <c r="D3000" s="9" t="s">
        <v>11733</v>
      </c>
      <c r="E3000" s="9" t="s">
        <v>11734</v>
      </c>
      <c r="F3000" s="9" t="s">
        <v>11735</v>
      </c>
      <c r="G3000" s="9" t="s">
        <v>24</v>
      </c>
      <c r="H3000" s="14" t="s">
        <v>22</v>
      </c>
      <c r="I3000" s="9" t="s">
        <v>11736</v>
      </c>
      <c r="J3000" s="13"/>
      <c r="K3000" s="13"/>
    </row>
    <row r="3001" customFormat="false" ht="68.65" hidden="false" customHeight="false" outlineLevel="0" collapsed="false">
      <c r="A3001" s="9" t="n">
        <v>3000</v>
      </c>
      <c r="B3001" s="9" t="s">
        <v>155</v>
      </c>
      <c r="C3001" s="11" t="s">
        <v>166</v>
      </c>
      <c r="D3001" s="9" t="s">
        <v>11737</v>
      </c>
      <c r="E3001" s="9" t="s">
        <v>9177</v>
      </c>
      <c r="F3001" s="9" t="s">
        <v>11738</v>
      </c>
      <c r="G3001" s="9" t="s">
        <v>24</v>
      </c>
      <c r="H3001" s="14" t="s">
        <v>22</v>
      </c>
      <c r="I3001" s="9" t="s">
        <v>11739</v>
      </c>
      <c r="J3001" s="13"/>
      <c r="K3001" s="13"/>
    </row>
    <row r="3002" customFormat="false" ht="15" hidden="false" customHeight="false" outlineLevel="0" collapsed="false">
      <c r="A3002" s="9" t="n">
        <v>3001</v>
      </c>
      <c r="B3002" s="9" t="s">
        <v>155</v>
      </c>
      <c r="C3002" s="11" t="s">
        <v>166</v>
      </c>
      <c r="D3002" s="9" t="s">
        <v>11740</v>
      </c>
      <c r="E3002" s="9" t="s">
        <v>362</v>
      </c>
      <c r="F3002" s="9" t="s">
        <v>363</v>
      </c>
      <c r="G3002" s="9" t="s">
        <v>24</v>
      </c>
      <c r="H3002" s="14" t="s">
        <v>22</v>
      </c>
      <c r="I3002" s="9" t="s">
        <v>364</v>
      </c>
      <c r="J3002" s="13"/>
      <c r="K3002" s="13"/>
    </row>
    <row r="3003" customFormat="false" ht="15" hidden="false" customHeight="false" outlineLevel="0" collapsed="false">
      <c r="A3003" s="9" t="n">
        <v>3002</v>
      </c>
      <c r="B3003" s="9" t="s">
        <v>155</v>
      </c>
      <c r="C3003" s="11" t="s">
        <v>166</v>
      </c>
      <c r="D3003" s="9" t="s">
        <v>11741</v>
      </c>
      <c r="E3003" s="9" t="s">
        <v>11742</v>
      </c>
      <c r="F3003" s="9" t="s">
        <v>11743</v>
      </c>
      <c r="G3003" s="9" t="s">
        <v>24</v>
      </c>
      <c r="H3003" s="14" t="s">
        <v>22</v>
      </c>
      <c r="I3003" s="9" t="s">
        <v>11744</v>
      </c>
      <c r="J3003" s="13"/>
      <c r="K3003" s="13"/>
    </row>
    <row r="3004" customFormat="false" ht="23.85" hidden="false" customHeight="false" outlineLevel="0" collapsed="false">
      <c r="A3004" s="9" t="n">
        <v>3003</v>
      </c>
      <c r="B3004" s="9" t="s">
        <v>155</v>
      </c>
      <c r="C3004" s="11" t="s">
        <v>166</v>
      </c>
      <c r="D3004" s="9" t="s">
        <v>11745</v>
      </c>
      <c r="E3004" s="9" t="s">
        <v>11746</v>
      </c>
      <c r="F3004" s="9" t="s">
        <v>11747</v>
      </c>
      <c r="G3004" s="9" t="s">
        <v>24</v>
      </c>
      <c r="H3004" s="14" t="s">
        <v>22</v>
      </c>
      <c r="I3004" s="9" t="s">
        <v>11748</v>
      </c>
      <c r="J3004" s="13"/>
      <c r="K3004" s="13"/>
    </row>
    <row r="3005" customFormat="false" ht="23.85" hidden="false" customHeight="false" outlineLevel="0" collapsed="false">
      <c r="A3005" s="9" t="n">
        <v>3004</v>
      </c>
      <c r="B3005" s="9" t="s">
        <v>155</v>
      </c>
      <c r="C3005" s="11" t="s">
        <v>166</v>
      </c>
      <c r="D3005" s="9" t="s">
        <v>11749</v>
      </c>
      <c r="E3005" s="9" t="s">
        <v>11750</v>
      </c>
      <c r="F3005" s="9" t="s">
        <v>11751</v>
      </c>
      <c r="G3005" s="9" t="s">
        <v>24</v>
      </c>
      <c r="H3005" s="14" t="s">
        <v>22</v>
      </c>
      <c r="I3005" s="9" t="s">
        <v>11752</v>
      </c>
      <c r="J3005" s="13"/>
      <c r="K3005" s="13"/>
    </row>
    <row r="3006" customFormat="false" ht="23.85" hidden="false" customHeight="false" outlineLevel="0" collapsed="false">
      <c r="A3006" s="9" t="n">
        <v>3005</v>
      </c>
      <c r="B3006" s="9" t="s">
        <v>155</v>
      </c>
      <c r="C3006" s="11" t="s">
        <v>166</v>
      </c>
      <c r="D3006" s="9" t="s">
        <v>11753</v>
      </c>
      <c r="E3006" s="9" t="s">
        <v>11754</v>
      </c>
      <c r="F3006" s="9" t="s">
        <v>11755</v>
      </c>
      <c r="G3006" s="9" t="s">
        <v>24</v>
      </c>
      <c r="H3006" s="14" t="s">
        <v>22</v>
      </c>
      <c r="I3006" s="9" t="s">
        <v>11756</v>
      </c>
      <c r="J3006" s="13"/>
      <c r="K3006" s="13"/>
    </row>
    <row r="3007" customFormat="false" ht="15" hidden="false" customHeight="false" outlineLevel="0" collapsed="false">
      <c r="A3007" s="9" t="n">
        <v>3006</v>
      </c>
      <c r="B3007" s="9" t="s">
        <v>155</v>
      </c>
      <c r="C3007" s="11" t="s">
        <v>166</v>
      </c>
      <c r="D3007" s="9" t="s">
        <v>11757</v>
      </c>
      <c r="E3007" s="9" t="s">
        <v>11758</v>
      </c>
      <c r="F3007" s="9" t="s">
        <v>11759</v>
      </c>
      <c r="G3007" s="9" t="s">
        <v>24</v>
      </c>
      <c r="H3007" s="15" t="s">
        <v>23</v>
      </c>
      <c r="I3007" s="9" t="s">
        <v>8804</v>
      </c>
      <c r="J3007" s="13"/>
      <c r="K3007" s="13"/>
    </row>
    <row r="3008" customFormat="false" ht="23.85" hidden="false" customHeight="false" outlineLevel="0" collapsed="false">
      <c r="A3008" s="9" t="n">
        <v>3007</v>
      </c>
      <c r="B3008" s="9" t="s">
        <v>155</v>
      </c>
      <c r="C3008" s="11" t="s">
        <v>166</v>
      </c>
      <c r="D3008" s="9" t="s">
        <v>11760</v>
      </c>
      <c r="E3008" s="9" t="s">
        <v>11761</v>
      </c>
      <c r="F3008" s="9" t="s">
        <v>11762</v>
      </c>
      <c r="G3008" s="9" t="s">
        <v>24</v>
      </c>
      <c r="H3008" s="15" t="s">
        <v>23</v>
      </c>
      <c r="I3008" s="9" t="s">
        <v>11763</v>
      </c>
      <c r="J3008" s="13"/>
      <c r="K3008" s="13"/>
    </row>
    <row r="3009" customFormat="false" ht="23.85" hidden="false" customHeight="false" outlineLevel="0" collapsed="false">
      <c r="A3009" s="9" t="n">
        <v>3008</v>
      </c>
      <c r="B3009" s="9" t="s">
        <v>155</v>
      </c>
      <c r="C3009" s="11" t="s">
        <v>166</v>
      </c>
      <c r="D3009" s="9" t="s">
        <v>11764</v>
      </c>
      <c r="E3009" s="9" t="s">
        <v>11765</v>
      </c>
      <c r="F3009" s="9" t="s">
        <v>2586</v>
      </c>
      <c r="G3009" s="9" t="s">
        <v>24</v>
      </c>
      <c r="H3009" s="15" t="s">
        <v>23</v>
      </c>
      <c r="I3009" s="9" t="s">
        <v>11391</v>
      </c>
      <c r="J3009" s="13"/>
      <c r="K3009" s="13"/>
    </row>
    <row r="3010" customFormat="false" ht="79.85" hidden="false" customHeight="false" outlineLevel="0" collapsed="false">
      <c r="A3010" s="9" t="n">
        <v>3009</v>
      </c>
      <c r="B3010" s="9" t="s">
        <v>155</v>
      </c>
      <c r="C3010" s="11" t="s">
        <v>168</v>
      </c>
      <c r="D3010" s="9" t="s">
        <v>11766</v>
      </c>
      <c r="E3010" s="9" t="s">
        <v>11767</v>
      </c>
      <c r="F3010" s="9" t="s">
        <v>11768</v>
      </c>
      <c r="G3010" s="9" t="s">
        <v>11455</v>
      </c>
      <c r="H3010" s="12" t="s">
        <v>21</v>
      </c>
      <c r="I3010" s="9" t="s">
        <v>11769</v>
      </c>
      <c r="J3010" s="13"/>
      <c r="K3010" s="13"/>
    </row>
    <row r="3011" customFormat="false" ht="46.25" hidden="false" customHeight="false" outlineLevel="0" collapsed="false">
      <c r="A3011" s="9" t="n">
        <v>3010</v>
      </c>
      <c r="B3011" s="9" t="s">
        <v>155</v>
      </c>
      <c r="C3011" s="11" t="s">
        <v>168</v>
      </c>
      <c r="D3011" s="9" t="s">
        <v>11770</v>
      </c>
      <c r="E3011" s="9" t="s">
        <v>11771</v>
      </c>
      <c r="F3011" s="9" t="s">
        <v>11772</v>
      </c>
      <c r="G3011" s="9" t="s">
        <v>2044</v>
      </c>
      <c r="H3011" s="14" t="s">
        <v>22</v>
      </c>
      <c r="I3011" s="9" t="s">
        <v>11773</v>
      </c>
      <c r="J3011" s="13"/>
      <c r="K3011" s="13"/>
    </row>
    <row r="3012" customFormat="false" ht="79.85" hidden="false" customHeight="false" outlineLevel="0" collapsed="false">
      <c r="A3012" s="9" t="n">
        <v>3011</v>
      </c>
      <c r="B3012" s="9" t="s">
        <v>155</v>
      </c>
      <c r="C3012" s="11" t="s">
        <v>168</v>
      </c>
      <c r="D3012" s="9" t="s">
        <v>11774</v>
      </c>
      <c r="E3012" s="9" t="s">
        <v>11775</v>
      </c>
      <c r="F3012" s="9" t="s">
        <v>11776</v>
      </c>
      <c r="G3012" s="9" t="s">
        <v>312</v>
      </c>
      <c r="H3012" s="12" t="s">
        <v>21</v>
      </c>
      <c r="I3012" s="9" t="s">
        <v>11777</v>
      </c>
      <c r="J3012" s="13"/>
      <c r="K3012" s="13"/>
    </row>
    <row r="3013" customFormat="false" ht="57.45" hidden="false" customHeight="false" outlineLevel="0" collapsed="false">
      <c r="A3013" s="9" t="n">
        <v>3012</v>
      </c>
      <c r="B3013" s="9" t="s">
        <v>155</v>
      </c>
      <c r="C3013" s="11" t="s">
        <v>168</v>
      </c>
      <c r="D3013" s="9" t="s">
        <v>11778</v>
      </c>
      <c r="E3013" s="9" t="s">
        <v>11779</v>
      </c>
      <c r="F3013" s="9" t="s">
        <v>11780</v>
      </c>
      <c r="G3013" s="9" t="s">
        <v>1852</v>
      </c>
      <c r="H3013" s="12" t="s">
        <v>21</v>
      </c>
      <c r="I3013" s="9" t="s">
        <v>11781</v>
      </c>
      <c r="J3013" s="13"/>
      <c r="K3013" s="13"/>
    </row>
    <row r="3014" customFormat="false" ht="68.65" hidden="false" customHeight="false" outlineLevel="0" collapsed="false">
      <c r="A3014" s="9" t="n">
        <v>3013</v>
      </c>
      <c r="B3014" s="9" t="s">
        <v>155</v>
      </c>
      <c r="C3014" s="11" t="s">
        <v>168</v>
      </c>
      <c r="D3014" s="9" t="s">
        <v>11782</v>
      </c>
      <c r="E3014" s="9" t="s">
        <v>11783</v>
      </c>
      <c r="F3014" s="9" t="s">
        <v>11784</v>
      </c>
      <c r="G3014" s="9" t="s">
        <v>312</v>
      </c>
      <c r="H3014" s="12" t="s">
        <v>21</v>
      </c>
      <c r="I3014" s="9" t="s">
        <v>11785</v>
      </c>
      <c r="J3014" s="13"/>
      <c r="K3014" s="13"/>
    </row>
    <row r="3015" customFormat="false" ht="35.05" hidden="false" customHeight="false" outlineLevel="0" collapsed="false">
      <c r="A3015" s="9" t="n">
        <v>3014</v>
      </c>
      <c r="B3015" s="9" t="s">
        <v>155</v>
      </c>
      <c r="C3015" s="11" t="s">
        <v>168</v>
      </c>
      <c r="D3015" s="9" t="s">
        <v>11786</v>
      </c>
      <c r="E3015" s="9" t="s">
        <v>11787</v>
      </c>
      <c r="F3015" s="9" t="s">
        <v>11788</v>
      </c>
      <c r="G3015" s="9" t="s">
        <v>317</v>
      </c>
      <c r="H3015" s="14" t="s">
        <v>22</v>
      </c>
      <c r="I3015" s="9" t="s">
        <v>11789</v>
      </c>
      <c r="J3015" s="13"/>
      <c r="K3015" s="13"/>
    </row>
    <row r="3016" customFormat="false" ht="57.45" hidden="false" customHeight="false" outlineLevel="0" collapsed="false">
      <c r="A3016" s="9" t="n">
        <v>3015</v>
      </c>
      <c r="B3016" s="9" t="s">
        <v>155</v>
      </c>
      <c r="C3016" s="11" t="s">
        <v>168</v>
      </c>
      <c r="D3016" s="9" t="s">
        <v>11790</v>
      </c>
      <c r="E3016" s="9" t="s">
        <v>11791</v>
      </c>
      <c r="F3016" s="9" t="s">
        <v>11792</v>
      </c>
      <c r="G3016" s="9" t="s">
        <v>3266</v>
      </c>
      <c r="H3016" s="14" t="s">
        <v>22</v>
      </c>
      <c r="I3016" s="9" t="s">
        <v>11793</v>
      </c>
      <c r="J3016" s="13"/>
      <c r="K3016" s="13"/>
    </row>
    <row r="3017" customFormat="false" ht="46.25" hidden="false" customHeight="false" outlineLevel="0" collapsed="false">
      <c r="A3017" s="9" t="n">
        <v>3016</v>
      </c>
      <c r="B3017" s="9" t="s">
        <v>155</v>
      </c>
      <c r="C3017" s="11" t="s">
        <v>168</v>
      </c>
      <c r="D3017" s="9" t="s">
        <v>11794</v>
      </c>
      <c r="E3017" s="9" t="s">
        <v>11795</v>
      </c>
      <c r="F3017" s="9" t="s">
        <v>11796</v>
      </c>
      <c r="G3017" s="9" t="s">
        <v>1072</v>
      </c>
      <c r="H3017" s="15" t="s">
        <v>23</v>
      </c>
      <c r="I3017" s="9" t="s">
        <v>11797</v>
      </c>
      <c r="J3017" s="13"/>
      <c r="K3017" s="13"/>
    </row>
    <row r="3018" customFormat="false" ht="35.05" hidden="false" customHeight="false" outlineLevel="0" collapsed="false">
      <c r="A3018" s="9" t="n">
        <v>3017</v>
      </c>
      <c r="B3018" s="9" t="s">
        <v>155</v>
      </c>
      <c r="C3018" s="11" t="s">
        <v>168</v>
      </c>
      <c r="D3018" s="9" t="s">
        <v>11798</v>
      </c>
      <c r="E3018" s="9" t="s">
        <v>11799</v>
      </c>
      <c r="F3018" s="9" t="s">
        <v>11800</v>
      </c>
      <c r="G3018" s="9" t="s">
        <v>11490</v>
      </c>
      <c r="H3018" s="14" t="s">
        <v>22</v>
      </c>
      <c r="I3018" s="9" t="s">
        <v>11801</v>
      </c>
      <c r="J3018" s="13"/>
      <c r="K3018" s="13"/>
    </row>
    <row r="3019" customFormat="false" ht="35.05" hidden="false" customHeight="false" outlineLevel="0" collapsed="false">
      <c r="A3019" s="9" t="n">
        <v>3018</v>
      </c>
      <c r="B3019" s="9" t="s">
        <v>155</v>
      </c>
      <c r="C3019" s="11" t="s">
        <v>168</v>
      </c>
      <c r="D3019" s="9" t="s">
        <v>11802</v>
      </c>
      <c r="E3019" s="9" t="s">
        <v>11803</v>
      </c>
      <c r="F3019" s="9" t="s">
        <v>11804</v>
      </c>
      <c r="G3019" s="9" t="s">
        <v>11490</v>
      </c>
      <c r="H3019" s="15" t="s">
        <v>23</v>
      </c>
      <c r="I3019" s="9" t="s">
        <v>11805</v>
      </c>
      <c r="J3019" s="13"/>
      <c r="K3019" s="13"/>
    </row>
    <row r="3020" customFormat="false" ht="46.25" hidden="false" customHeight="false" outlineLevel="0" collapsed="false">
      <c r="A3020" s="9" t="n">
        <v>3019</v>
      </c>
      <c r="B3020" s="9" t="s">
        <v>155</v>
      </c>
      <c r="C3020" s="11" t="s">
        <v>168</v>
      </c>
      <c r="D3020" s="9" t="s">
        <v>11806</v>
      </c>
      <c r="E3020" s="9" t="s">
        <v>11807</v>
      </c>
      <c r="F3020" s="9" t="s">
        <v>11808</v>
      </c>
      <c r="G3020" s="9" t="s">
        <v>11490</v>
      </c>
      <c r="H3020" s="14" t="s">
        <v>22</v>
      </c>
      <c r="I3020" s="9" t="s">
        <v>11809</v>
      </c>
      <c r="J3020" s="13"/>
      <c r="K3020" s="13"/>
    </row>
    <row r="3021" customFormat="false" ht="23.85" hidden="false" customHeight="false" outlineLevel="0" collapsed="false">
      <c r="A3021" s="9" t="n">
        <v>3020</v>
      </c>
      <c r="B3021" s="9" t="s">
        <v>155</v>
      </c>
      <c r="C3021" s="11" t="s">
        <v>168</v>
      </c>
      <c r="D3021" s="9" t="s">
        <v>11810</v>
      </c>
      <c r="E3021" s="9" t="s">
        <v>11811</v>
      </c>
      <c r="F3021" s="9" t="s">
        <v>11812</v>
      </c>
      <c r="G3021" s="9" t="s">
        <v>11490</v>
      </c>
      <c r="H3021" s="14" t="s">
        <v>22</v>
      </c>
      <c r="I3021" s="9" t="s">
        <v>11813</v>
      </c>
      <c r="J3021" s="13"/>
      <c r="K3021" s="13"/>
    </row>
    <row r="3022" customFormat="false" ht="35.05" hidden="false" customHeight="false" outlineLevel="0" collapsed="false">
      <c r="A3022" s="9" t="n">
        <v>3021</v>
      </c>
      <c r="B3022" s="9" t="s">
        <v>155</v>
      </c>
      <c r="C3022" s="11" t="s">
        <v>168</v>
      </c>
      <c r="D3022" s="9" t="s">
        <v>11814</v>
      </c>
      <c r="E3022" s="9" t="s">
        <v>11815</v>
      </c>
      <c r="F3022" s="9" t="s">
        <v>11816</v>
      </c>
      <c r="G3022" s="9" t="s">
        <v>11490</v>
      </c>
      <c r="H3022" s="15" t="s">
        <v>23</v>
      </c>
      <c r="I3022" s="9" t="s">
        <v>11817</v>
      </c>
      <c r="J3022" s="13"/>
      <c r="K3022" s="13"/>
    </row>
    <row r="3023" customFormat="false" ht="46.25" hidden="false" customHeight="false" outlineLevel="0" collapsed="false">
      <c r="A3023" s="9" t="n">
        <v>3022</v>
      </c>
      <c r="B3023" s="9" t="s">
        <v>155</v>
      </c>
      <c r="C3023" s="11" t="s">
        <v>168</v>
      </c>
      <c r="D3023" s="9" t="s">
        <v>11818</v>
      </c>
      <c r="E3023" s="9" t="s">
        <v>11819</v>
      </c>
      <c r="F3023" s="9" t="s">
        <v>11820</v>
      </c>
      <c r="G3023" s="9" t="s">
        <v>312</v>
      </c>
      <c r="H3023" s="14" t="s">
        <v>22</v>
      </c>
      <c r="I3023" s="9" t="s">
        <v>11821</v>
      </c>
      <c r="J3023" s="13"/>
      <c r="K3023" s="13"/>
    </row>
    <row r="3024" customFormat="false" ht="46.25" hidden="false" customHeight="false" outlineLevel="0" collapsed="false">
      <c r="A3024" s="9" t="n">
        <v>3023</v>
      </c>
      <c r="B3024" s="9" t="s">
        <v>155</v>
      </c>
      <c r="C3024" s="11" t="s">
        <v>168</v>
      </c>
      <c r="D3024" s="9" t="s">
        <v>11822</v>
      </c>
      <c r="E3024" s="9" t="s">
        <v>11823</v>
      </c>
      <c r="F3024" s="9" t="s">
        <v>11824</v>
      </c>
      <c r="G3024" s="9" t="s">
        <v>312</v>
      </c>
      <c r="H3024" s="15" t="s">
        <v>23</v>
      </c>
      <c r="I3024" s="9" t="s">
        <v>11825</v>
      </c>
      <c r="J3024" s="13"/>
      <c r="K3024" s="13"/>
    </row>
    <row r="3025" customFormat="false" ht="35.05" hidden="false" customHeight="false" outlineLevel="0" collapsed="false">
      <c r="A3025" s="9" t="n">
        <v>3024</v>
      </c>
      <c r="B3025" s="9" t="s">
        <v>155</v>
      </c>
      <c r="C3025" s="11" t="s">
        <v>168</v>
      </c>
      <c r="D3025" s="9" t="s">
        <v>11826</v>
      </c>
      <c r="E3025" s="9" t="s">
        <v>11827</v>
      </c>
      <c r="F3025" s="9" t="s">
        <v>11828</v>
      </c>
      <c r="G3025" s="9" t="s">
        <v>1643</v>
      </c>
      <c r="H3025" s="14" t="s">
        <v>22</v>
      </c>
      <c r="I3025" s="9" t="s">
        <v>11829</v>
      </c>
      <c r="J3025" s="13"/>
      <c r="K3025" s="13"/>
    </row>
    <row r="3026" customFormat="false" ht="35.05" hidden="false" customHeight="false" outlineLevel="0" collapsed="false">
      <c r="A3026" s="9" t="n">
        <v>3025</v>
      </c>
      <c r="B3026" s="9" t="s">
        <v>155</v>
      </c>
      <c r="C3026" s="11" t="s">
        <v>168</v>
      </c>
      <c r="D3026" s="9" t="s">
        <v>11830</v>
      </c>
      <c r="E3026" s="9" t="s">
        <v>11831</v>
      </c>
      <c r="F3026" s="9" t="s">
        <v>11832</v>
      </c>
      <c r="G3026" s="9" t="s">
        <v>328</v>
      </c>
      <c r="H3026" s="15" t="s">
        <v>23</v>
      </c>
      <c r="I3026" s="9" t="s">
        <v>11833</v>
      </c>
      <c r="J3026" s="13"/>
      <c r="K3026" s="13"/>
    </row>
    <row r="3027" customFormat="false" ht="35.05" hidden="false" customHeight="false" outlineLevel="0" collapsed="false">
      <c r="A3027" s="9" t="n">
        <v>3026</v>
      </c>
      <c r="B3027" s="9" t="s">
        <v>155</v>
      </c>
      <c r="C3027" s="11" t="s">
        <v>168</v>
      </c>
      <c r="D3027" s="9" t="s">
        <v>11834</v>
      </c>
      <c r="E3027" s="9" t="s">
        <v>11835</v>
      </c>
      <c r="F3027" s="9" t="s">
        <v>11836</v>
      </c>
      <c r="G3027" s="9" t="s">
        <v>9682</v>
      </c>
      <c r="H3027" s="14" t="s">
        <v>22</v>
      </c>
      <c r="I3027" s="9" t="s">
        <v>11837</v>
      </c>
      <c r="J3027" s="13"/>
      <c r="K3027" s="13"/>
    </row>
    <row r="3028" customFormat="false" ht="35.05" hidden="false" customHeight="false" outlineLevel="0" collapsed="false">
      <c r="A3028" s="9" t="n">
        <v>3027</v>
      </c>
      <c r="B3028" s="9" t="s">
        <v>155</v>
      </c>
      <c r="C3028" s="11" t="s">
        <v>168</v>
      </c>
      <c r="D3028" s="9" t="s">
        <v>11838</v>
      </c>
      <c r="E3028" s="9" t="s">
        <v>11839</v>
      </c>
      <c r="F3028" s="9" t="s">
        <v>11840</v>
      </c>
      <c r="G3028" s="9" t="s">
        <v>2044</v>
      </c>
      <c r="H3028" s="15" t="s">
        <v>23</v>
      </c>
      <c r="I3028" s="9" t="s">
        <v>11841</v>
      </c>
      <c r="J3028" s="13"/>
      <c r="K3028" s="13"/>
    </row>
    <row r="3029" customFormat="false" ht="46.25" hidden="false" customHeight="false" outlineLevel="0" collapsed="false">
      <c r="A3029" s="9" t="n">
        <v>3028</v>
      </c>
      <c r="B3029" s="9" t="s">
        <v>155</v>
      </c>
      <c r="C3029" s="11" t="s">
        <v>168</v>
      </c>
      <c r="D3029" s="9" t="s">
        <v>11842</v>
      </c>
      <c r="E3029" s="9" t="s">
        <v>11843</v>
      </c>
      <c r="F3029" s="9" t="s">
        <v>11844</v>
      </c>
      <c r="G3029" s="9" t="s">
        <v>312</v>
      </c>
      <c r="H3029" s="14" t="s">
        <v>22</v>
      </c>
      <c r="I3029" s="9" t="s">
        <v>11845</v>
      </c>
      <c r="J3029" s="13"/>
      <c r="K3029" s="13"/>
    </row>
    <row r="3030" customFormat="false" ht="35.05" hidden="false" customHeight="false" outlineLevel="0" collapsed="false">
      <c r="A3030" s="9" t="n">
        <v>3029</v>
      </c>
      <c r="B3030" s="9" t="s">
        <v>155</v>
      </c>
      <c r="C3030" s="11" t="s">
        <v>168</v>
      </c>
      <c r="D3030" s="9" t="s">
        <v>11846</v>
      </c>
      <c r="E3030" s="9" t="s">
        <v>11847</v>
      </c>
      <c r="F3030" s="9" t="s">
        <v>11848</v>
      </c>
      <c r="G3030" s="9" t="s">
        <v>312</v>
      </c>
      <c r="H3030" s="15" t="s">
        <v>23</v>
      </c>
      <c r="I3030" s="9" t="s">
        <v>11849</v>
      </c>
      <c r="J3030" s="13"/>
      <c r="K3030" s="13"/>
    </row>
    <row r="3031" customFormat="false" ht="23.85" hidden="false" customHeight="false" outlineLevel="0" collapsed="false">
      <c r="A3031" s="9" t="n">
        <v>3030</v>
      </c>
      <c r="B3031" s="9" t="s">
        <v>155</v>
      </c>
      <c r="C3031" s="11" t="s">
        <v>168</v>
      </c>
      <c r="D3031" s="9" t="s">
        <v>11850</v>
      </c>
      <c r="E3031" s="9" t="s">
        <v>11851</v>
      </c>
      <c r="F3031" s="9" t="s">
        <v>11852</v>
      </c>
      <c r="G3031" s="9" t="s">
        <v>312</v>
      </c>
      <c r="H3031" s="15" t="s">
        <v>23</v>
      </c>
      <c r="I3031" s="9" t="s">
        <v>11853</v>
      </c>
      <c r="J3031" s="13"/>
      <c r="K3031" s="13"/>
    </row>
    <row r="3032" customFormat="false" ht="35.05" hidden="false" customHeight="false" outlineLevel="0" collapsed="false">
      <c r="A3032" s="9" t="n">
        <v>3031</v>
      </c>
      <c r="B3032" s="9" t="s">
        <v>155</v>
      </c>
      <c r="C3032" s="11" t="s">
        <v>168</v>
      </c>
      <c r="D3032" s="9" t="s">
        <v>11854</v>
      </c>
      <c r="E3032" s="9" t="s">
        <v>11855</v>
      </c>
      <c r="F3032" s="9" t="s">
        <v>11856</v>
      </c>
      <c r="G3032" s="9" t="s">
        <v>317</v>
      </c>
      <c r="H3032" s="15" t="s">
        <v>23</v>
      </c>
      <c r="I3032" s="9" t="s">
        <v>11857</v>
      </c>
      <c r="J3032" s="13"/>
      <c r="K3032" s="13"/>
    </row>
    <row r="3033" customFormat="false" ht="23.85" hidden="false" customHeight="false" outlineLevel="0" collapsed="false">
      <c r="A3033" s="9" t="n">
        <v>3032</v>
      </c>
      <c r="B3033" s="9" t="s">
        <v>155</v>
      </c>
      <c r="C3033" s="11" t="s">
        <v>168</v>
      </c>
      <c r="D3033" s="9" t="s">
        <v>11858</v>
      </c>
      <c r="E3033" s="9" t="s">
        <v>11859</v>
      </c>
      <c r="F3033" s="9" t="s">
        <v>11860</v>
      </c>
      <c r="G3033" s="9" t="s">
        <v>328</v>
      </c>
      <c r="H3033" s="15" t="s">
        <v>23</v>
      </c>
      <c r="I3033" s="9" t="s">
        <v>11861</v>
      </c>
      <c r="J3033" s="13"/>
      <c r="K3033" s="13"/>
    </row>
    <row r="3034" customFormat="false" ht="23.85" hidden="false" customHeight="false" outlineLevel="0" collapsed="false">
      <c r="A3034" s="9" t="n">
        <v>3033</v>
      </c>
      <c r="B3034" s="9" t="s">
        <v>155</v>
      </c>
      <c r="C3034" s="11" t="s">
        <v>168</v>
      </c>
      <c r="D3034" s="9" t="s">
        <v>11862</v>
      </c>
      <c r="E3034" s="9" t="s">
        <v>11557</v>
      </c>
      <c r="F3034" s="9" t="s">
        <v>4608</v>
      </c>
      <c r="G3034" s="9" t="s">
        <v>328</v>
      </c>
      <c r="H3034" s="15" t="s">
        <v>23</v>
      </c>
      <c r="I3034" s="9" t="s">
        <v>2298</v>
      </c>
      <c r="J3034" s="13"/>
      <c r="K3034" s="13"/>
    </row>
    <row r="3035" customFormat="false" ht="23.85" hidden="false" customHeight="false" outlineLevel="0" collapsed="false">
      <c r="A3035" s="9" t="n">
        <v>3034</v>
      </c>
      <c r="B3035" s="9" t="s">
        <v>155</v>
      </c>
      <c r="C3035" s="11" t="s">
        <v>168</v>
      </c>
      <c r="D3035" s="9" t="s">
        <v>11863</v>
      </c>
      <c r="E3035" s="9" t="s">
        <v>11864</v>
      </c>
      <c r="F3035" s="9" t="s">
        <v>11865</v>
      </c>
      <c r="G3035" s="9" t="s">
        <v>1072</v>
      </c>
      <c r="H3035" s="15" t="s">
        <v>23</v>
      </c>
      <c r="I3035" s="9" t="s">
        <v>11866</v>
      </c>
      <c r="J3035" s="13"/>
      <c r="K3035" s="13"/>
    </row>
    <row r="3036" customFormat="false" ht="57.45" hidden="false" customHeight="false" outlineLevel="0" collapsed="false">
      <c r="A3036" s="9" t="n">
        <v>3035</v>
      </c>
      <c r="B3036" s="9" t="s">
        <v>155</v>
      </c>
      <c r="C3036" s="11" t="s">
        <v>168</v>
      </c>
      <c r="D3036" s="9" t="s">
        <v>11867</v>
      </c>
      <c r="E3036" s="9" t="s">
        <v>11868</v>
      </c>
      <c r="F3036" s="9" t="s">
        <v>11869</v>
      </c>
      <c r="G3036" s="9" t="s">
        <v>24</v>
      </c>
      <c r="H3036" s="12" t="s">
        <v>21</v>
      </c>
      <c r="I3036" s="9" t="s">
        <v>11870</v>
      </c>
      <c r="J3036" s="13"/>
      <c r="K3036" s="13"/>
    </row>
    <row r="3037" customFormat="false" ht="35.05" hidden="false" customHeight="false" outlineLevel="0" collapsed="false">
      <c r="A3037" s="9" t="n">
        <v>3036</v>
      </c>
      <c r="B3037" s="9" t="s">
        <v>155</v>
      </c>
      <c r="C3037" s="11" t="s">
        <v>168</v>
      </c>
      <c r="D3037" s="9" t="s">
        <v>11871</v>
      </c>
      <c r="E3037" s="9" t="s">
        <v>11872</v>
      </c>
      <c r="F3037" s="9" t="s">
        <v>11873</v>
      </c>
      <c r="G3037" s="9" t="s">
        <v>24</v>
      </c>
      <c r="H3037" s="12" t="s">
        <v>21</v>
      </c>
      <c r="I3037" s="9" t="s">
        <v>11874</v>
      </c>
      <c r="J3037" s="13"/>
      <c r="K3037" s="13"/>
    </row>
    <row r="3038" customFormat="false" ht="23.85" hidden="false" customHeight="false" outlineLevel="0" collapsed="false">
      <c r="A3038" s="9" t="n">
        <v>3037</v>
      </c>
      <c r="B3038" s="9" t="s">
        <v>155</v>
      </c>
      <c r="C3038" s="11" t="s">
        <v>168</v>
      </c>
      <c r="D3038" s="9" t="s">
        <v>11875</v>
      </c>
      <c r="E3038" s="9" t="s">
        <v>11876</v>
      </c>
      <c r="F3038" s="9" t="s">
        <v>11877</v>
      </c>
      <c r="G3038" s="9" t="s">
        <v>24</v>
      </c>
      <c r="H3038" s="14" t="s">
        <v>22</v>
      </c>
      <c r="I3038" s="9" t="s">
        <v>11878</v>
      </c>
      <c r="J3038" s="13"/>
      <c r="K3038" s="13"/>
    </row>
    <row r="3039" customFormat="false" ht="15" hidden="false" customHeight="false" outlineLevel="0" collapsed="false">
      <c r="A3039" s="9" t="n">
        <v>3038</v>
      </c>
      <c r="B3039" s="9" t="s">
        <v>155</v>
      </c>
      <c r="C3039" s="11" t="s">
        <v>168</v>
      </c>
      <c r="D3039" s="9" t="s">
        <v>11879</v>
      </c>
      <c r="E3039" s="9" t="s">
        <v>11880</v>
      </c>
      <c r="F3039" s="9" t="s">
        <v>11881</v>
      </c>
      <c r="G3039" s="9" t="s">
        <v>24</v>
      </c>
      <c r="H3039" s="14" t="s">
        <v>22</v>
      </c>
      <c r="I3039" s="9" t="s">
        <v>10368</v>
      </c>
      <c r="J3039" s="13"/>
      <c r="K3039" s="13"/>
    </row>
    <row r="3040" customFormat="false" ht="15" hidden="false" customHeight="false" outlineLevel="0" collapsed="false">
      <c r="A3040" s="9" t="n">
        <v>3039</v>
      </c>
      <c r="B3040" s="9" t="s">
        <v>155</v>
      </c>
      <c r="C3040" s="11" t="s">
        <v>168</v>
      </c>
      <c r="D3040" s="9" t="s">
        <v>11882</v>
      </c>
      <c r="E3040" s="9" t="s">
        <v>11883</v>
      </c>
      <c r="F3040" s="9" t="s">
        <v>11884</v>
      </c>
      <c r="G3040" s="9" t="s">
        <v>24</v>
      </c>
      <c r="H3040" s="14" t="s">
        <v>22</v>
      </c>
      <c r="I3040" s="9" t="s">
        <v>11885</v>
      </c>
      <c r="J3040" s="13"/>
      <c r="K3040" s="13"/>
    </row>
    <row r="3041" customFormat="false" ht="35.05" hidden="false" customHeight="false" outlineLevel="0" collapsed="false">
      <c r="A3041" s="9" t="n">
        <v>3040</v>
      </c>
      <c r="B3041" s="9" t="s">
        <v>155</v>
      </c>
      <c r="C3041" s="11" t="s">
        <v>168</v>
      </c>
      <c r="D3041" s="9" t="s">
        <v>11886</v>
      </c>
      <c r="E3041" s="9" t="s">
        <v>11887</v>
      </c>
      <c r="F3041" s="9" t="s">
        <v>11888</v>
      </c>
      <c r="G3041" s="9" t="s">
        <v>24</v>
      </c>
      <c r="H3041" s="14" t="s">
        <v>22</v>
      </c>
      <c r="I3041" s="9" t="s">
        <v>11889</v>
      </c>
      <c r="J3041" s="13"/>
      <c r="K3041" s="13"/>
    </row>
    <row r="3042" customFormat="false" ht="57.45" hidden="false" customHeight="false" outlineLevel="0" collapsed="false">
      <c r="A3042" s="9" t="n">
        <v>3041</v>
      </c>
      <c r="B3042" s="9" t="s">
        <v>155</v>
      </c>
      <c r="C3042" s="11" t="s">
        <v>168</v>
      </c>
      <c r="D3042" s="9" t="s">
        <v>11890</v>
      </c>
      <c r="E3042" s="9" t="s">
        <v>358</v>
      </c>
      <c r="F3042" s="9" t="s">
        <v>11891</v>
      </c>
      <c r="G3042" s="9" t="s">
        <v>24</v>
      </c>
      <c r="H3042" s="14" t="s">
        <v>22</v>
      </c>
      <c r="I3042" s="9" t="s">
        <v>11892</v>
      </c>
      <c r="J3042" s="13"/>
      <c r="K3042" s="13"/>
    </row>
    <row r="3043" customFormat="false" ht="15" hidden="false" customHeight="false" outlineLevel="0" collapsed="false">
      <c r="A3043" s="9" t="n">
        <v>3042</v>
      </c>
      <c r="B3043" s="9" t="s">
        <v>155</v>
      </c>
      <c r="C3043" s="11" t="s">
        <v>168</v>
      </c>
      <c r="D3043" s="9" t="s">
        <v>11893</v>
      </c>
      <c r="E3043" s="9" t="s">
        <v>362</v>
      </c>
      <c r="F3043" s="9" t="s">
        <v>363</v>
      </c>
      <c r="G3043" s="9" t="s">
        <v>24</v>
      </c>
      <c r="H3043" s="14" t="s">
        <v>22</v>
      </c>
      <c r="I3043" s="9" t="s">
        <v>364</v>
      </c>
      <c r="J3043" s="13"/>
      <c r="K3043" s="13"/>
    </row>
    <row r="3044" customFormat="false" ht="23.85" hidden="false" customHeight="false" outlineLevel="0" collapsed="false">
      <c r="A3044" s="9" t="n">
        <v>3043</v>
      </c>
      <c r="B3044" s="9" t="s">
        <v>155</v>
      </c>
      <c r="C3044" s="11" t="s">
        <v>168</v>
      </c>
      <c r="D3044" s="9" t="s">
        <v>11894</v>
      </c>
      <c r="E3044" s="9" t="s">
        <v>11895</v>
      </c>
      <c r="F3044" s="9" t="s">
        <v>11896</v>
      </c>
      <c r="G3044" s="9" t="s">
        <v>24</v>
      </c>
      <c r="H3044" s="14" t="s">
        <v>22</v>
      </c>
      <c r="I3044" s="9" t="s">
        <v>11744</v>
      </c>
      <c r="J3044" s="13"/>
      <c r="K3044" s="13"/>
    </row>
    <row r="3045" customFormat="false" ht="23.85" hidden="false" customHeight="false" outlineLevel="0" collapsed="false">
      <c r="A3045" s="9" t="n">
        <v>3044</v>
      </c>
      <c r="B3045" s="9" t="s">
        <v>155</v>
      </c>
      <c r="C3045" s="11" t="s">
        <v>168</v>
      </c>
      <c r="D3045" s="9" t="s">
        <v>11897</v>
      </c>
      <c r="E3045" s="9" t="s">
        <v>11898</v>
      </c>
      <c r="F3045" s="9" t="s">
        <v>11899</v>
      </c>
      <c r="G3045" s="9" t="s">
        <v>24</v>
      </c>
      <c r="H3045" s="15" t="s">
        <v>23</v>
      </c>
      <c r="I3045" s="9" t="s">
        <v>11900</v>
      </c>
      <c r="J3045" s="13"/>
      <c r="K3045" s="13"/>
    </row>
    <row r="3046" customFormat="false" ht="15" hidden="false" customHeight="false" outlineLevel="0" collapsed="false">
      <c r="A3046" s="9" t="n">
        <v>3045</v>
      </c>
      <c r="B3046" s="9" t="s">
        <v>155</v>
      </c>
      <c r="C3046" s="11" t="s">
        <v>168</v>
      </c>
      <c r="D3046" s="9" t="s">
        <v>11901</v>
      </c>
      <c r="E3046" s="9" t="s">
        <v>11902</v>
      </c>
      <c r="F3046" s="9" t="s">
        <v>11903</v>
      </c>
      <c r="G3046" s="9" t="s">
        <v>24</v>
      </c>
      <c r="H3046" s="15" t="s">
        <v>23</v>
      </c>
      <c r="I3046" s="9" t="s">
        <v>11904</v>
      </c>
      <c r="J3046" s="13"/>
      <c r="K3046" s="13"/>
    </row>
    <row r="3047" customFormat="false" ht="23.85" hidden="false" customHeight="false" outlineLevel="0" collapsed="false">
      <c r="A3047" s="9" t="n">
        <v>3046</v>
      </c>
      <c r="B3047" s="9" t="s">
        <v>155</v>
      </c>
      <c r="C3047" s="11" t="s">
        <v>168</v>
      </c>
      <c r="D3047" s="9" t="s">
        <v>11905</v>
      </c>
      <c r="E3047" s="9" t="s">
        <v>11906</v>
      </c>
      <c r="F3047" s="9" t="s">
        <v>2586</v>
      </c>
      <c r="G3047" s="9" t="s">
        <v>24</v>
      </c>
      <c r="H3047" s="15" t="s">
        <v>23</v>
      </c>
      <c r="I3047" s="9" t="s">
        <v>11391</v>
      </c>
      <c r="J3047" s="13"/>
      <c r="K3047" s="13"/>
    </row>
    <row r="3048" customFormat="false" ht="35.05" hidden="false" customHeight="false" outlineLevel="0" collapsed="false">
      <c r="A3048" s="9" t="n">
        <v>3047</v>
      </c>
      <c r="B3048" s="9" t="s">
        <v>155</v>
      </c>
      <c r="C3048" s="11" t="s">
        <v>170</v>
      </c>
      <c r="D3048" s="9" t="s">
        <v>11907</v>
      </c>
      <c r="E3048" s="9" t="s">
        <v>11908</v>
      </c>
      <c r="F3048" s="9" t="s">
        <v>11909</v>
      </c>
      <c r="G3048" s="9" t="s">
        <v>328</v>
      </c>
      <c r="H3048" s="12" t="s">
        <v>21</v>
      </c>
      <c r="I3048" s="9" t="s">
        <v>11910</v>
      </c>
      <c r="J3048" s="13"/>
      <c r="K3048" s="13"/>
    </row>
    <row r="3049" customFormat="false" ht="57.45" hidden="false" customHeight="false" outlineLevel="0" collapsed="false">
      <c r="A3049" s="9" t="n">
        <v>3048</v>
      </c>
      <c r="B3049" s="9" t="s">
        <v>155</v>
      </c>
      <c r="C3049" s="11" t="s">
        <v>170</v>
      </c>
      <c r="D3049" s="9" t="s">
        <v>11911</v>
      </c>
      <c r="E3049" s="9" t="s">
        <v>11912</v>
      </c>
      <c r="F3049" s="9" t="s">
        <v>11913</v>
      </c>
      <c r="G3049" s="9" t="s">
        <v>852</v>
      </c>
      <c r="H3049" s="14" t="s">
        <v>22</v>
      </c>
      <c r="I3049" s="9" t="s">
        <v>11914</v>
      </c>
      <c r="J3049" s="13"/>
      <c r="K3049" s="13"/>
    </row>
    <row r="3050" customFormat="false" ht="46.25" hidden="false" customHeight="false" outlineLevel="0" collapsed="false">
      <c r="A3050" s="9" t="n">
        <v>3049</v>
      </c>
      <c r="B3050" s="9" t="s">
        <v>155</v>
      </c>
      <c r="C3050" s="11" t="s">
        <v>170</v>
      </c>
      <c r="D3050" s="9" t="s">
        <v>11915</v>
      </c>
      <c r="E3050" s="9" t="s">
        <v>11916</v>
      </c>
      <c r="F3050" s="9" t="s">
        <v>11917</v>
      </c>
      <c r="G3050" s="9" t="s">
        <v>11490</v>
      </c>
      <c r="H3050" s="14" t="s">
        <v>22</v>
      </c>
      <c r="I3050" s="9" t="s">
        <v>11918</v>
      </c>
      <c r="J3050" s="13"/>
      <c r="K3050" s="13"/>
    </row>
    <row r="3051" customFormat="false" ht="23.85" hidden="false" customHeight="false" outlineLevel="0" collapsed="false">
      <c r="A3051" s="9" t="n">
        <v>3050</v>
      </c>
      <c r="B3051" s="9" t="s">
        <v>155</v>
      </c>
      <c r="C3051" s="11" t="s">
        <v>170</v>
      </c>
      <c r="D3051" s="9" t="s">
        <v>11919</v>
      </c>
      <c r="E3051" s="9" t="s">
        <v>11920</v>
      </c>
      <c r="F3051" s="9" t="s">
        <v>11921</v>
      </c>
      <c r="G3051" s="9" t="s">
        <v>11490</v>
      </c>
      <c r="H3051" s="14" t="s">
        <v>22</v>
      </c>
      <c r="I3051" s="9" t="s">
        <v>11922</v>
      </c>
      <c r="J3051" s="13"/>
      <c r="K3051" s="13"/>
    </row>
    <row r="3052" customFormat="false" ht="57.45" hidden="false" customHeight="false" outlineLevel="0" collapsed="false">
      <c r="A3052" s="9" t="n">
        <v>3051</v>
      </c>
      <c r="B3052" s="9" t="s">
        <v>155</v>
      </c>
      <c r="C3052" s="11" t="s">
        <v>170</v>
      </c>
      <c r="D3052" s="9" t="s">
        <v>11923</v>
      </c>
      <c r="E3052" s="9" t="s">
        <v>11924</v>
      </c>
      <c r="F3052" s="9" t="s">
        <v>11925</v>
      </c>
      <c r="G3052" s="9" t="s">
        <v>312</v>
      </c>
      <c r="H3052" s="14" t="s">
        <v>22</v>
      </c>
      <c r="I3052" s="9" t="s">
        <v>11926</v>
      </c>
      <c r="J3052" s="13"/>
      <c r="K3052" s="13"/>
    </row>
    <row r="3053" customFormat="false" ht="35.05" hidden="false" customHeight="false" outlineLevel="0" collapsed="false">
      <c r="A3053" s="9" t="n">
        <v>3052</v>
      </c>
      <c r="B3053" s="9" t="s">
        <v>155</v>
      </c>
      <c r="C3053" s="11" t="s">
        <v>170</v>
      </c>
      <c r="D3053" s="9" t="s">
        <v>11927</v>
      </c>
      <c r="E3053" s="9" t="s">
        <v>11928</v>
      </c>
      <c r="F3053" s="9" t="s">
        <v>11929</v>
      </c>
      <c r="G3053" s="9" t="s">
        <v>312</v>
      </c>
      <c r="H3053" s="15" t="s">
        <v>23</v>
      </c>
      <c r="I3053" s="9" t="s">
        <v>11930</v>
      </c>
      <c r="J3053" s="13"/>
      <c r="K3053" s="13"/>
    </row>
    <row r="3054" customFormat="false" ht="35.05" hidden="false" customHeight="false" outlineLevel="0" collapsed="false">
      <c r="A3054" s="9" t="n">
        <v>3053</v>
      </c>
      <c r="B3054" s="9" t="s">
        <v>155</v>
      </c>
      <c r="C3054" s="11" t="s">
        <v>170</v>
      </c>
      <c r="D3054" s="9" t="s">
        <v>11931</v>
      </c>
      <c r="E3054" s="9" t="s">
        <v>11932</v>
      </c>
      <c r="F3054" s="9" t="s">
        <v>11933</v>
      </c>
      <c r="G3054" s="9" t="s">
        <v>11490</v>
      </c>
      <c r="H3054" s="14" t="s">
        <v>22</v>
      </c>
      <c r="I3054" s="9" t="s">
        <v>11934</v>
      </c>
      <c r="J3054" s="13"/>
      <c r="K3054" s="13"/>
    </row>
    <row r="3055" customFormat="false" ht="68.65" hidden="false" customHeight="false" outlineLevel="0" collapsed="false">
      <c r="A3055" s="9" t="n">
        <v>3054</v>
      </c>
      <c r="B3055" s="9" t="s">
        <v>155</v>
      </c>
      <c r="C3055" s="11" t="s">
        <v>170</v>
      </c>
      <c r="D3055" s="9" t="s">
        <v>11935</v>
      </c>
      <c r="E3055" s="9" t="s">
        <v>11936</v>
      </c>
      <c r="F3055" s="9" t="s">
        <v>11937</v>
      </c>
      <c r="G3055" s="9" t="s">
        <v>11938</v>
      </c>
      <c r="H3055" s="14" t="s">
        <v>22</v>
      </c>
      <c r="I3055" s="9" t="s">
        <v>11939</v>
      </c>
      <c r="J3055" s="13"/>
      <c r="K3055" s="13"/>
    </row>
    <row r="3056" customFormat="false" ht="57.45" hidden="false" customHeight="false" outlineLevel="0" collapsed="false">
      <c r="A3056" s="9" t="n">
        <v>3055</v>
      </c>
      <c r="B3056" s="9" t="s">
        <v>155</v>
      </c>
      <c r="C3056" s="11" t="s">
        <v>170</v>
      </c>
      <c r="D3056" s="9" t="s">
        <v>11940</v>
      </c>
      <c r="E3056" s="9" t="s">
        <v>11941</v>
      </c>
      <c r="F3056" s="9" t="s">
        <v>11942</v>
      </c>
      <c r="G3056" s="9" t="s">
        <v>312</v>
      </c>
      <c r="H3056" s="14" t="s">
        <v>22</v>
      </c>
      <c r="I3056" s="9" t="s">
        <v>11943</v>
      </c>
      <c r="J3056" s="13"/>
      <c r="K3056" s="13"/>
    </row>
    <row r="3057" customFormat="false" ht="46.25" hidden="false" customHeight="false" outlineLevel="0" collapsed="false">
      <c r="A3057" s="9" t="n">
        <v>3056</v>
      </c>
      <c r="B3057" s="9" t="s">
        <v>155</v>
      </c>
      <c r="C3057" s="11" t="s">
        <v>170</v>
      </c>
      <c r="D3057" s="9" t="s">
        <v>11944</v>
      </c>
      <c r="E3057" s="9" t="s">
        <v>11945</v>
      </c>
      <c r="F3057" s="9" t="s">
        <v>11946</v>
      </c>
      <c r="G3057" s="9" t="s">
        <v>312</v>
      </c>
      <c r="H3057" s="14" t="s">
        <v>22</v>
      </c>
      <c r="I3057" s="9" t="s">
        <v>11947</v>
      </c>
      <c r="J3057" s="13"/>
      <c r="K3057" s="13"/>
    </row>
    <row r="3058" customFormat="false" ht="23.85" hidden="false" customHeight="false" outlineLevel="0" collapsed="false">
      <c r="A3058" s="9" t="n">
        <v>3057</v>
      </c>
      <c r="B3058" s="9" t="s">
        <v>155</v>
      </c>
      <c r="C3058" s="11" t="s">
        <v>170</v>
      </c>
      <c r="D3058" s="9" t="s">
        <v>11948</v>
      </c>
      <c r="E3058" s="9" t="s">
        <v>11949</v>
      </c>
      <c r="F3058" s="9" t="s">
        <v>11950</v>
      </c>
      <c r="G3058" s="9" t="s">
        <v>308</v>
      </c>
      <c r="H3058" s="15" t="s">
        <v>23</v>
      </c>
      <c r="I3058" s="9" t="s">
        <v>11951</v>
      </c>
      <c r="J3058" s="13"/>
      <c r="K3058" s="13"/>
    </row>
    <row r="3059" customFormat="false" ht="46.25" hidden="false" customHeight="false" outlineLevel="0" collapsed="false">
      <c r="A3059" s="9" t="n">
        <v>3058</v>
      </c>
      <c r="B3059" s="9" t="s">
        <v>155</v>
      </c>
      <c r="C3059" s="11" t="s">
        <v>170</v>
      </c>
      <c r="D3059" s="9" t="s">
        <v>11952</v>
      </c>
      <c r="E3059" s="9" t="s">
        <v>11953</v>
      </c>
      <c r="F3059" s="9" t="s">
        <v>11954</v>
      </c>
      <c r="G3059" s="9" t="s">
        <v>312</v>
      </c>
      <c r="H3059" s="15" t="s">
        <v>23</v>
      </c>
      <c r="I3059" s="9" t="s">
        <v>11955</v>
      </c>
      <c r="J3059" s="13"/>
      <c r="K3059" s="13"/>
    </row>
    <row r="3060" customFormat="false" ht="35.05" hidden="false" customHeight="false" outlineLevel="0" collapsed="false">
      <c r="A3060" s="9" t="n">
        <v>3059</v>
      </c>
      <c r="B3060" s="9" t="s">
        <v>155</v>
      </c>
      <c r="C3060" s="11" t="s">
        <v>170</v>
      </c>
      <c r="D3060" s="9" t="s">
        <v>11956</v>
      </c>
      <c r="E3060" s="9" t="s">
        <v>11957</v>
      </c>
      <c r="F3060" s="9" t="s">
        <v>11958</v>
      </c>
      <c r="G3060" s="9" t="s">
        <v>317</v>
      </c>
      <c r="H3060" s="14" t="s">
        <v>22</v>
      </c>
      <c r="I3060" s="9" t="s">
        <v>11959</v>
      </c>
      <c r="J3060" s="13"/>
      <c r="K3060" s="13"/>
    </row>
    <row r="3061" customFormat="false" ht="46.25" hidden="false" customHeight="false" outlineLevel="0" collapsed="false">
      <c r="A3061" s="9" t="n">
        <v>3060</v>
      </c>
      <c r="B3061" s="9" t="s">
        <v>155</v>
      </c>
      <c r="C3061" s="11" t="s">
        <v>170</v>
      </c>
      <c r="D3061" s="9" t="s">
        <v>11960</v>
      </c>
      <c r="E3061" s="9" t="s">
        <v>11961</v>
      </c>
      <c r="F3061" s="9" t="s">
        <v>11962</v>
      </c>
      <c r="G3061" s="9" t="s">
        <v>11963</v>
      </c>
      <c r="H3061" s="15" t="s">
        <v>23</v>
      </c>
      <c r="I3061" s="9" t="s">
        <v>11964</v>
      </c>
      <c r="J3061" s="13"/>
      <c r="K3061" s="13"/>
    </row>
    <row r="3062" customFormat="false" ht="35.05" hidden="false" customHeight="false" outlineLevel="0" collapsed="false">
      <c r="A3062" s="9" t="n">
        <v>3061</v>
      </c>
      <c r="B3062" s="9" t="s">
        <v>155</v>
      </c>
      <c r="C3062" s="11" t="s">
        <v>170</v>
      </c>
      <c r="D3062" s="9" t="s">
        <v>11965</v>
      </c>
      <c r="E3062" s="9" t="s">
        <v>11966</v>
      </c>
      <c r="F3062" s="9" t="s">
        <v>11967</v>
      </c>
      <c r="G3062" s="9" t="s">
        <v>312</v>
      </c>
      <c r="H3062" s="15" t="s">
        <v>23</v>
      </c>
      <c r="I3062" s="9" t="s">
        <v>11968</v>
      </c>
      <c r="J3062" s="13"/>
      <c r="K3062" s="13"/>
    </row>
    <row r="3063" customFormat="false" ht="35.05" hidden="false" customHeight="false" outlineLevel="0" collapsed="false">
      <c r="A3063" s="9" t="n">
        <v>3062</v>
      </c>
      <c r="B3063" s="9" t="s">
        <v>155</v>
      </c>
      <c r="C3063" s="11" t="s">
        <v>170</v>
      </c>
      <c r="D3063" s="9" t="s">
        <v>11969</v>
      </c>
      <c r="E3063" s="9" t="s">
        <v>11970</v>
      </c>
      <c r="F3063" s="9" t="s">
        <v>11971</v>
      </c>
      <c r="G3063" s="9" t="s">
        <v>328</v>
      </c>
      <c r="H3063" s="15" t="s">
        <v>23</v>
      </c>
      <c r="I3063" s="9" t="s">
        <v>11972</v>
      </c>
      <c r="J3063" s="13"/>
      <c r="K3063" s="13"/>
    </row>
    <row r="3064" customFormat="false" ht="46.25" hidden="false" customHeight="false" outlineLevel="0" collapsed="false">
      <c r="A3064" s="9" t="n">
        <v>3063</v>
      </c>
      <c r="B3064" s="9" t="s">
        <v>155</v>
      </c>
      <c r="C3064" s="11" t="s">
        <v>170</v>
      </c>
      <c r="D3064" s="9" t="s">
        <v>11973</v>
      </c>
      <c r="E3064" s="9" t="s">
        <v>11974</v>
      </c>
      <c r="F3064" s="9" t="s">
        <v>11975</v>
      </c>
      <c r="G3064" s="9" t="s">
        <v>11518</v>
      </c>
      <c r="H3064" s="15" t="s">
        <v>23</v>
      </c>
      <c r="I3064" s="9" t="s">
        <v>11976</v>
      </c>
      <c r="J3064" s="13"/>
      <c r="K3064" s="13"/>
    </row>
    <row r="3065" customFormat="false" ht="35.05" hidden="false" customHeight="false" outlineLevel="0" collapsed="false">
      <c r="A3065" s="9" t="n">
        <v>3064</v>
      </c>
      <c r="B3065" s="9" t="s">
        <v>155</v>
      </c>
      <c r="C3065" s="11" t="s">
        <v>170</v>
      </c>
      <c r="D3065" s="9" t="s">
        <v>11977</v>
      </c>
      <c r="E3065" s="9" t="s">
        <v>11978</v>
      </c>
      <c r="F3065" s="9" t="s">
        <v>11979</v>
      </c>
      <c r="G3065" s="9" t="s">
        <v>328</v>
      </c>
      <c r="H3065" s="15" t="s">
        <v>23</v>
      </c>
      <c r="I3065" s="9" t="s">
        <v>11980</v>
      </c>
      <c r="J3065" s="13"/>
      <c r="K3065" s="13"/>
    </row>
    <row r="3066" customFormat="false" ht="23.85" hidden="false" customHeight="false" outlineLevel="0" collapsed="false">
      <c r="A3066" s="9" t="n">
        <v>3065</v>
      </c>
      <c r="B3066" s="9" t="s">
        <v>155</v>
      </c>
      <c r="C3066" s="11" t="s">
        <v>170</v>
      </c>
      <c r="D3066" s="9" t="s">
        <v>11981</v>
      </c>
      <c r="E3066" s="9" t="s">
        <v>11982</v>
      </c>
      <c r="F3066" s="9" t="s">
        <v>11983</v>
      </c>
      <c r="G3066" s="9" t="s">
        <v>317</v>
      </c>
      <c r="H3066" s="15" t="s">
        <v>23</v>
      </c>
      <c r="I3066" s="9" t="s">
        <v>11984</v>
      </c>
      <c r="J3066" s="13"/>
      <c r="K3066" s="13"/>
    </row>
    <row r="3067" customFormat="false" ht="15" hidden="false" customHeight="false" outlineLevel="0" collapsed="false">
      <c r="A3067" s="9" t="n">
        <v>3066</v>
      </c>
      <c r="B3067" s="9" t="s">
        <v>155</v>
      </c>
      <c r="C3067" s="11" t="s">
        <v>170</v>
      </c>
      <c r="D3067" s="9" t="s">
        <v>11985</v>
      </c>
      <c r="E3067" s="9" t="s">
        <v>11986</v>
      </c>
      <c r="F3067" s="9" t="s">
        <v>11987</v>
      </c>
      <c r="G3067" s="9" t="s">
        <v>308</v>
      </c>
      <c r="H3067" s="15" t="s">
        <v>23</v>
      </c>
      <c r="I3067" s="9" t="s">
        <v>11988</v>
      </c>
      <c r="J3067" s="13"/>
      <c r="K3067" s="13"/>
    </row>
    <row r="3068" customFormat="false" ht="46.25" hidden="false" customHeight="false" outlineLevel="0" collapsed="false">
      <c r="A3068" s="9" t="n">
        <v>3067</v>
      </c>
      <c r="B3068" s="9" t="s">
        <v>155</v>
      </c>
      <c r="C3068" s="11" t="s">
        <v>170</v>
      </c>
      <c r="D3068" s="9" t="s">
        <v>11989</v>
      </c>
      <c r="E3068" s="9" t="s">
        <v>11990</v>
      </c>
      <c r="F3068" s="9" t="s">
        <v>11991</v>
      </c>
      <c r="G3068" s="9" t="s">
        <v>24</v>
      </c>
      <c r="H3068" s="12" t="s">
        <v>21</v>
      </c>
      <c r="I3068" s="9" t="s">
        <v>11992</v>
      </c>
      <c r="J3068" s="13"/>
      <c r="K3068" s="13"/>
    </row>
    <row r="3069" customFormat="false" ht="15" hidden="false" customHeight="false" outlineLevel="0" collapsed="false">
      <c r="A3069" s="9" t="n">
        <v>3068</v>
      </c>
      <c r="B3069" s="9" t="s">
        <v>155</v>
      </c>
      <c r="C3069" s="11" t="s">
        <v>170</v>
      </c>
      <c r="D3069" s="9" t="s">
        <v>11993</v>
      </c>
      <c r="E3069" s="9" t="s">
        <v>11994</v>
      </c>
      <c r="F3069" s="9" t="s">
        <v>11995</v>
      </c>
      <c r="G3069" s="9" t="s">
        <v>24</v>
      </c>
      <c r="H3069" s="14" t="s">
        <v>22</v>
      </c>
      <c r="I3069" s="9" t="s">
        <v>11996</v>
      </c>
      <c r="J3069" s="13"/>
      <c r="K3069" s="13"/>
    </row>
    <row r="3070" customFormat="false" ht="15" hidden="false" customHeight="false" outlineLevel="0" collapsed="false">
      <c r="A3070" s="9" t="n">
        <v>3069</v>
      </c>
      <c r="B3070" s="9" t="s">
        <v>155</v>
      </c>
      <c r="C3070" s="11" t="s">
        <v>170</v>
      </c>
      <c r="D3070" s="9" t="s">
        <v>11997</v>
      </c>
      <c r="E3070" s="9" t="s">
        <v>11998</v>
      </c>
      <c r="F3070" s="9" t="s">
        <v>11999</v>
      </c>
      <c r="G3070" s="9" t="s">
        <v>24</v>
      </c>
      <c r="H3070" s="14" t="s">
        <v>22</v>
      </c>
      <c r="I3070" s="9" t="s">
        <v>2140</v>
      </c>
      <c r="J3070" s="13"/>
      <c r="K3070" s="13"/>
    </row>
    <row r="3071" customFormat="false" ht="46.25" hidden="false" customHeight="false" outlineLevel="0" collapsed="false">
      <c r="A3071" s="9" t="n">
        <v>3070</v>
      </c>
      <c r="B3071" s="9" t="s">
        <v>155</v>
      </c>
      <c r="C3071" s="11" t="s">
        <v>170</v>
      </c>
      <c r="D3071" s="9" t="s">
        <v>12000</v>
      </c>
      <c r="E3071" s="9" t="s">
        <v>358</v>
      </c>
      <c r="F3071" s="9" t="s">
        <v>12001</v>
      </c>
      <c r="G3071" s="9" t="s">
        <v>24</v>
      </c>
      <c r="H3071" s="14" t="s">
        <v>22</v>
      </c>
      <c r="I3071" s="9" t="s">
        <v>12002</v>
      </c>
      <c r="J3071" s="13"/>
      <c r="K3071" s="13"/>
    </row>
    <row r="3072" customFormat="false" ht="15" hidden="false" customHeight="false" outlineLevel="0" collapsed="false">
      <c r="A3072" s="9" t="n">
        <v>3071</v>
      </c>
      <c r="B3072" s="9" t="s">
        <v>155</v>
      </c>
      <c r="C3072" s="11" t="s">
        <v>170</v>
      </c>
      <c r="D3072" s="9" t="s">
        <v>12003</v>
      </c>
      <c r="E3072" s="9" t="s">
        <v>362</v>
      </c>
      <c r="F3072" s="9" t="s">
        <v>363</v>
      </c>
      <c r="G3072" s="9" t="s">
        <v>24</v>
      </c>
      <c r="H3072" s="14" t="s">
        <v>22</v>
      </c>
      <c r="I3072" s="9" t="s">
        <v>364</v>
      </c>
      <c r="J3072" s="13"/>
      <c r="K3072" s="13"/>
    </row>
    <row r="3073" customFormat="false" ht="68.65" hidden="false" customHeight="false" outlineLevel="0" collapsed="false">
      <c r="A3073" s="9" t="n">
        <v>3072</v>
      </c>
      <c r="B3073" s="9" t="s">
        <v>155</v>
      </c>
      <c r="C3073" s="11" t="s">
        <v>170</v>
      </c>
      <c r="D3073" s="9" t="s">
        <v>12004</v>
      </c>
      <c r="E3073" s="9" t="s">
        <v>12005</v>
      </c>
      <c r="F3073" s="9" t="s">
        <v>12006</v>
      </c>
      <c r="G3073" s="9" t="s">
        <v>24</v>
      </c>
      <c r="H3073" s="14" t="s">
        <v>22</v>
      </c>
      <c r="I3073" s="9" t="s">
        <v>12007</v>
      </c>
      <c r="J3073" s="13"/>
      <c r="K3073" s="13"/>
    </row>
    <row r="3074" customFormat="false" ht="35.05" hidden="false" customHeight="false" outlineLevel="0" collapsed="false">
      <c r="A3074" s="9" t="n">
        <v>3073</v>
      </c>
      <c r="B3074" s="9" t="s">
        <v>155</v>
      </c>
      <c r="C3074" s="11" t="s">
        <v>170</v>
      </c>
      <c r="D3074" s="9" t="s">
        <v>12008</v>
      </c>
      <c r="E3074" s="9" t="s">
        <v>12009</v>
      </c>
      <c r="F3074" s="9" t="s">
        <v>12010</v>
      </c>
      <c r="G3074" s="9" t="s">
        <v>24</v>
      </c>
      <c r="H3074" s="15" t="s">
        <v>23</v>
      </c>
      <c r="I3074" s="9" t="s">
        <v>12011</v>
      </c>
      <c r="J3074" s="13"/>
      <c r="K3074" s="13"/>
    </row>
    <row r="3075" customFormat="false" ht="23.85" hidden="false" customHeight="false" outlineLevel="0" collapsed="false">
      <c r="A3075" s="9" t="n">
        <v>3074</v>
      </c>
      <c r="B3075" s="9" t="s">
        <v>155</v>
      </c>
      <c r="C3075" s="11" t="s">
        <v>170</v>
      </c>
      <c r="D3075" s="9" t="s">
        <v>12012</v>
      </c>
      <c r="E3075" s="9" t="s">
        <v>12013</v>
      </c>
      <c r="F3075" s="9" t="s">
        <v>12014</v>
      </c>
      <c r="G3075" s="9" t="s">
        <v>24</v>
      </c>
      <c r="H3075" s="15" t="s">
        <v>23</v>
      </c>
      <c r="I3075" s="9" t="s">
        <v>12015</v>
      </c>
      <c r="J3075" s="13"/>
      <c r="K3075" s="13"/>
    </row>
    <row r="3076" customFormat="false" ht="102.2" hidden="false" customHeight="false" outlineLevel="0" collapsed="false">
      <c r="A3076" s="9" t="n">
        <v>3075</v>
      </c>
      <c r="B3076" s="9" t="s">
        <v>172</v>
      </c>
      <c r="C3076" s="11" t="s">
        <v>173</v>
      </c>
      <c r="D3076" s="9" t="s">
        <v>12016</v>
      </c>
      <c r="E3076" s="9" t="s">
        <v>12017</v>
      </c>
      <c r="F3076" s="9" t="s">
        <v>12018</v>
      </c>
      <c r="G3076" s="9" t="s">
        <v>312</v>
      </c>
      <c r="H3076" s="12" t="s">
        <v>21</v>
      </c>
      <c r="I3076" s="9" t="s">
        <v>12019</v>
      </c>
      <c r="J3076" s="13"/>
      <c r="K3076" s="13"/>
    </row>
    <row r="3077" customFormat="false" ht="68.65" hidden="false" customHeight="false" outlineLevel="0" collapsed="false">
      <c r="A3077" s="9" t="n">
        <v>3076</v>
      </c>
      <c r="B3077" s="9" t="s">
        <v>172</v>
      </c>
      <c r="C3077" s="11" t="s">
        <v>173</v>
      </c>
      <c r="D3077" s="9" t="s">
        <v>12020</v>
      </c>
      <c r="E3077" s="9" t="s">
        <v>12021</v>
      </c>
      <c r="F3077" s="9" t="s">
        <v>12022</v>
      </c>
      <c r="G3077" s="9" t="s">
        <v>312</v>
      </c>
      <c r="H3077" s="12" t="s">
        <v>21</v>
      </c>
      <c r="I3077" s="9" t="s">
        <v>12023</v>
      </c>
      <c r="J3077" s="13"/>
      <c r="K3077" s="13"/>
    </row>
    <row r="3078" customFormat="false" ht="79.85" hidden="false" customHeight="false" outlineLevel="0" collapsed="false">
      <c r="A3078" s="9" t="n">
        <v>3077</v>
      </c>
      <c r="B3078" s="9" t="s">
        <v>172</v>
      </c>
      <c r="C3078" s="11" t="s">
        <v>173</v>
      </c>
      <c r="D3078" s="9" t="s">
        <v>12024</v>
      </c>
      <c r="E3078" s="9" t="s">
        <v>12025</v>
      </c>
      <c r="F3078" s="9" t="s">
        <v>12026</v>
      </c>
      <c r="G3078" s="9" t="s">
        <v>12027</v>
      </c>
      <c r="H3078" s="12" t="s">
        <v>21</v>
      </c>
      <c r="I3078" s="9" t="s">
        <v>12028</v>
      </c>
      <c r="J3078" s="13"/>
      <c r="K3078" s="13"/>
    </row>
    <row r="3079" customFormat="false" ht="46.25" hidden="false" customHeight="false" outlineLevel="0" collapsed="false">
      <c r="A3079" s="9" t="n">
        <v>3078</v>
      </c>
      <c r="B3079" s="9" t="s">
        <v>172</v>
      </c>
      <c r="C3079" s="11" t="s">
        <v>173</v>
      </c>
      <c r="D3079" s="9" t="s">
        <v>12029</v>
      </c>
      <c r="E3079" s="9" t="s">
        <v>12030</v>
      </c>
      <c r="F3079" s="9" t="s">
        <v>12031</v>
      </c>
      <c r="G3079" s="9" t="s">
        <v>312</v>
      </c>
      <c r="H3079" s="14" t="s">
        <v>22</v>
      </c>
      <c r="I3079" s="9" t="s">
        <v>12032</v>
      </c>
      <c r="J3079" s="13"/>
      <c r="K3079" s="13"/>
    </row>
    <row r="3080" customFormat="false" ht="46.25" hidden="false" customHeight="false" outlineLevel="0" collapsed="false">
      <c r="A3080" s="9" t="n">
        <v>3079</v>
      </c>
      <c r="B3080" s="9" t="s">
        <v>172</v>
      </c>
      <c r="C3080" s="11" t="s">
        <v>173</v>
      </c>
      <c r="D3080" s="9" t="s">
        <v>12033</v>
      </c>
      <c r="E3080" s="9" t="s">
        <v>12034</v>
      </c>
      <c r="F3080" s="9" t="s">
        <v>12035</v>
      </c>
      <c r="G3080" s="9" t="s">
        <v>6425</v>
      </c>
      <c r="H3080" s="14" t="s">
        <v>22</v>
      </c>
      <c r="I3080" s="9" t="s">
        <v>12036</v>
      </c>
      <c r="J3080" s="13"/>
      <c r="K3080" s="13"/>
    </row>
    <row r="3081" customFormat="false" ht="35.05" hidden="false" customHeight="false" outlineLevel="0" collapsed="false">
      <c r="A3081" s="9" t="n">
        <v>3080</v>
      </c>
      <c r="B3081" s="9" t="s">
        <v>172</v>
      </c>
      <c r="C3081" s="11" t="s">
        <v>173</v>
      </c>
      <c r="D3081" s="9" t="s">
        <v>12037</v>
      </c>
      <c r="E3081" s="9" t="s">
        <v>12038</v>
      </c>
      <c r="F3081" s="9" t="s">
        <v>12039</v>
      </c>
      <c r="G3081" s="9" t="s">
        <v>1072</v>
      </c>
      <c r="H3081" s="12" t="s">
        <v>21</v>
      </c>
      <c r="I3081" s="9" t="s">
        <v>12040</v>
      </c>
      <c r="J3081" s="13"/>
      <c r="K3081" s="13"/>
    </row>
    <row r="3082" customFormat="false" ht="57.45" hidden="false" customHeight="false" outlineLevel="0" collapsed="false">
      <c r="A3082" s="9" t="n">
        <v>3081</v>
      </c>
      <c r="B3082" s="9" t="s">
        <v>172</v>
      </c>
      <c r="C3082" s="11" t="s">
        <v>173</v>
      </c>
      <c r="D3082" s="9" t="s">
        <v>12041</v>
      </c>
      <c r="E3082" s="9" t="s">
        <v>12042</v>
      </c>
      <c r="F3082" s="9" t="s">
        <v>12043</v>
      </c>
      <c r="G3082" s="9" t="s">
        <v>1852</v>
      </c>
      <c r="H3082" s="14" t="s">
        <v>22</v>
      </c>
      <c r="I3082" s="9" t="s">
        <v>12044</v>
      </c>
      <c r="J3082" s="13"/>
      <c r="K3082" s="13"/>
    </row>
    <row r="3083" customFormat="false" ht="46.25" hidden="false" customHeight="false" outlineLevel="0" collapsed="false">
      <c r="A3083" s="9" t="n">
        <v>3082</v>
      </c>
      <c r="B3083" s="9" t="s">
        <v>172</v>
      </c>
      <c r="C3083" s="11" t="s">
        <v>173</v>
      </c>
      <c r="D3083" s="9" t="s">
        <v>12045</v>
      </c>
      <c r="E3083" s="9" t="s">
        <v>12046</v>
      </c>
      <c r="F3083" s="9" t="s">
        <v>12047</v>
      </c>
      <c r="G3083" s="9" t="s">
        <v>1072</v>
      </c>
      <c r="H3083" s="14" t="s">
        <v>22</v>
      </c>
      <c r="I3083" s="9" t="s">
        <v>12048</v>
      </c>
      <c r="J3083" s="13"/>
      <c r="K3083" s="13"/>
    </row>
    <row r="3084" customFormat="false" ht="57.45" hidden="false" customHeight="false" outlineLevel="0" collapsed="false">
      <c r="A3084" s="9" t="n">
        <v>3083</v>
      </c>
      <c r="B3084" s="9" t="s">
        <v>172</v>
      </c>
      <c r="C3084" s="11" t="s">
        <v>173</v>
      </c>
      <c r="D3084" s="9" t="s">
        <v>12049</v>
      </c>
      <c r="E3084" s="9" t="s">
        <v>12050</v>
      </c>
      <c r="F3084" s="9" t="s">
        <v>12051</v>
      </c>
      <c r="G3084" s="9" t="s">
        <v>1072</v>
      </c>
      <c r="H3084" s="14" t="s">
        <v>22</v>
      </c>
      <c r="I3084" s="9" t="s">
        <v>12052</v>
      </c>
      <c r="J3084" s="13"/>
      <c r="K3084" s="13"/>
    </row>
    <row r="3085" customFormat="false" ht="46.25" hidden="false" customHeight="false" outlineLevel="0" collapsed="false">
      <c r="A3085" s="9" t="n">
        <v>3084</v>
      </c>
      <c r="B3085" s="9" t="s">
        <v>172</v>
      </c>
      <c r="C3085" s="11" t="s">
        <v>173</v>
      </c>
      <c r="D3085" s="9" t="s">
        <v>12053</v>
      </c>
      <c r="E3085" s="9" t="s">
        <v>12054</v>
      </c>
      <c r="F3085" s="9" t="s">
        <v>12055</v>
      </c>
      <c r="G3085" s="9" t="s">
        <v>312</v>
      </c>
      <c r="H3085" s="15" t="s">
        <v>23</v>
      </c>
      <c r="I3085" s="9" t="s">
        <v>12056</v>
      </c>
      <c r="J3085" s="13"/>
      <c r="K3085" s="13"/>
    </row>
    <row r="3086" customFormat="false" ht="35.05" hidden="false" customHeight="false" outlineLevel="0" collapsed="false">
      <c r="A3086" s="9" t="n">
        <v>3085</v>
      </c>
      <c r="B3086" s="9" t="s">
        <v>172</v>
      </c>
      <c r="C3086" s="11" t="s">
        <v>173</v>
      </c>
      <c r="D3086" s="9" t="s">
        <v>12057</v>
      </c>
      <c r="E3086" s="9" t="s">
        <v>12058</v>
      </c>
      <c r="F3086" s="9" t="s">
        <v>12059</v>
      </c>
      <c r="G3086" s="9" t="s">
        <v>312</v>
      </c>
      <c r="H3086" s="15" t="s">
        <v>23</v>
      </c>
      <c r="I3086" s="9" t="s">
        <v>12060</v>
      </c>
      <c r="J3086" s="13"/>
      <c r="K3086" s="13"/>
    </row>
    <row r="3087" customFormat="false" ht="35.05" hidden="false" customHeight="false" outlineLevel="0" collapsed="false">
      <c r="A3087" s="9" t="n">
        <v>3086</v>
      </c>
      <c r="B3087" s="9" t="s">
        <v>172</v>
      </c>
      <c r="C3087" s="11" t="s">
        <v>173</v>
      </c>
      <c r="D3087" s="9" t="s">
        <v>12061</v>
      </c>
      <c r="E3087" s="9" t="s">
        <v>12062</v>
      </c>
      <c r="F3087" s="9" t="s">
        <v>12063</v>
      </c>
      <c r="G3087" s="9" t="s">
        <v>1421</v>
      </c>
      <c r="H3087" s="14" t="s">
        <v>22</v>
      </c>
      <c r="I3087" s="9" t="s">
        <v>12064</v>
      </c>
      <c r="J3087" s="13"/>
      <c r="K3087" s="13"/>
    </row>
    <row r="3088" customFormat="false" ht="46.25" hidden="false" customHeight="false" outlineLevel="0" collapsed="false">
      <c r="A3088" s="9" t="n">
        <v>3087</v>
      </c>
      <c r="B3088" s="9" t="s">
        <v>172</v>
      </c>
      <c r="C3088" s="11" t="s">
        <v>173</v>
      </c>
      <c r="D3088" s="9" t="s">
        <v>12065</v>
      </c>
      <c r="E3088" s="9" t="s">
        <v>12066</v>
      </c>
      <c r="F3088" s="9" t="s">
        <v>12067</v>
      </c>
      <c r="G3088" s="9" t="s">
        <v>1072</v>
      </c>
      <c r="H3088" s="14" t="s">
        <v>22</v>
      </c>
      <c r="I3088" s="9" t="s">
        <v>12068</v>
      </c>
      <c r="J3088" s="13"/>
      <c r="K3088" s="13"/>
    </row>
    <row r="3089" customFormat="false" ht="35.05" hidden="false" customHeight="false" outlineLevel="0" collapsed="false">
      <c r="A3089" s="9" t="n">
        <v>3088</v>
      </c>
      <c r="B3089" s="9" t="s">
        <v>172</v>
      </c>
      <c r="C3089" s="11" t="s">
        <v>173</v>
      </c>
      <c r="D3089" s="9" t="s">
        <v>12069</v>
      </c>
      <c r="E3089" s="9" t="s">
        <v>12070</v>
      </c>
      <c r="F3089" s="9" t="s">
        <v>12071</v>
      </c>
      <c r="G3089" s="9" t="s">
        <v>1072</v>
      </c>
      <c r="H3089" s="14" t="s">
        <v>22</v>
      </c>
      <c r="I3089" s="9" t="s">
        <v>12072</v>
      </c>
      <c r="J3089" s="13"/>
      <c r="K3089" s="13"/>
    </row>
    <row r="3090" customFormat="false" ht="57.45" hidden="false" customHeight="false" outlineLevel="0" collapsed="false">
      <c r="A3090" s="9" t="n">
        <v>3089</v>
      </c>
      <c r="B3090" s="9" t="s">
        <v>172</v>
      </c>
      <c r="C3090" s="11" t="s">
        <v>173</v>
      </c>
      <c r="D3090" s="9" t="s">
        <v>12073</v>
      </c>
      <c r="E3090" s="9" t="s">
        <v>12074</v>
      </c>
      <c r="F3090" s="9" t="s">
        <v>12075</v>
      </c>
      <c r="G3090" s="9" t="s">
        <v>3343</v>
      </c>
      <c r="H3090" s="14" t="s">
        <v>22</v>
      </c>
      <c r="I3090" s="9" t="s">
        <v>12076</v>
      </c>
      <c r="J3090" s="13"/>
      <c r="K3090" s="13"/>
    </row>
    <row r="3091" customFormat="false" ht="57.45" hidden="false" customHeight="false" outlineLevel="0" collapsed="false">
      <c r="A3091" s="9" t="n">
        <v>3090</v>
      </c>
      <c r="B3091" s="9" t="s">
        <v>172</v>
      </c>
      <c r="C3091" s="11" t="s">
        <v>173</v>
      </c>
      <c r="D3091" s="9" t="s">
        <v>12077</v>
      </c>
      <c r="E3091" s="9" t="s">
        <v>12078</v>
      </c>
      <c r="F3091" s="9" t="s">
        <v>12079</v>
      </c>
      <c r="G3091" s="9" t="s">
        <v>12080</v>
      </c>
      <c r="H3091" s="14" t="s">
        <v>22</v>
      </c>
      <c r="I3091" s="9" t="s">
        <v>12081</v>
      </c>
      <c r="J3091" s="13"/>
      <c r="K3091" s="13"/>
    </row>
    <row r="3092" customFormat="false" ht="124.6" hidden="false" customHeight="false" outlineLevel="0" collapsed="false">
      <c r="A3092" s="9" t="n">
        <v>3091</v>
      </c>
      <c r="B3092" s="9" t="s">
        <v>172</v>
      </c>
      <c r="C3092" s="11" t="s">
        <v>173</v>
      </c>
      <c r="D3092" s="9" t="s">
        <v>12082</v>
      </c>
      <c r="E3092" s="9" t="s">
        <v>12083</v>
      </c>
      <c r="F3092" s="9" t="s">
        <v>12084</v>
      </c>
      <c r="G3092" s="9" t="s">
        <v>12085</v>
      </c>
      <c r="H3092" s="12" t="s">
        <v>21</v>
      </c>
      <c r="I3092" s="9" t="s">
        <v>12086</v>
      </c>
      <c r="J3092" s="13"/>
      <c r="K3092" s="13"/>
    </row>
    <row r="3093" customFormat="false" ht="57.45" hidden="false" customHeight="false" outlineLevel="0" collapsed="false">
      <c r="A3093" s="9" t="n">
        <v>3092</v>
      </c>
      <c r="B3093" s="9" t="s">
        <v>172</v>
      </c>
      <c r="C3093" s="11" t="s">
        <v>173</v>
      </c>
      <c r="D3093" s="9" t="s">
        <v>12087</v>
      </c>
      <c r="E3093" s="9" t="s">
        <v>12088</v>
      </c>
      <c r="F3093" s="9" t="s">
        <v>12089</v>
      </c>
      <c r="G3093" s="9" t="s">
        <v>303</v>
      </c>
      <c r="H3093" s="14" t="s">
        <v>22</v>
      </c>
      <c r="I3093" s="9" t="s">
        <v>12090</v>
      </c>
      <c r="J3093" s="13"/>
      <c r="K3093" s="13"/>
    </row>
    <row r="3094" customFormat="false" ht="46.25" hidden="false" customHeight="false" outlineLevel="0" collapsed="false">
      <c r="A3094" s="9" t="n">
        <v>3093</v>
      </c>
      <c r="B3094" s="9" t="s">
        <v>172</v>
      </c>
      <c r="C3094" s="11" t="s">
        <v>173</v>
      </c>
      <c r="D3094" s="9" t="s">
        <v>12091</v>
      </c>
      <c r="E3094" s="9" t="s">
        <v>12092</v>
      </c>
      <c r="F3094" s="9" t="s">
        <v>12093</v>
      </c>
      <c r="G3094" s="9" t="s">
        <v>317</v>
      </c>
      <c r="H3094" s="15" t="s">
        <v>23</v>
      </c>
      <c r="I3094" s="9" t="s">
        <v>12094</v>
      </c>
      <c r="J3094" s="13"/>
      <c r="K3094" s="13"/>
    </row>
    <row r="3095" customFormat="false" ht="46.25" hidden="false" customHeight="false" outlineLevel="0" collapsed="false">
      <c r="A3095" s="9" t="n">
        <v>3094</v>
      </c>
      <c r="B3095" s="9" t="s">
        <v>172</v>
      </c>
      <c r="C3095" s="11" t="s">
        <v>173</v>
      </c>
      <c r="D3095" s="9" t="s">
        <v>12095</v>
      </c>
      <c r="E3095" s="9" t="s">
        <v>12096</v>
      </c>
      <c r="F3095" s="9" t="s">
        <v>12097</v>
      </c>
      <c r="G3095" s="9" t="s">
        <v>4998</v>
      </c>
      <c r="H3095" s="14" t="s">
        <v>22</v>
      </c>
      <c r="I3095" s="9" t="s">
        <v>12098</v>
      </c>
      <c r="J3095" s="13"/>
      <c r="K3095" s="13"/>
    </row>
    <row r="3096" customFormat="false" ht="46.25" hidden="false" customHeight="false" outlineLevel="0" collapsed="false">
      <c r="A3096" s="9" t="n">
        <v>3095</v>
      </c>
      <c r="B3096" s="9" t="s">
        <v>172</v>
      </c>
      <c r="C3096" s="11" t="s">
        <v>173</v>
      </c>
      <c r="D3096" s="9" t="s">
        <v>12099</v>
      </c>
      <c r="E3096" s="9" t="s">
        <v>12100</v>
      </c>
      <c r="F3096" s="9" t="s">
        <v>12101</v>
      </c>
      <c r="G3096" s="9" t="s">
        <v>1072</v>
      </c>
      <c r="H3096" s="14" t="s">
        <v>22</v>
      </c>
      <c r="I3096" s="9" t="s">
        <v>12102</v>
      </c>
      <c r="J3096" s="13"/>
      <c r="K3096" s="13"/>
    </row>
    <row r="3097" customFormat="false" ht="46.25" hidden="false" customHeight="false" outlineLevel="0" collapsed="false">
      <c r="A3097" s="9" t="n">
        <v>3096</v>
      </c>
      <c r="B3097" s="9" t="s">
        <v>172</v>
      </c>
      <c r="C3097" s="11" t="s">
        <v>173</v>
      </c>
      <c r="D3097" s="9" t="s">
        <v>12103</v>
      </c>
      <c r="E3097" s="9" t="s">
        <v>12104</v>
      </c>
      <c r="F3097" s="9" t="s">
        <v>12105</v>
      </c>
      <c r="G3097" s="9" t="s">
        <v>1643</v>
      </c>
      <c r="H3097" s="15" t="s">
        <v>23</v>
      </c>
      <c r="I3097" s="9" t="s">
        <v>12106</v>
      </c>
      <c r="J3097" s="13"/>
      <c r="K3097" s="13"/>
    </row>
    <row r="3098" customFormat="false" ht="46.25" hidden="false" customHeight="false" outlineLevel="0" collapsed="false">
      <c r="A3098" s="9" t="n">
        <v>3097</v>
      </c>
      <c r="B3098" s="9" t="s">
        <v>172</v>
      </c>
      <c r="C3098" s="11" t="s">
        <v>173</v>
      </c>
      <c r="D3098" s="9" t="s">
        <v>12107</v>
      </c>
      <c r="E3098" s="9" t="s">
        <v>12108</v>
      </c>
      <c r="F3098" s="9" t="s">
        <v>12109</v>
      </c>
      <c r="G3098" s="9" t="s">
        <v>1072</v>
      </c>
      <c r="H3098" s="15" t="s">
        <v>23</v>
      </c>
      <c r="I3098" s="9" t="s">
        <v>12110</v>
      </c>
      <c r="J3098" s="13"/>
      <c r="K3098" s="13"/>
    </row>
    <row r="3099" customFormat="false" ht="46.25" hidden="false" customHeight="false" outlineLevel="0" collapsed="false">
      <c r="A3099" s="9" t="n">
        <v>3098</v>
      </c>
      <c r="B3099" s="9" t="s">
        <v>172</v>
      </c>
      <c r="C3099" s="11" t="s">
        <v>173</v>
      </c>
      <c r="D3099" s="9" t="s">
        <v>12111</v>
      </c>
      <c r="E3099" s="9" t="s">
        <v>12112</v>
      </c>
      <c r="F3099" s="9" t="s">
        <v>12113</v>
      </c>
      <c r="G3099" s="9" t="s">
        <v>12114</v>
      </c>
      <c r="H3099" s="14" t="s">
        <v>22</v>
      </c>
      <c r="I3099" s="9" t="s">
        <v>12115</v>
      </c>
      <c r="J3099" s="13"/>
      <c r="K3099" s="13"/>
    </row>
    <row r="3100" customFormat="false" ht="46.25" hidden="false" customHeight="false" outlineLevel="0" collapsed="false">
      <c r="A3100" s="9" t="n">
        <v>3099</v>
      </c>
      <c r="B3100" s="9" t="s">
        <v>172</v>
      </c>
      <c r="C3100" s="11" t="s">
        <v>173</v>
      </c>
      <c r="D3100" s="9" t="s">
        <v>12116</v>
      </c>
      <c r="E3100" s="9" t="s">
        <v>12117</v>
      </c>
      <c r="F3100" s="9" t="s">
        <v>12118</v>
      </c>
      <c r="G3100" s="9" t="s">
        <v>312</v>
      </c>
      <c r="H3100" s="14" t="s">
        <v>22</v>
      </c>
      <c r="I3100" s="9" t="s">
        <v>12119</v>
      </c>
      <c r="J3100" s="13"/>
      <c r="K3100" s="13"/>
    </row>
    <row r="3101" customFormat="false" ht="46.25" hidden="false" customHeight="false" outlineLevel="0" collapsed="false">
      <c r="A3101" s="9" t="n">
        <v>3100</v>
      </c>
      <c r="B3101" s="9" t="s">
        <v>172</v>
      </c>
      <c r="C3101" s="11" t="s">
        <v>173</v>
      </c>
      <c r="D3101" s="9" t="s">
        <v>12120</v>
      </c>
      <c r="E3101" s="9" t="s">
        <v>12121</v>
      </c>
      <c r="F3101" s="9" t="s">
        <v>12122</v>
      </c>
      <c r="G3101" s="9" t="s">
        <v>12123</v>
      </c>
      <c r="H3101" s="15" t="s">
        <v>23</v>
      </c>
      <c r="I3101" s="9" t="s">
        <v>12124</v>
      </c>
      <c r="J3101" s="13"/>
      <c r="K3101" s="13"/>
    </row>
    <row r="3102" customFormat="false" ht="57.45" hidden="false" customHeight="false" outlineLevel="0" collapsed="false">
      <c r="A3102" s="9" t="n">
        <v>3101</v>
      </c>
      <c r="B3102" s="9" t="s">
        <v>172</v>
      </c>
      <c r="C3102" s="11" t="s">
        <v>173</v>
      </c>
      <c r="D3102" s="9" t="s">
        <v>12125</v>
      </c>
      <c r="E3102" s="9" t="s">
        <v>12126</v>
      </c>
      <c r="F3102" s="9" t="s">
        <v>12127</v>
      </c>
      <c r="G3102" s="9" t="s">
        <v>1421</v>
      </c>
      <c r="H3102" s="15" t="s">
        <v>23</v>
      </c>
      <c r="I3102" s="9" t="s">
        <v>12128</v>
      </c>
      <c r="J3102" s="13"/>
      <c r="K3102" s="13"/>
    </row>
    <row r="3103" customFormat="false" ht="57.45" hidden="false" customHeight="false" outlineLevel="0" collapsed="false">
      <c r="A3103" s="9" t="n">
        <v>3102</v>
      </c>
      <c r="B3103" s="9" t="s">
        <v>172</v>
      </c>
      <c r="C3103" s="11" t="s">
        <v>173</v>
      </c>
      <c r="D3103" s="9" t="s">
        <v>12129</v>
      </c>
      <c r="E3103" s="9" t="s">
        <v>12130</v>
      </c>
      <c r="F3103" s="9" t="s">
        <v>12131</v>
      </c>
      <c r="G3103" s="9" t="s">
        <v>308</v>
      </c>
      <c r="H3103" s="15" t="s">
        <v>23</v>
      </c>
      <c r="I3103" s="9" t="s">
        <v>12132</v>
      </c>
      <c r="J3103" s="13"/>
      <c r="K3103" s="13"/>
    </row>
    <row r="3104" customFormat="false" ht="68.65" hidden="false" customHeight="false" outlineLevel="0" collapsed="false">
      <c r="A3104" s="9" t="n">
        <v>3103</v>
      </c>
      <c r="B3104" s="9" t="s">
        <v>172</v>
      </c>
      <c r="C3104" s="11" t="s">
        <v>173</v>
      </c>
      <c r="D3104" s="9" t="s">
        <v>12133</v>
      </c>
      <c r="E3104" s="9" t="s">
        <v>12134</v>
      </c>
      <c r="F3104" s="9" t="s">
        <v>12135</v>
      </c>
      <c r="G3104" s="9" t="s">
        <v>3343</v>
      </c>
      <c r="H3104" s="15" t="s">
        <v>23</v>
      </c>
      <c r="I3104" s="9" t="s">
        <v>12136</v>
      </c>
      <c r="J3104" s="13"/>
      <c r="K3104" s="13"/>
    </row>
    <row r="3105" customFormat="false" ht="46.25" hidden="false" customHeight="false" outlineLevel="0" collapsed="false">
      <c r="A3105" s="9" t="n">
        <v>3104</v>
      </c>
      <c r="B3105" s="9" t="s">
        <v>172</v>
      </c>
      <c r="C3105" s="11" t="s">
        <v>173</v>
      </c>
      <c r="D3105" s="9" t="s">
        <v>12137</v>
      </c>
      <c r="E3105" s="9" t="s">
        <v>12138</v>
      </c>
      <c r="F3105" s="9" t="s">
        <v>12139</v>
      </c>
      <c r="G3105" s="9" t="s">
        <v>317</v>
      </c>
      <c r="H3105" s="15" t="s">
        <v>23</v>
      </c>
      <c r="I3105" s="9" t="s">
        <v>12140</v>
      </c>
      <c r="J3105" s="13"/>
      <c r="K3105" s="13"/>
    </row>
    <row r="3106" customFormat="false" ht="23.85" hidden="false" customHeight="false" outlineLevel="0" collapsed="false">
      <c r="A3106" s="9" t="n">
        <v>3105</v>
      </c>
      <c r="B3106" s="9" t="s">
        <v>172</v>
      </c>
      <c r="C3106" s="11" t="s">
        <v>173</v>
      </c>
      <c r="D3106" s="9" t="s">
        <v>12141</v>
      </c>
      <c r="E3106" s="9" t="s">
        <v>12142</v>
      </c>
      <c r="F3106" s="9" t="s">
        <v>12143</v>
      </c>
      <c r="G3106" s="9" t="s">
        <v>317</v>
      </c>
      <c r="H3106" s="15" t="s">
        <v>23</v>
      </c>
      <c r="I3106" s="9" t="s">
        <v>12144</v>
      </c>
      <c r="J3106" s="13"/>
      <c r="K3106" s="13"/>
    </row>
    <row r="3107" customFormat="false" ht="46.25" hidden="false" customHeight="false" outlineLevel="0" collapsed="false">
      <c r="A3107" s="9" t="n">
        <v>3106</v>
      </c>
      <c r="B3107" s="9" t="s">
        <v>172</v>
      </c>
      <c r="C3107" s="11" t="s">
        <v>173</v>
      </c>
      <c r="D3107" s="9" t="s">
        <v>12145</v>
      </c>
      <c r="E3107" s="9" t="s">
        <v>12146</v>
      </c>
      <c r="F3107" s="9" t="s">
        <v>12147</v>
      </c>
      <c r="G3107" s="9" t="s">
        <v>1072</v>
      </c>
      <c r="H3107" s="15" t="s">
        <v>23</v>
      </c>
      <c r="I3107" s="9" t="s">
        <v>12148</v>
      </c>
      <c r="J3107" s="13"/>
      <c r="K3107" s="13"/>
    </row>
    <row r="3108" customFormat="false" ht="46.25" hidden="false" customHeight="false" outlineLevel="0" collapsed="false">
      <c r="A3108" s="9" t="n">
        <v>3107</v>
      </c>
      <c r="B3108" s="9" t="s">
        <v>172</v>
      </c>
      <c r="C3108" s="11" t="s">
        <v>173</v>
      </c>
      <c r="D3108" s="9" t="s">
        <v>12149</v>
      </c>
      <c r="E3108" s="9" t="s">
        <v>12150</v>
      </c>
      <c r="F3108" s="9" t="s">
        <v>12151</v>
      </c>
      <c r="G3108" s="9" t="s">
        <v>312</v>
      </c>
      <c r="H3108" s="15" t="s">
        <v>23</v>
      </c>
      <c r="I3108" s="9" t="s">
        <v>12152</v>
      </c>
      <c r="J3108" s="13"/>
      <c r="K3108" s="13"/>
    </row>
    <row r="3109" customFormat="false" ht="23.85" hidden="false" customHeight="false" outlineLevel="0" collapsed="false">
      <c r="A3109" s="9" t="n">
        <v>3108</v>
      </c>
      <c r="B3109" s="9" t="s">
        <v>172</v>
      </c>
      <c r="C3109" s="11" t="s">
        <v>173</v>
      </c>
      <c r="D3109" s="9" t="s">
        <v>12153</v>
      </c>
      <c r="E3109" s="9" t="s">
        <v>12154</v>
      </c>
      <c r="F3109" s="9" t="s">
        <v>12155</v>
      </c>
      <c r="G3109" s="9" t="s">
        <v>317</v>
      </c>
      <c r="H3109" s="15" t="s">
        <v>23</v>
      </c>
      <c r="I3109" s="9" t="s">
        <v>12156</v>
      </c>
      <c r="J3109" s="13"/>
      <c r="K3109" s="13"/>
    </row>
    <row r="3110" customFormat="false" ht="23.85" hidden="false" customHeight="false" outlineLevel="0" collapsed="false">
      <c r="A3110" s="9" t="n">
        <v>3109</v>
      </c>
      <c r="B3110" s="9" t="s">
        <v>172</v>
      </c>
      <c r="C3110" s="11" t="s">
        <v>173</v>
      </c>
      <c r="D3110" s="9" t="s">
        <v>12157</v>
      </c>
      <c r="E3110" s="9" t="s">
        <v>12158</v>
      </c>
      <c r="F3110" s="9" t="s">
        <v>12159</v>
      </c>
      <c r="G3110" s="9" t="s">
        <v>328</v>
      </c>
      <c r="H3110" s="15" t="s">
        <v>23</v>
      </c>
      <c r="I3110" s="9" t="s">
        <v>12160</v>
      </c>
      <c r="J3110" s="13"/>
      <c r="K3110" s="13"/>
    </row>
    <row r="3111" customFormat="false" ht="23.85" hidden="false" customHeight="false" outlineLevel="0" collapsed="false">
      <c r="A3111" s="9" t="n">
        <v>3110</v>
      </c>
      <c r="B3111" s="9" t="s">
        <v>172</v>
      </c>
      <c r="C3111" s="11" t="s">
        <v>173</v>
      </c>
      <c r="D3111" s="9" t="s">
        <v>12161</v>
      </c>
      <c r="E3111" s="9" t="s">
        <v>12162</v>
      </c>
      <c r="F3111" s="9" t="s">
        <v>12163</v>
      </c>
      <c r="G3111" s="9" t="s">
        <v>24</v>
      </c>
      <c r="H3111" s="14" t="s">
        <v>22</v>
      </c>
      <c r="I3111" s="9" t="s">
        <v>12164</v>
      </c>
      <c r="J3111" s="13"/>
      <c r="K3111" s="13"/>
    </row>
    <row r="3112" customFormat="false" ht="46.25" hidden="false" customHeight="false" outlineLevel="0" collapsed="false">
      <c r="A3112" s="9" t="n">
        <v>3111</v>
      </c>
      <c r="B3112" s="9" t="s">
        <v>172</v>
      </c>
      <c r="C3112" s="11" t="s">
        <v>173</v>
      </c>
      <c r="D3112" s="9" t="s">
        <v>12165</v>
      </c>
      <c r="E3112" s="9" t="s">
        <v>358</v>
      </c>
      <c r="F3112" s="9" t="s">
        <v>12166</v>
      </c>
      <c r="G3112" s="9" t="s">
        <v>24</v>
      </c>
      <c r="H3112" s="14" t="s">
        <v>22</v>
      </c>
      <c r="I3112" s="9" t="s">
        <v>12167</v>
      </c>
      <c r="J3112" s="13"/>
      <c r="K3112" s="13"/>
    </row>
    <row r="3113" customFormat="false" ht="15" hidden="false" customHeight="false" outlineLevel="0" collapsed="false">
      <c r="A3113" s="9" t="n">
        <v>3112</v>
      </c>
      <c r="B3113" s="9" t="s">
        <v>172</v>
      </c>
      <c r="C3113" s="11" t="s">
        <v>173</v>
      </c>
      <c r="D3113" s="9" t="s">
        <v>12168</v>
      </c>
      <c r="E3113" s="9" t="s">
        <v>362</v>
      </c>
      <c r="F3113" s="9" t="s">
        <v>363</v>
      </c>
      <c r="G3113" s="9" t="s">
        <v>24</v>
      </c>
      <c r="H3113" s="14" t="s">
        <v>22</v>
      </c>
      <c r="I3113" s="9" t="s">
        <v>364</v>
      </c>
      <c r="J3113" s="13"/>
      <c r="K3113" s="13"/>
    </row>
    <row r="3114" customFormat="false" ht="35.05" hidden="false" customHeight="false" outlineLevel="0" collapsed="false">
      <c r="A3114" s="9" t="n">
        <v>3113</v>
      </c>
      <c r="B3114" s="9" t="s">
        <v>172</v>
      </c>
      <c r="C3114" s="11" t="s">
        <v>173</v>
      </c>
      <c r="D3114" s="9" t="s">
        <v>12169</v>
      </c>
      <c r="E3114" s="9" t="s">
        <v>12170</v>
      </c>
      <c r="F3114" s="9" t="s">
        <v>12171</v>
      </c>
      <c r="G3114" s="9" t="s">
        <v>24</v>
      </c>
      <c r="H3114" s="15" t="s">
        <v>23</v>
      </c>
      <c r="I3114" s="9" t="s">
        <v>12172</v>
      </c>
      <c r="J3114" s="13"/>
      <c r="K3114" s="13"/>
    </row>
    <row r="3115" customFormat="false" ht="23.85" hidden="false" customHeight="false" outlineLevel="0" collapsed="false">
      <c r="A3115" s="9" t="n">
        <v>3114</v>
      </c>
      <c r="B3115" s="9" t="s">
        <v>172</v>
      </c>
      <c r="C3115" s="11" t="s">
        <v>173</v>
      </c>
      <c r="D3115" s="9" t="s">
        <v>12173</v>
      </c>
      <c r="E3115" s="9" t="s">
        <v>12174</v>
      </c>
      <c r="F3115" s="9" t="s">
        <v>12175</v>
      </c>
      <c r="G3115" s="9" t="s">
        <v>24</v>
      </c>
      <c r="H3115" s="15" t="s">
        <v>23</v>
      </c>
      <c r="I3115" s="9" t="s">
        <v>12176</v>
      </c>
      <c r="J3115" s="13"/>
      <c r="K3115" s="13"/>
    </row>
    <row r="3116" customFormat="false" ht="35.05" hidden="false" customHeight="false" outlineLevel="0" collapsed="false">
      <c r="A3116" s="9" t="n">
        <v>3115</v>
      </c>
      <c r="B3116" s="9" t="s">
        <v>172</v>
      </c>
      <c r="C3116" s="11" t="s">
        <v>173</v>
      </c>
      <c r="D3116" s="9" t="s">
        <v>12177</v>
      </c>
      <c r="E3116" s="9" t="s">
        <v>12178</v>
      </c>
      <c r="F3116" s="9" t="s">
        <v>12179</v>
      </c>
      <c r="G3116" s="9" t="s">
        <v>24</v>
      </c>
      <c r="H3116" s="15" t="s">
        <v>23</v>
      </c>
      <c r="I3116" s="9" t="s">
        <v>12180</v>
      </c>
      <c r="J3116" s="13"/>
      <c r="K3116" s="13"/>
    </row>
    <row r="3117" customFormat="false" ht="46.25" hidden="false" customHeight="false" outlineLevel="0" collapsed="false">
      <c r="A3117" s="9" t="n">
        <v>3116</v>
      </c>
      <c r="B3117" s="9" t="s">
        <v>172</v>
      </c>
      <c r="C3117" s="11" t="s">
        <v>173</v>
      </c>
      <c r="D3117" s="9" t="s">
        <v>12181</v>
      </c>
      <c r="E3117" s="9" t="s">
        <v>12182</v>
      </c>
      <c r="F3117" s="9" t="s">
        <v>12183</v>
      </c>
      <c r="G3117" s="9" t="s">
        <v>24</v>
      </c>
      <c r="H3117" s="15" t="s">
        <v>23</v>
      </c>
      <c r="I3117" s="9" t="s">
        <v>12184</v>
      </c>
      <c r="J3117" s="13"/>
      <c r="K3117" s="13"/>
    </row>
    <row r="3118" customFormat="false" ht="68.65" hidden="false" customHeight="false" outlineLevel="0" collapsed="false">
      <c r="A3118" s="9" t="n">
        <v>3117</v>
      </c>
      <c r="B3118" s="9" t="s">
        <v>172</v>
      </c>
      <c r="C3118" s="11" t="s">
        <v>175</v>
      </c>
      <c r="D3118" s="9" t="s">
        <v>12185</v>
      </c>
      <c r="E3118" s="9" t="s">
        <v>12186</v>
      </c>
      <c r="F3118" s="9" t="s">
        <v>12187</v>
      </c>
      <c r="G3118" s="9" t="s">
        <v>5832</v>
      </c>
      <c r="H3118" s="12" t="s">
        <v>21</v>
      </c>
      <c r="I3118" s="9" t="s">
        <v>12188</v>
      </c>
      <c r="J3118" s="13"/>
      <c r="K3118" s="13"/>
    </row>
    <row r="3119" customFormat="false" ht="79.85" hidden="false" customHeight="false" outlineLevel="0" collapsed="false">
      <c r="A3119" s="9" t="n">
        <v>3118</v>
      </c>
      <c r="B3119" s="9" t="s">
        <v>172</v>
      </c>
      <c r="C3119" s="11" t="s">
        <v>175</v>
      </c>
      <c r="D3119" s="9" t="s">
        <v>12189</v>
      </c>
      <c r="E3119" s="9" t="s">
        <v>12190</v>
      </c>
      <c r="F3119" s="9" t="s">
        <v>12191</v>
      </c>
      <c r="G3119" s="9" t="s">
        <v>1421</v>
      </c>
      <c r="H3119" s="14" t="s">
        <v>22</v>
      </c>
      <c r="I3119" s="9" t="s">
        <v>12192</v>
      </c>
      <c r="J3119" s="13"/>
      <c r="K3119" s="13"/>
    </row>
    <row r="3120" customFormat="false" ht="91" hidden="false" customHeight="false" outlineLevel="0" collapsed="false">
      <c r="A3120" s="9" t="n">
        <v>3119</v>
      </c>
      <c r="B3120" s="9" t="s">
        <v>172</v>
      </c>
      <c r="C3120" s="11" t="s">
        <v>175</v>
      </c>
      <c r="D3120" s="9" t="s">
        <v>12193</v>
      </c>
      <c r="E3120" s="9" t="s">
        <v>12194</v>
      </c>
      <c r="F3120" s="9" t="s">
        <v>12195</v>
      </c>
      <c r="G3120" s="9" t="s">
        <v>312</v>
      </c>
      <c r="H3120" s="14" t="s">
        <v>22</v>
      </c>
      <c r="I3120" s="9" t="s">
        <v>12196</v>
      </c>
      <c r="J3120" s="13"/>
      <c r="K3120" s="13"/>
    </row>
    <row r="3121" customFormat="false" ht="46.25" hidden="false" customHeight="false" outlineLevel="0" collapsed="false">
      <c r="A3121" s="9" t="n">
        <v>3120</v>
      </c>
      <c r="B3121" s="9" t="s">
        <v>172</v>
      </c>
      <c r="C3121" s="11" t="s">
        <v>175</v>
      </c>
      <c r="D3121" s="9" t="s">
        <v>12197</v>
      </c>
      <c r="E3121" s="9" t="s">
        <v>12198</v>
      </c>
      <c r="F3121" s="9" t="s">
        <v>12199</v>
      </c>
      <c r="G3121" s="9" t="s">
        <v>1072</v>
      </c>
      <c r="H3121" s="14" t="s">
        <v>22</v>
      </c>
      <c r="I3121" s="9" t="s">
        <v>12200</v>
      </c>
      <c r="J3121" s="13"/>
      <c r="K3121" s="13"/>
    </row>
    <row r="3122" customFormat="false" ht="46.25" hidden="false" customHeight="false" outlineLevel="0" collapsed="false">
      <c r="A3122" s="9" t="n">
        <v>3121</v>
      </c>
      <c r="B3122" s="9" t="s">
        <v>172</v>
      </c>
      <c r="C3122" s="11" t="s">
        <v>175</v>
      </c>
      <c r="D3122" s="9" t="s">
        <v>12201</v>
      </c>
      <c r="E3122" s="9" t="s">
        <v>12202</v>
      </c>
      <c r="F3122" s="9" t="s">
        <v>12203</v>
      </c>
      <c r="G3122" s="9" t="s">
        <v>1072</v>
      </c>
      <c r="H3122" s="14" t="s">
        <v>22</v>
      </c>
      <c r="I3122" s="9" t="s">
        <v>12204</v>
      </c>
      <c r="J3122" s="13"/>
      <c r="K3122" s="13"/>
    </row>
    <row r="3123" customFormat="false" ht="46.25" hidden="false" customHeight="false" outlineLevel="0" collapsed="false">
      <c r="A3123" s="9" t="n">
        <v>3122</v>
      </c>
      <c r="B3123" s="9" t="s">
        <v>172</v>
      </c>
      <c r="C3123" s="11" t="s">
        <v>175</v>
      </c>
      <c r="D3123" s="9" t="s">
        <v>12205</v>
      </c>
      <c r="E3123" s="9" t="s">
        <v>12206</v>
      </c>
      <c r="F3123" s="9" t="s">
        <v>12207</v>
      </c>
      <c r="G3123" s="9" t="s">
        <v>312</v>
      </c>
      <c r="H3123" s="15" t="s">
        <v>23</v>
      </c>
      <c r="I3123" s="9" t="s">
        <v>12208</v>
      </c>
      <c r="J3123" s="13"/>
      <c r="K3123" s="13"/>
    </row>
    <row r="3124" customFormat="false" ht="91" hidden="false" customHeight="false" outlineLevel="0" collapsed="false">
      <c r="A3124" s="9" t="n">
        <v>3123</v>
      </c>
      <c r="B3124" s="9" t="s">
        <v>172</v>
      </c>
      <c r="C3124" s="11" t="s">
        <v>175</v>
      </c>
      <c r="D3124" s="9" t="s">
        <v>12209</v>
      </c>
      <c r="E3124" s="9" t="s">
        <v>12210</v>
      </c>
      <c r="F3124" s="9" t="s">
        <v>12211</v>
      </c>
      <c r="G3124" s="9" t="s">
        <v>12212</v>
      </c>
      <c r="H3124" s="14" t="s">
        <v>22</v>
      </c>
      <c r="I3124" s="9" t="s">
        <v>12213</v>
      </c>
      <c r="J3124" s="13"/>
      <c r="K3124" s="13"/>
    </row>
    <row r="3125" customFormat="false" ht="46.25" hidden="false" customHeight="false" outlineLevel="0" collapsed="false">
      <c r="A3125" s="9" t="n">
        <v>3124</v>
      </c>
      <c r="B3125" s="9" t="s">
        <v>172</v>
      </c>
      <c r="C3125" s="11" t="s">
        <v>175</v>
      </c>
      <c r="D3125" s="9" t="s">
        <v>12214</v>
      </c>
      <c r="E3125" s="9" t="s">
        <v>12215</v>
      </c>
      <c r="F3125" s="9" t="s">
        <v>12216</v>
      </c>
      <c r="G3125" s="9" t="s">
        <v>12217</v>
      </c>
      <c r="H3125" s="14" t="s">
        <v>22</v>
      </c>
      <c r="I3125" s="9" t="s">
        <v>12218</v>
      </c>
      <c r="J3125" s="13"/>
      <c r="K3125" s="13"/>
    </row>
    <row r="3126" customFormat="false" ht="57.45" hidden="false" customHeight="false" outlineLevel="0" collapsed="false">
      <c r="A3126" s="9" t="n">
        <v>3125</v>
      </c>
      <c r="B3126" s="9" t="s">
        <v>172</v>
      </c>
      <c r="C3126" s="11" t="s">
        <v>175</v>
      </c>
      <c r="D3126" s="9" t="s">
        <v>12219</v>
      </c>
      <c r="E3126" s="9" t="s">
        <v>12220</v>
      </c>
      <c r="F3126" s="9" t="s">
        <v>12221</v>
      </c>
      <c r="G3126" s="9" t="s">
        <v>312</v>
      </c>
      <c r="H3126" s="14" t="s">
        <v>22</v>
      </c>
      <c r="I3126" s="9" t="s">
        <v>12222</v>
      </c>
      <c r="J3126" s="13"/>
      <c r="K3126" s="13"/>
    </row>
    <row r="3127" customFormat="false" ht="35.05" hidden="false" customHeight="false" outlineLevel="0" collapsed="false">
      <c r="A3127" s="9" t="n">
        <v>3126</v>
      </c>
      <c r="B3127" s="9" t="s">
        <v>172</v>
      </c>
      <c r="C3127" s="11" t="s">
        <v>175</v>
      </c>
      <c r="D3127" s="9" t="s">
        <v>12223</v>
      </c>
      <c r="E3127" s="9" t="s">
        <v>12224</v>
      </c>
      <c r="F3127" s="9" t="s">
        <v>12225</v>
      </c>
      <c r="G3127" s="9" t="s">
        <v>3266</v>
      </c>
      <c r="H3127" s="15" t="s">
        <v>23</v>
      </c>
      <c r="I3127" s="9" t="s">
        <v>12226</v>
      </c>
      <c r="J3127" s="13"/>
      <c r="K3127" s="13"/>
    </row>
    <row r="3128" customFormat="false" ht="35.05" hidden="false" customHeight="false" outlineLevel="0" collapsed="false">
      <c r="A3128" s="9" t="n">
        <v>3127</v>
      </c>
      <c r="B3128" s="9" t="s">
        <v>172</v>
      </c>
      <c r="C3128" s="11" t="s">
        <v>175</v>
      </c>
      <c r="D3128" s="9" t="s">
        <v>12227</v>
      </c>
      <c r="E3128" s="9" t="s">
        <v>12228</v>
      </c>
      <c r="F3128" s="9" t="s">
        <v>12229</v>
      </c>
      <c r="G3128" s="9" t="s">
        <v>1072</v>
      </c>
      <c r="H3128" s="15" t="s">
        <v>23</v>
      </c>
      <c r="I3128" s="9" t="s">
        <v>12230</v>
      </c>
      <c r="J3128" s="13"/>
      <c r="K3128" s="13"/>
    </row>
    <row r="3129" customFormat="false" ht="35.05" hidden="false" customHeight="false" outlineLevel="0" collapsed="false">
      <c r="A3129" s="9" t="n">
        <v>3128</v>
      </c>
      <c r="B3129" s="9" t="s">
        <v>172</v>
      </c>
      <c r="C3129" s="11" t="s">
        <v>175</v>
      </c>
      <c r="D3129" s="9" t="s">
        <v>12231</v>
      </c>
      <c r="E3129" s="9" t="s">
        <v>12232</v>
      </c>
      <c r="F3129" s="9" t="s">
        <v>12233</v>
      </c>
      <c r="G3129" s="9" t="s">
        <v>312</v>
      </c>
      <c r="H3129" s="15" t="s">
        <v>23</v>
      </c>
      <c r="I3129" s="9" t="s">
        <v>12234</v>
      </c>
      <c r="J3129" s="13"/>
      <c r="K3129" s="13"/>
    </row>
    <row r="3130" customFormat="false" ht="35.05" hidden="false" customHeight="false" outlineLevel="0" collapsed="false">
      <c r="A3130" s="9" t="n">
        <v>3129</v>
      </c>
      <c r="B3130" s="9" t="s">
        <v>172</v>
      </c>
      <c r="C3130" s="11" t="s">
        <v>175</v>
      </c>
      <c r="D3130" s="9" t="s">
        <v>12235</v>
      </c>
      <c r="E3130" s="9" t="s">
        <v>12236</v>
      </c>
      <c r="F3130" s="9" t="s">
        <v>12237</v>
      </c>
      <c r="G3130" s="9" t="s">
        <v>317</v>
      </c>
      <c r="H3130" s="15" t="s">
        <v>23</v>
      </c>
      <c r="I3130" s="9" t="s">
        <v>12238</v>
      </c>
      <c r="J3130" s="13"/>
      <c r="K3130" s="13"/>
    </row>
    <row r="3131" customFormat="false" ht="46.25" hidden="false" customHeight="false" outlineLevel="0" collapsed="false">
      <c r="A3131" s="9" t="n">
        <v>3130</v>
      </c>
      <c r="B3131" s="9" t="s">
        <v>172</v>
      </c>
      <c r="C3131" s="11" t="s">
        <v>175</v>
      </c>
      <c r="D3131" s="9" t="s">
        <v>12239</v>
      </c>
      <c r="E3131" s="9" t="s">
        <v>12240</v>
      </c>
      <c r="F3131" s="9" t="s">
        <v>12241</v>
      </c>
      <c r="G3131" s="9" t="s">
        <v>312</v>
      </c>
      <c r="H3131" s="15" t="s">
        <v>23</v>
      </c>
      <c r="I3131" s="9" t="s">
        <v>12242</v>
      </c>
      <c r="J3131" s="13"/>
      <c r="K3131" s="13"/>
    </row>
    <row r="3132" customFormat="false" ht="35.05" hidden="false" customHeight="false" outlineLevel="0" collapsed="false">
      <c r="A3132" s="9" t="n">
        <v>3131</v>
      </c>
      <c r="B3132" s="9" t="s">
        <v>172</v>
      </c>
      <c r="C3132" s="11" t="s">
        <v>175</v>
      </c>
      <c r="D3132" s="9" t="s">
        <v>12243</v>
      </c>
      <c r="E3132" s="9" t="s">
        <v>12244</v>
      </c>
      <c r="F3132" s="9" t="s">
        <v>12245</v>
      </c>
      <c r="G3132" s="9" t="s">
        <v>317</v>
      </c>
      <c r="H3132" s="15" t="s">
        <v>23</v>
      </c>
      <c r="I3132" s="9" t="s">
        <v>12246</v>
      </c>
      <c r="J3132" s="13"/>
      <c r="K3132" s="13"/>
    </row>
    <row r="3133" customFormat="false" ht="68.65" hidden="false" customHeight="false" outlineLevel="0" collapsed="false">
      <c r="A3133" s="9" t="n">
        <v>3132</v>
      </c>
      <c r="B3133" s="9" t="s">
        <v>172</v>
      </c>
      <c r="C3133" s="11" t="s">
        <v>175</v>
      </c>
      <c r="D3133" s="9" t="s">
        <v>12247</v>
      </c>
      <c r="E3133" s="9" t="s">
        <v>12248</v>
      </c>
      <c r="F3133" s="9" t="s">
        <v>12249</v>
      </c>
      <c r="G3133" s="9" t="s">
        <v>312</v>
      </c>
      <c r="H3133" s="15" t="s">
        <v>23</v>
      </c>
      <c r="I3133" s="9" t="s">
        <v>12250</v>
      </c>
      <c r="J3133" s="13"/>
      <c r="K3133" s="13"/>
    </row>
    <row r="3134" customFormat="false" ht="23.85" hidden="false" customHeight="false" outlineLevel="0" collapsed="false">
      <c r="A3134" s="9" t="n">
        <v>3133</v>
      </c>
      <c r="B3134" s="9" t="s">
        <v>172</v>
      </c>
      <c r="C3134" s="11" t="s">
        <v>175</v>
      </c>
      <c r="D3134" s="9" t="s">
        <v>12251</v>
      </c>
      <c r="E3134" s="9" t="s">
        <v>12252</v>
      </c>
      <c r="F3134" s="9" t="s">
        <v>12253</v>
      </c>
      <c r="G3134" s="9" t="s">
        <v>328</v>
      </c>
      <c r="H3134" s="15" t="s">
        <v>23</v>
      </c>
      <c r="I3134" s="9" t="s">
        <v>12254</v>
      </c>
      <c r="J3134" s="13"/>
      <c r="K3134" s="13"/>
    </row>
    <row r="3135" customFormat="false" ht="23.85" hidden="false" customHeight="false" outlineLevel="0" collapsed="false">
      <c r="A3135" s="9" t="n">
        <v>3134</v>
      </c>
      <c r="B3135" s="9" t="s">
        <v>172</v>
      </c>
      <c r="C3135" s="11" t="s">
        <v>175</v>
      </c>
      <c r="D3135" s="9" t="s">
        <v>12255</v>
      </c>
      <c r="E3135" s="9" t="s">
        <v>12256</v>
      </c>
      <c r="F3135" s="9" t="s">
        <v>12257</v>
      </c>
      <c r="G3135" s="9" t="s">
        <v>312</v>
      </c>
      <c r="H3135" s="15" t="s">
        <v>23</v>
      </c>
      <c r="I3135" s="9" t="s">
        <v>12258</v>
      </c>
      <c r="J3135" s="13"/>
      <c r="K3135" s="13"/>
    </row>
    <row r="3136" customFormat="false" ht="35.05" hidden="false" customHeight="false" outlineLevel="0" collapsed="false">
      <c r="A3136" s="9" t="n">
        <v>3135</v>
      </c>
      <c r="B3136" s="9" t="s">
        <v>172</v>
      </c>
      <c r="C3136" s="11" t="s">
        <v>175</v>
      </c>
      <c r="D3136" s="9" t="s">
        <v>12259</v>
      </c>
      <c r="E3136" s="9" t="s">
        <v>12260</v>
      </c>
      <c r="F3136" s="9" t="s">
        <v>12261</v>
      </c>
      <c r="G3136" s="9" t="s">
        <v>303</v>
      </c>
      <c r="H3136" s="15" t="s">
        <v>23</v>
      </c>
      <c r="I3136" s="9" t="s">
        <v>12262</v>
      </c>
      <c r="J3136" s="13"/>
      <c r="K3136" s="13"/>
    </row>
    <row r="3137" customFormat="false" ht="35.05" hidden="false" customHeight="false" outlineLevel="0" collapsed="false">
      <c r="A3137" s="9" t="n">
        <v>3136</v>
      </c>
      <c r="B3137" s="9" t="s">
        <v>172</v>
      </c>
      <c r="C3137" s="11" t="s">
        <v>175</v>
      </c>
      <c r="D3137" s="9" t="s">
        <v>12263</v>
      </c>
      <c r="E3137" s="9" t="s">
        <v>12264</v>
      </c>
      <c r="F3137" s="9" t="s">
        <v>12265</v>
      </c>
      <c r="G3137" s="9" t="s">
        <v>24</v>
      </c>
      <c r="H3137" s="14" t="s">
        <v>22</v>
      </c>
      <c r="I3137" s="9" t="s">
        <v>11594</v>
      </c>
      <c r="J3137" s="13"/>
      <c r="K3137" s="13"/>
    </row>
    <row r="3138" customFormat="false" ht="35.05" hidden="false" customHeight="false" outlineLevel="0" collapsed="false">
      <c r="A3138" s="9" t="n">
        <v>3137</v>
      </c>
      <c r="B3138" s="9" t="s">
        <v>172</v>
      </c>
      <c r="C3138" s="11" t="s">
        <v>175</v>
      </c>
      <c r="D3138" s="9" t="s">
        <v>12266</v>
      </c>
      <c r="E3138" s="9" t="s">
        <v>358</v>
      </c>
      <c r="F3138" s="9" t="s">
        <v>12267</v>
      </c>
      <c r="G3138" s="9" t="s">
        <v>24</v>
      </c>
      <c r="H3138" s="14" t="s">
        <v>22</v>
      </c>
      <c r="I3138" s="9" t="s">
        <v>12268</v>
      </c>
      <c r="J3138" s="13"/>
      <c r="K3138" s="13"/>
    </row>
    <row r="3139" customFormat="false" ht="15" hidden="false" customHeight="false" outlineLevel="0" collapsed="false">
      <c r="A3139" s="9" t="n">
        <v>3138</v>
      </c>
      <c r="B3139" s="9" t="s">
        <v>172</v>
      </c>
      <c r="C3139" s="11" t="s">
        <v>175</v>
      </c>
      <c r="D3139" s="9" t="s">
        <v>12269</v>
      </c>
      <c r="E3139" s="9" t="s">
        <v>362</v>
      </c>
      <c r="F3139" s="9" t="s">
        <v>363</v>
      </c>
      <c r="G3139" s="9" t="s">
        <v>24</v>
      </c>
      <c r="H3139" s="14" t="s">
        <v>22</v>
      </c>
      <c r="I3139" s="9" t="s">
        <v>364</v>
      </c>
      <c r="J3139" s="13"/>
      <c r="K3139" s="13"/>
    </row>
    <row r="3140" customFormat="false" ht="35.05" hidden="false" customHeight="false" outlineLevel="0" collapsed="false">
      <c r="A3140" s="9" t="n">
        <v>3139</v>
      </c>
      <c r="B3140" s="9" t="s">
        <v>172</v>
      </c>
      <c r="C3140" s="11" t="s">
        <v>175</v>
      </c>
      <c r="D3140" s="9" t="s">
        <v>12270</v>
      </c>
      <c r="E3140" s="9" t="s">
        <v>12271</v>
      </c>
      <c r="F3140" s="9" t="s">
        <v>12272</v>
      </c>
      <c r="G3140" s="9" t="s">
        <v>24</v>
      </c>
      <c r="H3140" s="15" t="s">
        <v>23</v>
      </c>
      <c r="I3140" s="9" t="s">
        <v>12273</v>
      </c>
      <c r="J3140" s="13"/>
      <c r="K3140" s="13"/>
    </row>
    <row r="3141" customFormat="false" ht="46.25" hidden="false" customHeight="false" outlineLevel="0" collapsed="false">
      <c r="A3141" s="9" t="n">
        <v>3140</v>
      </c>
      <c r="B3141" s="9" t="s">
        <v>172</v>
      </c>
      <c r="C3141" s="11" t="s">
        <v>177</v>
      </c>
      <c r="D3141" s="9" t="s">
        <v>12274</v>
      </c>
      <c r="E3141" s="9" t="s">
        <v>12275</v>
      </c>
      <c r="F3141" s="9" t="s">
        <v>12276</v>
      </c>
      <c r="G3141" s="9" t="s">
        <v>328</v>
      </c>
      <c r="H3141" s="12" t="s">
        <v>21</v>
      </c>
      <c r="I3141" s="9" t="s">
        <v>12277</v>
      </c>
      <c r="J3141" s="13"/>
      <c r="K3141" s="13"/>
    </row>
    <row r="3142" customFormat="false" ht="214.15" hidden="false" customHeight="false" outlineLevel="0" collapsed="false">
      <c r="A3142" s="9" t="n">
        <v>3141</v>
      </c>
      <c r="B3142" s="9" t="s">
        <v>172</v>
      </c>
      <c r="C3142" s="11" t="s">
        <v>177</v>
      </c>
      <c r="D3142" s="9" t="s">
        <v>12278</v>
      </c>
      <c r="E3142" s="9" t="s">
        <v>12279</v>
      </c>
      <c r="F3142" s="9" t="s">
        <v>12280</v>
      </c>
      <c r="G3142" s="9" t="s">
        <v>12281</v>
      </c>
      <c r="H3142" s="12" t="s">
        <v>21</v>
      </c>
      <c r="I3142" s="9" t="s">
        <v>12282</v>
      </c>
      <c r="J3142" s="13"/>
      <c r="K3142" s="13"/>
    </row>
    <row r="3143" customFormat="false" ht="79.85" hidden="false" customHeight="false" outlineLevel="0" collapsed="false">
      <c r="A3143" s="9" t="n">
        <v>3142</v>
      </c>
      <c r="B3143" s="9" t="s">
        <v>172</v>
      </c>
      <c r="C3143" s="11" t="s">
        <v>177</v>
      </c>
      <c r="D3143" s="9" t="s">
        <v>12283</v>
      </c>
      <c r="E3143" s="9" t="s">
        <v>12284</v>
      </c>
      <c r="F3143" s="9" t="s">
        <v>12285</v>
      </c>
      <c r="G3143" s="9" t="s">
        <v>3343</v>
      </c>
      <c r="H3143" s="12" t="s">
        <v>21</v>
      </c>
      <c r="I3143" s="9" t="s">
        <v>12286</v>
      </c>
      <c r="J3143" s="13"/>
      <c r="K3143" s="13"/>
    </row>
    <row r="3144" customFormat="false" ht="46.25" hidden="false" customHeight="false" outlineLevel="0" collapsed="false">
      <c r="A3144" s="9" t="n">
        <v>3143</v>
      </c>
      <c r="B3144" s="9" t="s">
        <v>172</v>
      </c>
      <c r="C3144" s="11" t="s">
        <v>177</v>
      </c>
      <c r="D3144" s="9" t="s">
        <v>12287</v>
      </c>
      <c r="E3144" s="9" t="s">
        <v>12288</v>
      </c>
      <c r="F3144" s="9" t="s">
        <v>12289</v>
      </c>
      <c r="G3144" s="9" t="s">
        <v>1072</v>
      </c>
      <c r="H3144" s="14" t="s">
        <v>22</v>
      </c>
      <c r="I3144" s="9" t="s">
        <v>12290</v>
      </c>
      <c r="J3144" s="13"/>
      <c r="K3144" s="13"/>
    </row>
    <row r="3145" customFormat="false" ht="57.45" hidden="false" customHeight="false" outlineLevel="0" collapsed="false">
      <c r="A3145" s="9" t="n">
        <v>3144</v>
      </c>
      <c r="B3145" s="9" t="s">
        <v>172</v>
      </c>
      <c r="C3145" s="11" t="s">
        <v>177</v>
      </c>
      <c r="D3145" s="9" t="s">
        <v>12291</v>
      </c>
      <c r="E3145" s="9" t="s">
        <v>12292</v>
      </c>
      <c r="F3145" s="9" t="s">
        <v>12293</v>
      </c>
      <c r="G3145" s="9" t="s">
        <v>1072</v>
      </c>
      <c r="H3145" s="12" t="s">
        <v>21</v>
      </c>
      <c r="I3145" s="9" t="s">
        <v>12294</v>
      </c>
      <c r="J3145" s="13"/>
      <c r="K3145" s="13"/>
    </row>
    <row r="3146" customFormat="false" ht="91" hidden="false" customHeight="false" outlineLevel="0" collapsed="false">
      <c r="A3146" s="9" t="n">
        <v>3145</v>
      </c>
      <c r="B3146" s="9" t="s">
        <v>172</v>
      </c>
      <c r="C3146" s="11" t="s">
        <v>177</v>
      </c>
      <c r="D3146" s="9" t="s">
        <v>12295</v>
      </c>
      <c r="E3146" s="9" t="s">
        <v>12296</v>
      </c>
      <c r="F3146" s="9" t="s">
        <v>12297</v>
      </c>
      <c r="G3146" s="9" t="s">
        <v>1072</v>
      </c>
      <c r="H3146" s="12" t="s">
        <v>21</v>
      </c>
      <c r="I3146" s="9" t="s">
        <v>12298</v>
      </c>
      <c r="J3146" s="13"/>
      <c r="K3146" s="13"/>
    </row>
    <row r="3147" customFormat="false" ht="68.65" hidden="false" customHeight="false" outlineLevel="0" collapsed="false">
      <c r="A3147" s="9" t="n">
        <v>3146</v>
      </c>
      <c r="B3147" s="9" t="s">
        <v>172</v>
      </c>
      <c r="C3147" s="11" t="s">
        <v>177</v>
      </c>
      <c r="D3147" s="9" t="s">
        <v>12299</v>
      </c>
      <c r="E3147" s="9" t="s">
        <v>12300</v>
      </c>
      <c r="F3147" s="9" t="s">
        <v>12301</v>
      </c>
      <c r="G3147" s="9" t="s">
        <v>12302</v>
      </c>
      <c r="H3147" s="14" t="s">
        <v>22</v>
      </c>
      <c r="I3147" s="9" t="s">
        <v>12303</v>
      </c>
      <c r="J3147" s="13"/>
      <c r="K3147" s="13"/>
    </row>
    <row r="3148" customFormat="false" ht="46.25" hidden="false" customHeight="false" outlineLevel="0" collapsed="false">
      <c r="A3148" s="9" t="n">
        <v>3147</v>
      </c>
      <c r="B3148" s="9" t="s">
        <v>172</v>
      </c>
      <c r="C3148" s="11" t="s">
        <v>177</v>
      </c>
      <c r="D3148" s="9" t="s">
        <v>12304</v>
      </c>
      <c r="E3148" s="9" t="s">
        <v>12305</v>
      </c>
      <c r="F3148" s="9" t="s">
        <v>12306</v>
      </c>
      <c r="G3148" s="9" t="s">
        <v>1072</v>
      </c>
      <c r="H3148" s="14" t="s">
        <v>22</v>
      </c>
      <c r="I3148" s="9" t="s">
        <v>12307</v>
      </c>
      <c r="J3148" s="13"/>
      <c r="K3148" s="13"/>
    </row>
    <row r="3149" customFormat="false" ht="35.05" hidden="false" customHeight="false" outlineLevel="0" collapsed="false">
      <c r="A3149" s="9" t="n">
        <v>3148</v>
      </c>
      <c r="B3149" s="9" t="s">
        <v>172</v>
      </c>
      <c r="C3149" s="11" t="s">
        <v>177</v>
      </c>
      <c r="D3149" s="9" t="s">
        <v>12308</v>
      </c>
      <c r="E3149" s="9" t="s">
        <v>12309</v>
      </c>
      <c r="F3149" s="9" t="s">
        <v>12310</v>
      </c>
      <c r="G3149" s="9" t="s">
        <v>12080</v>
      </c>
      <c r="H3149" s="14" t="s">
        <v>22</v>
      </c>
      <c r="I3149" s="9" t="s">
        <v>12311</v>
      </c>
      <c r="J3149" s="13"/>
      <c r="K3149" s="13"/>
    </row>
    <row r="3150" customFormat="false" ht="57.45" hidden="false" customHeight="false" outlineLevel="0" collapsed="false">
      <c r="A3150" s="9" t="n">
        <v>3149</v>
      </c>
      <c r="B3150" s="9" t="s">
        <v>172</v>
      </c>
      <c r="C3150" s="11" t="s">
        <v>177</v>
      </c>
      <c r="D3150" s="9" t="s">
        <v>12312</v>
      </c>
      <c r="E3150" s="9" t="s">
        <v>12313</v>
      </c>
      <c r="F3150" s="9" t="s">
        <v>12314</v>
      </c>
      <c r="G3150" s="9" t="s">
        <v>12212</v>
      </c>
      <c r="H3150" s="14" t="s">
        <v>22</v>
      </c>
      <c r="I3150" s="9" t="s">
        <v>12315</v>
      </c>
      <c r="J3150" s="13"/>
      <c r="K3150" s="13"/>
    </row>
    <row r="3151" customFormat="false" ht="46.25" hidden="false" customHeight="false" outlineLevel="0" collapsed="false">
      <c r="A3151" s="9" t="n">
        <v>3150</v>
      </c>
      <c r="B3151" s="9" t="s">
        <v>172</v>
      </c>
      <c r="C3151" s="11" t="s">
        <v>177</v>
      </c>
      <c r="D3151" s="9" t="s">
        <v>12316</v>
      </c>
      <c r="E3151" s="9" t="s">
        <v>12317</v>
      </c>
      <c r="F3151" s="9" t="s">
        <v>12318</v>
      </c>
      <c r="G3151" s="9" t="s">
        <v>12281</v>
      </c>
      <c r="H3151" s="12" t="s">
        <v>21</v>
      </c>
      <c r="I3151" s="9" t="s">
        <v>12319</v>
      </c>
      <c r="J3151" s="13"/>
      <c r="K3151" s="13"/>
    </row>
    <row r="3152" customFormat="false" ht="68.65" hidden="false" customHeight="false" outlineLevel="0" collapsed="false">
      <c r="A3152" s="9" t="n">
        <v>3151</v>
      </c>
      <c r="B3152" s="9" t="s">
        <v>172</v>
      </c>
      <c r="C3152" s="11" t="s">
        <v>177</v>
      </c>
      <c r="D3152" s="9" t="s">
        <v>12320</v>
      </c>
      <c r="E3152" s="9" t="s">
        <v>12321</v>
      </c>
      <c r="F3152" s="9" t="s">
        <v>12322</v>
      </c>
      <c r="G3152" s="9" t="s">
        <v>12323</v>
      </c>
      <c r="H3152" s="14" t="s">
        <v>22</v>
      </c>
      <c r="I3152" s="9" t="s">
        <v>12324</v>
      </c>
      <c r="J3152" s="13"/>
      <c r="K3152" s="13"/>
    </row>
    <row r="3153" customFormat="false" ht="35.05" hidden="false" customHeight="false" outlineLevel="0" collapsed="false">
      <c r="A3153" s="9" t="n">
        <v>3152</v>
      </c>
      <c r="B3153" s="9" t="s">
        <v>172</v>
      </c>
      <c r="C3153" s="11" t="s">
        <v>177</v>
      </c>
      <c r="D3153" s="9" t="s">
        <v>12325</v>
      </c>
      <c r="E3153" s="9" t="s">
        <v>12326</v>
      </c>
      <c r="F3153" s="9" t="s">
        <v>12327</v>
      </c>
      <c r="G3153" s="9" t="s">
        <v>1072</v>
      </c>
      <c r="H3153" s="14" t="s">
        <v>22</v>
      </c>
      <c r="I3153" s="9" t="s">
        <v>12328</v>
      </c>
      <c r="J3153" s="13"/>
      <c r="K3153" s="13"/>
    </row>
    <row r="3154" customFormat="false" ht="57.45" hidden="false" customHeight="false" outlineLevel="0" collapsed="false">
      <c r="A3154" s="9" t="n">
        <v>3153</v>
      </c>
      <c r="B3154" s="9" t="s">
        <v>172</v>
      </c>
      <c r="C3154" s="11" t="s">
        <v>177</v>
      </c>
      <c r="D3154" s="9" t="s">
        <v>12329</v>
      </c>
      <c r="E3154" s="9" t="s">
        <v>12330</v>
      </c>
      <c r="F3154" s="9" t="s">
        <v>12331</v>
      </c>
      <c r="G3154" s="9" t="s">
        <v>12302</v>
      </c>
      <c r="H3154" s="14" t="s">
        <v>22</v>
      </c>
      <c r="I3154" s="9" t="s">
        <v>12332</v>
      </c>
      <c r="J3154" s="13"/>
      <c r="K3154" s="13"/>
    </row>
    <row r="3155" customFormat="false" ht="46.25" hidden="false" customHeight="false" outlineLevel="0" collapsed="false">
      <c r="A3155" s="9" t="n">
        <v>3154</v>
      </c>
      <c r="B3155" s="9" t="s">
        <v>172</v>
      </c>
      <c r="C3155" s="11" t="s">
        <v>177</v>
      </c>
      <c r="D3155" s="9" t="s">
        <v>12333</v>
      </c>
      <c r="E3155" s="9" t="s">
        <v>12334</v>
      </c>
      <c r="F3155" s="9" t="s">
        <v>12335</v>
      </c>
      <c r="G3155" s="9" t="s">
        <v>1638</v>
      </c>
      <c r="H3155" s="14" t="s">
        <v>22</v>
      </c>
      <c r="I3155" s="9" t="s">
        <v>12336</v>
      </c>
      <c r="J3155" s="13"/>
      <c r="K3155" s="13"/>
    </row>
    <row r="3156" customFormat="false" ht="46.25" hidden="false" customHeight="false" outlineLevel="0" collapsed="false">
      <c r="A3156" s="9" t="n">
        <v>3155</v>
      </c>
      <c r="B3156" s="9" t="s">
        <v>172</v>
      </c>
      <c r="C3156" s="11" t="s">
        <v>177</v>
      </c>
      <c r="D3156" s="9" t="s">
        <v>12337</v>
      </c>
      <c r="E3156" s="9" t="s">
        <v>12338</v>
      </c>
      <c r="F3156" s="9" t="s">
        <v>12339</v>
      </c>
      <c r="G3156" s="9" t="s">
        <v>12080</v>
      </c>
      <c r="H3156" s="14" t="s">
        <v>22</v>
      </c>
      <c r="I3156" s="9" t="s">
        <v>12340</v>
      </c>
      <c r="J3156" s="13"/>
      <c r="K3156" s="13"/>
    </row>
    <row r="3157" customFormat="false" ht="46.25" hidden="false" customHeight="false" outlineLevel="0" collapsed="false">
      <c r="A3157" s="9" t="n">
        <v>3156</v>
      </c>
      <c r="B3157" s="9" t="s">
        <v>172</v>
      </c>
      <c r="C3157" s="11" t="s">
        <v>177</v>
      </c>
      <c r="D3157" s="9" t="s">
        <v>12341</v>
      </c>
      <c r="E3157" s="9" t="s">
        <v>12342</v>
      </c>
      <c r="F3157" s="9" t="s">
        <v>12343</v>
      </c>
      <c r="G3157" s="9" t="s">
        <v>12080</v>
      </c>
      <c r="H3157" s="14" t="s">
        <v>22</v>
      </c>
      <c r="I3157" s="9" t="s">
        <v>12344</v>
      </c>
      <c r="J3157" s="13"/>
      <c r="K3157" s="13"/>
    </row>
    <row r="3158" customFormat="false" ht="35.05" hidden="false" customHeight="false" outlineLevel="0" collapsed="false">
      <c r="A3158" s="9" t="n">
        <v>3157</v>
      </c>
      <c r="B3158" s="9" t="s">
        <v>172</v>
      </c>
      <c r="C3158" s="11" t="s">
        <v>177</v>
      </c>
      <c r="D3158" s="9" t="s">
        <v>12345</v>
      </c>
      <c r="E3158" s="9" t="s">
        <v>12346</v>
      </c>
      <c r="F3158" s="9" t="s">
        <v>12347</v>
      </c>
      <c r="G3158" s="9" t="s">
        <v>12080</v>
      </c>
      <c r="H3158" s="14" t="s">
        <v>22</v>
      </c>
      <c r="I3158" s="9" t="s">
        <v>12348</v>
      </c>
      <c r="J3158" s="13"/>
      <c r="K3158" s="13"/>
    </row>
    <row r="3159" customFormat="false" ht="35.05" hidden="false" customHeight="false" outlineLevel="0" collapsed="false">
      <c r="A3159" s="9" t="n">
        <v>3158</v>
      </c>
      <c r="B3159" s="9" t="s">
        <v>172</v>
      </c>
      <c r="C3159" s="11" t="s">
        <v>177</v>
      </c>
      <c r="D3159" s="9" t="s">
        <v>12349</v>
      </c>
      <c r="E3159" s="9" t="s">
        <v>12350</v>
      </c>
      <c r="F3159" s="9" t="s">
        <v>12351</v>
      </c>
      <c r="G3159" s="9" t="s">
        <v>312</v>
      </c>
      <c r="H3159" s="14" t="s">
        <v>22</v>
      </c>
      <c r="I3159" s="9" t="s">
        <v>12352</v>
      </c>
      <c r="J3159" s="13"/>
      <c r="K3159" s="13"/>
    </row>
    <row r="3160" customFormat="false" ht="68.65" hidden="false" customHeight="false" outlineLevel="0" collapsed="false">
      <c r="A3160" s="9" t="n">
        <v>3159</v>
      </c>
      <c r="B3160" s="9" t="s">
        <v>172</v>
      </c>
      <c r="C3160" s="11" t="s">
        <v>177</v>
      </c>
      <c r="D3160" s="9" t="s">
        <v>12353</v>
      </c>
      <c r="E3160" s="9" t="s">
        <v>12354</v>
      </c>
      <c r="F3160" s="9" t="s">
        <v>12355</v>
      </c>
      <c r="G3160" s="9" t="s">
        <v>12217</v>
      </c>
      <c r="H3160" s="14" t="s">
        <v>22</v>
      </c>
      <c r="I3160" s="9" t="s">
        <v>12356</v>
      </c>
      <c r="J3160" s="13"/>
      <c r="K3160" s="13"/>
    </row>
    <row r="3161" customFormat="false" ht="35.05" hidden="false" customHeight="false" outlineLevel="0" collapsed="false">
      <c r="A3161" s="9" t="n">
        <v>3160</v>
      </c>
      <c r="B3161" s="9" t="s">
        <v>172</v>
      </c>
      <c r="C3161" s="11" t="s">
        <v>177</v>
      </c>
      <c r="D3161" s="9" t="s">
        <v>12357</v>
      </c>
      <c r="E3161" s="9" t="s">
        <v>12358</v>
      </c>
      <c r="F3161" s="9" t="s">
        <v>12359</v>
      </c>
      <c r="G3161" s="9" t="s">
        <v>12080</v>
      </c>
      <c r="H3161" s="14" t="s">
        <v>22</v>
      </c>
      <c r="I3161" s="9" t="s">
        <v>12360</v>
      </c>
      <c r="J3161" s="13"/>
      <c r="K3161" s="13"/>
    </row>
    <row r="3162" customFormat="false" ht="57.45" hidden="false" customHeight="false" outlineLevel="0" collapsed="false">
      <c r="A3162" s="9" t="n">
        <v>3161</v>
      </c>
      <c r="B3162" s="9" t="s">
        <v>172</v>
      </c>
      <c r="C3162" s="11" t="s">
        <v>177</v>
      </c>
      <c r="D3162" s="9" t="s">
        <v>12361</v>
      </c>
      <c r="E3162" s="9" t="s">
        <v>12362</v>
      </c>
      <c r="F3162" s="9" t="s">
        <v>12363</v>
      </c>
      <c r="G3162" s="9" t="s">
        <v>312</v>
      </c>
      <c r="H3162" s="14" t="s">
        <v>22</v>
      </c>
      <c r="I3162" s="9" t="s">
        <v>12364</v>
      </c>
      <c r="J3162" s="13"/>
      <c r="K3162" s="13"/>
    </row>
    <row r="3163" customFormat="false" ht="35.05" hidden="false" customHeight="false" outlineLevel="0" collapsed="false">
      <c r="A3163" s="9" t="n">
        <v>3162</v>
      </c>
      <c r="B3163" s="9" t="s">
        <v>172</v>
      </c>
      <c r="C3163" s="11" t="s">
        <v>177</v>
      </c>
      <c r="D3163" s="9" t="s">
        <v>12365</v>
      </c>
      <c r="E3163" s="9" t="s">
        <v>12366</v>
      </c>
      <c r="F3163" s="9" t="s">
        <v>12367</v>
      </c>
      <c r="G3163" s="9" t="s">
        <v>317</v>
      </c>
      <c r="H3163" s="14" t="s">
        <v>22</v>
      </c>
      <c r="I3163" s="9" t="s">
        <v>12368</v>
      </c>
      <c r="J3163" s="13"/>
      <c r="K3163" s="13"/>
    </row>
    <row r="3164" customFormat="false" ht="68.65" hidden="false" customHeight="false" outlineLevel="0" collapsed="false">
      <c r="A3164" s="9" t="n">
        <v>3163</v>
      </c>
      <c r="B3164" s="9" t="s">
        <v>172</v>
      </c>
      <c r="C3164" s="11" t="s">
        <v>177</v>
      </c>
      <c r="D3164" s="9" t="s">
        <v>12369</v>
      </c>
      <c r="E3164" s="9" t="s">
        <v>12370</v>
      </c>
      <c r="F3164" s="9" t="s">
        <v>12371</v>
      </c>
      <c r="G3164" s="9" t="s">
        <v>1072</v>
      </c>
      <c r="H3164" s="14" t="s">
        <v>22</v>
      </c>
      <c r="I3164" s="9" t="s">
        <v>12372</v>
      </c>
      <c r="J3164" s="13"/>
      <c r="K3164" s="13"/>
    </row>
    <row r="3165" customFormat="false" ht="79.85" hidden="false" customHeight="false" outlineLevel="0" collapsed="false">
      <c r="A3165" s="9" t="n">
        <v>3164</v>
      </c>
      <c r="B3165" s="9" t="s">
        <v>172</v>
      </c>
      <c r="C3165" s="11" t="s">
        <v>177</v>
      </c>
      <c r="D3165" s="9" t="s">
        <v>12373</v>
      </c>
      <c r="E3165" s="9" t="s">
        <v>12374</v>
      </c>
      <c r="F3165" s="9" t="s">
        <v>12375</v>
      </c>
      <c r="G3165" s="9" t="s">
        <v>1852</v>
      </c>
      <c r="H3165" s="14" t="s">
        <v>22</v>
      </c>
      <c r="I3165" s="9" t="s">
        <v>12376</v>
      </c>
      <c r="J3165" s="13"/>
      <c r="K3165" s="13"/>
    </row>
    <row r="3166" customFormat="false" ht="46.25" hidden="false" customHeight="false" outlineLevel="0" collapsed="false">
      <c r="A3166" s="9" t="n">
        <v>3165</v>
      </c>
      <c r="B3166" s="9" t="s">
        <v>172</v>
      </c>
      <c r="C3166" s="11" t="s">
        <v>177</v>
      </c>
      <c r="D3166" s="9" t="s">
        <v>12377</v>
      </c>
      <c r="E3166" s="9" t="s">
        <v>12378</v>
      </c>
      <c r="F3166" s="9" t="s">
        <v>12379</v>
      </c>
      <c r="G3166" s="9" t="s">
        <v>312</v>
      </c>
      <c r="H3166" s="15" t="s">
        <v>23</v>
      </c>
      <c r="I3166" s="9" t="s">
        <v>12380</v>
      </c>
      <c r="J3166" s="13"/>
      <c r="K3166" s="13"/>
    </row>
    <row r="3167" customFormat="false" ht="46.25" hidden="false" customHeight="false" outlineLevel="0" collapsed="false">
      <c r="A3167" s="9" t="n">
        <v>3166</v>
      </c>
      <c r="B3167" s="9" t="s">
        <v>172</v>
      </c>
      <c r="C3167" s="11" t="s">
        <v>177</v>
      </c>
      <c r="D3167" s="9" t="s">
        <v>12381</v>
      </c>
      <c r="E3167" s="9" t="s">
        <v>12382</v>
      </c>
      <c r="F3167" s="9" t="s">
        <v>12383</v>
      </c>
      <c r="G3167" s="9" t="s">
        <v>12384</v>
      </c>
      <c r="H3167" s="15" t="s">
        <v>23</v>
      </c>
      <c r="I3167" s="9" t="s">
        <v>12385</v>
      </c>
      <c r="J3167" s="13"/>
      <c r="K3167" s="13"/>
    </row>
    <row r="3168" customFormat="false" ht="35.05" hidden="false" customHeight="false" outlineLevel="0" collapsed="false">
      <c r="A3168" s="9" t="n">
        <v>3167</v>
      </c>
      <c r="B3168" s="9" t="s">
        <v>172</v>
      </c>
      <c r="C3168" s="11" t="s">
        <v>177</v>
      </c>
      <c r="D3168" s="9" t="s">
        <v>12386</v>
      </c>
      <c r="E3168" s="9" t="s">
        <v>12387</v>
      </c>
      <c r="F3168" s="9" t="s">
        <v>12388</v>
      </c>
      <c r="G3168" s="9" t="s">
        <v>312</v>
      </c>
      <c r="H3168" s="15" t="s">
        <v>23</v>
      </c>
      <c r="I3168" s="9" t="s">
        <v>12389</v>
      </c>
      <c r="J3168" s="13"/>
      <c r="K3168" s="13"/>
    </row>
    <row r="3169" customFormat="false" ht="35.05" hidden="false" customHeight="false" outlineLevel="0" collapsed="false">
      <c r="A3169" s="9" t="n">
        <v>3168</v>
      </c>
      <c r="B3169" s="9" t="s">
        <v>172</v>
      </c>
      <c r="C3169" s="11" t="s">
        <v>177</v>
      </c>
      <c r="D3169" s="9" t="s">
        <v>12390</v>
      </c>
      <c r="E3169" s="9" t="s">
        <v>12391</v>
      </c>
      <c r="F3169" s="9" t="s">
        <v>12392</v>
      </c>
      <c r="G3169" s="9" t="s">
        <v>1072</v>
      </c>
      <c r="H3169" s="15" t="s">
        <v>23</v>
      </c>
      <c r="I3169" s="9" t="s">
        <v>12393</v>
      </c>
      <c r="J3169" s="13"/>
      <c r="K3169" s="13"/>
    </row>
    <row r="3170" customFormat="false" ht="35.05" hidden="false" customHeight="false" outlineLevel="0" collapsed="false">
      <c r="A3170" s="9" t="n">
        <v>3169</v>
      </c>
      <c r="B3170" s="9" t="s">
        <v>172</v>
      </c>
      <c r="C3170" s="11" t="s">
        <v>177</v>
      </c>
      <c r="D3170" s="9" t="s">
        <v>12394</v>
      </c>
      <c r="E3170" s="9" t="s">
        <v>12395</v>
      </c>
      <c r="F3170" s="9" t="s">
        <v>12396</v>
      </c>
      <c r="G3170" s="9" t="s">
        <v>1072</v>
      </c>
      <c r="H3170" s="15" t="s">
        <v>23</v>
      </c>
      <c r="I3170" s="9" t="s">
        <v>12397</v>
      </c>
      <c r="J3170" s="13"/>
      <c r="K3170" s="13"/>
    </row>
    <row r="3171" customFormat="false" ht="35.05" hidden="false" customHeight="false" outlineLevel="0" collapsed="false">
      <c r="A3171" s="9" t="n">
        <v>3170</v>
      </c>
      <c r="B3171" s="9" t="s">
        <v>172</v>
      </c>
      <c r="C3171" s="11" t="s">
        <v>177</v>
      </c>
      <c r="D3171" s="9" t="s">
        <v>12398</v>
      </c>
      <c r="E3171" s="9" t="s">
        <v>12399</v>
      </c>
      <c r="F3171" s="9" t="s">
        <v>12400</v>
      </c>
      <c r="G3171" s="9" t="s">
        <v>317</v>
      </c>
      <c r="H3171" s="15" t="s">
        <v>23</v>
      </c>
      <c r="I3171" s="9" t="s">
        <v>12401</v>
      </c>
      <c r="J3171" s="13"/>
      <c r="K3171" s="13"/>
    </row>
    <row r="3172" customFormat="false" ht="35.05" hidden="false" customHeight="false" outlineLevel="0" collapsed="false">
      <c r="A3172" s="9" t="n">
        <v>3171</v>
      </c>
      <c r="B3172" s="9" t="s">
        <v>172</v>
      </c>
      <c r="C3172" s="11" t="s">
        <v>177</v>
      </c>
      <c r="D3172" s="9" t="s">
        <v>12402</v>
      </c>
      <c r="E3172" s="9" t="s">
        <v>12403</v>
      </c>
      <c r="F3172" s="9" t="s">
        <v>12404</v>
      </c>
      <c r="G3172" s="9" t="s">
        <v>1072</v>
      </c>
      <c r="H3172" s="15" t="s">
        <v>23</v>
      </c>
      <c r="I3172" s="9" t="s">
        <v>12405</v>
      </c>
      <c r="J3172" s="13"/>
      <c r="K3172" s="13"/>
    </row>
    <row r="3173" customFormat="false" ht="35.05" hidden="false" customHeight="false" outlineLevel="0" collapsed="false">
      <c r="A3173" s="9" t="n">
        <v>3172</v>
      </c>
      <c r="B3173" s="9" t="s">
        <v>172</v>
      </c>
      <c r="C3173" s="11" t="s">
        <v>177</v>
      </c>
      <c r="D3173" s="9" t="s">
        <v>12406</v>
      </c>
      <c r="E3173" s="9" t="s">
        <v>12407</v>
      </c>
      <c r="F3173" s="9" t="s">
        <v>12408</v>
      </c>
      <c r="G3173" s="9" t="s">
        <v>12080</v>
      </c>
      <c r="H3173" s="15" t="s">
        <v>23</v>
      </c>
      <c r="I3173" s="9" t="s">
        <v>12409</v>
      </c>
      <c r="J3173" s="13"/>
      <c r="K3173" s="13"/>
    </row>
    <row r="3174" customFormat="false" ht="35.05" hidden="false" customHeight="false" outlineLevel="0" collapsed="false">
      <c r="A3174" s="9" t="n">
        <v>3173</v>
      </c>
      <c r="B3174" s="9" t="s">
        <v>172</v>
      </c>
      <c r="C3174" s="11" t="s">
        <v>177</v>
      </c>
      <c r="D3174" s="9" t="s">
        <v>12410</v>
      </c>
      <c r="E3174" s="9" t="s">
        <v>12411</v>
      </c>
      <c r="F3174" s="9" t="s">
        <v>12412</v>
      </c>
      <c r="G3174" s="9" t="s">
        <v>317</v>
      </c>
      <c r="H3174" s="15" t="s">
        <v>23</v>
      </c>
      <c r="I3174" s="9" t="s">
        <v>12413</v>
      </c>
      <c r="J3174" s="13"/>
      <c r="K3174" s="13"/>
    </row>
    <row r="3175" customFormat="false" ht="35.05" hidden="false" customHeight="false" outlineLevel="0" collapsed="false">
      <c r="A3175" s="9" t="n">
        <v>3174</v>
      </c>
      <c r="B3175" s="9" t="s">
        <v>172</v>
      </c>
      <c r="C3175" s="11" t="s">
        <v>177</v>
      </c>
      <c r="D3175" s="9" t="s">
        <v>12414</v>
      </c>
      <c r="E3175" s="9" t="s">
        <v>12415</v>
      </c>
      <c r="F3175" s="9" t="s">
        <v>12416</v>
      </c>
      <c r="G3175" s="9" t="s">
        <v>12114</v>
      </c>
      <c r="H3175" s="15" t="s">
        <v>23</v>
      </c>
      <c r="I3175" s="9" t="s">
        <v>12417</v>
      </c>
      <c r="J3175" s="13"/>
      <c r="K3175" s="13"/>
    </row>
    <row r="3176" customFormat="false" ht="35.05" hidden="false" customHeight="false" outlineLevel="0" collapsed="false">
      <c r="A3176" s="9" t="n">
        <v>3175</v>
      </c>
      <c r="B3176" s="9" t="s">
        <v>172</v>
      </c>
      <c r="C3176" s="11" t="s">
        <v>177</v>
      </c>
      <c r="D3176" s="9" t="s">
        <v>12418</v>
      </c>
      <c r="E3176" s="9" t="s">
        <v>12419</v>
      </c>
      <c r="F3176" s="9" t="s">
        <v>12420</v>
      </c>
      <c r="G3176" s="9" t="s">
        <v>312</v>
      </c>
      <c r="H3176" s="15" t="s">
        <v>23</v>
      </c>
      <c r="I3176" s="9" t="s">
        <v>12421</v>
      </c>
      <c r="J3176" s="13"/>
      <c r="K3176" s="13"/>
    </row>
    <row r="3177" customFormat="false" ht="46.25" hidden="false" customHeight="false" outlineLevel="0" collapsed="false">
      <c r="A3177" s="9" t="n">
        <v>3176</v>
      </c>
      <c r="B3177" s="9" t="s">
        <v>172</v>
      </c>
      <c r="C3177" s="11" t="s">
        <v>177</v>
      </c>
      <c r="D3177" s="9" t="s">
        <v>12422</v>
      </c>
      <c r="E3177" s="9" t="s">
        <v>12423</v>
      </c>
      <c r="F3177" s="9" t="s">
        <v>12424</v>
      </c>
      <c r="G3177" s="9" t="s">
        <v>12425</v>
      </c>
      <c r="H3177" s="15" t="s">
        <v>23</v>
      </c>
      <c r="I3177" s="9" t="s">
        <v>12426</v>
      </c>
      <c r="J3177" s="13"/>
      <c r="K3177" s="13"/>
    </row>
    <row r="3178" customFormat="false" ht="35.05" hidden="false" customHeight="false" outlineLevel="0" collapsed="false">
      <c r="A3178" s="9" t="n">
        <v>3177</v>
      </c>
      <c r="B3178" s="9" t="s">
        <v>172</v>
      </c>
      <c r="C3178" s="11" t="s">
        <v>177</v>
      </c>
      <c r="D3178" s="9" t="s">
        <v>12427</v>
      </c>
      <c r="E3178" s="9" t="s">
        <v>12428</v>
      </c>
      <c r="F3178" s="9" t="s">
        <v>12429</v>
      </c>
      <c r="G3178" s="9" t="s">
        <v>1072</v>
      </c>
      <c r="H3178" s="15" t="s">
        <v>23</v>
      </c>
      <c r="I3178" s="9" t="s">
        <v>12430</v>
      </c>
      <c r="J3178" s="13"/>
      <c r="K3178" s="13"/>
    </row>
    <row r="3179" customFormat="false" ht="35.05" hidden="false" customHeight="false" outlineLevel="0" collapsed="false">
      <c r="A3179" s="9" t="n">
        <v>3178</v>
      </c>
      <c r="B3179" s="9" t="s">
        <v>172</v>
      </c>
      <c r="C3179" s="11" t="s">
        <v>177</v>
      </c>
      <c r="D3179" s="9" t="s">
        <v>12431</v>
      </c>
      <c r="E3179" s="9" t="s">
        <v>12432</v>
      </c>
      <c r="F3179" s="9" t="s">
        <v>12433</v>
      </c>
      <c r="G3179" s="9" t="s">
        <v>328</v>
      </c>
      <c r="H3179" s="14" t="s">
        <v>22</v>
      </c>
      <c r="I3179" s="9" t="s">
        <v>12434</v>
      </c>
      <c r="J3179" s="13"/>
      <c r="K3179" s="13"/>
    </row>
    <row r="3180" customFormat="false" ht="23.85" hidden="false" customHeight="false" outlineLevel="0" collapsed="false">
      <c r="A3180" s="9" t="n">
        <v>3179</v>
      </c>
      <c r="B3180" s="9" t="s">
        <v>172</v>
      </c>
      <c r="C3180" s="11" t="s">
        <v>177</v>
      </c>
      <c r="D3180" s="9" t="s">
        <v>12435</v>
      </c>
      <c r="E3180" s="9" t="s">
        <v>12436</v>
      </c>
      <c r="F3180" s="9" t="s">
        <v>12437</v>
      </c>
      <c r="G3180" s="9" t="s">
        <v>312</v>
      </c>
      <c r="H3180" s="15" t="s">
        <v>23</v>
      </c>
      <c r="I3180" s="9" t="s">
        <v>12438</v>
      </c>
      <c r="J3180" s="13"/>
      <c r="K3180" s="13"/>
    </row>
    <row r="3181" customFormat="false" ht="35.05" hidden="false" customHeight="false" outlineLevel="0" collapsed="false">
      <c r="A3181" s="9" t="n">
        <v>3180</v>
      </c>
      <c r="B3181" s="9" t="s">
        <v>172</v>
      </c>
      <c r="C3181" s="11" t="s">
        <v>177</v>
      </c>
      <c r="D3181" s="9" t="s">
        <v>12439</v>
      </c>
      <c r="E3181" s="9" t="s">
        <v>12440</v>
      </c>
      <c r="F3181" s="9" t="s">
        <v>12441</v>
      </c>
      <c r="G3181" s="9" t="s">
        <v>12080</v>
      </c>
      <c r="H3181" s="15" t="s">
        <v>23</v>
      </c>
      <c r="I3181" s="9" t="s">
        <v>12442</v>
      </c>
      <c r="J3181" s="13"/>
      <c r="K3181" s="13"/>
    </row>
    <row r="3182" customFormat="false" ht="35.05" hidden="false" customHeight="false" outlineLevel="0" collapsed="false">
      <c r="A3182" s="9" t="n">
        <v>3181</v>
      </c>
      <c r="B3182" s="9" t="s">
        <v>172</v>
      </c>
      <c r="C3182" s="11" t="s">
        <v>177</v>
      </c>
      <c r="D3182" s="9" t="s">
        <v>12443</v>
      </c>
      <c r="E3182" s="9" t="s">
        <v>12444</v>
      </c>
      <c r="F3182" s="9" t="s">
        <v>12445</v>
      </c>
      <c r="G3182" s="9" t="s">
        <v>12080</v>
      </c>
      <c r="H3182" s="15" t="s">
        <v>23</v>
      </c>
      <c r="I3182" s="9" t="s">
        <v>12446</v>
      </c>
      <c r="J3182" s="13"/>
      <c r="K3182" s="13"/>
    </row>
    <row r="3183" customFormat="false" ht="35.05" hidden="false" customHeight="false" outlineLevel="0" collapsed="false">
      <c r="A3183" s="9" t="n">
        <v>3182</v>
      </c>
      <c r="B3183" s="9" t="s">
        <v>172</v>
      </c>
      <c r="C3183" s="11" t="s">
        <v>177</v>
      </c>
      <c r="D3183" s="9" t="s">
        <v>12447</v>
      </c>
      <c r="E3183" s="9" t="s">
        <v>12448</v>
      </c>
      <c r="F3183" s="9" t="s">
        <v>12449</v>
      </c>
      <c r="G3183" s="9" t="s">
        <v>328</v>
      </c>
      <c r="H3183" s="15" t="s">
        <v>23</v>
      </c>
      <c r="I3183" s="9" t="s">
        <v>12450</v>
      </c>
      <c r="J3183" s="13"/>
      <c r="K3183" s="13"/>
    </row>
    <row r="3184" customFormat="false" ht="23.85" hidden="false" customHeight="false" outlineLevel="0" collapsed="false">
      <c r="A3184" s="9" t="n">
        <v>3183</v>
      </c>
      <c r="B3184" s="9" t="s">
        <v>172</v>
      </c>
      <c r="C3184" s="11" t="s">
        <v>177</v>
      </c>
      <c r="D3184" s="9" t="s">
        <v>12451</v>
      </c>
      <c r="E3184" s="9" t="s">
        <v>12452</v>
      </c>
      <c r="F3184" s="9" t="s">
        <v>12453</v>
      </c>
      <c r="G3184" s="9" t="s">
        <v>328</v>
      </c>
      <c r="H3184" s="15" t="s">
        <v>23</v>
      </c>
      <c r="I3184" s="9" t="s">
        <v>12454</v>
      </c>
      <c r="J3184" s="13"/>
      <c r="K3184" s="13"/>
    </row>
    <row r="3185" customFormat="false" ht="57.45" hidden="false" customHeight="false" outlineLevel="0" collapsed="false">
      <c r="A3185" s="9" t="n">
        <v>3184</v>
      </c>
      <c r="B3185" s="9" t="s">
        <v>172</v>
      </c>
      <c r="C3185" s="11" t="s">
        <v>177</v>
      </c>
      <c r="D3185" s="9" t="s">
        <v>12455</v>
      </c>
      <c r="E3185" s="9" t="s">
        <v>2833</v>
      </c>
      <c r="F3185" s="9" t="s">
        <v>12456</v>
      </c>
      <c r="G3185" s="9" t="s">
        <v>24</v>
      </c>
      <c r="H3185" s="12" t="s">
        <v>21</v>
      </c>
      <c r="I3185" s="9" t="s">
        <v>12457</v>
      </c>
      <c r="J3185" s="13"/>
      <c r="K3185" s="13"/>
    </row>
    <row r="3186" customFormat="false" ht="46.25" hidden="false" customHeight="false" outlineLevel="0" collapsed="false">
      <c r="A3186" s="9" t="n">
        <v>3185</v>
      </c>
      <c r="B3186" s="9" t="s">
        <v>172</v>
      </c>
      <c r="C3186" s="11" t="s">
        <v>177</v>
      </c>
      <c r="D3186" s="9" t="s">
        <v>12458</v>
      </c>
      <c r="E3186" s="9" t="s">
        <v>358</v>
      </c>
      <c r="F3186" s="9" t="s">
        <v>12459</v>
      </c>
      <c r="G3186" s="9" t="s">
        <v>24</v>
      </c>
      <c r="H3186" s="14" t="s">
        <v>22</v>
      </c>
      <c r="I3186" s="9" t="s">
        <v>12460</v>
      </c>
      <c r="J3186" s="13"/>
      <c r="K3186" s="13"/>
    </row>
    <row r="3187" customFormat="false" ht="23.85" hidden="false" customHeight="false" outlineLevel="0" collapsed="false">
      <c r="A3187" s="9" t="n">
        <v>3186</v>
      </c>
      <c r="B3187" s="9" t="s">
        <v>172</v>
      </c>
      <c r="C3187" s="11" t="s">
        <v>177</v>
      </c>
      <c r="D3187" s="9" t="s">
        <v>12461</v>
      </c>
      <c r="E3187" s="9" t="s">
        <v>12462</v>
      </c>
      <c r="F3187" s="9" t="s">
        <v>12463</v>
      </c>
      <c r="G3187" s="9" t="s">
        <v>24</v>
      </c>
      <c r="H3187" s="14" t="s">
        <v>22</v>
      </c>
      <c r="I3187" s="9" t="s">
        <v>12464</v>
      </c>
      <c r="J3187" s="13"/>
      <c r="K3187" s="13"/>
    </row>
    <row r="3188" customFormat="false" ht="23.85" hidden="false" customHeight="false" outlineLevel="0" collapsed="false">
      <c r="A3188" s="9" t="n">
        <v>3187</v>
      </c>
      <c r="B3188" s="9" t="s">
        <v>172</v>
      </c>
      <c r="C3188" s="11" t="s">
        <v>177</v>
      </c>
      <c r="D3188" s="9" t="s">
        <v>12465</v>
      </c>
      <c r="E3188" s="9" t="s">
        <v>12466</v>
      </c>
      <c r="F3188" s="9" t="s">
        <v>12467</v>
      </c>
      <c r="G3188" s="9" t="s">
        <v>24</v>
      </c>
      <c r="H3188" s="14" t="s">
        <v>22</v>
      </c>
      <c r="I3188" s="9" t="s">
        <v>12468</v>
      </c>
      <c r="J3188" s="13"/>
      <c r="K3188" s="13"/>
    </row>
    <row r="3189" customFormat="false" ht="15" hidden="false" customHeight="false" outlineLevel="0" collapsed="false">
      <c r="A3189" s="9" t="n">
        <v>3188</v>
      </c>
      <c r="B3189" s="9" t="s">
        <v>172</v>
      </c>
      <c r="C3189" s="11" t="s">
        <v>177</v>
      </c>
      <c r="D3189" s="9" t="s">
        <v>12469</v>
      </c>
      <c r="E3189" s="9" t="s">
        <v>362</v>
      </c>
      <c r="F3189" s="9" t="s">
        <v>363</v>
      </c>
      <c r="G3189" s="9" t="s">
        <v>24</v>
      </c>
      <c r="H3189" s="14" t="s">
        <v>22</v>
      </c>
      <c r="I3189" s="9" t="s">
        <v>364</v>
      </c>
      <c r="J3189" s="13"/>
      <c r="K3189" s="13"/>
    </row>
    <row r="3190" customFormat="false" ht="23.85" hidden="false" customHeight="false" outlineLevel="0" collapsed="false">
      <c r="A3190" s="9" t="n">
        <v>3189</v>
      </c>
      <c r="B3190" s="9" t="s">
        <v>172</v>
      </c>
      <c r="C3190" s="11" t="s">
        <v>177</v>
      </c>
      <c r="D3190" s="9" t="s">
        <v>12470</v>
      </c>
      <c r="E3190" s="9" t="s">
        <v>12471</v>
      </c>
      <c r="F3190" s="9" t="s">
        <v>12472</v>
      </c>
      <c r="G3190" s="9" t="s">
        <v>24</v>
      </c>
      <c r="H3190" s="15" t="s">
        <v>23</v>
      </c>
      <c r="I3190" s="9" t="s">
        <v>12473</v>
      </c>
      <c r="J3190" s="13"/>
      <c r="K3190" s="13"/>
    </row>
    <row r="3191" customFormat="false" ht="46.25" hidden="false" customHeight="false" outlineLevel="0" collapsed="false">
      <c r="A3191" s="9" t="n">
        <v>3190</v>
      </c>
      <c r="B3191" s="9" t="s">
        <v>172</v>
      </c>
      <c r="C3191" s="11" t="s">
        <v>177</v>
      </c>
      <c r="D3191" s="9" t="s">
        <v>12474</v>
      </c>
      <c r="E3191" s="9" t="s">
        <v>12475</v>
      </c>
      <c r="F3191" s="9" t="s">
        <v>12476</v>
      </c>
      <c r="G3191" s="9" t="s">
        <v>24</v>
      </c>
      <c r="H3191" s="15" t="s">
        <v>23</v>
      </c>
      <c r="I3191" s="9" t="s">
        <v>12477</v>
      </c>
      <c r="J3191" s="13"/>
      <c r="K3191" s="13"/>
    </row>
    <row r="3192" customFormat="false" ht="35.05" hidden="false" customHeight="false" outlineLevel="0" collapsed="false">
      <c r="A3192" s="9" t="n">
        <v>3191</v>
      </c>
      <c r="B3192" s="9" t="s">
        <v>172</v>
      </c>
      <c r="C3192" s="11" t="s">
        <v>177</v>
      </c>
      <c r="D3192" s="9" t="s">
        <v>12478</v>
      </c>
      <c r="E3192" s="9" t="s">
        <v>12479</v>
      </c>
      <c r="F3192" s="9" t="s">
        <v>12480</v>
      </c>
      <c r="G3192" s="9" t="s">
        <v>24</v>
      </c>
      <c r="H3192" s="15" t="s">
        <v>23</v>
      </c>
      <c r="I3192" s="9" t="s">
        <v>12481</v>
      </c>
      <c r="J3192" s="13"/>
      <c r="K3192" s="13"/>
    </row>
    <row r="3193" customFormat="false" ht="57.45" hidden="false" customHeight="false" outlineLevel="0" collapsed="false">
      <c r="A3193" s="9" t="n">
        <v>3192</v>
      </c>
      <c r="B3193" s="9" t="s">
        <v>172</v>
      </c>
      <c r="C3193" s="11" t="s">
        <v>179</v>
      </c>
      <c r="D3193" s="9" t="s">
        <v>12482</v>
      </c>
      <c r="E3193" s="9" t="s">
        <v>12483</v>
      </c>
      <c r="F3193" s="9" t="s">
        <v>12484</v>
      </c>
      <c r="G3193" s="9" t="s">
        <v>328</v>
      </c>
      <c r="H3193" s="12" t="s">
        <v>21</v>
      </c>
      <c r="I3193" s="9" t="s">
        <v>12485</v>
      </c>
      <c r="J3193" s="13"/>
      <c r="K3193" s="13"/>
    </row>
    <row r="3194" customFormat="false" ht="68.65" hidden="false" customHeight="false" outlineLevel="0" collapsed="false">
      <c r="A3194" s="9" t="n">
        <v>3193</v>
      </c>
      <c r="B3194" s="9" t="s">
        <v>172</v>
      </c>
      <c r="C3194" s="11" t="s">
        <v>179</v>
      </c>
      <c r="D3194" s="9" t="s">
        <v>12486</v>
      </c>
      <c r="E3194" s="9" t="s">
        <v>12487</v>
      </c>
      <c r="F3194" s="9" t="s">
        <v>12488</v>
      </c>
      <c r="G3194" s="9" t="s">
        <v>328</v>
      </c>
      <c r="H3194" s="12" t="s">
        <v>21</v>
      </c>
      <c r="I3194" s="9" t="s">
        <v>12489</v>
      </c>
      <c r="J3194" s="13"/>
      <c r="K3194" s="13"/>
    </row>
    <row r="3195" customFormat="false" ht="79.85" hidden="false" customHeight="false" outlineLevel="0" collapsed="false">
      <c r="A3195" s="9" t="n">
        <v>3194</v>
      </c>
      <c r="B3195" s="9" t="s">
        <v>172</v>
      </c>
      <c r="C3195" s="11" t="s">
        <v>179</v>
      </c>
      <c r="D3195" s="9" t="s">
        <v>12490</v>
      </c>
      <c r="E3195" s="9" t="s">
        <v>12491</v>
      </c>
      <c r="F3195" s="9" t="s">
        <v>12492</v>
      </c>
      <c r="G3195" s="9" t="s">
        <v>328</v>
      </c>
      <c r="H3195" s="12" t="s">
        <v>21</v>
      </c>
      <c r="I3195" s="9" t="s">
        <v>12493</v>
      </c>
      <c r="J3195" s="13"/>
      <c r="K3195" s="13"/>
    </row>
    <row r="3196" customFormat="false" ht="135.8" hidden="false" customHeight="false" outlineLevel="0" collapsed="false">
      <c r="A3196" s="9" t="n">
        <v>3195</v>
      </c>
      <c r="B3196" s="9" t="s">
        <v>172</v>
      </c>
      <c r="C3196" s="11" t="s">
        <v>179</v>
      </c>
      <c r="D3196" s="9" t="s">
        <v>12494</v>
      </c>
      <c r="E3196" s="9" t="s">
        <v>12495</v>
      </c>
      <c r="F3196" s="9" t="s">
        <v>12496</v>
      </c>
      <c r="G3196" s="9" t="s">
        <v>1072</v>
      </c>
      <c r="H3196" s="12" t="s">
        <v>21</v>
      </c>
      <c r="I3196" s="9" t="s">
        <v>12497</v>
      </c>
      <c r="J3196" s="13"/>
      <c r="K3196" s="13"/>
    </row>
    <row r="3197" customFormat="false" ht="35.05" hidden="false" customHeight="false" outlineLevel="0" collapsed="false">
      <c r="A3197" s="9" t="n">
        <v>3196</v>
      </c>
      <c r="B3197" s="9" t="s">
        <v>172</v>
      </c>
      <c r="C3197" s="11" t="s">
        <v>179</v>
      </c>
      <c r="D3197" s="9" t="s">
        <v>12498</v>
      </c>
      <c r="E3197" s="9" t="s">
        <v>12499</v>
      </c>
      <c r="F3197" s="9" t="s">
        <v>12500</v>
      </c>
      <c r="G3197" s="9" t="s">
        <v>312</v>
      </c>
      <c r="H3197" s="14" t="s">
        <v>22</v>
      </c>
      <c r="I3197" s="9" t="s">
        <v>12501</v>
      </c>
      <c r="J3197" s="13"/>
      <c r="K3197" s="13"/>
    </row>
    <row r="3198" customFormat="false" ht="68.65" hidden="false" customHeight="false" outlineLevel="0" collapsed="false">
      <c r="A3198" s="9" t="n">
        <v>3197</v>
      </c>
      <c r="B3198" s="9" t="s">
        <v>172</v>
      </c>
      <c r="C3198" s="11" t="s">
        <v>179</v>
      </c>
      <c r="D3198" s="9" t="s">
        <v>12502</v>
      </c>
      <c r="E3198" s="9" t="s">
        <v>12503</v>
      </c>
      <c r="F3198" s="9" t="s">
        <v>12504</v>
      </c>
      <c r="G3198" s="9" t="s">
        <v>317</v>
      </c>
      <c r="H3198" s="14" t="s">
        <v>22</v>
      </c>
      <c r="I3198" s="9" t="s">
        <v>12505</v>
      </c>
      <c r="J3198" s="13"/>
      <c r="K3198" s="13"/>
    </row>
    <row r="3199" customFormat="false" ht="79.85" hidden="false" customHeight="false" outlineLevel="0" collapsed="false">
      <c r="A3199" s="9" t="n">
        <v>3198</v>
      </c>
      <c r="B3199" s="9" t="s">
        <v>172</v>
      </c>
      <c r="C3199" s="11" t="s">
        <v>179</v>
      </c>
      <c r="D3199" s="9" t="s">
        <v>12506</v>
      </c>
      <c r="E3199" s="9" t="s">
        <v>12507</v>
      </c>
      <c r="F3199" s="9" t="s">
        <v>12508</v>
      </c>
      <c r="G3199" s="9" t="s">
        <v>328</v>
      </c>
      <c r="H3199" s="14" t="s">
        <v>22</v>
      </c>
      <c r="I3199" s="9" t="s">
        <v>12509</v>
      </c>
      <c r="J3199" s="13"/>
      <c r="K3199" s="13"/>
    </row>
    <row r="3200" customFormat="false" ht="35.05" hidden="false" customHeight="false" outlineLevel="0" collapsed="false">
      <c r="A3200" s="9" t="n">
        <v>3199</v>
      </c>
      <c r="B3200" s="9" t="s">
        <v>172</v>
      </c>
      <c r="C3200" s="11" t="s">
        <v>179</v>
      </c>
      <c r="D3200" s="9" t="s">
        <v>12510</v>
      </c>
      <c r="E3200" s="9" t="s">
        <v>12511</v>
      </c>
      <c r="F3200" s="9" t="s">
        <v>12512</v>
      </c>
      <c r="G3200" s="9" t="s">
        <v>328</v>
      </c>
      <c r="H3200" s="12" t="s">
        <v>21</v>
      </c>
      <c r="I3200" s="9" t="s">
        <v>12513</v>
      </c>
      <c r="J3200" s="13"/>
      <c r="K3200" s="13"/>
    </row>
    <row r="3201" customFormat="false" ht="23.85" hidden="false" customHeight="false" outlineLevel="0" collapsed="false">
      <c r="A3201" s="9" t="n">
        <v>3200</v>
      </c>
      <c r="B3201" s="9" t="s">
        <v>172</v>
      </c>
      <c r="C3201" s="11" t="s">
        <v>179</v>
      </c>
      <c r="D3201" s="9" t="s">
        <v>12514</v>
      </c>
      <c r="E3201" s="9" t="s">
        <v>12515</v>
      </c>
      <c r="F3201" s="9" t="s">
        <v>12516</v>
      </c>
      <c r="G3201" s="9" t="s">
        <v>312</v>
      </c>
      <c r="H3201" s="15" t="s">
        <v>23</v>
      </c>
      <c r="I3201" s="9" t="s">
        <v>12517</v>
      </c>
      <c r="J3201" s="13"/>
      <c r="K3201" s="13"/>
    </row>
    <row r="3202" customFormat="false" ht="68.65" hidden="false" customHeight="false" outlineLevel="0" collapsed="false">
      <c r="A3202" s="9" t="n">
        <v>3201</v>
      </c>
      <c r="B3202" s="9" t="s">
        <v>172</v>
      </c>
      <c r="C3202" s="11" t="s">
        <v>179</v>
      </c>
      <c r="D3202" s="9" t="s">
        <v>12518</v>
      </c>
      <c r="E3202" s="9" t="s">
        <v>12519</v>
      </c>
      <c r="F3202" s="9" t="s">
        <v>12520</v>
      </c>
      <c r="G3202" s="9" t="s">
        <v>1072</v>
      </c>
      <c r="H3202" s="12" t="s">
        <v>21</v>
      </c>
      <c r="I3202" s="9" t="s">
        <v>12521</v>
      </c>
      <c r="J3202" s="13"/>
      <c r="K3202" s="13"/>
    </row>
    <row r="3203" customFormat="false" ht="46.25" hidden="false" customHeight="false" outlineLevel="0" collapsed="false">
      <c r="A3203" s="9" t="n">
        <v>3202</v>
      </c>
      <c r="B3203" s="9" t="s">
        <v>172</v>
      </c>
      <c r="C3203" s="11" t="s">
        <v>179</v>
      </c>
      <c r="D3203" s="9" t="s">
        <v>12522</v>
      </c>
      <c r="E3203" s="9" t="s">
        <v>12523</v>
      </c>
      <c r="F3203" s="9" t="s">
        <v>12524</v>
      </c>
      <c r="G3203" s="9" t="s">
        <v>1072</v>
      </c>
      <c r="H3203" s="15" t="s">
        <v>23</v>
      </c>
      <c r="I3203" s="9" t="s">
        <v>12525</v>
      </c>
      <c r="J3203" s="13"/>
      <c r="K3203" s="13"/>
    </row>
    <row r="3204" customFormat="false" ht="46.25" hidden="false" customHeight="false" outlineLevel="0" collapsed="false">
      <c r="A3204" s="9" t="n">
        <v>3203</v>
      </c>
      <c r="B3204" s="9" t="s">
        <v>172</v>
      </c>
      <c r="C3204" s="11" t="s">
        <v>179</v>
      </c>
      <c r="D3204" s="9" t="s">
        <v>12526</v>
      </c>
      <c r="E3204" s="9" t="s">
        <v>12527</v>
      </c>
      <c r="F3204" s="9" t="s">
        <v>12528</v>
      </c>
      <c r="G3204" s="9" t="s">
        <v>1072</v>
      </c>
      <c r="H3204" s="12" t="s">
        <v>21</v>
      </c>
      <c r="I3204" s="9" t="s">
        <v>12529</v>
      </c>
      <c r="J3204" s="13"/>
      <c r="K3204" s="13"/>
    </row>
    <row r="3205" customFormat="false" ht="57.45" hidden="false" customHeight="false" outlineLevel="0" collapsed="false">
      <c r="A3205" s="9" t="n">
        <v>3204</v>
      </c>
      <c r="B3205" s="9" t="s">
        <v>172</v>
      </c>
      <c r="C3205" s="11" t="s">
        <v>179</v>
      </c>
      <c r="D3205" s="9" t="s">
        <v>12530</v>
      </c>
      <c r="E3205" s="9" t="s">
        <v>12531</v>
      </c>
      <c r="F3205" s="9" t="s">
        <v>12532</v>
      </c>
      <c r="G3205" s="9" t="s">
        <v>1072</v>
      </c>
      <c r="H3205" s="15" t="s">
        <v>23</v>
      </c>
      <c r="I3205" s="9" t="s">
        <v>12533</v>
      </c>
      <c r="J3205" s="13"/>
      <c r="K3205" s="13"/>
    </row>
    <row r="3206" customFormat="false" ht="35.05" hidden="false" customHeight="false" outlineLevel="0" collapsed="false">
      <c r="A3206" s="9" t="n">
        <v>3205</v>
      </c>
      <c r="B3206" s="9" t="s">
        <v>172</v>
      </c>
      <c r="C3206" s="11" t="s">
        <v>179</v>
      </c>
      <c r="D3206" s="9" t="s">
        <v>12534</v>
      </c>
      <c r="E3206" s="9" t="s">
        <v>12535</v>
      </c>
      <c r="F3206" s="9" t="s">
        <v>12536</v>
      </c>
      <c r="G3206" s="9" t="s">
        <v>303</v>
      </c>
      <c r="H3206" s="12" t="s">
        <v>21</v>
      </c>
      <c r="I3206" s="9" t="s">
        <v>12537</v>
      </c>
      <c r="J3206" s="13"/>
      <c r="K3206" s="13"/>
    </row>
    <row r="3207" customFormat="false" ht="46.25" hidden="false" customHeight="false" outlineLevel="0" collapsed="false">
      <c r="A3207" s="9" t="n">
        <v>3206</v>
      </c>
      <c r="B3207" s="9" t="s">
        <v>172</v>
      </c>
      <c r="C3207" s="11" t="s">
        <v>179</v>
      </c>
      <c r="D3207" s="9" t="s">
        <v>12538</v>
      </c>
      <c r="E3207" s="9" t="s">
        <v>12539</v>
      </c>
      <c r="F3207" s="9" t="s">
        <v>12540</v>
      </c>
      <c r="G3207" s="9" t="s">
        <v>303</v>
      </c>
      <c r="H3207" s="14" t="s">
        <v>22</v>
      </c>
      <c r="I3207" s="9" t="s">
        <v>12541</v>
      </c>
      <c r="J3207" s="13"/>
      <c r="K3207" s="13"/>
    </row>
    <row r="3208" customFormat="false" ht="46.25" hidden="false" customHeight="false" outlineLevel="0" collapsed="false">
      <c r="A3208" s="9" t="n">
        <v>3207</v>
      </c>
      <c r="B3208" s="9" t="s">
        <v>172</v>
      </c>
      <c r="C3208" s="11" t="s">
        <v>179</v>
      </c>
      <c r="D3208" s="9" t="s">
        <v>12542</v>
      </c>
      <c r="E3208" s="9" t="s">
        <v>12543</v>
      </c>
      <c r="F3208" s="9" t="s">
        <v>12544</v>
      </c>
      <c r="G3208" s="9" t="s">
        <v>303</v>
      </c>
      <c r="H3208" s="14" t="s">
        <v>22</v>
      </c>
      <c r="I3208" s="9" t="s">
        <v>12545</v>
      </c>
      <c r="J3208" s="13"/>
      <c r="K3208" s="13"/>
    </row>
    <row r="3209" customFormat="false" ht="57.45" hidden="false" customHeight="false" outlineLevel="0" collapsed="false">
      <c r="A3209" s="9" t="n">
        <v>3208</v>
      </c>
      <c r="B3209" s="9" t="s">
        <v>172</v>
      </c>
      <c r="C3209" s="11" t="s">
        <v>179</v>
      </c>
      <c r="D3209" s="9" t="s">
        <v>12546</v>
      </c>
      <c r="E3209" s="9" t="s">
        <v>12547</v>
      </c>
      <c r="F3209" s="9" t="s">
        <v>12548</v>
      </c>
      <c r="G3209" s="9" t="s">
        <v>303</v>
      </c>
      <c r="H3209" s="12" t="s">
        <v>21</v>
      </c>
      <c r="I3209" s="9" t="s">
        <v>12549</v>
      </c>
      <c r="J3209" s="13"/>
      <c r="K3209" s="13"/>
    </row>
    <row r="3210" customFormat="false" ht="35.05" hidden="false" customHeight="false" outlineLevel="0" collapsed="false">
      <c r="A3210" s="9" t="n">
        <v>3209</v>
      </c>
      <c r="B3210" s="9" t="s">
        <v>172</v>
      </c>
      <c r="C3210" s="11" t="s">
        <v>179</v>
      </c>
      <c r="D3210" s="9" t="s">
        <v>12550</v>
      </c>
      <c r="E3210" s="9" t="s">
        <v>12551</v>
      </c>
      <c r="F3210" s="9" t="s">
        <v>12552</v>
      </c>
      <c r="G3210" s="9" t="s">
        <v>303</v>
      </c>
      <c r="H3210" s="14" t="s">
        <v>22</v>
      </c>
      <c r="I3210" s="9" t="s">
        <v>12553</v>
      </c>
      <c r="J3210" s="13"/>
      <c r="K3210" s="13"/>
    </row>
    <row r="3211" customFormat="false" ht="35.05" hidden="false" customHeight="false" outlineLevel="0" collapsed="false">
      <c r="A3211" s="9" t="n">
        <v>3210</v>
      </c>
      <c r="B3211" s="9" t="s">
        <v>172</v>
      </c>
      <c r="C3211" s="11" t="s">
        <v>179</v>
      </c>
      <c r="D3211" s="9" t="s">
        <v>12554</v>
      </c>
      <c r="E3211" s="9" t="s">
        <v>12555</v>
      </c>
      <c r="F3211" s="9" t="s">
        <v>12556</v>
      </c>
      <c r="G3211" s="9" t="s">
        <v>328</v>
      </c>
      <c r="H3211" s="14" t="s">
        <v>22</v>
      </c>
      <c r="I3211" s="9" t="s">
        <v>12557</v>
      </c>
      <c r="J3211" s="13"/>
      <c r="K3211" s="13"/>
    </row>
    <row r="3212" customFormat="false" ht="57.45" hidden="false" customHeight="false" outlineLevel="0" collapsed="false">
      <c r="A3212" s="9" t="n">
        <v>3211</v>
      </c>
      <c r="B3212" s="9" t="s">
        <v>172</v>
      </c>
      <c r="C3212" s="11" t="s">
        <v>179</v>
      </c>
      <c r="D3212" s="9" t="s">
        <v>12558</v>
      </c>
      <c r="E3212" s="9" t="s">
        <v>12559</v>
      </c>
      <c r="F3212" s="9" t="s">
        <v>12560</v>
      </c>
      <c r="G3212" s="9" t="s">
        <v>328</v>
      </c>
      <c r="H3212" s="15" t="s">
        <v>23</v>
      </c>
      <c r="I3212" s="9" t="s">
        <v>12561</v>
      </c>
      <c r="J3212" s="13"/>
      <c r="K3212" s="13"/>
    </row>
    <row r="3213" customFormat="false" ht="57.45" hidden="false" customHeight="false" outlineLevel="0" collapsed="false">
      <c r="A3213" s="9" t="n">
        <v>3212</v>
      </c>
      <c r="B3213" s="9" t="s">
        <v>172</v>
      </c>
      <c r="C3213" s="11" t="s">
        <v>179</v>
      </c>
      <c r="D3213" s="9" t="s">
        <v>12562</v>
      </c>
      <c r="E3213" s="9" t="s">
        <v>12563</v>
      </c>
      <c r="F3213" s="9" t="s">
        <v>12564</v>
      </c>
      <c r="G3213" s="9" t="s">
        <v>1072</v>
      </c>
      <c r="H3213" s="14" t="s">
        <v>22</v>
      </c>
      <c r="I3213" s="9" t="s">
        <v>12565</v>
      </c>
      <c r="J3213" s="13"/>
      <c r="K3213" s="13"/>
    </row>
    <row r="3214" customFormat="false" ht="68.65" hidden="false" customHeight="false" outlineLevel="0" collapsed="false">
      <c r="A3214" s="9" t="n">
        <v>3213</v>
      </c>
      <c r="B3214" s="9" t="s">
        <v>172</v>
      </c>
      <c r="C3214" s="11" t="s">
        <v>179</v>
      </c>
      <c r="D3214" s="9" t="s">
        <v>12566</v>
      </c>
      <c r="E3214" s="9" t="s">
        <v>12567</v>
      </c>
      <c r="F3214" s="9" t="s">
        <v>12568</v>
      </c>
      <c r="G3214" s="9" t="s">
        <v>12217</v>
      </c>
      <c r="H3214" s="14" t="s">
        <v>22</v>
      </c>
      <c r="I3214" s="9" t="s">
        <v>12569</v>
      </c>
      <c r="J3214" s="13"/>
      <c r="K3214" s="13"/>
    </row>
    <row r="3215" customFormat="false" ht="57.45" hidden="false" customHeight="false" outlineLevel="0" collapsed="false">
      <c r="A3215" s="9" t="n">
        <v>3214</v>
      </c>
      <c r="B3215" s="9" t="s">
        <v>172</v>
      </c>
      <c r="C3215" s="11" t="s">
        <v>179</v>
      </c>
      <c r="D3215" s="9" t="s">
        <v>12570</v>
      </c>
      <c r="E3215" s="9" t="s">
        <v>12571</v>
      </c>
      <c r="F3215" s="9" t="s">
        <v>12572</v>
      </c>
      <c r="G3215" s="9" t="s">
        <v>12217</v>
      </c>
      <c r="H3215" s="14" t="s">
        <v>22</v>
      </c>
      <c r="I3215" s="9" t="s">
        <v>12573</v>
      </c>
      <c r="J3215" s="13"/>
      <c r="K3215" s="13"/>
    </row>
    <row r="3216" customFormat="false" ht="46.25" hidden="false" customHeight="false" outlineLevel="0" collapsed="false">
      <c r="A3216" s="9" t="n">
        <v>3215</v>
      </c>
      <c r="B3216" s="9" t="s">
        <v>172</v>
      </c>
      <c r="C3216" s="11" t="s">
        <v>179</v>
      </c>
      <c r="D3216" s="9" t="s">
        <v>12574</v>
      </c>
      <c r="E3216" s="9" t="s">
        <v>12575</v>
      </c>
      <c r="F3216" s="9" t="s">
        <v>12576</v>
      </c>
      <c r="G3216" s="9" t="s">
        <v>303</v>
      </c>
      <c r="H3216" s="14" t="s">
        <v>22</v>
      </c>
      <c r="I3216" s="9" t="s">
        <v>12577</v>
      </c>
      <c r="J3216" s="13"/>
      <c r="K3216" s="13"/>
    </row>
    <row r="3217" customFormat="false" ht="57.45" hidden="false" customHeight="false" outlineLevel="0" collapsed="false">
      <c r="A3217" s="9" t="n">
        <v>3216</v>
      </c>
      <c r="B3217" s="9" t="s">
        <v>172</v>
      </c>
      <c r="C3217" s="11" t="s">
        <v>179</v>
      </c>
      <c r="D3217" s="9" t="s">
        <v>12578</v>
      </c>
      <c r="E3217" s="9" t="s">
        <v>12579</v>
      </c>
      <c r="F3217" s="9" t="s">
        <v>12580</v>
      </c>
      <c r="G3217" s="9" t="s">
        <v>1072</v>
      </c>
      <c r="H3217" s="12" t="s">
        <v>21</v>
      </c>
      <c r="I3217" s="9" t="s">
        <v>12581</v>
      </c>
      <c r="J3217" s="13"/>
      <c r="K3217" s="13"/>
    </row>
    <row r="3218" customFormat="false" ht="35.05" hidden="false" customHeight="false" outlineLevel="0" collapsed="false">
      <c r="A3218" s="9" t="n">
        <v>3217</v>
      </c>
      <c r="B3218" s="9" t="s">
        <v>172</v>
      </c>
      <c r="C3218" s="11" t="s">
        <v>179</v>
      </c>
      <c r="D3218" s="9" t="s">
        <v>12582</v>
      </c>
      <c r="E3218" s="9" t="s">
        <v>12583</v>
      </c>
      <c r="F3218" s="9" t="s">
        <v>12584</v>
      </c>
      <c r="G3218" s="9" t="s">
        <v>312</v>
      </c>
      <c r="H3218" s="15" t="s">
        <v>23</v>
      </c>
      <c r="I3218" s="9" t="s">
        <v>12585</v>
      </c>
      <c r="J3218" s="13"/>
      <c r="K3218" s="13"/>
    </row>
    <row r="3219" customFormat="false" ht="46.25" hidden="false" customHeight="false" outlineLevel="0" collapsed="false">
      <c r="A3219" s="9" t="n">
        <v>3218</v>
      </c>
      <c r="B3219" s="9" t="s">
        <v>172</v>
      </c>
      <c r="C3219" s="11" t="s">
        <v>179</v>
      </c>
      <c r="D3219" s="9" t="s">
        <v>12586</v>
      </c>
      <c r="E3219" s="9" t="s">
        <v>12587</v>
      </c>
      <c r="F3219" s="9" t="s">
        <v>12588</v>
      </c>
      <c r="G3219" s="9" t="s">
        <v>1072</v>
      </c>
      <c r="H3219" s="14" t="s">
        <v>22</v>
      </c>
      <c r="I3219" s="9" t="s">
        <v>12589</v>
      </c>
      <c r="J3219" s="13"/>
      <c r="K3219" s="13"/>
    </row>
    <row r="3220" customFormat="false" ht="46.25" hidden="false" customHeight="false" outlineLevel="0" collapsed="false">
      <c r="A3220" s="9" t="n">
        <v>3219</v>
      </c>
      <c r="B3220" s="9" t="s">
        <v>172</v>
      </c>
      <c r="C3220" s="11" t="s">
        <v>179</v>
      </c>
      <c r="D3220" s="9" t="s">
        <v>12590</v>
      </c>
      <c r="E3220" s="9" t="s">
        <v>12591</v>
      </c>
      <c r="F3220" s="9" t="s">
        <v>12592</v>
      </c>
      <c r="G3220" s="9" t="s">
        <v>1072</v>
      </c>
      <c r="H3220" s="14" t="s">
        <v>22</v>
      </c>
      <c r="I3220" s="9" t="s">
        <v>12593</v>
      </c>
      <c r="J3220" s="13"/>
      <c r="K3220" s="13"/>
    </row>
    <row r="3221" customFormat="false" ht="68.65" hidden="false" customHeight="false" outlineLevel="0" collapsed="false">
      <c r="A3221" s="9" t="n">
        <v>3220</v>
      </c>
      <c r="B3221" s="9" t="s">
        <v>172</v>
      </c>
      <c r="C3221" s="11" t="s">
        <v>179</v>
      </c>
      <c r="D3221" s="9" t="s">
        <v>12594</v>
      </c>
      <c r="E3221" s="9" t="s">
        <v>12595</v>
      </c>
      <c r="F3221" s="9" t="s">
        <v>12596</v>
      </c>
      <c r="G3221" s="9" t="s">
        <v>1072</v>
      </c>
      <c r="H3221" s="14" t="s">
        <v>22</v>
      </c>
      <c r="I3221" s="9" t="s">
        <v>12597</v>
      </c>
      <c r="J3221" s="13"/>
      <c r="K3221" s="13"/>
    </row>
    <row r="3222" customFormat="false" ht="46.25" hidden="false" customHeight="false" outlineLevel="0" collapsed="false">
      <c r="A3222" s="9" t="n">
        <v>3221</v>
      </c>
      <c r="B3222" s="9" t="s">
        <v>172</v>
      </c>
      <c r="C3222" s="11" t="s">
        <v>179</v>
      </c>
      <c r="D3222" s="9" t="s">
        <v>12598</v>
      </c>
      <c r="E3222" s="9" t="s">
        <v>12599</v>
      </c>
      <c r="F3222" s="9" t="s">
        <v>12600</v>
      </c>
      <c r="G3222" s="9" t="s">
        <v>1072</v>
      </c>
      <c r="H3222" s="12" t="s">
        <v>21</v>
      </c>
      <c r="I3222" s="9" t="s">
        <v>12601</v>
      </c>
      <c r="J3222" s="13"/>
      <c r="K3222" s="13"/>
    </row>
    <row r="3223" customFormat="false" ht="35.05" hidden="false" customHeight="false" outlineLevel="0" collapsed="false">
      <c r="A3223" s="9" t="n">
        <v>3222</v>
      </c>
      <c r="B3223" s="9" t="s">
        <v>172</v>
      </c>
      <c r="C3223" s="11" t="s">
        <v>179</v>
      </c>
      <c r="D3223" s="9" t="s">
        <v>12602</v>
      </c>
      <c r="E3223" s="9" t="s">
        <v>12603</v>
      </c>
      <c r="F3223" s="9" t="s">
        <v>12604</v>
      </c>
      <c r="G3223" s="9" t="s">
        <v>1072</v>
      </c>
      <c r="H3223" s="14" t="s">
        <v>22</v>
      </c>
      <c r="I3223" s="9" t="s">
        <v>12605</v>
      </c>
      <c r="J3223" s="13"/>
      <c r="K3223" s="13"/>
    </row>
    <row r="3224" customFormat="false" ht="91" hidden="false" customHeight="false" outlineLevel="0" collapsed="false">
      <c r="A3224" s="9" t="n">
        <v>3223</v>
      </c>
      <c r="B3224" s="9" t="s">
        <v>172</v>
      </c>
      <c r="C3224" s="11" t="s">
        <v>179</v>
      </c>
      <c r="D3224" s="9" t="s">
        <v>12606</v>
      </c>
      <c r="E3224" s="9" t="s">
        <v>12607</v>
      </c>
      <c r="F3224" s="9" t="s">
        <v>12608</v>
      </c>
      <c r="G3224" s="9" t="s">
        <v>1072</v>
      </c>
      <c r="H3224" s="14" t="s">
        <v>22</v>
      </c>
      <c r="I3224" s="9" t="s">
        <v>12609</v>
      </c>
      <c r="J3224" s="13"/>
      <c r="K3224" s="13"/>
    </row>
    <row r="3225" customFormat="false" ht="46.25" hidden="false" customHeight="false" outlineLevel="0" collapsed="false">
      <c r="A3225" s="9" t="n">
        <v>3224</v>
      </c>
      <c r="B3225" s="9" t="s">
        <v>172</v>
      </c>
      <c r="C3225" s="11" t="s">
        <v>179</v>
      </c>
      <c r="D3225" s="9" t="s">
        <v>12610</v>
      </c>
      <c r="E3225" s="9" t="s">
        <v>12611</v>
      </c>
      <c r="F3225" s="9" t="s">
        <v>12612</v>
      </c>
      <c r="G3225" s="9" t="s">
        <v>1072</v>
      </c>
      <c r="H3225" s="14" t="s">
        <v>22</v>
      </c>
      <c r="I3225" s="9" t="s">
        <v>12613</v>
      </c>
      <c r="J3225" s="13"/>
      <c r="K3225" s="13"/>
    </row>
    <row r="3226" customFormat="false" ht="46.25" hidden="false" customHeight="false" outlineLevel="0" collapsed="false">
      <c r="A3226" s="9" t="n">
        <v>3225</v>
      </c>
      <c r="B3226" s="9" t="s">
        <v>172</v>
      </c>
      <c r="C3226" s="11" t="s">
        <v>179</v>
      </c>
      <c r="D3226" s="9" t="s">
        <v>12614</v>
      </c>
      <c r="E3226" s="9" t="s">
        <v>12615</v>
      </c>
      <c r="F3226" s="9" t="s">
        <v>12616</v>
      </c>
      <c r="G3226" s="9" t="s">
        <v>1072</v>
      </c>
      <c r="H3226" s="14" t="s">
        <v>22</v>
      </c>
      <c r="I3226" s="9" t="s">
        <v>12617</v>
      </c>
      <c r="J3226" s="13"/>
      <c r="K3226" s="13"/>
    </row>
    <row r="3227" customFormat="false" ht="79.85" hidden="false" customHeight="false" outlineLevel="0" collapsed="false">
      <c r="A3227" s="9" t="n">
        <v>3226</v>
      </c>
      <c r="B3227" s="9" t="s">
        <v>172</v>
      </c>
      <c r="C3227" s="11" t="s">
        <v>179</v>
      </c>
      <c r="D3227" s="9" t="s">
        <v>12618</v>
      </c>
      <c r="E3227" s="9" t="s">
        <v>12619</v>
      </c>
      <c r="F3227" s="9" t="s">
        <v>12620</v>
      </c>
      <c r="G3227" s="9" t="s">
        <v>1072</v>
      </c>
      <c r="H3227" s="14" t="s">
        <v>22</v>
      </c>
      <c r="I3227" s="9" t="s">
        <v>12621</v>
      </c>
      <c r="J3227" s="13"/>
      <c r="K3227" s="13"/>
    </row>
    <row r="3228" customFormat="false" ht="35.05" hidden="false" customHeight="false" outlineLevel="0" collapsed="false">
      <c r="A3228" s="9" t="n">
        <v>3227</v>
      </c>
      <c r="B3228" s="9" t="s">
        <v>172</v>
      </c>
      <c r="C3228" s="11" t="s">
        <v>179</v>
      </c>
      <c r="D3228" s="9" t="s">
        <v>12622</v>
      </c>
      <c r="E3228" s="9" t="s">
        <v>12623</v>
      </c>
      <c r="F3228" s="9" t="s">
        <v>12624</v>
      </c>
      <c r="G3228" s="9" t="s">
        <v>2044</v>
      </c>
      <c r="H3228" s="14" t="s">
        <v>22</v>
      </c>
      <c r="I3228" s="9" t="s">
        <v>12625</v>
      </c>
      <c r="J3228" s="13"/>
      <c r="K3228" s="13"/>
    </row>
    <row r="3229" customFormat="false" ht="35.05" hidden="false" customHeight="false" outlineLevel="0" collapsed="false">
      <c r="A3229" s="9" t="n">
        <v>3228</v>
      </c>
      <c r="B3229" s="9" t="s">
        <v>172</v>
      </c>
      <c r="C3229" s="11" t="s">
        <v>179</v>
      </c>
      <c r="D3229" s="9" t="s">
        <v>12626</v>
      </c>
      <c r="E3229" s="9" t="s">
        <v>12627</v>
      </c>
      <c r="F3229" s="9" t="s">
        <v>12628</v>
      </c>
      <c r="G3229" s="9" t="s">
        <v>1072</v>
      </c>
      <c r="H3229" s="15" t="s">
        <v>23</v>
      </c>
      <c r="I3229" s="9" t="s">
        <v>12629</v>
      </c>
      <c r="J3229" s="13"/>
      <c r="K3229" s="13"/>
    </row>
    <row r="3230" customFormat="false" ht="57.45" hidden="false" customHeight="false" outlineLevel="0" collapsed="false">
      <c r="A3230" s="9" t="n">
        <v>3229</v>
      </c>
      <c r="B3230" s="9" t="s">
        <v>172</v>
      </c>
      <c r="C3230" s="11" t="s">
        <v>179</v>
      </c>
      <c r="D3230" s="9" t="s">
        <v>12630</v>
      </c>
      <c r="E3230" s="9" t="s">
        <v>12631</v>
      </c>
      <c r="F3230" s="9" t="s">
        <v>12632</v>
      </c>
      <c r="G3230" s="9" t="s">
        <v>1072</v>
      </c>
      <c r="H3230" s="15" t="s">
        <v>23</v>
      </c>
      <c r="I3230" s="9" t="s">
        <v>12633</v>
      </c>
      <c r="J3230" s="13"/>
      <c r="K3230" s="13"/>
    </row>
    <row r="3231" customFormat="false" ht="57.45" hidden="false" customHeight="false" outlineLevel="0" collapsed="false">
      <c r="A3231" s="9" t="n">
        <v>3230</v>
      </c>
      <c r="B3231" s="9" t="s">
        <v>172</v>
      </c>
      <c r="C3231" s="11" t="s">
        <v>179</v>
      </c>
      <c r="D3231" s="9" t="s">
        <v>12634</v>
      </c>
      <c r="E3231" s="9" t="s">
        <v>12635</v>
      </c>
      <c r="F3231" s="9" t="s">
        <v>12636</v>
      </c>
      <c r="G3231" s="9" t="s">
        <v>1072</v>
      </c>
      <c r="H3231" s="15" t="s">
        <v>23</v>
      </c>
      <c r="I3231" s="9" t="s">
        <v>12637</v>
      </c>
      <c r="J3231" s="13"/>
      <c r="K3231" s="13"/>
    </row>
    <row r="3232" customFormat="false" ht="23.85" hidden="false" customHeight="false" outlineLevel="0" collapsed="false">
      <c r="A3232" s="9" t="n">
        <v>3231</v>
      </c>
      <c r="B3232" s="9" t="s">
        <v>172</v>
      </c>
      <c r="C3232" s="11" t="s">
        <v>179</v>
      </c>
      <c r="D3232" s="9" t="s">
        <v>12638</v>
      </c>
      <c r="E3232" s="9" t="s">
        <v>12639</v>
      </c>
      <c r="F3232" s="9" t="s">
        <v>12640</v>
      </c>
      <c r="G3232" s="9" t="s">
        <v>1072</v>
      </c>
      <c r="H3232" s="15" t="s">
        <v>23</v>
      </c>
      <c r="I3232" s="9" t="s">
        <v>12641</v>
      </c>
      <c r="J3232" s="13"/>
      <c r="K3232" s="13"/>
    </row>
    <row r="3233" customFormat="false" ht="46.25" hidden="false" customHeight="false" outlineLevel="0" collapsed="false">
      <c r="A3233" s="9" t="n">
        <v>3232</v>
      </c>
      <c r="B3233" s="9" t="s">
        <v>172</v>
      </c>
      <c r="C3233" s="11" t="s">
        <v>179</v>
      </c>
      <c r="D3233" s="9" t="s">
        <v>12642</v>
      </c>
      <c r="E3233" s="9" t="s">
        <v>12643</v>
      </c>
      <c r="F3233" s="9" t="s">
        <v>12644</v>
      </c>
      <c r="G3233" s="9" t="s">
        <v>1072</v>
      </c>
      <c r="H3233" s="15" t="s">
        <v>23</v>
      </c>
      <c r="I3233" s="9" t="s">
        <v>12645</v>
      </c>
      <c r="J3233" s="13"/>
      <c r="K3233" s="13"/>
    </row>
    <row r="3234" customFormat="false" ht="35.05" hidden="false" customHeight="false" outlineLevel="0" collapsed="false">
      <c r="A3234" s="9" t="n">
        <v>3233</v>
      </c>
      <c r="B3234" s="9" t="s">
        <v>172</v>
      </c>
      <c r="C3234" s="11" t="s">
        <v>179</v>
      </c>
      <c r="D3234" s="9" t="s">
        <v>12646</v>
      </c>
      <c r="E3234" s="9" t="s">
        <v>12647</v>
      </c>
      <c r="F3234" s="9" t="s">
        <v>12648</v>
      </c>
      <c r="G3234" s="9" t="s">
        <v>1072</v>
      </c>
      <c r="H3234" s="15" t="s">
        <v>23</v>
      </c>
      <c r="I3234" s="9" t="s">
        <v>12649</v>
      </c>
      <c r="J3234" s="13"/>
      <c r="K3234" s="13"/>
    </row>
    <row r="3235" customFormat="false" ht="35.05" hidden="false" customHeight="false" outlineLevel="0" collapsed="false">
      <c r="A3235" s="9" t="n">
        <v>3234</v>
      </c>
      <c r="B3235" s="9" t="s">
        <v>172</v>
      </c>
      <c r="C3235" s="11" t="s">
        <v>179</v>
      </c>
      <c r="D3235" s="9" t="s">
        <v>12650</v>
      </c>
      <c r="E3235" s="9" t="s">
        <v>12651</v>
      </c>
      <c r="F3235" s="9" t="s">
        <v>12652</v>
      </c>
      <c r="G3235" s="9" t="s">
        <v>1072</v>
      </c>
      <c r="H3235" s="15" t="s">
        <v>23</v>
      </c>
      <c r="I3235" s="9" t="s">
        <v>12653</v>
      </c>
      <c r="J3235" s="13"/>
      <c r="K3235" s="13"/>
    </row>
    <row r="3236" customFormat="false" ht="35.05" hidden="false" customHeight="false" outlineLevel="0" collapsed="false">
      <c r="A3236" s="9" t="n">
        <v>3235</v>
      </c>
      <c r="B3236" s="9" t="s">
        <v>172</v>
      </c>
      <c r="C3236" s="11" t="s">
        <v>179</v>
      </c>
      <c r="D3236" s="9" t="s">
        <v>12654</v>
      </c>
      <c r="E3236" s="9" t="s">
        <v>12655</v>
      </c>
      <c r="F3236" s="9" t="s">
        <v>12656</v>
      </c>
      <c r="G3236" s="9" t="s">
        <v>312</v>
      </c>
      <c r="H3236" s="15" t="s">
        <v>23</v>
      </c>
      <c r="I3236" s="9" t="s">
        <v>12657</v>
      </c>
      <c r="J3236" s="13"/>
      <c r="K3236" s="13"/>
    </row>
    <row r="3237" customFormat="false" ht="57.45" hidden="false" customHeight="false" outlineLevel="0" collapsed="false">
      <c r="A3237" s="9" t="n">
        <v>3236</v>
      </c>
      <c r="B3237" s="9" t="s">
        <v>172</v>
      </c>
      <c r="C3237" s="11" t="s">
        <v>179</v>
      </c>
      <c r="D3237" s="9" t="s">
        <v>12658</v>
      </c>
      <c r="E3237" s="9" t="s">
        <v>12659</v>
      </c>
      <c r="F3237" s="9" t="s">
        <v>12660</v>
      </c>
      <c r="G3237" s="9" t="s">
        <v>1072</v>
      </c>
      <c r="H3237" s="15" t="s">
        <v>23</v>
      </c>
      <c r="I3237" s="9" t="s">
        <v>12661</v>
      </c>
      <c r="J3237" s="13"/>
      <c r="K3237" s="13"/>
    </row>
    <row r="3238" customFormat="false" ht="46.25" hidden="false" customHeight="false" outlineLevel="0" collapsed="false">
      <c r="A3238" s="9" t="n">
        <v>3237</v>
      </c>
      <c r="B3238" s="9" t="s">
        <v>172</v>
      </c>
      <c r="C3238" s="11" t="s">
        <v>179</v>
      </c>
      <c r="D3238" s="9" t="s">
        <v>12662</v>
      </c>
      <c r="E3238" s="9" t="s">
        <v>12663</v>
      </c>
      <c r="F3238" s="9" t="s">
        <v>12664</v>
      </c>
      <c r="G3238" s="9" t="s">
        <v>303</v>
      </c>
      <c r="H3238" s="14" t="s">
        <v>22</v>
      </c>
      <c r="I3238" s="9" t="s">
        <v>12665</v>
      </c>
      <c r="J3238" s="13"/>
      <c r="K3238" s="13"/>
    </row>
    <row r="3239" customFormat="false" ht="35.05" hidden="false" customHeight="false" outlineLevel="0" collapsed="false">
      <c r="A3239" s="9" t="n">
        <v>3238</v>
      </c>
      <c r="B3239" s="9" t="s">
        <v>172</v>
      </c>
      <c r="C3239" s="11" t="s">
        <v>179</v>
      </c>
      <c r="D3239" s="9" t="s">
        <v>12666</v>
      </c>
      <c r="E3239" s="9" t="s">
        <v>12667</v>
      </c>
      <c r="F3239" s="9" t="s">
        <v>12668</v>
      </c>
      <c r="G3239" s="9" t="s">
        <v>2044</v>
      </c>
      <c r="H3239" s="15" t="s">
        <v>23</v>
      </c>
      <c r="I3239" s="9" t="s">
        <v>12669</v>
      </c>
      <c r="J3239" s="13"/>
      <c r="K3239" s="13"/>
    </row>
    <row r="3240" customFormat="false" ht="35.05" hidden="false" customHeight="false" outlineLevel="0" collapsed="false">
      <c r="A3240" s="9" t="n">
        <v>3239</v>
      </c>
      <c r="B3240" s="9" t="s">
        <v>172</v>
      </c>
      <c r="C3240" s="11" t="s">
        <v>179</v>
      </c>
      <c r="D3240" s="9" t="s">
        <v>12670</v>
      </c>
      <c r="E3240" s="9" t="s">
        <v>12671</v>
      </c>
      <c r="F3240" s="9" t="s">
        <v>12672</v>
      </c>
      <c r="G3240" s="9" t="s">
        <v>317</v>
      </c>
      <c r="H3240" s="15" t="s">
        <v>23</v>
      </c>
      <c r="I3240" s="9" t="s">
        <v>12673</v>
      </c>
      <c r="J3240" s="13"/>
      <c r="K3240" s="13"/>
    </row>
    <row r="3241" customFormat="false" ht="35.05" hidden="false" customHeight="false" outlineLevel="0" collapsed="false">
      <c r="A3241" s="9" t="n">
        <v>3240</v>
      </c>
      <c r="B3241" s="9" t="s">
        <v>172</v>
      </c>
      <c r="C3241" s="11" t="s">
        <v>179</v>
      </c>
      <c r="D3241" s="9" t="s">
        <v>12674</v>
      </c>
      <c r="E3241" s="9" t="s">
        <v>12675</v>
      </c>
      <c r="F3241" s="9" t="s">
        <v>12676</v>
      </c>
      <c r="G3241" s="9" t="s">
        <v>328</v>
      </c>
      <c r="H3241" s="15" t="s">
        <v>23</v>
      </c>
      <c r="I3241" s="9" t="s">
        <v>12677</v>
      </c>
      <c r="J3241" s="13"/>
      <c r="K3241" s="13"/>
    </row>
    <row r="3242" customFormat="false" ht="35.05" hidden="false" customHeight="false" outlineLevel="0" collapsed="false">
      <c r="A3242" s="9" t="n">
        <v>3241</v>
      </c>
      <c r="B3242" s="9" t="s">
        <v>172</v>
      </c>
      <c r="C3242" s="11" t="s">
        <v>179</v>
      </c>
      <c r="D3242" s="9" t="s">
        <v>12678</v>
      </c>
      <c r="E3242" s="9" t="s">
        <v>12679</v>
      </c>
      <c r="F3242" s="9" t="s">
        <v>12680</v>
      </c>
      <c r="G3242" s="9" t="s">
        <v>312</v>
      </c>
      <c r="H3242" s="15" t="s">
        <v>23</v>
      </c>
      <c r="I3242" s="9" t="s">
        <v>12681</v>
      </c>
      <c r="J3242" s="13"/>
      <c r="K3242" s="13"/>
    </row>
    <row r="3243" customFormat="false" ht="57.45" hidden="false" customHeight="false" outlineLevel="0" collapsed="false">
      <c r="A3243" s="9" t="n">
        <v>3242</v>
      </c>
      <c r="B3243" s="9" t="s">
        <v>172</v>
      </c>
      <c r="C3243" s="11" t="s">
        <v>179</v>
      </c>
      <c r="D3243" s="9" t="s">
        <v>12682</v>
      </c>
      <c r="E3243" s="9" t="s">
        <v>12683</v>
      </c>
      <c r="F3243" s="9" t="s">
        <v>12684</v>
      </c>
      <c r="G3243" s="9" t="s">
        <v>312</v>
      </c>
      <c r="H3243" s="14" t="s">
        <v>22</v>
      </c>
      <c r="I3243" s="9" t="s">
        <v>12685</v>
      </c>
      <c r="J3243" s="13"/>
      <c r="K3243" s="13"/>
    </row>
    <row r="3244" customFormat="false" ht="23.85" hidden="false" customHeight="false" outlineLevel="0" collapsed="false">
      <c r="A3244" s="9" t="n">
        <v>3243</v>
      </c>
      <c r="B3244" s="9" t="s">
        <v>172</v>
      </c>
      <c r="C3244" s="11" t="s">
        <v>179</v>
      </c>
      <c r="D3244" s="9" t="s">
        <v>12686</v>
      </c>
      <c r="E3244" s="9" t="s">
        <v>12687</v>
      </c>
      <c r="F3244" s="9" t="s">
        <v>12688</v>
      </c>
      <c r="G3244" s="9" t="s">
        <v>328</v>
      </c>
      <c r="H3244" s="15" t="s">
        <v>23</v>
      </c>
      <c r="I3244" s="9" t="s">
        <v>12689</v>
      </c>
      <c r="J3244" s="13"/>
      <c r="K3244" s="13"/>
    </row>
    <row r="3245" customFormat="false" ht="23.85" hidden="false" customHeight="false" outlineLevel="0" collapsed="false">
      <c r="A3245" s="9" t="n">
        <v>3244</v>
      </c>
      <c r="B3245" s="9" t="s">
        <v>172</v>
      </c>
      <c r="C3245" s="11" t="s">
        <v>179</v>
      </c>
      <c r="D3245" s="9" t="s">
        <v>12690</v>
      </c>
      <c r="E3245" s="9" t="s">
        <v>12691</v>
      </c>
      <c r="F3245" s="9" t="s">
        <v>12692</v>
      </c>
      <c r="G3245" s="9" t="s">
        <v>328</v>
      </c>
      <c r="H3245" s="15" t="s">
        <v>23</v>
      </c>
      <c r="I3245" s="9" t="s">
        <v>12693</v>
      </c>
      <c r="J3245" s="13"/>
      <c r="K3245" s="13"/>
    </row>
    <row r="3246" customFormat="false" ht="46.25" hidden="false" customHeight="false" outlineLevel="0" collapsed="false">
      <c r="A3246" s="9" t="n">
        <v>3245</v>
      </c>
      <c r="B3246" s="9" t="s">
        <v>172</v>
      </c>
      <c r="C3246" s="11" t="s">
        <v>179</v>
      </c>
      <c r="D3246" s="9" t="s">
        <v>12694</v>
      </c>
      <c r="E3246" s="9" t="s">
        <v>2833</v>
      </c>
      <c r="F3246" s="9" t="s">
        <v>12695</v>
      </c>
      <c r="G3246" s="9" t="s">
        <v>24</v>
      </c>
      <c r="H3246" s="12" t="s">
        <v>21</v>
      </c>
      <c r="I3246" s="9" t="s">
        <v>12696</v>
      </c>
      <c r="J3246" s="13"/>
      <c r="K3246" s="13"/>
    </row>
    <row r="3247" customFormat="false" ht="57.45" hidden="false" customHeight="false" outlineLevel="0" collapsed="false">
      <c r="A3247" s="9" t="n">
        <v>3246</v>
      </c>
      <c r="B3247" s="9" t="s">
        <v>172</v>
      </c>
      <c r="C3247" s="11" t="s">
        <v>179</v>
      </c>
      <c r="D3247" s="9" t="s">
        <v>12697</v>
      </c>
      <c r="E3247" s="9" t="s">
        <v>12698</v>
      </c>
      <c r="F3247" s="9" t="s">
        <v>12699</v>
      </c>
      <c r="G3247" s="9" t="s">
        <v>24</v>
      </c>
      <c r="H3247" s="12" t="s">
        <v>21</v>
      </c>
      <c r="I3247" s="9" t="s">
        <v>12700</v>
      </c>
      <c r="J3247" s="13"/>
      <c r="K3247" s="13"/>
    </row>
    <row r="3248" customFormat="false" ht="68.65" hidden="false" customHeight="false" outlineLevel="0" collapsed="false">
      <c r="A3248" s="9" t="n">
        <v>3247</v>
      </c>
      <c r="B3248" s="9" t="s">
        <v>172</v>
      </c>
      <c r="C3248" s="11" t="s">
        <v>179</v>
      </c>
      <c r="D3248" s="9" t="s">
        <v>12701</v>
      </c>
      <c r="E3248" s="9" t="s">
        <v>12702</v>
      </c>
      <c r="F3248" s="9" t="s">
        <v>12703</v>
      </c>
      <c r="G3248" s="9" t="s">
        <v>24</v>
      </c>
      <c r="H3248" s="14" t="s">
        <v>22</v>
      </c>
      <c r="I3248" s="9" t="s">
        <v>12704</v>
      </c>
      <c r="J3248" s="13"/>
      <c r="K3248" s="13"/>
    </row>
    <row r="3249" customFormat="false" ht="57.45" hidden="false" customHeight="false" outlineLevel="0" collapsed="false">
      <c r="A3249" s="9" t="n">
        <v>3248</v>
      </c>
      <c r="B3249" s="9" t="s">
        <v>172</v>
      </c>
      <c r="C3249" s="11" t="s">
        <v>179</v>
      </c>
      <c r="D3249" s="9" t="s">
        <v>12705</v>
      </c>
      <c r="E3249" s="9" t="s">
        <v>12706</v>
      </c>
      <c r="F3249" s="9" t="s">
        <v>12707</v>
      </c>
      <c r="G3249" s="9" t="s">
        <v>24</v>
      </c>
      <c r="H3249" s="14" t="s">
        <v>22</v>
      </c>
      <c r="I3249" s="9" t="s">
        <v>12708</v>
      </c>
      <c r="J3249" s="13"/>
      <c r="K3249" s="13"/>
    </row>
    <row r="3250" customFormat="false" ht="35.05" hidden="false" customHeight="false" outlineLevel="0" collapsed="false">
      <c r="A3250" s="9" t="n">
        <v>3249</v>
      </c>
      <c r="B3250" s="9" t="s">
        <v>172</v>
      </c>
      <c r="C3250" s="11" t="s">
        <v>179</v>
      </c>
      <c r="D3250" s="9" t="s">
        <v>12709</v>
      </c>
      <c r="E3250" s="9" t="s">
        <v>12710</v>
      </c>
      <c r="F3250" s="9" t="s">
        <v>12711</v>
      </c>
      <c r="G3250" s="9" t="s">
        <v>24</v>
      </c>
      <c r="H3250" s="14" t="s">
        <v>22</v>
      </c>
      <c r="I3250" s="9" t="s">
        <v>434</v>
      </c>
      <c r="J3250" s="13"/>
      <c r="K3250" s="13"/>
    </row>
    <row r="3251" customFormat="false" ht="35.05" hidden="false" customHeight="false" outlineLevel="0" collapsed="false">
      <c r="A3251" s="9" t="n">
        <v>3250</v>
      </c>
      <c r="B3251" s="9" t="s">
        <v>172</v>
      </c>
      <c r="C3251" s="11" t="s">
        <v>179</v>
      </c>
      <c r="D3251" s="9" t="s">
        <v>12712</v>
      </c>
      <c r="E3251" s="9" t="s">
        <v>358</v>
      </c>
      <c r="F3251" s="9" t="s">
        <v>12713</v>
      </c>
      <c r="G3251" s="9" t="s">
        <v>24</v>
      </c>
      <c r="H3251" s="14" t="s">
        <v>22</v>
      </c>
      <c r="I3251" s="9" t="s">
        <v>12460</v>
      </c>
      <c r="J3251" s="13"/>
      <c r="K3251" s="13"/>
    </row>
    <row r="3252" customFormat="false" ht="15" hidden="false" customHeight="false" outlineLevel="0" collapsed="false">
      <c r="A3252" s="9" t="n">
        <v>3251</v>
      </c>
      <c r="B3252" s="9" t="s">
        <v>172</v>
      </c>
      <c r="C3252" s="11" t="s">
        <v>179</v>
      </c>
      <c r="D3252" s="9" t="s">
        <v>12714</v>
      </c>
      <c r="E3252" s="9" t="s">
        <v>362</v>
      </c>
      <c r="F3252" s="9" t="s">
        <v>363</v>
      </c>
      <c r="G3252" s="9" t="s">
        <v>24</v>
      </c>
      <c r="H3252" s="14" t="s">
        <v>22</v>
      </c>
      <c r="I3252" s="9" t="s">
        <v>364</v>
      </c>
      <c r="J3252" s="13"/>
      <c r="K3252" s="13"/>
    </row>
    <row r="3253" customFormat="false" ht="23.85" hidden="false" customHeight="false" outlineLevel="0" collapsed="false">
      <c r="A3253" s="9" t="n">
        <v>3252</v>
      </c>
      <c r="B3253" s="9" t="s">
        <v>172</v>
      </c>
      <c r="C3253" s="11" t="s">
        <v>179</v>
      </c>
      <c r="D3253" s="9" t="s">
        <v>12715</v>
      </c>
      <c r="E3253" s="9" t="s">
        <v>12716</v>
      </c>
      <c r="F3253" s="9" t="s">
        <v>12717</v>
      </c>
      <c r="G3253" s="9" t="s">
        <v>24</v>
      </c>
      <c r="H3253" s="14" t="s">
        <v>22</v>
      </c>
      <c r="I3253" s="9" t="s">
        <v>12718</v>
      </c>
      <c r="J3253" s="13"/>
      <c r="K3253" s="13"/>
    </row>
    <row r="3254" customFormat="false" ht="23.85" hidden="false" customHeight="false" outlineLevel="0" collapsed="false">
      <c r="A3254" s="9" t="n">
        <v>3253</v>
      </c>
      <c r="B3254" s="9" t="s">
        <v>172</v>
      </c>
      <c r="C3254" s="11" t="s">
        <v>179</v>
      </c>
      <c r="D3254" s="9" t="s">
        <v>12719</v>
      </c>
      <c r="E3254" s="9" t="s">
        <v>12720</v>
      </c>
      <c r="F3254" s="9" t="s">
        <v>12721</v>
      </c>
      <c r="G3254" s="9" t="s">
        <v>24</v>
      </c>
      <c r="H3254" s="14" t="s">
        <v>22</v>
      </c>
      <c r="I3254" s="9" t="s">
        <v>12722</v>
      </c>
      <c r="J3254" s="13"/>
      <c r="K3254" s="13"/>
    </row>
    <row r="3255" customFormat="false" ht="23.85" hidden="false" customHeight="false" outlineLevel="0" collapsed="false">
      <c r="A3255" s="9" t="n">
        <v>3254</v>
      </c>
      <c r="B3255" s="9" t="s">
        <v>172</v>
      </c>
      <c r="C3255" s="11" t="s">
        <v>179</v>
      </c>
      <c r="D3255" s="9" t="s">
        <v>12723</v>
      </c>
      <c r="E3255" s="9" t="s">
        <v>12724</v>
      </c>
      <c r="F3255" s="9" t="s">
        <v>12725</v>
      </c>
      <c r="G3255" s="9" t="s">
        <v>24</v>
      </c>
      <c r="H3255" s="15" t="s">
        <v>23</v>
      </c>
      <c r="I3255" s="9" t="s">
        <v>810</v>
      </c>
      <c r="J3255" s="13"/>
      <c r="K3255" s="13"/>
    </row>
    <row r="3256" customFormat="false" ht="23.85" hidden="false" customHeight="false" outlineLevel="0" collapsed="false">
      <c r="A3256" s="9" t="n">
        <v>3255</v>
      </c>
      <c r="B3256" s="9" t="s">
        <v>172</v>
      </c>
      <c r="C3256" s="11" t="s">
        <v>179</v>
      </c>
      <c r="D3256" s="9" t="s">
        <v>12726</v>
      </c>
      <c r="E3256" s="9" t="s">
        <v>12727</v>
      </c>
      <c r="F3256" s="9" t="s">
        <v>12728</v>
      </c>
      <c r="G3256" s="9" t="s">
        <v>24</v>
      </c>
      <c r="H3256" s="15" t="s">
        <v>23</v>
      </c>
      <c r="I3256" s="9" t="s">
        <v>12729</v>
      </c>
      <c r="J3256" s="13"/>
      <c r="K3256" s="13"/>
    </row>
    <row r="3257" customFormat="false" ht="35.05" hidden="false" customHeight="false" outlineLevel="0" collapsed="false">
      <c r="A3257" s="9" t="n">
        <v>3256</v>
      </c>
      <c r="B3257" s="9" t="s">
        <v>172</v>
      </c>
      <c r="C3257" s="11" t="s">
        <v>179</v>
      </c>
      <c r="D3257" s="9" t="s">
        <v>12730</v>
      </c>
      <c r="E3257" s="9" t="s">
        <v>12731</v>
      </c>
      <c r="F3257" s="9" t="s">
        <v>12732</v>
      </c>
      <c r="G3257" s="9" t="s">
        <v>24</v>
      </c>
      <c r="H3257" s="15" t="s">
        <v>23</v>
      </c>
      <c r="I3257" s="9" t="s">
        <v>12733</v>
      </c>
      <c r="J3257" s="13"/>
      <c r="K3257" s="13"/>
    </row>
    <row r="3258" customFormat="false" ht="35.05" hidden="false" customHeight="false" outlineLevel="0" collapsed="false">
      <c r="A3258" s="9" t="n">
        <v>3257</v>
      </c>
      <c r="B3258" s="9" t="s">
        <v>172</v>
      </c>
      <c r="C3258" s="11" t="s">
        <v>179</v>
      </c>
      <c r="D3258" s="9" t="s">
        <v>12734</v>
      </c>
      <c r="E3258" s="9" t="s">
        <v>12735</v>
      </c>
      <c r="F3258" s="9" t="s">
        <v>12736</v>
      </c>
      <c r="G3258" s="9" t="s">
        <v>24</v>
      </c>
      <c r="H3258" s="15" t="s">
        <v>23</v>
      </c>
      <c r="I3258" s="9" t="s">
        <v>12737</v>
      </c>
      <c r="J3258" s="13"/>
      <c r="K3258" s="13"/>
    </row>
    <row r="3259" customFormat="false" ht="46.25" hidden="false" customHeight="false" outlineLevel="0" collapsed="false">
      <c r="A3259" s="9" t="n">
        <v>3258</v>
      </c>
      <c r="B3259" s="9" t="s">
        <v>172</v>
      </c>
      <c r="C3259" s="11" t="s">
        <v>181</v>
      </c>
      <c r="D3259" s="9" t="s">
        <v>12738</v>
      </c>
      <c r="E3259" s="9" t="s">
        <v>12739</v>
      </c>
      <c r="F3259" s="9" t="s">
        <v>12740</v>
      </c>
      <c r="G3259" s="9" t="s">
        <v>328</v>
      </c>
      <c r="H3259" s="12" t="s">
        <v>21</v>
      </c>
      <c r="I3259" s="9" t="s">
        <v>12741</v>
      </c>
      <c r="J3259" s="13"/>
      <c r="K3259" s="13"/>
    </row>
    <row r="3260" customFormat="false" ht="68.65" hidden="false" customHeight="false" outlineLevel="0" collapsed="false">
      <c r="A3260" s="9" t="n">
        <v>3259</v>
      </c>
      <c r="B3260" s="9" t="s">
        <v>172</v>
      </c>
      <c r="C3260" s="11" t="s">
        <v>181</v>
      </c>
      <c r="D3260" s="9" t="s">
        <v>12742</v>
      </c>
      <c r="E3260" s="9" t="s">
        <v>12743</v>
      </c>
      <c r="F3260" s="9" t="s">
        <v>12744</v>
      </c>
      <c r="G3260" s="9" t="s">
        <v>303</v>
      </c>
      <c r="H3260" s="12" t="s">
        <v>21</v>
      </c>
      <c r="I3260" s="9" t="s">
        <v>12745</v>
      </c>
      <c r="J3260" s="13"/>
      <c r="K3260" s="13"/>
    </row>
    <row r="3261" customFormat="false" ht="91" hidden="false" customHeight="false" outlineLevel="0" collapsed="false">
      <c r="A3261" s="9" t="n">
        <v>3260</v>
      </c>
      <c r="B3261" s="9" t="s">
        <v>172</v>
      </c>
      <c r="C3261" s="11" t="s">
        <v>181</v>
      </c>
      <c r="D3261" s="9" t="s">
        <v>12746</v>
      </c>
      <c r="E3261" s="9" t="s">
        <v>12747</v>
      </c>
      <c r="F3261" s="9" t="s">
        <v>12748</v>
      </c>
      <c r="G3261" s="9" t="s">
        <v>303</v>
      </c>
      <c r="H3261" s="12" t="s">
        <v>21</v>
      </c>
      <c r="I3261" s="9" t="s">
        <v>12749</v>
      </c>
      <c r="J3261" s="13"/>
      <c r="K3261" s="13"/>
    </row>
    <row r="3262" customFormat="false" ht="91" hidden="false" customHeight="false" outlineLevel="0" collapsed="false">
      <c r="A3262" s="9" t="n">
        <v>3261</v>
      </c>
      <c r="B3262" s="9" t="s">
        <v>172</v>
      </c>
      <c r="C3262" s="11" t="s">
        <v>181</v>
      </c>
      <c r="D3262" s="9" t="s">
        <v>12750</v>
      </c>
      <c r="E3262" s="9" t="s">
        <v>12751</v>
      </c>
      <c r="F3262" s="9" t="s">
        <v>12752</v>
      </c>
      <c r="G3262" s="9" t="s">
        <v>1072</v>
      </c>
      <c r="H3262" s="12" t="s">
        <v>21</v>
      </c>
      <c r="I3262" s="9" t="s">
        <v>12753</v>
      </c>
      <c r="J3262" s="13"/>
      <c r="K3262" s="13"/>
    </row>
    <row r="3263" customFormat="false" ht="68.65" hidden="false" customHeight="false" outlineLevel="0" collapsed="false">
      <c r="A3263" s="9" t="n">
        <v>3262</v>
      </c>
      <c r="B3263" s="9" t="s">
        <v>172</v>
      </c>
      <c r="C3263" s="11" t="s">
        <v>181</v>
      </c>
      <c r="D3263" s="9" t="s">
        <v>12754</v>
      </c>
      <c r="E3263" s="9" t="s">
        <v>12755</v>
      </c>
      <c r="F3263" s="9" t="s">
        <v>12756</v>
      </c>
      <c r="G3263" s="9" t="s">
        <v>1072</v>
      </c>
      <c r="H3263" s="12" t="s">
        <v>21</v>
      </c>
      <c r="I3263" s="9" t="s">
        <v>12757</v>
      </c>
      <c r="J3263" s="13"/>
      <c r="K3263" s="13"/>
    </row>
    <row r="3264" customFormat="false" ht="68.65" hidden="false" customHeight="false" outlineLevel="0" collapsed="false">
      <c r="A3264" s="9" t="n">
        <v>3263</v>
      </c>
      <c r="B3264" s="9" t="s">
        <v>172</v>
      </c>
      <c r="C3264" s="11" t="s">
        <v>181</v>
      </c>
      <c r="D3264" s="9" t="s">
        <v>12758</v>
      </c>
      <c r="E3264" s="9" t="s">
        <v>12759</v>
      </c>
      <c r="F3264" s="9" t="s">
        <v>12760</v>
      </c>
      <c r="G3264" s="9" t="s">
        <v>1072</v>
      </c>
      <c r="H3264" s="14" t="s">
        <v>22</v>
      </c>
      <c r="I3264" s="9" t="s">
        <v>12761</v>
      </c>
      <c r="J3264" s="13"/>
      <c r="K3264" s="13"/>
    </row>
    <row r="3265" customFormat="false" ht="57.45" hidden="false" customHeight="false" outlineLevel="0" collapsed="false">
      <c r="A3265" s="9" t="n">
        <v>3264</v>
      </c>
      <c r="B3265" s="9" t="s">
        <v>172</v>
      </c>
      <c r="C3265" s="11" t="s">
        <v>181</v>
      </c>
      <c r="D3265" s="9" t="s">
        <v>12762</v>
      </c>
      <c r="E3265" s="9" t="s">
        <v>12763</v>
      </c>
      <c r="F3265" s="9" t="s">
        <v>12764</v>
      </c>
      <c r="G3265" s="9" t="s">
        <v>2044</v>
      </c>
      <c r="H3265" s="14" t="s">
        <v>22</v>
      </c>
      <c r="I3265" s="9" t="s">
        <v>12765</v>
      </c>
      <c r="J3265" s="13"/>
      <c r="K3265" s="13"/>
    </row>
    <row r="3266" customFormat="false" ht="68.65" hidden="false" customHeight="false" outlineLevel="0" collapsed="false">
      <c r="A3266" s="9" t="n">
        <v>3265</v>
      </c>
      <c r="B3266" s="9" t="s">
        <v>172</v>
      </c>
      <c r="C3266" s="11" t="s">
        <v>181</v>
      </c>
      <c r="D3266" s="9" t="s">
        <v>12766</v>
      </c>
      <c r="E3266" s="9" t="s">
        <v>12767</v>
      </c>
      <c r="F3266" s="9" t="s">
        <v>12768</v>
      </c>
      <c r="G3266" s="9" t="s">
        <v>2044</v>
      </c>
      <c r="H3266" s="12" t="s">
        <v>21</v>
      </c>
      <c r="I3266" s="9" t="s">
        <v>12769</v>
      </c>
      <c r="J3266" s="13"/>
      <c r="K3266" s="13"/>
    </row>
    <row r="3267" customFormat="false" ht="68.65" hidden="false" customHeight="false" outlineLevel="0" collapsed="false">
      <c r="A3267" s="9" t="n">
        <v>3266</v>
      </c>
      <c r="B3267" s="9" t="s">
        <v>172</v>
      </c>
      <c r="C3267" s="11" t="s">
        <v>181</v>
      </c>
      <c r="D3267" s="9" t="s">
        <v>12770</v>
      </c>
      <c r="E3267" s="9" t="s">
        <v>12771</v>
      </c>
      <c r="F3267" s="9" t="s">
        <v>12772</v>
      </c>
      <c r="G3267" s="9" t="s">
        <v>2044</v>
      </c>
      <c r="H3267" s="14" t="s">
        <v>22</v>
      </c>
      <c r="I3267" s="9" t="s">
        <v>12773</v>
      </c>
      <c r="J3267" s="13"/>
      <c r="K3267" s="13"/>
    </row>
    <row r="3268" customFormat="false" ht="46.25" hidden="false" customHeight="false" outlineLevel="0" collapsed="false">
      <c r="A3268" s="9" t="n">
        <v>3267</v>
      </c>
      <c r="B3268" s="9" t="s">
        <v>172</v>
      </c>
      <c r="C3268" s="11" t="s">
        <v>181</v>
      </c>
      <c r="D3268" s="9" t="s">
        <v>12774</v>
      </c>
      <c r="E3268" s="9" t="s">
        <v>12775</v>
      </c>
      <c r="F3268" s="9" t="s">
        <v>12776</v>
      </c>
      <c r="G3268" s="9" t="s">
        <v>2044</v>
      </c>
      <c r="H3268" s="14" t="s">
        <v>22</v>
      </c>
      <c r="I3268" s="9" t="s">
        <v>12777</v>
      </c>
      <c r="J3268" s="13"/>
      <c r="K3268" s="13"/>
    </row>
    <row r="3269" customFormat="false" ht="35.05" hidden="false" customHeight="false" outlineLevel="0" collapsed="false">
      <c r="A3269" s="9" t="n">
        <v>3268</v>
      </c>
      <c r="B3269" s="9" t="s">
        <v>172</v>
      </c>
      <c r="C3269" s="11" t="s">
        <v>181</v>
      </c>
      <c r="D3269" s="9" t="s">
        <v>12778</v>
      </c>
      <c r="E3269" s="9" t="s">
        <v>12779</v>
      </c>
      <c r="F3269" s="9" t="s">
        <v>12780</v>
      </c>
      <c r="G3269" s="9" t="s">
        <v>2044</v>
      </c>
      <c r="H3269" s="15" t="s">
        <v>23</v>
      </c>
      <c r="I3269" s="9" t="s">
        <v>12781</v>
      </c>
      <c r="J3269" s="13"/>
      <c r="K3269" s="13"/>
    </row>
    <row r="3270" customFormat="false" ht="68.65" hidden="false" customHeight="false" outlineLevel="0" collapsed="false">
      <c r="A3270" s="9" t="n">
        <v>3269</v>
      </c>
      <c r="B3270" s="9" t="s">
        <v>172</v>
      </c>
      <c r="C3270" s="11" t="s">
        <v>181</v>
      </c>
      <c r="D3270" s="9" t="s">
        <v>12782</v>
      </c>
      <c r="E3270" s="9" t="s">
        <v>12783</v>
      </c>
      <c r="F3270" s="9" t="s">
        <v>12784</v>
      </c>
      <c r="G3270" s="9" t="s">
        <v>2044</v>
      </c>
      <c r="H3270" s="14" t="s">
        <v>22</v>
      </c>
      <c r="I3270" s="9" t="s">
        <v>12785</v>
      </c>
      <c r="J3270" s="13"/>
      <c r="K3270" s="13"/>
    </row>
    <row r="3271" customFormat="false" ht="46.25" hidden="false" customHeight="false" outlineLevel="0" collapsed="false">
      <c r="A3271" s="9" t="n">
        <v>3270</v>
      </c>
      <c r="B3271" s="9" t="s">
        <v>172</v>
      </c>
      <c r="C3271" s="11" t="s">
        <v>181</v>
      </c>
      <c r="D3271" s="9" t="s">
        <v>12786</v>
      </c>
      <c r="E3271" s="9" t="s">
        <v>12787</v>
      </c>
      <c r="F3271" s="9" t="s">
        <v>12788</v>
      </c>
      <c r="G3271" s="9" t="s">
        <v>328</v>
      </c>
      <c r="H3271" s="14" t="s">
        <v>22</v>
      </c>
      <c r="I3271" s="9" t="s">
        <v>12789</v>
      </c>
      <c r="J3271" s="13"/>
      <c r="K3271" s="13"/>
    </row>
    <row r="3272" customFormat="false" ht="23.85" hidden="false" customHeight="false" outlineLevel="0" collapsed="false">
      <c r="A3272" s="9" t="n">
        <v>3271</v>
      </c>
      <c r="B3272" s="9" t="s">
        <v>172</v>
      </c>
      <c r="C3272" s="11" t="s">
        <v>181</v>
      </c>
      <c r="D3272" s="9" t="s">
        <v>12790</v>
      </c>
      <c r="E3272" s="9" t="s">
        <v>12791</v>
      </c>
      <c r="F3272" s="9" t="s">
        <v>12792</v>
      </c>
      <c r="G3272" s="9" t="s">
        <v>328</v>
      </c>
      <c r="H3272" s="15" t="s">
        <v>23</v>
      </c>
      <c r="I3272" s="9" t="s">
        <v>12793</v>
      </c>
      <c r="J3272" s="13"/>
      <c r="K3272" s="13"/>
    </row>
    <row r="3273" customFormat="false" ht="46.25" hidden="false" customHeight="false" outlineLevel="0" collapsed="false">
      <c r="A3273" s="9" t="n">
        <v>3272</v>
      </c>
      <c r="B3273" s="9" t="s">
        <v>172</v>
      </c>
      <c r="C3273" s="11" t="s">
        <v>181</v>
      </c>
      <c r="D3273" s="9" t="s">
        <v>12794</v>
      </c>
      <c r="E3273" s="9" t="s">
        <v>12795</v>
      </c>
      <c r="F3273" s="9" t="s">
        <v>12796</v>
      </c>
      <c r="G3273" s="9" t="s">
        <v>12217</v>
      </c>
      <c r="H3273" s="14" t="s">
        <v>22</v>
      </c>
      <c r="I3273" s="9" t="s">
        <v>12797</v>
      </c>
      <c r="J3273" s="13"/>
      <c r="K3273" s="13"/>
    </row>
    <row r="3274" customFormat="false" ht="35.05" hidden="false" customHeight="false" outlineLevel="0" collapsed="false">
      <c r="A3274" s="9" t="n">
        <v>3273</v>
      </c>
      <c r="B3274" s="9" t="s">
        <v>172</v>
      </c>
      <c r="C3274" s="11" t="s">
        <v>181</v>
      </c>
      <c r="D3274" s="9" t="s">
        <v>12798</v>
      </c>
      <c r="E3274" s="9" t="s">
        <v>12799</v>
      </c>
      <c r="F3274" s="9" t="s">
        <v>12800</v>
      </c>
      <c r="G3274" s="9" t="s">
        <v>312</v>
      </c>
      <c r="H3274" s="14" t="s">
        <v>22</v>
      </c>
      <c r="I3274" s="9" t="s">
        <v>12801</v>
      </c>
      <c r="J3274" s="13"/>
      <c r="K3274" s="13"/>
    </row>
    <row r="3275" customFormat="false" ht="35.05" hidden="false" customHeight="false" outlineLevel="0" collapsed="false">
      <c r="A3275" s="9" t="n">
        <v>3274</v>
      </c>
      <c r="B3275" s="9" t="s">
        <v>172</v>
      </c>
      <c r="C3275" s="11" t="s">
        <v>181</v>
      </c>
      <c r="D3275" s="9" t="s">
        <v>12802</v>
      </c>
      <c r="E3275" s="9" t="s">
        <v>12803</v>
      </c>
      <c r="F3275" s="9" t="s">
        <v>12804</v>
      </c>
      <c r="G3275" s="9" t="s">
        <v>2044</v>
      </c>
      <c r="H3275" s="15" t="s">
        <v>23</v>
      </c>
      <c r="I3275" s="9" t="s">
        <v>12805</v>
      </c>
      <c r="J3275" s="13"/>
      <c r="K3275" s="13"/>
    </row>
    <row r="3276" customFormat="false" ht="35.05" hidden="false" customHeight="false" outlineLevel="0" collapsed="false">
      <c r="A3276" s="9" t="n">
        <v>3275</v>
      </c>
      <c r="B3276" s="9" t="s">
        <v>172</v>
      </c>
      <c r="C3276" s="11" t="s">
        <v>181</v>
      </c>
      <c r="D3276" s="9" t="s">
        <v>12806</v>
      </c>
      <c r="E3276" s="9" t="s">
        <v>12807</v>
      </c>
      <c r="F3276" s="9" t="s">
        <v>12808</v>
      </c>
      <c r="G3276" s="9" t="s">
        <v>2044</v>
      </c>
      <c r="H3276" s="15" t="s">
        <v>23</v>
      </c>
      <c r="I3276" s="9" t="s">
        <v>12809</v>
      </c>
      <c r="J3276" s="13"/>
      <c r="K3276" s="13"/>
    </row>
    <row r="3277" customFormat="false" ht="46.25" hidden="false" customHeight="false" outlineLevel="0" collapsed="false">
      <c r="A3277" s="9" t="n">
        <v>3276</v>
      </c>
      <c r="B3277" s="9" t="s">
        <v>172</v>
      </c>
      <c r="C3277" s="11" t="s">
        <v>181</v>
      </c>
      <c r="D3277" s="9" t="s">
        <v>12810</v>
      </c>
      <c r="E3277" s="9" t="s">
        <v>12811</v>
      </c>
      <c r="F3277" s="9" t="s">
        <v>12812</v>
      </c>
      <c r="G3277" s="9" t="s">
        <v>1072</v>
      </c>
      <c r="H3277" s="15" t="s">
        <v>23</v>
      </c>
      <c r="I3277" s="9" t="s">
        <v>12813</v>
      </c>
      <c r="J3277" s="13"/>
      <c r="K3277" s="13"/>
    </row>
    <row r="3278" customFormat="false" ht="35.05" hidden="false" customHeight="false" outlineLevel="0" collapsed="false">
      <c r="A3278" s="9" t="n">
        <v>3277</v>
      </c>
      <c r="B3278" s="9" t="s">
        <v>172</v>
      </c>
      <c r="C3278" s="11" t="s">
        <v>181</v>
      </c>
      <c r="D3278" s="9" t="s">
        <v>12814</v>
      </c>
      <c r="E3278" s="9" t="s">
        <v>12815</v>
      </c>
      <c r="F3278" s="9" t="s">
        <v>12816</v>
      </c>
      <c r="G3278" s="9" t="s">
        <v>1072</v>
      </c>
      <c r="H3278" s="15" t="s">
        <v>23</v>
      </c>
      <c r="I3278" s="9" t="s">
        <v>12817</v>
      </c>
      <c r="J3278" s="13"/>
      <c r="K3278" s="13"/>
    </row>
    <row r="3279" customFormat="false" ht="35.05" hidden="false" customHeight="false" outlineLevel="0" collapsed="false">
      <c r="A3279" s="9" t="n">
        <v>3278</v>
      </c>
      <c r="B3279" s="9" t="s">
        <v>172</v>
      </c>
      <c r="C3279" s="11" t="s">
        <v>181</v>
      </c>
      <c r="D3279" s="9" t="s">
        <v>12818</v>
      </c>
      <c r="E3279" s="9" t="s">
        <v>12819</v>
      </c>
      <c r="F3279" s="9" t="s">
        <v>12820</v>
      </c>
      <c r="G3279" s="9" t="s">
        <v>1072</v>
      </c>
      <c r="H3279" s="15" t="s">
        <v>23</v>
      </c>
      <c r="I3279" s="9" t="s">
        <v>12821</v>
      </c>
      <c r="J3279" s="13"/>
      <c r="K3279" s="13"/>
    </row>
    <row r="3280" customFormat="false" ht="23.85" hidden="false" customHeight="false" outlineLevel="0" collapsed="false">
      <c r="A3280" s="9" t="n">
        <v>3279</v>
      </c>
      <c r="B3280" s="9" t="s">
        <v>172</v>
      </c>
      <c r="C3280" s="11" t="s">
        <v>181</v>
      </c>
      <c r="D3280" s="9" t="s">
        <v>12822</v>
      </c>
      <c r="E3280" s="9" t="s">
        <v>12823</v>
      </c>
      <c r="F3280" s="9" t="s">
        <v>12824</v>
      </c>
      <c r="G3280" s="9" t="s">
        <v>328</v>
      </c>
      <c r="H3280" s="15" t="s">
        <v>23</v>
      </c>
      <c r="I3280" s="9" t="s">
        <v>12825</v>
      </c>
      <c r="J3280" s="13"/>
      <c r="K3280" s="13"/>
    </row>
    <row r="3281" customFormat="false" ht="35.05" hidden="false" customHeight="false" outlineLevel="0" collapsed="false">
      <c r="A3281" s="9" t="n">
        <v>3280</v>
      </c>
      <c r="B3281" s="9" t="s">
        <v>172</v>
      </c>
      <c r="C3281" s="11" t="s">
        <v>181</v>
      </c>
      <c r="D3281" s="9" t="s">
        <v>12826</v>
      </c>
      <c r="E3281" s="9" t="s">
        <v>12827</v>
      </c>
      <c r="F3281" s="9" t="s">
        <v>12828</v>
      </c>
      <c r="G3281" s="9" t="s">
        <v>328</v>
      </c>
      <c r="H3281" s="15" t="s">
        <v>23</v>
      </c>
      <c r="I3281" s="9" t="s">
        <v>12829</v>
      </c>
      <c r="J3281" s="13"/>
      <c r="K3281" s="13"/>
    </row>
    <row r="3282" customFormat="false" ht="35.05" hidden="false" customHeight="false" outlineLevel="0" collapsed="false">
      <c r="A3282" s="9" t="n">
        <v>3281</v>
      </c>
      <c r="B3282" s="9" t="s">
        <v>172</v>
      </c>
      <c r="C3282" s="11" t="s">
        <v>181</v>
      </c>
      <c r="D3282" s="9" t="s">
        <v>12830</v>
      </c>
      <c r="E3282" s="9" t="s">
        <v>12831</v>
      </c>
      <c r="F3282" s="9" t="s">
        <v>12832</v>
      </c>
      <c r="G3282" s="9" t="s">
        <v>1072</v>
      </c>
      <c r="H3282" s="15" t="s">
        <v>23</v>
      </c>
      <c r="I3282" s="9" t="s">
        <v>12833</v>
      </c>
      <c r="J3282" s="13"/>
      <c r="K3282" s="13"/>
    </row>
    <row r="3283" customFormat="false" ht="23.85" hidden="false" customHeight="false" outlineLevel="0" collapsed="false">
      <c r="A3283" s="9" t="n">
        <v>3282</v>
      </c>
      <c r="B3283" s="9" t="s">
        <v>172</v>
      </c>
      <c r="C3283" s="11" t="s">
        <v>181</v>
      </c>
      <c r="D3283" s="9" t="s">
        <v>12834</v>
      </c>
      <c r="E3283" s="9" t="s">
        <v>12835</v>
      </c>
      <c r="F3283" s="9" t="s">
        <v>12836</v>
      </c>
      <c r="G3283" s="9" t="s">
        <v>317</v>
      </c>
      <c r="H3283" s="15" t="s">
        <v>23</v>
      </c>
      <c r="I3283" s="9" t="s">
        <v>12837</v>
      </c>
      <c r="J3283" s="13"/>
      <c r="K3283" s="13"/>
    </row>
    <row r="3284" customFormat="false" ht="35.05" hidden="false" customHeight="false" outlineLevel="0" collapsed="false">
      <c r="A3284" s="9" t="n">
        <v>3283</v>
      </c>
      <c r="B3284" s="9" t="s">
        <v>172</v>
      </c>
      <c r="C3284" s="11" t="s">
        <v>181</v>
      </c>
      <c r="D3284" s="9" t="s">
        <v>12838</v>
      </c>
      <c r="E3284" s="9" t="s">
        <v>12839</v>
      </c>
      <c r="F3284" s="9" t="s">
        <v>12840</v>
      </c>
      <c r="G3284" s="9" t="s">
        <v>312</v>
      </c>
      <c r="H3284" s="15" t="s">
        <v>23</v>
      </c>
      <c r="I3284" s="9" t="s">
        <v>12841</v>
      </c>
      <c r="J3284" s="13"/>
      <c r="K3284" s="13"/>
    </row>
    <row r="3285" customFormat="false" ht="23.85" hidden="false" customHeight="false" outlineLevel="0" collapsed="false">
      <c r="A3285" s="9" t="n">
        <v>3284</v>
      </c>
      <c r="B3285" s="9" t="s">
        <v>172</v>
      </c>
      <c r="C3285" s="11" t="s">
        <v>181</v>
      </c>
      <c r="D3285" s="9" t="s">
        <v>12842</v>
      </c>
      <c r="E3285" s="9" t="s">
        <v>12843</v>
      </c>
      <c r="F3285" s="9" t="s">
        <v>12844</v>
      </c>
      <c r="G3285" s="9" t="s">
        <v>328</v>
      </c>
      <c r="H3285" s="15" t="s">
        <v>23</v>
      </c>
      <c r="I3285" s="9" t="s">
        <v>12689</v>
      </c>
      <c r="J3285" s="13"/>
      <c r="K3285" s="13"/>
    </row>
    <row r="3286" customFormat="false" ht="23.85" hidden="false" customHeight="false" outlineLevel="0" collapsed="false">
      <c r="A3286" s="9" t="n">
        <v>3285</v>
      </c>
      <c r="B3286" s="9" t="s">
        <v>172</v>
      </c>
      <c r="C3286" s="11" t="s">
        <v>181</v>
      </c>
      <c r="D3286" s="9" t="s">
        <v>12845</v>
      </c>
      <c r="E3286" s="9" t="s">
        <v>12846</v>
      </c>
      <c r="F3286" s="9" t="s">
        <v>12847</v>
      </c>
      <c r="G3286" s="9" t="s">
        <v>312</v>
      </c>
      <c r="H3286" s="15" t="s">
        <v>23</v>
      </c>
      <c r="I3286" s="9" t="s">
        <v>12848</v>
      </c>
      <c r="J3286" s="13"/>
      <c r="K3286" s="13"/>
    </row>
    <row r="3287" customFormat="false" ht="35.05" hidden="false" customHeight="false" outlineLevel="0" collapsed="false">
      <c r="A3287" s="9" t="n">
        <v>3286</v>
      </c>
      <c r="B3287" s="9" t="s">
        <v>172</v>
      </c>
      <c r="C3287" s="11" t="s">
        <v>181</v>
      </c>
      <c r="D3287" s="9" t="s">
        <v>12849</v>
      </c>
      <c r="E3287" s="9" t="s">
        <v>12850</v>
      </c>
      <c r="F3287" s="9" t="s">
        <v>12851</v>
      </c>
      <c r="G3287" s="9" t="s">
        <v>1072</v>
      </c>
      <c r="H3287" s="15" t="s">
        <v>23</v>
      </c>
      <c r="I3287" s="9" t="s">
        <v>12852</v>
      </c>
      <c r="J3287" s="13"/>
      <c r="K3287" s="13"/>
    </row>
    <row r="3288" customFormat="false" ht="46.25" hidden="false" customHeight="false" outlineLevel="0" collapsed="false">
      <c r="A3288" s="9" t="n">
        <v>3287</v>
      </c>
      <c r="B3288" s="9" t="s">
        <v>172</v>
      </c>
      <c r="C3288" s="11" t="s">
        <v>181</v>
      </c>
      <c r="D3288" s="9" t="s">
        <v>12853</v>
      </c>
      <c r="E3288" s="9" t="s">
        <v>2833</v>
      </c>
      <c r="F3288" s="9" t="s">
        <v>12854</v>
      </c>
      <c r="G3288" s="9" t="s">
        <v>24</v>
      </c>
      <c r="H3288" s="12" t="s">
        <v>21</v>
      </c>
      <c r="I3288" s="9" t="s">
        <v>12696</v>
      </c>
      <c r="J3288" s="13"/>
      <c r="K3288" s="13"/>
    </row>
    <row r="3289" customFormat="false" ht="35.05" hidden="false" customHeight="false" outlineLevel="0" collapsed="false">
      <c r="A3289" s="9" t="n">
        <v>3288</v>
      </c>
      <c r="B3289" s="9" t="s">
        <v>172</v>
      </c>
      <c r="C3289" s="11" t="s">
        <v>181</v>
      </c>
      <c r="D3289" s="9" t="s">
        <v>12855</v>
      </c>
      <c r="E3289" s="9" t="s">
        <v>12856</v>
      </c>
      <c r="F3289" s="9" t="s">
        <v>12857</v>
      </c>
      <c r="G3289" s="9" t="s">
        <v>24</v>
      </c>
      <c r="H3289" s="12" t="s">
        <v>21</v>
      </c>
      <c r="I3289" s="9" t="s">
        <v>12858</v>
      </c>
      <c r="J3289" s="13"/>
      <c r="K3289" s="13"/>
    </row>
    <row r="3290" customFormat="false" ht="35.05" hidden="false" customHeight="false" outlineLevel="0" collapsed="false">
      <c r="A3290" s="9" t="n">
        <v>3289</v>
      </c>
      <c r="B3290" s="9" t="s">
        <v>172</v>
      </c>
      <c r="C3290" s="11" t="s">
        <v>181</v>
      </c>
      <c r="D3290" s="9" t="s">
        <v>12859</v>
      </c>
      <c r="E3290" s="9" t="s">
        <v>12860</v>
      </c>
      <c r="F3290" s="9" t="s">
        <v>12861</v>
      </c>
      <c r="G3290" s="9" t="s">
        <v>24</v>
      </c>
      <c r="H3290" s="14" t="s">
        <v>22</v>
      </c>
      <c r="I3290" s="9" t="s">
        <v>12862</v>
      </c>
      <c r="J3290" s="13"/>
      <c r="K3290" s="13"/>
    </row>
    <row r="3291" customFormat="false" ht="57.45" hidden="false" customHeight="false" outlineLevel="0" collapsed="false">
      <c r="A3291" s="9" t="n">
        <v>3290</v>
      </c>
      <c r="B3291" s="9" t="s">
        <v>172</v>
      </c>
      <c r="C3291" s="11" t="s">
        <v>181</v>
      </c>
      <c r="D3291" s="9" t="s">
        <v>12863</v>
      </c>
      <c r="E3291" s="9" t="s">
        <v>12864</v>
      </c>
      <c r="F3291" s="9" t="s">
        <v>12865</v>
      </c>
      <c r="G3291" s="9" t="s">
        <v>24</v>
      </c>
      <c r="H3291" s="14" t="s">
        <v>22</v>
      </c>
      <c r="I3291" s="9" t="s">
        <v>12866</v>
      </c>
      <c r="J3291" s="13"/>
      <c r="K3291" s="13"/>
    </row>
    <row r="3292" customFormat="false" ht="35.05" hidden="false" customHeight="false" outlineLevel="0" collapsed="false">
      <c r="A3292" s="9" t="n">
        <v>3291</v>
      </c>
      <c r="B3292" s="9" t="s">
        <v>172</v>
      </c>
      <c r="C3292" s="11" t="s">
        <v>181</v>
      </c>
      <c r="D3292" s="9" t="s">
        <v>12867</v>
      </c>
      <c r="E3292" s="9" t="s">
        <v>12868</v>
      </c>
      <c r="F3292" s="9" t="s">
        <v>12869</v>
      </c>
      <c r="G3292" s="9" t="s">
        <v>24</v>
      </c>
      <c r="H3292" s="14" t="s">
        <v>22</v>
      </c>
      <c r="I3292" s="9" t="s">
        <v>12870</v>
      </c>
      <c r="J3292" s="13"/>
      <c r="K3292" s="13"/>
    </row>
    <row r="3293" customFormat="false" ht="35.05" hidden="false" customHeight="false" outlineLevel="0" collapsed="false">
      <c r="A3293" s="9" t="n">
        <v>3292</v>
      </c>
      <c r="B3293" s="9" t="s">
        <v>172</v>
      </c>
      <c r="C3293" s="11" t="s">
        <v>181</v>
      </c>
      <c r="D3293" s="9" t="s">
        <v>12871</v>
      </c>
      <c r="E3293" s="9" t="s">
        <v>358</v>
      </c>
      <c r="F3293" s="9" t="s">
        <v>12872</v>
      </c>
      <c r="G3293" s="9" t="s">
        <v>24</v>
      </c>
      <c r="H3293" s="14" t="s">
        <v>22</v>
      </c>
      <c r="I3293" s="9" t="s">
        <v>12873</v>
      </c>
      <c r="J3293" s="13"/>
      <c r="K3293" s="13"/>
    </row>
    <row r="3294" customFormat="false" ht="35.05" hidden="false" customHeight="false" outlineLevel="0" collapsed="false">
      <c r="A3294" s="9" t="n">
        <v>3293</v>
      </c>
      <c r="B3294" s="9" t="s">
        <v>172</v>
      </c>
      <c r="C3294" s="11" t="s">
        <v>181</v>
      </c>
      <c r="D3294" s="9" t="s">
        <v>12874</v>
      </c>
      <c r="E3294" s="9" t="s">
        <v>12875</v>
      </c>
      <c r="F3294" s="9" t="s">
        <v>12876</v>
      </c>
      <c r="G3294" s="9" t="s">
        <v>24</v>
      </c>
      <c r="H3294" s="14" t="s">
        <v>22</v>
      </c>
      <c r="I3294" s="9" t="s">
        <v>12877</v>
      </c>
      <c r="J3294" s="13"/>
      <c r="K3294" s="13"/>
    </row>
    <row r="3295" customFormat="false" ht="15" hidden="false" customHeight="false" outlineLevel="0" collapsed="false">
      <c r="A3295" s="9" t="n">
        <v>3294</v>
      </c>
      <c r="B3295" s="9" t="s">
        <v>172</v>
      </c>
      <c r="C3295" s="11" t="s">
        <v>181</v>
      </c>
      <c r="D3295" s="9" t="s">
        <v>12878</v>
      </c>
      <c r="E3295" s="9" t="s">
        <v>362</v>
      </c>
      <c r="F3295" s="9" t="s">
        <v>363</v>
      </c>
      <c r="G3295" s="9" t="s">
        <v>24</v>
      </c>
      <c r="H3295" s="14" t="s">
        <v>22</v>
      </c>
      <c r="I3295" s="9" t="s">
        <v>364</v>
      </c>
      <c r="J3295" s="13"/>
      <c r="K3295" s="13"/>
    </row>
    <row r="3296" customFormat="false" ht="23.85" hidden="false" customHeight="false" outlineLevel="0" collapsed="false">
      <c r="A3296" s="9" t="n">
        <v>3295</v>
      </c>
      <c r="B3296" s="9" t="s">
        <v>172</v>
      </c>
      <c r="C3296" s="11" t="s">
        <v>181</v>
      </c>
      <c r="D3296" s="9" t="s">
        <v>12879</v>
      </c>
      <c r="E3296" s="9" t="s">
        <v>12880</v>
      </c>
      <c r="F3296" s="9" t="s">
        <v>12881</v>
      </c>
      <c r="G3296" s="9" t="s">
        <v>24</v>
      </c>
      <c r="H3296" s="14" t="s">
        <v>22</v>
      </c>
      <c r="I3296" s="9" t="s">
        <v>12722</v>
      </c>
      <c r="J3296" s="13"/>
      <c r="K3296" s="13"/>
    </row>
    <row r="3297" customFormat="false" ht="35.05" hidden="false" customHeight="false" outlineLevel="0" collapsed="false">
      <c r="A3297" s="9" t="n">
        <v>3296</v>
      </c>
      <c r="B3297" s="9" t="s">
        <v>172</v>
      </c>
      <c r="C3297" s="11" t="s">
        <v>181</v>
      </c>
      <c r="D3297" s="9" t="s">
        <v>12882</v>
      </c>
      <c r="E3297" s="9" t="s">
        <v>12883</v>
      </c>
      <c r="F3297" s="9" t="s">
        <v>12884</v>
      </c>
      <c r="G3297" s="9" t="s">
        <v>24</v>
      </c>
      <c r="H3297" s="15" t="s">
        <v>23</v>
      </c>
      <c r="I3297" s="9" t="s">
        <v>12885</v>
      </c>
      <c r="J3297" s="13"/>
      <c r="K3297" s="13"/>
    </row>
    <row r="3298" customFormat="false" ht="23.85" hidden="false" customHeight="false" outlineLevel="0" collapsed="false">
      <c r="A3298" s="9" t="n">
        <v>3297</v>
      </c>
      <c r="B3298" s="9" t="s">
        <v>172</v>
      </c>
      <c r="C3298" s="11" t="s">
        <v>181</v>
      </c>
      <c r="D3298" s="9" t="s">
        <v>12886</v>
      </c>
      <c r="E3298" s="9" t="s">
        <v>12887</v>
      </c>
      <c r="F3298" s="9" t="s">
        <v>12888</v>
      </c>
      <c r="G3298" s="9" t="s">
        <v>24</v>
      </c>
      <c r="H3298" s="15" t="s">
        <v>23</v>
      </c>
      <c r="I3298" s="9" t="s">
        <v>12889</v>
      </c>
      <c r="J3298" s="13"/>
      <c r="K3298" s="13"/>
    </row>
    <row r="3299" customFormat="false" ht="46.25" hidden="false" customHeight="false" outlineLevel="0" collapsed="false">
      <c r="A3299" s="9" t="n">
        <v>3298</v>
      </c>
      <c r="B3299" s="9" t="s">
        <v>172</v>
      </c>
      <c r="C3299" s="11" t="s">
        <v>183</v>
      </c>
      <c r="D3299" s="9" t="s">
        <v>12890</v>
      </c>
      <c r="E3299" s="9" t="s">
        <v>12891</v>
      </c>
      <c r="F3299" s="9" t="s">
        <v>12892</v>
      </c>
      <c r="G3299" s="9" t="s">
        <v>328</v>
      </c>
      <c r="H3299" s="12" t="s">
        <v>21</v>
      </c>
      <c r="I3299" s="9" t="s">
        <v>12893</v>
      </c>
      <c r="J3299" s="13"/>
      <c r="K3299" s="13"/>
    </row>
    <row r="3300" customFormat="false" ht="202.95" hidden="false" customHeight="false" outlineLevel="0" collapsed="false">
      <c r="A3300" s="9" t="n">
        <v>3299</v>
      </c>
      <c r="B3300" s="9" t="s">
        <v>172</v>
      </c>
      <c r="C3300" s="11" t="s">
        <v>183</v>
      </c>
      <c r="D3300" s="9" t="s">
        <v>12894</v>
      </c>
      <c r="E3300" s="9" t="s">
        <v>12895</v>
      </c>
      <c r="F3300" s="9" t="s">
        <v>12896</v>
      </c>
      <c r="G3300" s="9" t="s">
        <v>312</v>
      </c>
      <c r="H3300" s="12" t="s">
        <v>21</v>
      </c>
      <c r="I3300" s="9" t="s">
        <v>12897</v>
      </c>
      <c r="J3300" s="13"/>
      <c r="K3300" s="13"/>
    </row>
    <row r="3301" customFormat="false" ht="113.4" hidden="false" customHeight="false" outlineLevel="0" collapsed="false">
      <c r="A3301" s="9" t="n">
        <v>3300</v>
      </c>
      <c r="B3301" s="9" t="s">
        <v>172</v>
      </c>
      <c r="C3301" s="11" t="s">
        <v>183</v>
      </c>
      <c r="D3301" s="9" t="s">
        <v>12898</v>
      </c>
      <c r="E3301" s="9" t="s">
        <v>12899</v>
      </c>
      <c r="F3301" s="9" t="s">
        <v>12900</v>
      </c>
      <c r="G3301" s="9" t="s">
        <v>3257</v>
      </c>
      <c r="H3301" s="12" t="s">
        <v>21</v>
      </c>
      <c r="I3301" s="9" t="s">
        <v>12901</v>
      </c>
      <c r="J3301" s="13"/>
      <c r="K3301" s="13"/>
    </row>
    <row r="3302" customFormat="false" ht="35.05" hidden="false" customHeight="false" outlineLevel="0" collapsed="false">
      <c r="A3302" s="9" t="n">
        <v>3301</v>
      </c>
      <c r="B3302" s="9" t="s">
        <v>172</v>
      </c>
      <c r="C3302" s="11" t="s">
        <v>183</v>
      </c>
      <c r="D3302" s="9" t="s">
        <v>12902</v>
      </c>
      <c r="E3302" s="9" t="s">
        <v>12903</v>
      </c>
      <c r="F3302" s="9" t="s">
        <v>12904</v>
      </c>
      <c r="G3302" s="9" t="s">
        <v>328</v>
      </c>
      <c r="H3302" s="12" t="s">
        <v>21</v>
      </c>
      <c r="I3302" s="9" t="s">
        <v>12905</v>
      </c>
      <c r="J3302" s="13"/>
      <c r="K3302" s="13"/>
    </row>
    <row r="3303" customFormat="false" ht="35.05" hidden="false" customHeight="false" outlineLevel="0" collapsed="false">
      <c r="A3303" s="9" t="n">
        <v>3302</v>
      </c>
      <c r="B3303" s="9" t="s">
        <v>172</v>
      </c>
      <c r="C3303" s="11" t="s">
        <v>183</v>
      </c>
      <c r="D3303" s="9" t="s">
        <v>12906</v>
      </c>
      <c r="E3303" s="9" t="s">
        <v>12907</v>
      </c>
      <c r="F3303" s="9" t="s">
        <v>12908</v>
      </c>
      <c r="G3303" s="9" t="s">
        <v>328</v>
      </c>
      <c r="H3303" s="14" t="s">
        <v>22</v>
      </c>
      <c r="I3303" s="9" t="s">
        <v>12909</v>
      </c>
      <c r="J3303" s="13"/>
      <c r="K3303" s="13"/>
    </row>
    <row r="3304" customFormat="false" ht="68.65" hidden="false" customHeight="false" outlineLevel="0" collapsed="false">
      <c r="A3304" s="9" t="n">
        <v>3303</v>
      </c>
      <c r="B3304" s="9" t="s">
        <v>172</v>
      </c>
      <c r="C3304" s="11" t="s">
        <v>183</v>
      </c>
      <c r="D3304" s="9" t="s">
        <v>12910</v>
      </c>
      <c r="E3304" s="9" t="s">
        <v>12911</v>
      </c>
      <c r="F3304" s="9" t="s">
        <v>12912</v>
      </c>
      <c r="G3304" s="9" t="s">
        <v>303</v>
      </c>
      <c r="H3304" s="12" t="s">
        <v>21</v>
      </c>
      <c r="I3304" s="9" t="s">
        <v>12913</v>
      </c>
      <c r="J3304" s="13"/>
      <c r="K3304" s="13"/>
    </row>
    <row r="3305" customFormat="false" ht="57.45" hidden="false" customHeight="false" outlineLevel="0" collapsed="false">
      <c r="A3305" s="9" t="n">
        <v>3304</v>
      </c>
      <c r="B3305" s="9" t="s">
        <v>172</v>
      </c>
      <c r="C3305" s="11" t="s">
        <v>183</v>
      </c>
      <c r="D3305" s="9" t="s">
        <v>12914</v>
      </c>
      <c r="E3305" s="9" t="s">
        <v>12915</v>
      </c>
      <c r="F3305" s="9" t="s">
        <v>12916</v>
      </c>
      <c r="G3305" s="9" t="s">
        <v>303</v>
      </c>
      <c r="H3305" s="14" t="s">
        <v>22</v>
      </c>
      <c r="I3305" s="9" t="s">
        <v>12917</v>
      </c>
      <c r="J3305" s="13"/>
      <c r="K3305" s="13"/>
    </row>
    <row r="3306" customFormat="false" ht="35.05" hidden="false" customHeight="false" outlineLevel="0" collapsed="false">
      <c r="A3306" s="9" t="n">
        <v>3305</v>
      </c>
      <c r="B3306" s="9" t="s">
        <v>172</v>
      </c>
      <c r="C3306" s="11" t="s">
        <v>183</v>
      </c>
      <c r="D3306" s="9" t="s">
        <v>12918</v>
      </c>
      <c r="E3306" s="9" t="s">
        <v>12919</v>
      </c>
      <c r="F3306" s="9" t="s">
        <v>12920</v>
      </c>
      <c r="G3306" s="9" t="s">
        <v>303</v>
      </c>
      <c r="H3306" s="12" t="s">
        <v>21</v>
      </c>
      <c r="I3306" s="9" t="s">
        <v>12921</v>
      </c>
      <c r="J3306" s="13"/>
      <c r="K3306" s="13"/>
    </row>
    <row r="3307" customFormat="false" ht="46.25" hidden="false" customHeight="false" outlineLevel="0" collapsed="false">
      <c r="A3307" s="9" t="n">
        <v>3306</v>
      </c>
      <c r="B3307" s="9" t="s">
        <v>172</v>
      </c>
      <c r="C3307" s="11" t="s">
        <v>183</v>
      </c>
      <c r="D3307" s="9" t="s">
        <v>12922</v>
      </c>
      <c r="E3307" s="9" t="s">
        <v>12923</v>
      </c>
      <c r="F3307" s="9" t="s">
        <v>12924</v>
      </c>
      <c r="G3307" s="9" t="s">
        <v>303</v>
      </c>
      <c r="H3307" s="14" t="s">
        <v>22</v>
      </c>
      <c r="I3307" s="9" t="s">
        <v>12925</v>
      </c>
      <c r="J3307" s="13"/>
      <c r="K3307" s="13"/>
    </row>
    <row r="3308" customFormat="false" ht="46.25" hidden="false" customHeight="false" outlineLevel="0" collapsed="false">
      <c r="A3308" s="9" t="n">
        <v>3307</v>
      </c>
      <c r="B3308" s="9" t="s">
        <v>172</v>
      </c>
      <c r="C3308" s="11" t="s">
        <v>183</v>
      </c>
      <c r="D3308" s="9" t="s">
        <v>12926</v>
      </c>
      <c r="E3308" s="9" t="s">
        <v>12927</v>
      </c>
      <c r="F3308" s="9" t="s">
        <v>12928</v>
      </c>
      <c r="G3308" s="9" t="s">
        <v>303</v>
      </c>
      <c r="H3308" s="14" t="s">
        <v>22</v>
      </c>
      <c r="I3308" s="9" t="s">
        <v>12929</v>
      </c>
      <c r="J3308" s="13"/>
      <c r="K3308" s="13"/>
    </row>
    <row r="3309" customFormat="false" ht="57.45" hidden="false" customHeight="false" outlineLevel="0" collapsed="false">
      <c r="A3309" s="9" t="n">
        <v>3308</v>
      </c>
      <c r="B3309" s="9" t="s">
        <v>172</v>
      </c>
      <c r="C3309" s="11" t="s">
        <v>183</v>
      </c>
      <c r="D3309" s="9" t="s">
        <v>12930</v>
      </c>
      <c r="E3309" s="9" t="s">
        <v>12931</v>
      </c>
      <c r="F3309" s="9" t="s">
        <v>12932</v>
      </c>
      <c r="G3309" s="9" t="s">
        <v>1072</v>
      </c>
      <c r="H3309" s="12" t="s">
        <v>21</v>
      </c>
      <c r="I3309" s="9" t="s">
        <v>12933</v>
      </c>
      <c r="J3309" s="13"/>
      <c r="K3309" s="13"/>
    </row>
    <row r="3310" customFormat="false" ht="57.45" hidden="false" customHeight="false" outlineLevel="0" collapsed="false">
      <c r="A3310" s="9" t="n">
        <v>3309</v>
      </c>
      <c r="B3310" s="9" t="s">
        <v>172</v>
      </c>
      <c r="C3310" s="11" t="s">
        <v>183</v>
      </c>
      <c r="D3310" s="9" t="s">
        <v>12934</v>
      </c>
      <c r="E3310" s="9" t="s">
        <v>12935</v>
      </c>
      <c r="F3310" s="9" t="s">
        <v>12936</v>
      </c>
      <c r="G3310" s="9" t="s">
        <v>1852</v>
      </c>
      <c r="H3310" s="12" t="s">
        <v>21</v>
      </c>
      <c r="I3310" s="9" t="s">
        <v>12937</v>
      </c>
      <c r="J3310" s="13"/>
      <c r="K3310" s="13"/>
    </row>
    <row r="3311" customFormat="false" ht="35.05" hidden="false" customHeight="false" outlineLevel="0" collapsed="false">
      <c r="A3311" s="9" t="n">
        <v>3310</v>
      </c>
      <c r="B3311" s="9" t="s">
        <v>172</v>
      </c>
      <c r="C3311" s="11" t="s">
        <v>183</v>
      </c>
      <c r="D3311" s="9" t="s">
        <v>12938</v>
      </c>
      <c r="E3311" s="9" t="s">
        <v>12939</v>
      </c>
      <c r="F3311" s="9" t="s">
        <v>12940</v>
      </c>
      <c r="G3311" s="9" t="s">
        <v>1072</v>
      </c>
      <c r="H3311" s="15" t="s">
        <v>23</v>
      </c>
      <c r="I3311" s="9" t="s">
        <v>12941</v>
      </c>
      <c r="J3311" s="13"/>
      <c r="K3311" s="13"/>
    </row>
    <row r="3312" customFormat="false" ht="46.25" hidden="false" customHeight="false" outlineLevel="0" collapsed="false">
      <c r="A3312" s="9" t="n">
        <v>3311</v>
      </c>
      <c r="B3312" s="9" t="s">
        <v>172</v>
      </c>
      <c r="C3312" s="11" t="s">
        <v>183</v>
      </c>
      <c r="D3312" s="9" t="s">
        <v>12942</v>
      </c>
      <c r="E3312" s="9" t="s">
        <v>12943</v>
      </c>
      <c r="F3312" s="9" t="s">
        <v>12944</v>
      </c>
      <c r="G3312" s="9" t="s">
        <v>12425</v>
      </c>
      <c r="H3312" s="15" t="s">
        <v>23</v>
      </c>
      <c r="I3312" s="9" t="s">
        <v>12945</v>
      </c>
      <c r="J3312" s="13"/>
      <c r="K3312" s="13"/>
    </row>
    <row r="3313" customFormat="false" ht="35.05" hidden="false" customHeight="false" outlineLevel="0" collapsed="false">
      <c r="A3313" s="9" t="n">
        <v>3312</v>
      </c>
      <c r="B3313" s="9" t="s">
        <v>172</v>
      </c>
      <c r="C3313" s="11" t="s">
        <v>183</v>
      </c>
      <c r="D3313" s="9" t="s">
        <v>12946</v>
      </c>
      <c r="E3313" s="9" t="s">
        <v>12947</v>
      </c>
      <c r="F3313" s="9" t="s">
        <v>12948</v>
      </c>
      <c r="G3313" s="9" t="s">
        <v>1072</v>
      </c>
      <c r="H3313" s="14" t="s">
        <v>22</v>
      </c>
      <c r="I3313" s="9" t="s">
        <v>12949</v>
      </c>
      <c r="J3313" s="13"/>
      <c r="K3313" s="13"/>
    </row>
    <row r="3314" customFormat="false" ht="35.05" hidden="false" customHeight="false" outlineLevel="0" collapsed="false">
      <c r="A3314" s="9" t="n">
        <v>3313</v>
      </c>
      <c r="B3314" s="9" t="s">
        <v>172</v>
      </c>
      <c r="C3314" s="11" t="s">
        <v>183</v>
      </c>
      <c r="D3314" s="9" t="s">
        <v>12950</v>
      </c>
      <c r="E3314" s="9" t="s">
        <v>12951</v>
      </c>
      <c r="F3314" s="9" t="s">
        <v>12952</v>
      </c>
      <c r="G3314" s="9" t="s">
        <v>312</v>
      </c>
      <c r="H3314" s="14" t="s">
        <v>22</v>
      </c>
      <c r="I3314" s="9" t="s">
        <v>12953</v>
      </c>
      <c r="J3314" s="13"/>
      <c r="K3314" s="13"/>
    </row>
    <row r="3315" customFormat="false" ht="35.05" hidden="false" customHeight="false" outlineLevel="0" collapsed="false">
      <c r="A3315" s="9" t="n">
        <v>3314</v>
      </c>
      <c r="B3315" s="9" t="s">
        <v>172</v>
      </c>
      <c r="C3315" s="11" t="s">
        <v>183</v>
      </c>
      <c r="D3315" s="9" t="s">
        <v>12954</v>
      </c>
      <c r="E3315" s="9" t="s">
        <v>12955</v>
      </c>
      <c r="F3315" s="9" t="s">
        <v>12956</v>
      </c>
      <c r="G3315" s="9" t="s">
        <v>312</v>
      </c>
      <c r="H3315" s="14" t="s">
        <v>22</v>
      </c>
      <c r="I3315" s="9" t="s">
        <v>12957</v>
      </c>
      <c r="J3315" s="13"/>
      <c r="K3315" s="13"/>
    </row>
    <row r="3316" customFormat="false" ht="46.25" hidden="false" customHeight="false" outlineLevel="0" collapsed="false">
      <c r="A3316" s="9" t="n">
        <v>3315</v>
      </c>
      <c r="B3316" s="9" t="s">
        <v>172</v>
      </c>
      <c r="C3316" s="11" t="s">
        <v>183</v>
      </c>
      <c r="D3316" s="9" t="s">
        <v>12958</v>
      </c>
      <c r="E3316" s="9" t="s">
        <v>12959</v>
      </c>
      <c r="F3316" s="9" t="s">
        <v>12960</v>
      </c>
      <c r="G3316" s="9" t="s">
        <v>1072</v>
      </c>
      <c r="H3316" s="15" t="s">
        <v>23</v>
      </c>
      <c r="I3316" s="9" t="s">
        <v>12961</v>
      </c>
      <c r="J3316" s="13"/>
      <c r="K3316" s="13"/>
    </row>
    <row r="3317" customFormat="false" ht="46.25" hidden="false" customHeight="false" outlineLevel="0" collapsed="false">
      <c r="A3317" s="9" t="n">
        <v>3316</v>
      </c>
      <c r="B3317" s="9" t="s">
        <v>172</v>
      </c>
      <c r="C3317" s="11" t="s">
        <v>183</v>
      </c>
      <c r="D3317" s="9" t="s">
        <v>12962</v>
      </c>
      <c r="E3317" s="9" t="s">
        <v>12963</v>
      </c>
      <c r="F3317" s="9" t="s">
        <v>12964</v>
      </c>
      <c r="G3317" s="9" t="s">
        <v>312</v>
      </c>
      <c r="H3317" s="15" t="s">
        <v>23</v>
      </c>
      <c r="I3317" s="9" t="s">
        <v>12965</v>
      </c>
      <c r="J3317" s="13"/>
      <c r="K3317" s="13"/>
    </row>
    <row r="3318" customFormat="false" ht="35.05" hidden="false" customHeight="false" outlineLevel="0" collapsed="false">
      <c r="A3318" s="9" t="n">
        <v>3317</v>
      </c>
      <c r="B3318" s="9" t="s">
        <v>172</v>
      </c>
      <c r="C3318" s="11" t="s">
        <v>183</v>
      </c>
      <c r="D3318" s="9" t="s">
        <v>12966</v>
      </c>
      <c r="E3318" s="9" t="s">
        <v>12967</v>
      </c>
      <c r="F3318" s="9" t="s">
        <v>12968</v>
      </c>
      <c r="G3318" s="9" t="s">
        <v>1072</v>
      </c>
      <c r="H3318" s="15" t="s">
        <v>23</v>
      </c>
      <c r="I3318" s="9" t="s">
        <v>12969</v>
      </c>
      <c r="J3318" s="13"/>
      <c r="K3318" s="13"/>
    </row>
    <row r="3319" customFormat="false" ht="35.05" hidden="false" customHeight="false" outlineLevel="0" collapsed="false">
      <c r="A3319" s="9" t="n">
        <v>3318</v>
      </c>
      <c r="B3319" s="9" t="s">
        <v>172</v>
      </c>
      <c r="C3319" s="11" t="s">
        <v>183</v>
      </c>
      <c r="D3319" s="9" t="s">
        <v>12970</v>
      </c>
      <c r="E3319" s="9" t="s">
        <v>12971</v>
      </c>
      <c r="F3319" s="9" t="s">
        <v>12972</v>
      </c>
      <c r="G3319" s="9" t="s">
        <v>312</v>
      </c>
      <c r="H3319" s="15" t="s">
        <v>23</v>
      </c>
      <c r="I3319" s="9" t="s">
        <v>12973</v>
      </c>
      <c r="J3319" s="13"/>
      <c r="K3319" s="13"/>
    </row>
    <row r="3320" customFormat="false" ht="35.05" hidden="false" customHeight="false" outlineLevel="0" collapsed="false">
      <c r="A3320" s="9" t="n">
        <v>3319</v>
      </c>
      <c r="B3320" s="9" t="s">
        <v>172</v>
      </c>
      <c r="C3320" s="11" t="s">
        <v>183</v>
      </c>
      <c r="D3320" s="9" t="s">
        <v>12974</v>
      </c>
      <c r="E3320" s="9" t="s">
        <v>12975</v>
      </c>
      <c r="F3320" s="9" t="s">
        <v>12976</v>
      </c>
      <c r="G3320" s="9" t="s">
        <v>1072</v>
      </c>
      <c r="H3320" s="15" t="s">
        <v>23</v>
      </c>
      <c r="I3320" s="9" t="s">
        <v>12977</v>
      </c>
      <c r="J3320" s="13"/>
      <c r="K3320" s="13"/>
    </row>
    <row r="3321" customFormat="false" ht="23.85" hidden="false" customHeight="false" outlineLevel="0" collapsed="false">
      <c r="A3321" s="9" t="n">
        <v>3320</v>
      </c>
      <c r="B3321" s="9" t="s">
        <v>172</v>
      </c>
      <c r="C3321" s="11" t="s">
        <v>183</v>
      </c>
      <c r="D3321" s="9" t="s">
        <v>12978</v>
      </c>
      <c r="E3321" s="9" t="s">
        <v>12979</v>
      </c>
      <c r="F3321" s="9" t="s">
        <v>12980</v>
      </c>
      <c r="G3321" s="9" t="s">
        <v>1072</v>
      </c>
      <c r="H3321" s="15" t="s">
        <v>23</v>
      </c>
      <c r="I3321" s="9" t="s">
        <v>12981</v>
      </c>
      <c r="J3321" s="13"/>
      <c r="K3321" s="13"/>
    </row>
    <row r="3322" customFormat="false" ht="35.05" hidden="false" customHeight="false" outlineLevel="0" collapsed="false">
      <c r="A3322" s="9" t="n">
        <v>3321</v>
      </c>
      <c r="B3322" s="9" t="s">
        <v>172</v>
      </c>
      <c r="C3322" s="11" t="s">
        <v>183</v>
      </c>
      <c r="D3322" s="9" t="s">
        <v>12982</v>
      </c>
      <c r="E3322" s="9" t="s">
        <v>12983</v>
      </c>
      <c r="F3322" s="9" t="s">
        <v>12984</v>
      </c>
      <c r="G3322" s="9" t="s">
        <v>1072</v>
      </c>
      <c r="H3322" s="15" t="s">
        <v>23</v>
      </c>
      <c r="I3322" s="9" t="s">
        <v>12985</v>
      </c>
      <c r="J3322" s="13"/>
      <c r="K3322" s="13"/>
    </row>
    <row r="3323" customFormat="false" ht="35.05" hidden="false" customHeight="false" outlineLevel="0" collapsed="false">
      <c r="A3323" s="9" t="n">
        <v>3322</v>
      </c>
      <c r="B3323" s="9" t="s">
        <v>172</v>
      </c>
      <c r="C3323" s="11" t="s">
        <v>183</v>
      </c>
      <c r="D3323" s="9" t="s">
        <v>12986</v>
      </c>
      <c r="E3323" s="9" t="s">
        <v>12987</v>
      </c>
      <c r="F3323" s="9" t="s">
        <v>12988</v>
      </c>
      <c r="G3323" s="9" t="s">
        <v>312</v>
      </c>
      <c r="H3323" s="15" t="s">
        <v>23</v>
      </c>
      <c r="I3323" s="9" t="s">
        <v>12989</v>
      </c>
      <c r="J3323" s="13"/>
      <c r="K3323" s="13"/>
    </row>
    <row r="3324" customFormat="false" ht="23.85" hidden="false" customHeight="false" outlineLevel="0" collapsed="false">
      <c r="A3324" s="9" t="n">
        <v>3323</v>
      </c>
      <c r="B3324" s="9" t="s">
        <v>172</v>
      </c>
      <c r="C3324" s="11" t="s">
        <v>183</v>
      </c>
      <c r="D3324" s="9" t="s">
        <v>12990</v>
      </c>
      <c r="E3324" s="9" t="s">
        <v>12991</v>
      </c>
      <c r="F3324" s="9" t="s">
        <v>12992</v>
      </c>
      <c r="G3324" s="9" t="s">
        <v>312</v>
      </c>
      <c r="H3324" s="15" t="s">
        <v>23</v>
      </c>
      <c r="I3324" s="9" t="s">
        <v>12993</v>
      </c>
      <c r="J3324" s="13"/>
      <c r="K3324" s="13"/>
    </row>
    <row r="3325" customFormat="false" ht="35.05" hidden="false" customHeight="false" outlineLevel="0" collapsed="false">
      <c r="A3325" s="9" t="n">
        <v>3324</v>
      </c>
      <c r="B3325" s="9" t="s">
        <v>172</v>
      </c>
      <c r="C3325" s="11" t="s">
        <v>183</v>
      </c>
      <c r="D3325" s="9" t="s">
        <v>12994</v>
      </c>
      <c r="E3325" s="9" t="s">
        <v>12995</v>
      </c>
      <c r="F3325" s="9" t="s">
        <v>12996</v>
      </c>
      <c r="G3325" s="9" t="s">
        <v>308</v>
      </c>
      <c r="H3325" s="15" t="s">
        <v>23</v>
      </c>
      <c r="I3325" s="9" t="s">
        <v>12997</v>
      </c>
      <c r="J3325" s="13"/>
      <c r="K3325" s="13"/>
    </row>
    <row r="3326" customFormat="false" ht="46.25" hidden="false" customHeight="false" outlineLevel="0" collapsed="false">
      <c r="A3326" s="9" t="n">
        <v>3325</v>
      </c>
      <c r="B3326" s="9" t="s">
        <v>172</v>
      </c>
      <c r="C3326" s="11" t="s">
        <v>183</v>
      </c>
      <c r="D3326" s="9" t="s">
        <v>12998</v>
      </c>
      <c r="E3326" s="9" t="s">
        <v>12999</v>
      </c>
      <c r="F3326" s="9" t="s">
        <v>13000</v>
      </c>
      <c r="G3326" s="9" t="s">
        <v>4961</v>
      </c>
      <c r="H3326" s="15" t="s">
        <v>23</v>
      </c>
      <c r="I3326" s="9" t="s">
        <v>13001</v>
      </c>
      <c r="J3326" s="13"/>
      <c r="K3326" s="13"/>
    </row>
    <row r="3327" customFormat="false" ht="23.85" hidden="false" customHeight="false" outlineLevel="0" collapsed="false">
      <c r="A3327" s="9" t="n">
        <v>3326</v>
      </c>
      <c r="B3327" s="9" t="s">
        <v>172</v>
      </c>
      <c r="C3327" s="11" t="s">
        <v>183</v>
      </c>
      <c r="D3327" s="9" t="s">
        <v>13002</v>
      </c>
      <c r="E3327" s="9" t="s">
        <v>13003</v>
      </c>
      <c r="F3327" s="9" t="s">
        <v>13004</v>
      </c>
      <c r="G3327" s="9" t="s">
        <v>324</v>
      </c>
      <c r="H3327" s="15" t="s">
        <v>23</v>
      </c>
      <c r="I3327" s="9" t="s">
        <v>13005</v>
      </c>
      <c r="J3327" s="13"/>
      <c r="K3327" s="13"/>
    </row>
    <row r="3328" customFormat="false" ht="35.05" hidden="false" customHeight="false" outlineLevel="0" collapsed="false">
      <c r="A3328" s="9" t="n">
        <v>3327</v>
      </c>
      <c r="B3328" s="9" t="s">
        <v>172</v>
      </c>
      <c r="C3328" s="11" t="s">
        <v>183</v>
      </c>
      <c r="D3328" s="9" t="s">
        <v>13006</v>
      </c>
      <c r="E3328" s="9" t="s">
        <v>13007</v>
      </c>
      <c r="F3328" s="9" t="s">
        <v>13008</v>
      </c>
      <c r="G3328" s="9" t="s">
        <v>312</v>
      </c>
      <c r="H3328" s="15" t="s">
        <v>23</v>
      </c>
      <c r="I3328" s="9" t="s">
        <v>13009</v>
      </c>
      <c r="J3328" s="13"/>
      <c r="K3328" s="13"/>
    </row>
    <row r="3329" customFormat="false" ht="35.05" hidden="false" customHeight="false" outlineLevel="0" collapsed="false">
      <c r="A3329" s="9" t="n">
        <v>3328</v>
      </c>
      <c r="B3329" s="9" t="s">
        <v>172</v>
      </c>
      <c r="C3329" s="11" t="s">
        <v>183</v>
      </c>
      <c r="D3329" s="9" t="s">
        <v>13010</v>
      </c>
      <c r="E3329" s="9" t="s">
        <v>13011</v>
      </c>
      <c r="F3329" s="9" t="s">
        <v>13012</v>
      </c>
      <c r="G3329" s="9" t="s">
        <v>312</v>
      </c>
      <c r="H3329" s="15" t="s">
        <v>23</v>
      </c>
      <c r="I3329" s="9" t="s">
        <v>13013</v>
      </c>
      <c r="J3329" s="13"/>
      <c r="K3329" s="13"/>
    </row>
    <row r="3330" customFormat="false" ht="46.25" hidden="false" customHeight="false" outlineLevel="0" collapsed="false">
      <c r="A3330" s="9" t="n">
        <v>3329</v>
      </c>
      <c r="B3330" s="9" t="s">
        <v>172</v>
      </c>
      <c r="C3330" s="11" t="s">
        <v>183</v>
      </c>
      <c r="D3330" s="9" t="s">
        <v>13014</v>
      </c>
      <c r="E3330" s="9" t="s">
        <v>13015</v>
      </c>
      <c r="F3330" s="9" t="s">
        <v>13016</v>
      </c>
      <c r="G3330" s="9" t="s">
        <v>308</v>
      </c>
      <c r="H3330" s="15" t="s">
        <v>23</v>
      </c>
      <c r="I3330" s="9" t="s">
        <v>13017</v>
      </c>
      <c r="J3330" s="13"/>
      <c r="K3330" s="13"/>
    </row>
    <row r="3331" customFormat="false" ht="35.05" hidden="false" customHeight="false" outlineLevel="0" collapsed="false">
      <c r="A3331" s="9" t="n">
        <v>3330</v>
      </c>
      <c r="B3331" s="9" t="s">
        <v>172</v>
      </c>
      <c r="C3331" s="11" t="s">
        <v>183</v>
      </c>
      <c r="D3331" s="9" t="s">
        <v>13018</v>
      </c>
      <c r="E3331" s="9" t="s">
        <v>13019</v>
      </c>
      <c r="F3331" s="9" t="s">
        <v>13020</v>
      </c>
      <c r="G3331" s="9" t="s">
        <v>312</v>
      </c>
      <c r="H3331" s="15" t="s">
        <v>23</v>
      </c>
      <c r="I3331" s="9" t="s">
        <v>13021</v>
      </c>
      <c r="J3331" s="13"/>
      <c r="K3331" s="13"/>
    </row>
    <row r="3332" customFormat="false" ht="57.45" hidden="false" customHeight="false" outlineLevel="0" collapsed="false">
      <c r="A3332" s="9" t="n">
        <v>3331</v>
      </c>
      <c r="B3332" s="9" t="s">
        <v>172</v>
      </c>
      <c r="C3332" s="11" t="s">
        <v>183</v>
      </c>
      <c r="D3332" s="9" t="s">
        <v>13022</v>
      </c>
      <c r="E3332" s="9" t="s">
        <v>13023</v>
      </c>
      <c r="F3332" s="9" t="s">
        <v>13024</v>
      </c>
      <c r="G3332" s="9" t="s">
        <v>24</v>
      </c>
      <c r="H3332" s="12" t="s">
        <v>21</v>
      </c>
      <c r="I3332" s="9" t="s">
        <v>13025</v>
      </c>
      <c r="J3332" s="13"/>
      <c r="K3332" s="13"/>
    </row>
    <row r="3333" customFormat="false" ht="23.85" hidden="false" customHeight="false" outlineLevel="0" collapsed="false">
      <c r="A3333" s="9" t="n">
        <v>3332</v>
      </c>
      <c r="B3333" s="9" t="s">
        <v>172</v>
      </c>
      <c r="C3333" s="11" t="s">
        <v>183</v>
      </c>
      <c r="D3333" s="9" t="s">
        <v>13026</v>
      </c>
      <c r="E3333" s="9" t="s">
        <v>13027</v>
      </c>
      <c r="F3333" s="9" t="s">
        <v>13028</v>
      </c>
      <c r="G3333" s="9" t="s">
        <v>24</v>
      </c>
      <c r="H3333" s="14" t="s">
        <v>22</v>
      </c>
      <c r="I3333" s="9" t="s">
        <v>13029</v>
      </c>
      <c r="J3333" s="13"/>
      <c r="K3333" s="13"/>
    </row>
    <row r="3334" customFormat="false" ht="23.85" hidden="false" customHeight="false" outlineLevel="0" collapsed="false">
      <c r="A3334" s="9" t="n">
        <v>3333</v>
      </c>
      <c r="B3334" s="9" t="s">
        <v>172</v>
      </c>
      <c r="C3334" s="11" t="s">
        <v>183</v>
      </c>
      <c r="D3334" s="9" t="s">
        <v>13030</v>
      </c>
      <c r="E3334" s="9" t="s">
        <v>13031</v>
      </c>
      <c r="F3334" s="9" t="s">
        <v>13032</v>
      </c>
      <c r="G3334" s="9" t="s">
        <v>24</v>
      </c>
      <c r="H3334" s="14" t="s">
        <v>22</v>
      </c>
      <c r="I3334" s="9" t="s">
        <v>13033</v>
      </c>
      <c r="J3334" s="13"/>
      <c r="K3334" s="13"/>
    </row>
    <row r="3335" customFormat="false" ht="35.05" hidden="false" customHeight="false" outlineLevel="0" collapsed="false">
      <c r="A3335" s="9" t="n">
        <v>3334</v>
      </c>
      <c r="B3335" s="9" t="s">
        <v>172</v>
      </c>
      <c r="C3335" s="11" t="s">
        <v>183</v>
      </c>
      <c r="D3335" s="9" t="s">
        <v>13034</v>
      </c>
      <c r="E3335" s="9" t="s">
        <v>358</v>
      </c>
      <c r="F3335" s="9" t="s">
        <v>13035</v>
      </c>
      <c r="G3335" s="9" t="s">
        <v>24</v>
      </c>
      <c r="H3335" s="14" t="s">
        <v>22</v>
      </c>
      <c r="I3335" s="9" t="s">
        <v>13036</v>
      </c>
      <c r="J3335" s="13"/>
      <c r="K3335" s="13"/>
    </row>
    <row r="3336" customFormat="false" ht="23.85" hidden="false" customHeight="false" outlineLevel="0" collapsed="false">
      <c r="A3336" s="9" t="n">
        <v>3335</v>
      </c>
      <c r="B3336" s="9" t="s">
        <v>172</v>
      </c>
      <c r="C3336" s="11" t="s">
        <v>183</v>
      </c>
      <c r="D3336" s="9" t="s">
        <v>13037</v>
      </c>
      <c r="E3336" s="9" t="s">
        <v>13038</v>
      </c>
      <c r="F3336" s="9" t="s">
        <v>13039</v>
      </c>
      <c r="G3336" s="9" t="s">
        <v>24</v>
      </c>
      <c r="H3336" s="14" t="s">
        <v>22</v>
      </c>
      <c r="I3336" s="9" t="s">
        <v>13040</v>
      </c>
      <c r="J3336" s="13"/>
      <c r="K3336" s="13"/>
    </row>
    <row r="3337" customFormat="false" ht="15" hidden="false" customHeight="false" outlineLevel="0" collapsed="false">
      <c r="A3337" s="9" t="n">
        <v>3336</v>
      </c>
      <c r="B3337" s="9" t="s">
        <v>172</v>
      </c>
      <c r="C3337" s="11" t="s">
        <v>183</v>
      </c>
      <c r="D3337" s="9" t="s">
        <v>13041</v>
      </c>
      <c r="E3337" s="9" t="s">
        <v>362</v>
      </c>
      <c r="F3337" s="9" t="s">
        <v>363</v>
      </c>
      <c r="G3337" s="9" t="s">
        <v>24</v>
      </c>
      <c r="H3337" s="14" t="s">
        <v>22</v>
      </c>
      <c r="I3337" s="9" t="s">
        <v>364</v>
      </c>
      <c r="J3337" s="13"/>
      <c r="K3337" s="13"/>
    </row>
    <row r="3338" customFormat="false" ht="35.05" hidden="false" customHeight="false" outlineLevel="0" collapsed="false">
      <c r="A3338" s="9" t="n">
        <v>3337</v>
      </c>
      <c r="B3338" s="9" t="s">
        <v>172</v>
      </c>
      <c r="C3338" s="11" t="s">
        <v>183</v>
      </c>
      <c r="D3338" s="9" t="s">
        <v>13042</v>
      </c>
      <c r="E3338" s="9" t="s">
        <v>13043</v>
      </c>
      <c r="F3338" s="9" t="s">
        <v>13044</v>
      </c>
      <c r="G3338" s="9" t="s">
        <v>24</v>
      </c>
      <c r="H3338" s="15" t="s">
        <v>23</v>
      </c>
      <c r="I3338" s="9" t="s">
        <v>13045</v>
      </c>
      <c r="J3338" s="13"/>
      <c r="K3338" s="13"/>
    </row>
    <row r="3339" customFormat="false" ht="23.85" hidden="false" customHeight="false" outlineLevel="0" collapsed="false">
      <c r="A3339" s="9" t="n">
        <v>3338</v>
      </c>
      <c r="B3339" s="9" t="s">
        <v>172</v>
      </c>
      <c r="C3339" s="11" t="s">
        <v>183</v>
      </c>
      <c r="D3339" s="9" t="s">
        <v>13046</v>
      </c>
      <c r="E3339" s="9" t="s">
        <v>13047</v>
      </c>
      <c r="F3339" s="9" t="s">
        <v>13048</v>
      </c>
      <c r="G3339" s="9" t="s">
        <v>24</v>
      </c>
      <c r="H3339" s="15" t="s">
        <v>23</v>
      </c>
      <c r="I3339" s="9" t="s">
        <v>13049</v>
      </c>
      <c r="J3339" s="13"/>
      <c r="K3339" s="13"/>
    </row>
    <row r="3340" customFormat="false" ht="23.85" hidden="false" customHeight="false" outlineLevel="0" collapsed="false">
      <c r="A3340" s="9" t="n">
        <v>3339</v>
      </c>
      <c r="B3340" s="9" t="s">
        <v>172</v>
      </c>
      <c r="C3340" s="11" t="s">
        <v>183</v>
      </c>
      <c r="D3340" s="9" t="s">
        <v>13050</v>
      </c>
      <c r="E3340" s="9" t="s">
        <v>13051</v>
      </c>
      <c r="F3340" s="9" t="s">
        <v>13052</v>
      </c>
      <c r="G3340" s="9" t="s">
        <v>24</v>
      </c>
      <c r="H3340" s="15" t="s">
        <v>23</v>
      </c>
      <c r="I3340" s="9" t="s">
        <v>13053</v>
      </c>
      <c r="J3340" s="13"/>
      <c r="K3340" s="13"/>
    </row>
    <row r="3341" customFormat="false" ht="23.85" hidden="false" customHeight="false" outlineLevel="0" collapsed="false">
      <c r="A3341" s="9" t="n">
        <v>3340</v>
      </c>
      <c r="B3341" s="9" t="s">
        <v>172</v>
      </c>
      <c r="C3341" s="11" t="s">
        <v>183</v>
      </c>
      <c r="D3341" s="9" t="s">
        <v>13054</v>
      </c>
      <c r="E3341" s="9" t="s">
        <v>13055</v>
      </c>
      <c r="F3341" s="9" t="s">
        <v>13056</v>
      </c>
      <c r="G3341" s="9" t="s">
        <v>24</v>
      </c>
      <c r="H3341" s="15" t="s">
        <v>23</v>
      </c>
      <c r="I3341" s="9" t="s">
        <v>13057</v>
      </c>
      <c r="J3341" s="13"/>
      <c r="K3341" s="13"/>
    </row>
    <row r="3342" customFormat="false" ht="23.85" hidden="false" customHeight="false" outlineLevel="0" collapsed="false">
      <c r="A3342" s="9" t="n">
        <v>3341</v>
      </c>
      <c r="B3342" s="9" t="s">
        <v>172</v>
      </c>
      <c r="C3342" s="11" t="s">
        <v>183</v>
      </c>
      <c r="D3342" s="9" t="s">
        <v>13058</v>
      </c>
      <c r="E3342" s="9" t="s">
        <v>13059</v>
      </c>
      <c r="F3342" s="9" t="s">
        <v>13060</v>
      </c>
      <c r="G3342" s="9" t="s">
        <v>24</v>
      </c>
      <c r="H3342" s="15" t="s">
        <v>23</v>
      </c>
      <c r="I3342" s="9" t="s">
        <v>13061</v>
      </c>
      <c r="J3342" s="13"/>
      <c r="K3342" s="13"/>
    </row>
    <row r="3343" customFormat="false" ht="23.85" hidden="false" customHeight="false" outlineLevel="0" collapsed="false">
      <c r="A3343" s="9" t="n">
        <v>3342</v>
      </c>
      <c r="B3343" s="9" t="s">
        <v>172</v>
      </c>
      <c r="C3343" s="11" t="s">
        <v>183</v>
      </c>
      <c r="D3343" s="9" t="s">
        <v>13062</v>
      </c>
      <c r="E3343" s="9" t="s">
        <v>9749</v>
      </c>
      <c r="F3343" s="9" t="s">
        <v>13063</v>
      </c>
      <c r="G3343" s="9" t="s">
        <v>24</v>
      </c>
      <c r="H3343" s="15" t="s">
        <v>23</v>
      </c>
      <c r="I3343" s="9" t="s">
        <v>13064</v>
      </c>
      <c r="J3343" s="13"/>
      <c r="K3343" s="13"/>
    </row>
    <row r="3344" customFormat="false" ht="23.85" hidden="false" customHeight="false" outlineLevel="0" collapsed="false">
      <c r="A3344" s="9" t="n">
        <v>3343</v>
      </c>
      <c r="B3344" s="9" t="s">
        <v>172</v>
      </c>
      <c r="C3344" s="11" t="s">
        <v>183</v>
      </c>
      <c r="D3344" s="9" t="s">
        <v>13065</v>
      </c>
      <c r="E3344" s="9" t="s">
        <v>13066</v>
      </c>
      <c r="F3344" s="9" t="s">
        <v>13067</v>
      </c>
      <c r="G3344" s="9" t="s">
        <v>24</v>
      </c>
      <c r="H3344" s="15" t="s">
        <v>23</v>
      </c>
      <c r="I3344" s="9" t="s">
        <v>13068</v>
      </c>
      <c r="J3344" s="13"/>
      <c r="K3344" s="13"/>
    </row>
    <row r="3345" customFormat="false" ht="46.25" hidden="false" customHeight="false" outlineLevel="0" collapsed="false">
      <c r="A3345" s="9" t="n">
        <v>3344</v>
      </c>
      <c r="B3345" s="9" t="s">
        <v>172</v>
      </c>
      <c r="C3345" s="11" t="s">
        <v>185</v>
      </c>
      <c r="D3345" s="9" t="s">
        <v>13069</v>
      </c>
      <c r="E3345" s="9" t="s">
        <v>13070</v>
      </c>
      <c r="F3345" s="9" t="s">
        <v>13071</v>
      </c>
      <c r="G3345" s="9" t="s">
        <v>328</v>
      </c>
      <c r="H3345" s="12" t="s">
        <v>21</v>
      </c>
      <c r="I3345" s="9" t="s">
        <v>13072</v>
      </c>
      <c r="J3345" s="13"/>
      <c r="K3345" s="13"/>
    </row>
    <row r="3346" customFormat="false" ht="135.8" hidden="false" customHeight="false" outlineLevel="0" collapsed="false">
      <c r="A3346" s="9" t="n">
        <v>3345</v>
      </c>
      <c r="B3346" s="9" t="s">
        <v>172</v>
      </c>
      <c r="C3346" s="11" t="s">
        <v>185</v>
      </c>
      <c r="D3346" s="9" t="s">
        <v>13073</v>
      </c>
      <c r="E3346" s="9" t="s">
        <v>13074</v>
      </c>
      <c r="F3346" s="9" t="s">
        <v>13075</v>
      </c>
      <c r="G3346" s="9" t="s">
        <v>4358</v>
      </c>
      <c r="H3346" s="12" t="s">
        <v>21</v>
      </c>
      <c r="I3346" s="9" t="s">
        <v>13076</v>
      </c>
      <c r="J3346" s="13"/>
      <c r="K3346" s="13"/>
    </row>
    <row r="3347" customFormat="false" ht="46.25" hidden="false" customHeight="false" outlineLevel="0" collapsed="false">
      <c r="A3347" s="9" t="n">
        <v>3346</v>
      </c>
      <c r="B3347" s="9" t="s">
        <v>172</v>
      </c>
      <c r="C3347" s="11" t="s">
        <v>185</v>
      </c>
      <c r="D3347" s="9" t="s">
        <v>13077</v>
      </c>
      <c r="E3347" s="9" t="s">
        <v>13078</v>
      </c>
      <c r="F3347" s="9" t="s">
        <v>13079</v>
      </c>
      <c r="G3347" s="9" t="s">
        <v>312</v>
      </c>
      <c r="H3347" s="12" t="s">
        <v>21</v>
      </c>
      <c r="I3347" s="9" t="s">
        <v>13080</v>
      </c>
      <c r="J3347" s="13"/>
      <c r="K3347" s="13"/>
    </row>
    <row r="3348" customFormat="false" ht="79.85" hidden="false" customHeight="false" outlineLevel="0" collapsed="false">
      <c r="A3348" s="9" t="n">
        <v>3347</v>
      </c>
      <c r="B3348" s="9" t="s">
        <v>172</v>
      </c>
      <c r="C3348" s="11" t="s">
        <v>185</v>
      </c>
      <c r="D3348" s="9" t="s">
        <v>13081</v>
      </c>
      <c r="E3348" s="9" t="s">
        <v>13082</v>
      </c>
      <c r="F3348" s="9" t="s">
        <v>13083</v>
      </c>
      <c r="G3348" s="9" t="s">
        <v>303</v>
      </c>
      <c r="H3348" s="12" t="s">
        <v>21</v>
      </c>
      <c r="I3348" s="9" t="s">
        <v>13084</v>
      </c>
      <c r="J3348" s="13"/>
      <c r="K3348" s="13"/>
    </row>
    <row r="3349" customFormat="false" ht="91" hidden="false" customHeight="false" outlineLevel="0" collapsed="false">
      <c r="A3349" s="9" t="n">
        <v>3348</v>
      </c>
      <c r="B3349" s="9" t="s">
        <v>172</v>
      </c>
      <c r="C3349" s="11" t="s">
        <v>185</v>
      </c>
      <c r="D3349" s="9" t="s">
        <v>13085</v>
      </c>
      <c r="E3349" s="9" t="s">
        <v>13086</v>
      </c>
      <c r="F3349" s="9" t="s">
        <v>13087</v>
      </c>
      <c r="G3349" s="9" t="s">
        <v>847</v>
      </c>
      <c r="H3349" s="12" t="s">
        <v>21</v>
      </c>
      <c r="I3349" s="9" t="s">
        <v>13088</v>
      </c>
      <c r="J3349" s="13"/>
      <c r="K3349" s="13"/>
    </row>
    <row r="3350" customFormat="false" ht="102.2" hidden="false" customHeight="false" outlineLevel="0" collapsed="false">
      <c r="A3350" s="9" t="n">
        <v>3349</v>
      </c>
      <c r="B3350" s="9" t="s">
        <v>172</v>
      </c>
      <c r="C3350" s="11" t="s">
        <v>185</v>
      </c>
      <c r="D3350" s="9" t="s">
        <v>13089</v>
      </c>
      <c r="E3350" s="9" t="s">
        <v>13090</v>
      </c>
      <c r="F3350" s="9" t="s">
        <v>13091</v>
      </c>
      <c r="G3350" s="9" t="s">
        <v>1852</v>
      </c>
      <c r="H3350" s="12" t="s">
        <v>21</v>
      </c>
      <c r="I3350" s="9" t="s">
        <v>13092</v>
      </c>
      <c r="J3350" s="13"/>
      <c r="K3350" s="13"/>
    </row>
    <row r="3351" customFormat="false" ht="79.85" hidden="false" customHeight="false" outlineLevel="0" collapsed="false">
      <c r="A3351" s="9" t="n">
        <v>3350</v>
      </c>
      <c r="B3351" s="9" t="s">
        <v>172</v>
      </c>
      <c r="C3351" s="11" t="s">
        <v>185</v>
      </c>
      <c r="D3351" s="9" t="s">
        <v>13093</v>
      </c>
      <c r="E3351" s="9" t="s">
        <v>13094</v>
      </c>
      <c r="F3351" s="9" t="s">
        <v>13095</v>
      </c>
      <c r="G3351" s="9" t="s">
        <v>1638</v>
      </c>
      <c r="H3351" s="14" t="s">
        <v>22</v>
      </c>
      <c r="I3351" s="9" t="s">
        <v>13096</v>
      </c>
      <c r="J3351" s="13"/>
      <c r="K3351" s="13"/>
    </row>
    <row r="3352" customFormat="false" ht="35.05" hidden="false" customHeight="false" outlineLevel="0" collapsed="false">
      <c r="A3352" s="9" t="n">
        <v>3351</v>
      </c>
      <c r="B3352" s="9" t="s">
        <v>172</v>
      </c>
      <c r="C3352" s="11" t="s">
        <v>185</v>
      </c>
      <c r="D3352" s="9" t="s">
        <v>13097</v>
      </c>
      <c r="E3352" s="9" t="s">
        <v>13098</v>
      </c>
      <c r="F3352" s="9" t="s">
        <v>13099</v>
      </c>
      <c r="G3352" s="9" t="s">
        <v>312</v>
      </c>
      <c r="H3352" s="14" t="s">
        <v>22</v>
      </c>
      <c r="I3352" s="9" t="s">
        <v>13100</v>
      </c>
      <c r="J3352" s="13"/>
      <c r="K3352" s="13"/>
    </row>
    <row r="3353" customFormat="false" ht="46.25" hidden="false" customHeight="false" outlineLevel="0" collapsed="false">
      <c r="A3353" s="9" t="n">
        <v>3352</v>
      </c>
      <c r="B3353" s="9" t="s">
        <v>172</v>
      </c>
      <c r="C3353" s="11" t="s">
        <v>185</v>
      </c>
      <c r="D3353" s="9" t="s">
        <v>13101</v>
      </c>
      <c r="E3353" s="9" t="s">
        <v>13102</v>
      </c>
      <c r="F3353" s="9" t="s">
        <v>13103</v>
      </c>
      <c r="G3353" s="9" t="s">
        <v>1852</v>
      </c>
      <c r="H3353" s="14" t="s">
        <v>22</v>
      </c>
      <c r="I3353" s="9" t="s">
        <v>13104</v>
      </c>
      <c r="J3353" s="13"/>
      <c r="K3353" s="13"/>
    </row>
    <row r="3354" customFormat="false" ht="35.05" hidden="false" customHeight="false" outlineLevel="0" collapsed="false">
      <c r="A3354" s="9" t="n">
        <v>3353</v>
      </c>
      <c r="B3354" s="9" t="s">
        <v>172</v>
      </c>
      <c r="C3354" s="11" t="s">
        <v>185</v>
      </c>
      <c r="D3354" s="9" t="s">
        <v>13105</v>
      </c>
      <c r="E3354" s="9" t="s">
        <v>13106</v>
      </c>
      <c r="F3354" s="9" t="s">
        <v>13107</v>
      </c>
      <c r="G3354" s="9" t="s">
        <v>312</v>
      </c>
      <c r="H3354" s="14" t="s">
        <v>22</v>
      </c>
      <c r="I3354" s="9" t="s">
        <v>13108</v>
      </c>
      <c r="J3354" s="13"/>
      <c r="K3354" s="13"/>
    </row>
    <row r="3355" customFormat="false" ht="35.05" hidden="false" customHeight="false" outlineLevel="0" collapsed="false">
      <c r="A3355" s="9" t="n">
        <v>3354</v>
      </c>
      <c r="B3355" s="9" t="s">
        <v>172</v>
      </c>
      <c r="C3355" s="11" t="s">
        <v>185</v>
      </c>
      <c r="D3355" s="9" t="s">
        <v>13109</v>
      </c>
      <c r="E3355" s="9" t="s">
        <v>13110</v>
      </c>
      <c r="F3355" s="9" t="s">
        <v>13111</v>
      </c>
      <c r="G3355" s="9" t="s">
        <v>312</v>
      </c>
      <c r="H3355" s="14" t="s">
        <v>22</v>
      </c>
      <c r="I3355" s="9" t="s">
        <v>13112</v>
      </c>
      <c r="J3355" s="13"/>
      <c r="K3355" s="13"/>
    </row>
    <row r="3356" customFormat="false" ht="57.45" hidden="false" customHeight="false" outlineLevel="0" collapsed="false">
      <c r="A3356" s="9" t="n">
        <v>3355</v>
      </c>
      <c r="B3356" s="9" t="s">
        <v>172</v>
      </c>
      <c r="C3356" s="11" t="s">
        <v>185</v>
      </c>
      <c r="D3356" s="9" t="s">
        <v>13113</v>
      </c>
      <c r="E3356" s="9" t="s">
        <v>13114</v>
      </c>
      <c r="F3356" s="9" t="s">
        <v>13115</v>
      </c>
      <c r="G3356" s="9" t="s">
        <v>1072</v>
      </c>
      <c r="H3356" s="14" t="s">
        <v>22</v>
      </c>
      <c r="I3356" s="9" t="s">
        <v>13116</v>
      </c>
      <c r="J3356" s="13"/>
      <c r="K3356" s="13"/>
    </row>
    <row r="3357" customFormat="false" ht="46.25" hidden="false" customHeight="false" outlineLevel="0" collapsed="false">
      <c r="A3357" s="9" t="n">
        <v>3356</v>
      </c>
      <c r="B3357" s="9" t="s">
        <v>172</v>
      </c>
      <c r="C3357" s="11" t="s">
        <v>185</v>
      </c>
      <c r="D3357" s="9" t="s">
        <v>13117</v>
      </c>
      <c r="E3357" s="9" t="s">
        <v>13118</v>
      </c>
      <c r="F3357" s="9" t="s">
        <v>13119</v>
      </c>
      <c r="G3357" s="9" t="s">
        <v>303</v>
      </c>
      <c r="H3357" s="15" t="s">
        <v>23</v>
      </c>
      <c r="I3357" s="9" t="s">
        <v>13120</v>
      </c>
      <c r="J3357" s="13"/>
      <c r="K3357" s="13"/>
    </row>
    <row r="3358" customFormat="false" ht="35.05" hidden="false" customHeight="false" outlineLevel="0" collapsed="false">
      <c r="A3358" s="9" t="n">
        <v>3357</v>
      </c>
      <c r="B3358" s="9" t="s">
        <v>172</v>
      </c>
      <c r="C3358" s="11" t="s">
        <v>185</v>
      </c>
      <c r="D3358" s="9" t="s">
        <v>13121</v>
      </c>
      <c r="E3358" s="9" t="s">
        <v>13122</v>
      </c>
      <c r="F3358" s="9" t="s">
        <v>13123</v>
      </c>
      <c r="G3358" s="9" t="s">
        <v>1072</v>
      </c>
      <c r="H3358" s="14" t="s">
        <v>22</v>
      </c>
      <c r="I3358" s="9" t="s">
        <v>13124</v>
      </c>
      <c r="J3358" s="13"/>
      <c r="K3358" s="13"/>
    </row>
    <row r="3359" customFormat="false" ht="57.45" hidden="false" customHeight="false" outlineLevel="0" collapsed="false">
      <c r="A3359" s="9" t="n">
        <v>3358</v>
      </c>
      <c r="B3359" s="9" t="s">
        <v>172</v>
      </c>
      <c r="C3359" s="11" t="s">
        <v>185</v>
      </c>
      <c r="D3359" s="9" t="s">
        <v>13125</v>
      </c>
      <c r="E3359" s="9" t="s">
        <v>13126</v>
      </c>
      <c r="F3359" s="9" t="s">
        <v>13127</v>
      </c>
      <c r="G3359" s="9" t="s">
        <v>312</v>
      </c>
      <c r="H3359" s="14" t="s">
        <v>22</v>
      </c>
      <c r="I3359" s="9" t="s">
        <v>13128</v>
      </c>
      <c r="J3359" s="13"/>
      <c r="K3359" s="13"/>
    </row>
    <row r="3360" customFormat="false" ht="46.25" hidden="false" customHeight="false" outlineLevel="0" collapsed="false">
      <c r="A3360" s="9" t="n">
        <v>3359</v>
      </c>
      <c r="B3360" s="9" t="s">
        <v>172</v>
      </c>
      <c r="C3360" s="11" t="s">
        <v>185</v>
      </c>
      <c r="D3360" s="9" t="s">
        <v>13129</v>
      </c>
      <c r="E3360" s="9" t="s">
        <v>13130</v>
      </c>
      <c r="F3360" s="9" t="s">
        <v>13131</v>
      </c>
      <c r="G3360" s="9" t="s">
        <v>5016</v>
      </c>
      <c r="H3360" s="14" t="s">
        <v>22</v>
      </c>
      <c r="I3360" s="9" t="s">
        <v>13132</v>
      </c>
      <c r="J3360" s="13"/>
      <c r="K3360" s="13"/>
    </row>
    <row r="3361" customFormat="false" ht="57.45" hidden="false" customHeight="false" outlineLevel="0" collapsed="false">
      <c r="A3361" s="9" t="n">
        <v>3360</v>
      </c>
      <c r="B3361" s="9" t="s">
        <v>172</v>
      </c>
      <c r="C3361" s="11" t="s">
        <v>185</v>
      </c>
      <c r="D3361" s="9" t="s">
        <v>13133</v>
      </c>
      <c r="E3361" s="9" t="s">
        <v>13134</v>
      </c>
      <c r="F3361" s="9" t="s">
        <v>13135</v>
      </c>
      <c r="G3361" s="9" t="s">
        <v>392</v>
      </c>
      <c r="H3361" s="14" t="s">
        <v>22</v>
      </c>
      <c r="I3361" s="9" t="s">
        <v>13136</v>
      </c>
      <c r="J3361" s="13"/>
      <c r="K3361" s="13"/>
    </row>
    <row r="3362" customFormat="false" ht="57.45" hidden="false" customHeight="false" outlineLevel="0" collapsed="false">
      <c r="A3362" s="9" t="n">
        <v>3361</v>
      </c>
      <c r="B3362" s="9" t="s">
        <v>172</v>
      </c>
      <c r="C3362" s="11" t="s">
        <v>185</v>
      </c>
      <c r="D3362" s="9" t="s">
        <v>13137</v>
      </c>
      <c r="E3362" s="9" t="s">
        <v>13138</v>
      </c>
      <c r="F3362" s="9" t="s">
        <v>13139</v>
      </c>
      <c r="G3362" s="9" t="s">
        <v>392</v>
      </c>
      <c r="H3362" s="15" t="s">
        <v>23</v>
      </c>
      <c r="I3362" s="9" t="s">
        <v>13140</v>
      </c>
      <c r="J3362" s="13"/>
      <c r="K3362" s="13"/>
    </row>
    <row r="3363" customFormat="false" ht="46.25" hidden="false" customHeight="false" outlineLevel="0" collapsed="false">
      <c r="A3363" s="9" t="n">
        <v>3362</v>
      </c>
      <c r="B3363" s="9" t="s">
        <v>172</v>
      </c>
      <c r="C3363" s="11" t="s">
        <v>185</v>
      </c>
      <c r="D3363" s="9" t="s">
        <v>13141</v>
      </c>
      <c r="E3363" s="9" t="s">
        <v>13142</v>
      </c>
      <c r="F3363" s="9" t="s">
        <v>13143</v>
      </c>
      <c r="G3363" s="9" t="s">
        <v>308</v>
      </c>
      <c r="H3363" s="15" t="s">
        <v>23</v>
      </c>
      <c r="I3363" s="9" t="s">
        <v>13144</v>
      </c>
      <c r="J3363" s="13"/>
      <c r="K3363" s="13"/>
    </row>
    <row r="3364" customFormat="false" ht="57.45" hidden="false" customHeight="false" outlineLevel="0" collapsed="false">
      <c r="A3364" s="9" t="n">
        <v>3363</v>
      </c>
      <c r="B3364" s="9" t="s">
        <v>172</v>
      </c>
      <c r="C3364" s="11" t="s">
        <v>185</v>
      </c>
      <c r="D3364" s="9" t="s">
        <v>13145</v>
      </c>
      <c r="E3364" s="9" t="s">
        <v>13146</v>
      </c>
      <c r="F3364" s="9" t="s">
        <v>13147</v>
      </c>
      <c r="G3364" s="9" t="s">
        <v>1421</v>
      </c>
      <c r="H3364" s="15" t="s">
        <v>23</v>
      </c>
      <c r="I3364" s="9" t="s">
        <v>13148</v>
      </c>
      <c r="J3364" s="13"/>
      <c r="K3364" s="13"/>
    </row>
    <row r="3365" customFormat="false" ht="46.25" hidden="false" customHeight="false" outlineLevel="0" collapsed="false">
      <c r="A3365" s="9" t="n">
        <v>3364</v>
      </c>
      <c r="B3365" s="9" t="s">
        <v>172</v>
      </c>
      <c r="C3365" s="11" t="s">
        <v>185</v>
      </c>
      <c r="D3365" s="9" t="s">
        <v>13149</v>
      </c>
      <c r="E3365" s="9" t="s">
        <v>13150</v>
      </c>
      <c r="F3365" s="9" t="s">
        <v>13151</v>
      </c>
      <c r="G3365" s="9" t="s">
        <v>12425</v>
      </c>
      <c r="H3365" s="15" t="s">
        <v>23</v>
      </c>
      <c r="I3365" s="9" t="s">
        <v>13152</v>
      </c>
      <c r="J3365" s="13"/>
      <c r="K3365" s="13"/>
    </row>
    <row r="3366" customFormat="false" ht="35.05" hidden="false" customHeight="false" outlineLevel="0" collapsed="false">
      <c r="A3366" s="9" t="n">
        <v>3365</v>
      </c>
      <c r="B3366" s="9" t="s">
        <v>172</v>
      </c>
      <c r="C3366" s="11" t="s">
        <v>185</v>
      </c>
      <c r="D3366" s="9" t="s">
        <v>13153</v>
      </c>
      <c r="E3366" s="9" t="s">
        <v>13154</v>
      </c>
      <c r="F3366" s="9" t="s">
        <v>13155</v>
      </c>
      <c r="G3366" s="9" t="s">
        <v>328</v>
      </c>
      <c r="H3366" s="15" t="s">
        <v>23</v>
      </c>
      <c r="I3366" s="9" t="s">
        <v>13156</v>
      </c>
      <c r="J3366" s="13"/>
      <c r="K3366" s="13"/>
    </row>
    <row r="3367" customFormat="false" ht="23.85" hidden="false" customHeight="false" outlineLevel="0" collapsed="false">
      <c r="A3367" s="9" t="n">
        <v>3366</v>
      </c>
      <c r="B3367" s="9" t="s">
        <v>172</v>
      </c>
      <c r="C3367" s="11" t="s">
        <v>185</v>
      </c>
      <c r="D3367" s="9" t="s">
        <v>13157</v>
      </c>
      <c r="E3367" s="9" t="s">
        <v>13158</v>
      </c>
      <c r="F3367" s="9" t="s">
        <v>13159</v>
      </c>
      <c r="G3367" s="9" t="s">
        <v>303</v>
      </c>
      <c r="H3367" s="15" t="s">
        <v>23</v>
      </c>
      <c r="I3367" s="9" t="s">
        <v>13160</v>
      </c>
      <c r="J3367" s="13"/>
      <c r="K3367" s="13"/>
    </row>
    <row r="3368" customFormat="false" ht="23.85" hidden="false" customHeight="false" outlineLevel="0" collapsed="false">
      <c r="A3368" s="9" t="n">
        <v>3367</v>
      </c>
      <c r="B3368" s="9" t="s">
        <v>172</v>
      </c>
      <c r="C3368" s="11" t="s">
        <v>185</v>
      </c>
      <c r="D3368" s="9" t="s">
        <v>13161</v>
      </c>
      <c r="E3368" s="9" t="s">
        <v>13162</v>
      </c>
      <c r="F3368" s="9" t="s">
        <v>13163</v>
      </c>
      <c r="G3368" s="9" t="s">
        <v>303</v>
      </c>
      <c r="H3368" s="15" t="s">
        <v>23</v>
      </c>
      <c r="I3368" s="9" t="s">
        <v>13164</v>
      </c>
      <c r="J3368" s="13"/>
      <c r="K3368" s="13"/>
    </row>
    <row r="3369" customFormat="false" ht="46.25" hidden="false" customHeight="false" outlineLevel="0" collapsed="false">
      <c r="A3369" s="9" t="n">
        <v>3368</v>
      </c>
      <c r="B3369" s="9" t="s">
        <v>172</v>
      </c>
      <c r="C3369" s="11" t="s">
        <v>185</v>
      </c>
      <c r="D3369" s="9" t="s">
        <v>13165</v>
      </c>
      <c r="E3369" s="9" t="s">
        <v>13166</v>
      </c>
      <c r="F3369" s="9" t="s">
        <v>13167</v>
      </c>
      <c r="G3369" s="9" t="s">
        <v>308</v>
      </c>
      <c r="H3369" s="15" t="s">
        <v>23</v>
      </c>
      <c r="I3369" s="9" t="s">
        <v>13168</v>
      </c>
      <c r="J3369" s="13"/>
      <c r="K3369" s="13"/>
    </row>
    <row r="3370" customFormat="false" ht="46.25" hidden="false" customHeight="false" outlineLevel="0" collapsed="false">
      <c r="A3370" s="9" t="n">
        <v>3369</v>
      </c>
      <c r="B3370" s="9" t="s">
        <v>172</v>
      </c>
      <c r="C3370" s="11" t="s">
        <v>185</v>
      </c>
      <c r="D3370" s="9" t="s">
        <v>13169</v>
      </c>
      <c r="E3370" s="9" t="s">
        <v>13170</v>
      </c>
      <c r="F3370" s="9" t="s">
        <v>13171</v>
      </c>
      <c r="G3370" s="9" t="s">
        <v>312</v>
      </c>
      <c r="H3370" s="15" t="s">
        <v>23</v>
      </c>
      <c r="I3370" s="9" t="s">
        <v>13172</v>
      </c>
      <c r="J3370" s="13"/>
      <c r="K3370" s="13"/>
    </row>
    <row r="3371" customFormat="false" ht="23.85" hidden="false" customHeight="false" outlineLevel="0" collapsed="false">
      <c r="A3371" s="9" t="n">
        <v>3370</v>
      </c>
      <c r="B3371" s="9" t="s">
        <v>172</v>
      </c>
      <c r="C3371" s="11" t="s">
        <v>185</v>
      </c>
      <c r="D3371" s="9" t="s">
        <v>13173</v>
      </c>
      <c r="E3371" s="9" t="s">
        <v>13174</v>
      </c>
      <c r="F3371" s="9" t="s">
        <v>13175</v>
      </c>
      <c r="G3371" s="9" t="s">
        <v>1139</v>
      </c>
      <c r="H3371" s="15" t="s">
        <v>23</v>
      </c>
      <c r="I3371" s="9" t="s">
        <v>13176</v>
      </c>
      <c r="J3371" s="13"/>
      <c r="K3371" s="13"/>
    </row>
    <row r="3372" customFormat="false" ht="23.85" hidden="false" customHeight="false" outlineLevel="0" collapsed="false">
      <c r="A3372" s="9" t="n">
        <v>3371</v>
      </c>
      <c r="B3372" s="9" t="s">
        <v>172</v>
      </c>
      <c r="C3372" s="11" t="s">
        <v>185</v>
      </c>
      <c r="D3372" s="9" t="s">
        <v>13177</v>
      </c>
      <c r="E3372" s="9" t="s">
        <v>13178</v>
      </c>
      <c r="F3372" s="9" t="s">
        <v>13179</v>
      </c>
      <c r="G3372" s="9" t="s">
        <v>312</v>
      </c>
      <c r="H3372" s="15" t="s">
        <v>23</v>
      </c>
      <c r="I3372" s="9" t="s">
        <v>13180</v>
      </c>
      <c r="J3372" s="13"/>
      <c r="K3372" s="13"/>
    </row>
    <row r="3373" customFormat="false" ht="35.05" hidden="false" customHeight="false" outlineLevel="0" collapsed="false">
      <c r="A3373" s="9" t="n">
        <v>3372</v>
      </c>
      <c r="B3373" s="9" t="s">
        <v>172</v>
      </c>
      <c r="C3373" s="11" t="s">
        <v>185</v>
      </c>
      <c r="D3373" s="9" t="s">
        <v>13181</v>
      </c>
      <c r="E3373" s="9" t="s">
        <v>13182</v>
      </c>
      <c r="F3373" s="9" t="s">
        <v>13183</v>
      </c>
      <c r="G3373" s="9" t="s">
        <v>317</v>
      </c>
      <c r="H3373" s="15" t="s">
        <v>23</v>
      </c>
      <c r="I3373" s="9" t="s">
        <v>13184</v>
      </c>
      <c r="J3373" s="13"/>
      <c r="K3373" s="13"/>
    </row>
    <row r="3374" customFormat="false" ht="46.25" hidden="false" customHeight="false" outlineLevel="0" collapsed="false">
      <c r="A3374" s="9" t="n">
        <v>3373</v>
      </c>
      <c r="B3374" s="9" t="s">
        <v>172</v>
      </c>
      <c r="C3374" s="11" t="s">
        <v>185</v>
      </c>
      <c r="D3374" s="9" t="s">
        <v>13185</v>
      </c>
      <c r="E3374" s="9" t="s">
        <v>13186</v>
      </c>
      <c r="F3374" s="9" t="s">
        <v>13187</v>
      </c>
      <c r="G3374" s="9" t="s">
        <v>24</v>
      </c>
      <c r="H3374" s="12" t="s">
        <v>21</v>
      </c>
      <c r="I3374" s="9" t="s">
        <v>13188</v>
      </c>
      <c r="J3374" s="13"/>
      <c r="K3374" s="13"/>
    </row>
    <row r="3375" customFormat="false" ht="46.25" hidden="false" customHeight="false" outlineLevel="0" collapsed="false">
      <c r="A3375" s="9" t="n">
        <v>3374</v>
      </c>
      <c r="B3375" s="9" t="s">
        <v>172</v>
      </c>
      <c r="C3375" s="11" t="s">
        <v>185</v>
      </c>
      <c r="D3375" s="9" t="s">
        <v>13189</v>
      </c>
      <c r="E3375" s="9" t="s">
        <v>13190</v>
      </c>
      <c r="F3375" s="9" t="s">
        <v>13191</v>
      </c>
      <c r="G3375" s="9" t="s">
        <v>24</v>
      </c>
      <c r="H3375" s="12" t="s">
        <v>21</v>
      </c>
      <c r="I3375" s="9" t="s">
        <v>13192</v>
      </c>
      <c r="J3375" s="13"/>
      <c r="K3375" s="13"/>
    </row>
    <row r="3376" customFormat="false" ht="23.85" hidden="false" customHeight="false" outlineLevel="0" collapsed="false">
      <c r="A3376" s="9" t="n">
        <v>3375</v>
      </c>
      <c r="B3376" s="9" t="s">
        <v>172</v>
      </c>
      <c r="C3376" s="11" t="s">
        <v>185</v>
      </c>
      <c r="D3376" s="9" t="s">
        <v>13193</v>
      </c>
      <c r="E3376" s="9" t="s">
        <v>13194</v>
      </c>
      <c r="F3376" s="9" t="s">
        <v>13195</v>
      </c>
      <c r="G3376" s="9" t="s">
        <v>24</v>
      </c>
      <c r="H3376" s="14" t="s">
        <v>22</v>
      </c>
      <c r="I3376" s="9" t="s">
        <v>13196</v>
      </c>
      <c r="J3376" s="13"/>
      <c r="K3376" s="13"/>
    </row>
    <row r="3377" customFormat="false" ht="23.85" hidden="false" customHeight="false" outlineLevel="0" collapsed="false">
      <c r="A3377" s="9" t="n">
        <v>3376</v>
      </c>
      <c r="B3377" s="9" t="s">
        <v>172</v>
      </c>
      <c r="C3377" s="11" t="s">
        <v>185</v>
      </c>
      <c r="D3377" s="9" t="s">
        <v>13197</v>
      </c>
      <c r="E3377" s="9" t="s">
        <v>358</v>
      </c>
      <c r="F3377" s="9" t="s">
        <v>13198</v>
      </c>
      <c r="G3377" s="9" t="s">
        <v>24</v>
      </c>
      <c r="H3377" s="14" t="s">
        <v>22</v>
      </c>
      <c r="I3377" s="9" t="s">
        <v>5550</v>
      </c>
      <c r="J3377" s="13"/>
      <c r="K3377" s="13"/>
    </row>
    <row r="3378" customFormat="false" ht="15" hidden="false" customHeight="false" outlineLevel="0" collapsed="false">
      <c r="A3378" s="9" t="n">
        <v>3377</v>
      </c>
      <c r="B3378" s="9" t="s">
        <v>172</v>
      </c>
      <c r="C3378" s="11" t="s">
        <v>185</v>
      </c>
      <c r="D3378" s="9" t="s">
        <v>13199</v>
      </c>
      <c r="E3378" s="9" t="s">
        <v>13038</v>
      </c>
      <c r="F3378" s="9" t="s">
        <v>13200</v>
      </c>
      <c r="G3378" s="9" t="s">
        <v>24</v>
      </c>
      <c r="H3378" s="14" t="s">
        <v>22</v>
      </c>
      <c r="I3378" s="9" t="s">
        <v>13201</v>
      </c>
      <c r="J3378" s="13"/>
      <c r="K3378" s="13"/>
    </row>
    <row r="3379" customFormat="false" ht="15" hidden="false" customHeight="false" outlineLevel="0" collapsed="false">
      <c r="A3379" s="9" t="n">
        <v>3378</v>
      </c>
      <c r="B3379" s="9" t="s">
        <v>172</v>
      </c>
      <c r="C3379" s="11" t="s">
        <v>185</v>
      </c>
      <c r="D3379" s="9" t="s">
        <v>13202</v>
      </c>
      <c r="E3379" s="9" t="s">
        <v>362</v>
      </c>
      <c r="F3379" s="9" t="s">
        <v>363</v>
      </c>
      <c r="G3379" s="9" t="s">
        <v>24</v>
      </c>
      <c r="H3379" s="14" t="s">
        <v>22</v>
      </c>
      <c r="I3379" s="9" t="s">
        <v>364</v>
      </c>
      <c r="J3379" s="13"/>
      <c r="K3379" s="13"/>
    </row>
    <row r="3380" customFormat="false" ht="35.05" hidden="false" customHeight="false" outlineLevel="0" collapsed="false">
      <c r="A3380" s="9" t="n">
        <v>3379</v>
      </c>
      <c r="B3380" s="9" t="s">
        <v>172</v>
      </c>
      <c r="C3380" s="11" t="s">
        <v>185</v>
      </c>
      <c r="D3380" s="9" t="s">
        <v>13203</v>
      </c>
      <c r="E3380" s="9" t="s">
        <v>13204</v>
      </c>
      <c r="F3380" s="9" t="s">
        <v>13205</v>
      </c>
      <c r="G3380" s="9" t="s">
        <v>24</v>
      </c>
      <c r="H3380" s="15" t="s">
        <v>23</v>
      </c>
      <c r="I3380" s="9" t="s">
        <v>13206</v>
      </c>
      <c r="J3380" s="13"/>
      <c r="K3380" s="13"/>
    </row>
    <row r="3381" customFormat="false" ht="35.05" hidden="false" customHeight="false" outlineLevel="0" collapsed="false">
      <c r="A3381" s="9" t="n">
        <v>3380</v>
      </c>
      <c r="B3381" s="9" t="s">
        <v>172</v>
      </c>
      <c r="C3381" s="11" t="s">
        <v>185</v>
      </c>
      <c r="D3381" s="9" t="s">
        <v>13207</v>
      </c>
      <c r="E3381" s="9" t="s">
        <v>13208</v>
      </c>
      <c r="F3381" s="9" t="s">
        <v>13209</v>
      </c>
      <c r="G3381" s="9" t="s">
        <v>24</v>
      </c>
      <c r="H3381" s="15" t="s">
        <v>23</v>
      </c>
      <c r="I3381" s="9" t="s">
        <v>13210</v>
      </c>
      <c r="J3381" s="13"/>
      <c r="K3381" s="13"/>
    </row>
    <row r="3382" customFormat="false" ht="23.85" hidden="false" customHeight="false" outlineLevel="0" collapsed="false">
      <c r="A3382" s="9" t="n">
        <v>3381</v>
      </c>
      <c r="B3382" s="9" t="s">
        <v>172</v>
      </c>
      <c r="C3382" s="11" t="s">
        <v>185</v>
      </c>
      <c r="D3382" s="9" t="s">
        <v>13211</v>
      </c>
      <c r="E3382" s="9" t="s">
        <v>13212</v>
      </c>
      <c r="F3382" s="9" t="s">
        <v>13213</v>
      </c>
      <c r="G3382" s="9" t="s">
        <v>24</v>
      </c>
      <c r="H3382" s="15" t="s">
        <v>23</v>
      </c>
      <c r="I3382" s="9" t="s">
        <v>13214</v>
      </c>
      <c r="J3382" s="13"/>
      <c r="K3382" s="13"/>
    </row>
    <row r="3383" customFormat="false" ht="15" hidden="false" customHeight="false" outlineLevel="0" collapsed="false">
      <c r="A3383" s="9" t="n">
        <v>3382</v>
      </c>
      <c r="B3383" s="9" t="s">
        <v>172</v>
      </c>
      <c r="C3383" s="11" t="s">
        <v>185</v>
      </c>
      <c r="D3383" s="9" t="s">
        <v>13215</v>
      </c>
      <c r="E3383" s="9" t="s">
        <v>13216</v>
      </c>
      <c r="F3383" s="9" t="s">
        <v>13217</v>
      </c>
      <c r="G3383" s="9" t="s">
        <v>24</v>
      </c>
      <c r="H3383" s="15" t="s">
        <v>23</v>
      </c>
      <c r="I3383" s="9" t="s">
        <v>13218</v>
      </c>
      <c r="J3383" s="13"/>
      <c r="K3383" s="13"/>
    </row>
    <row r="3384" customFormat="false" ht="23.85" hidden="false" customHeight="false" outlineLevel="0" collapsed="false">
      <c r="A3384" s="9" t="n">
        <v>3383</v>
      </c>
      <c r="B3384" s="9" t="s">
        <v>172</v>
      </c>
      <c r="C3384" s="11" t="s">
        <v>185</v>
      </c>
      <c r="D3384" s="9" t="s">
        <v>13219</v>
      </c>
      <c r="E3384" s="9" t="s">
        <v>13220</v>
      </c>
      <c r="F3384" s="9" t="s">
        <v>13221</v>
      </c>
      <c r="G3384" s="9" t="s">
        <v>24</v>
      </c>
      <c r="H3384" s="15" t="s">
        <v>23</v>
      </c>
      <c r="I3384" s="9" t="s">
        <v>13222</v>
      </c>
      <c r="J3384" s="13"/>
      <c r="K3384" s="13"/>
    </row>
    <row r="3385" customFormat="false" ht="23.85" hidden="false" customHeight="false" outlineLevel="0" collapsed="false">
      <c r="A3385" s="9" t="n">
        <v>3384</v>
      </c>
      <c r="B3385" s="9" t="s">
        <v>172</v>
      </c>
      <c r="C3385" s="11" t="s">
        <v>185</v>
      </c>
      <c r="D3385" s="9" t="s">
        <v>13223</v>
      </c>
      <c r="E3385" s="9" t="s">
        <v>13224</v>
      </c>
      <c r="F3385" s="9" t="s">
        <v>13225</v>
      </c>
      <c r="G3385" s="9" t="s">
        <v>24</v>
      </c>
      <c r="H3385" s="15" t="s">
        <v>23</v>
      </c>
      <c r="I3385" s="9" t="s">
        <v>13226</v>
      </c>
      <c r="J3385" s="13"/>
      <c r="K3385" s="13"/>
    </row>
    <row r="3386" customFormat="false" ht="15" hidden="false" customHeight="false" outlineLevel="0" collapsed="false">
      <c r="A3386" s="9" t="n">
        <v>3385</v>
      </c>
      <c r="B3386" s="9" t="s">
        <v>172</v>
      </c>
      <c r="C3386" s="11" t="s">
        <v>185</v>
      </c>
      <c r="D3386" s="9" t="s">
        <v>13227</v>
      </c>
      <c r="E3386" s="9" t="s">
        <v>9749</v>
      </c>
      <c r="F3386" s="9" t="s">
        <v>13228</v>
      </c>
      <c r="G3386" s="9" t="s">
        <v>24</v>
      </c>
      <c r="H3386" s="15" t="s">
        <v>23</v>
      </c>
      <c r="I3386" s="9" t="s">
        <v>13229</v>
      </c>
      <c r="J3386" s="13"/>
      <c r="K3386" s="13"/>
    </row>
    <row r="3387" customFormat="false" ht="46.25" hidden="false" customHeight="false" outlineLevel="0" collapsed="false">
      <c r="A3387" s="9" t="n">
        <v>3386</v>
      </c>
      <c r="B3387" s="9" t="s">
        <v>172</v>
      </c>
      <c r="C3387" s="11" t="s">
        <v>187</v>
      </c>
      <c r="D3387" s="9" t="s">
        <v>13230</v>
      </c>
      <c r="E3387" s="9" t="s">
        <v>13231</v>
      </c>
      <c r="F3387" s="9" t="s">
        <v>13232</v>
      </c>
      <c r="G3387" s="9" t="s">
        <v>328</v>
      </c>
      <c r="H3387" s="12" t="s">
        <v>21</v>
      </c>
      <c r="I3387" s="9" t="s">
        <v>13233</v>
      </c>
      <c r="J3387" s="13"/>
      <c r="K3387" s="13"/>
    </row>
    <row r="3388" customFormat="false" ht="91" hidden="false" customHeight="false" outlineLevel="0" collapsed="false">
      <c r="A3388" s="9" t="n">
        <v>3387</v>
      </c>
      <c r="B3388" s="9" t="s">
        <v>172</v>
      </c>
      <c r="C3388" s="11" t="s">
        <v>187</v>
      </c>
      <c r="D3388" s="9" t="s">
        <v>13234</v>
      </c>
      <c r="E3388" s="9" t="s">
        <v>13235</v>
      </c>
      <c r="F3388" s="9" t="s">
        <v>13236</v>
      </c>
      <c r="G3388" s="9" t="s">
        <v>1852</v>
      </c>
      <c r="H3388" s="12" t="s">
        <v>21</v>
      </c>
      <c r="I3388" s="9" t="s">
        <v>13237</v>
      </c>
      <c r="J3388" s="13"/>
      <c r="K3388" s="13"/>
    </row>
    <row r="3389" customFormat="false" ht="57.45" hidden="false" customHeight="false" outlineLevel="0" collapsed="false">
      <c r="A3389" s="9" t="n">
        <v>3388</v>
      </c>
      <c r="B3389" s="9" t="s">
        <v>172</v>
      </c>
      <c r="C3389" s="11" t="s">
        <v>187</v>
      </c>
      <c r="D3389" s="9" t="s">
        <v>13238</v>
      </c>
      <c r="E3389" s="9" t="s">
        <v>13239</v>
      </c>
      <c r="F3389" s="9" t="s">
        <v>13240</v>
      </c>
      <c r="G3389" s="9" t="s">
        <v>1072</v>
      </c>
      <c r="H3389" s="12" t="s">
        <v>21</v>
      </c>
      <c r="I3389" s="9" t="s">
        <v>13241</v>
      </c>
      <c r="J3389" s="13"/>
      <c r="K3389" s="13"/>
    </row>
    <row r="3390" customFormat="false" ht="57.45" hidden="false" customHeight="false" outlineLevel="0" collapsed="false">
      <c r="A3390" s="9" t="n">
        <v>3389</v>
      </c>
      <c r="B3390" s="9" t="s">
        <v>172</v>
      </c>
      <c r="C3390" s="11" t="s">
        <v>187</v>
      </c>
      <c r="D3390" s="9" t="s">
        <v>13242</v>
      </c>
      <c r="E3390" s="9" t="s">
        <v>13243</v>
      </c>
      <c r="F3390" s="9" t="s">
        <v>13244</v>
      </c>
      <c r="G3390" s="9" t="s">
        <v>5016</v>
      </c>
      <c r="H3390" s="14" t="s">
        <v>22</v>
      </c>
      <c r="I3390" s="9" t="s">
        <v>13245</v>
      </c>
      <c r="J3390" s="13"/>
      <c r="K3390" s="13"/>
    </row>
    <row r="3391" customFormat="false" ht="57.45" hidden="false" customHeight="false" outlineLevel="0" collapsed="false">
      <c r="A3391" s="9" t="n">
        <v>3390</v>
      </c>
      <c r="B3391" s="9" t="s">
        <v>172</v>
      </c>
      <c r="C3391" s="11" t="s">
        <v>187</v>
      </c>
      <c r="D3391" s="9" t="s">
        <v>13246</v>
      </c>
      <c r="E3391" s="9" t="s">
        <v>13247</v>
      </c>
      <c r="F3391" s="9" t="s">
        <v>13248</v>
      </c>
      <c r="G3391" s="9" t="s">
        <v>1072</v>
      </c>
      <c r="H3391" s="12" t="s">
        <v>21</v>
      </c>
      <c r="I3391" s="9" t="s">
        <v>13249</v>
      </c>
      <c r="J3391" s="13"/>
      <c r="K3391" s="13"/>
    </row>
    <row r="3392" customFormat="false" ht="57.45" hidden="false" customHeight="false" outlineLevel="0" collapsed="false">
      <c r="A3392" s="9" t="n">
        <v>3391</v>
      </c>
      <c r="B3392" s="9" t="s">
        <v>172</v>
      </c>
      <c r="C3392" s="11" t="s">
        <v>187</v>
      </c>
      <c r="D3392" s="9" t="s">
        <v>13250</v>
      </c>
      <c r="E3392" s="9" t="s">
        <v>13251</v>
      </c>
      <c r="F3392" s="9" t="s">
        <v>13252</v>
      </c>
      <c r="G3392" s="9" t="s">
        <v>312</v>
      </c>
      <c r="H3392" s="14" t="s">
        <v>22</v>
      </c>
      <c r="I3392" s="9" t="s">
        <v>13253</v>
      </c>
      <c r="J3392" s="13"/>
      <c r="K3392" s="13"/>
    </row>
    <row r="3393" customFormat="false" ht="46.25" hidden="false" customHeight="false" outlineLevel="0" collapsed="false">
      <c r="A3393" s="9" t="n">
        <v>3392</v>
      </c>
      <c r="B3393" s="9" t="s">
        <v>172</v>
      </c>
      <c r="C3393" s="11" t="s">
        <v>187</v>
      </c>
      <c r="D3393" s="9" t="s">
        <v>13254</v>
      </c>
      <c r="E3393" s="9" t="s">
        <v>13255</v>
      </c>
      <c r="F3393" s="9" t="s">
        <v>13256</v>
      </c>
      <c r="G3393" s="9" t="s">
        <v>312</v>
      </c>
      <c r="H3393" s="14" t="s">
        <v>22</v>
      </c>
      <c r="I3393" s="9" t="s">
        <v>13257</v>
      </c>
      <c r="J3393" s="13"/>
      <c r="K3393" s="13"/>
    </row>
    <row r="3394" customFormat="false" ht="57.45" hidden="false" customHeight="false" outlineLevel="0" collapsed="false">
      <c r="A3394" s="9" t="n">
        <v>3393</v>
      </c>
      <c r="B3394" s="9" t="s">
        <v>172</v>
      </c>
      <c r="C3394" s="11" t="s">
        <v>187</v>
      </c>
      <c r="D3394" s="9" t="s">
        <v>13258</v>
      </c>
      <c r="E3394" s="9" t="s">
        <v>13259</v>
      </c>
      <c r="F3394" s="9" t="s">
        <v>13260</v>
      </c>
      <c r="G3394" s="9" t="s">
        <v>303</v>
      </c>
      <c r="H3394" s="14" t="s">
        <v>22</v>
      </c>
      <c r="I3394" s="9" t="s">
        <v>13261</v>
      </c>
      <c r="J3394" s="13"/>
      <c r="K3394" s="13"/>
    </row>
    <row r="3395" customFormat="false" ht="35.05" hidden="false" customHeight="false" outlineLevel="0" collapsed="false">
      <c r="A3395" s="9" t="n">
        <v>3394</v>
      </c>
      <c r="B3395" s="9" t="s">
        <v>172</v>
      </c>
      <c r="C3395" s="11" t="s">
        <v>187</v>
      </c>
      <c r="D3395" s="9" t="s">
        <v>13262</v>
      </c>
      <c r="E3395" s="9" t="s">
        <v>13263</v>
      </c>
      <c r="F3395" s="9" t="s">
        <v>13264</v>
      </c>
      <c r="G3395" s="9" t="s">
        <v>303</v>
      </c>
      <c r="H3395" s="14" t="s">
        <v>22</v>
      </c>
      <c r="I3395" s="9" t="s">
        <v>13265</v>
      </c>
      <c r="J3395" s="13"/>
      <c r="K3395" s="13"/>
    </row>
    <row r="3396" customFormat="false" ht="57.45" hidden="false" customHeight="false" outlineLevel="0" collapsed="false">
      <c r="A3396" s="9" t="n">
        <v>3395</v>
      </c>
      <c r="B3396" s="9" t="s">
        <v>172</v>
      </c>
      <c r="C3396" s="11" t="s">
        <v>187</v>
      </c>
      <c r="D3396" s="9" t="s">
        <v>13266</v>
      </c>
      <c r="E3396" s="9" t="s">
        <v>13267</v>
      </c>
      <c r="F3396" s="9" t="s">
        <v>13268</v>
      </c>
      <c r="G3396" s="9" t="s">
        <v>9837</v>
      </c>
      <c r="H3396" s="14" t="s">
        <v>22</v>
      </c>
      <c r="I3396" s="9" t="s">
        <v>13269</v>
      </c>
      <c r="J3396" s="13"/>
      <c r="K3396" s="13"/>
    </row>
    <row r="3397" customFormat="false" ht="57.45" hidden="false" customHeight="false" outlineLevel="0" collapsed="false">
      <c r="A3397" s="9" t="n">
        <v>3396</v>
      </c>
      <c r="B3397" s="9" t="s">
        <v>172</v>
      </c>
      <c r="C3397" s="11" t="s">
        <v>187</v>
      </c>
      <c r="D3397" s="9" t="s">
        <v>13270</v>
      </c>
      <c r="E3397" s="9" t="s">
        <v>13271</v>
      </c>
      <c r="F3397" s="9" t="s">
        <v>13272</v>
      </c>
      <c r="G3397" s="9" t="s">
        <v>303</v>
      </c>
      <c r="H3397" s="14" t="s">
        <v>22</v>
      </c>
      <c r="I3397" s="9" t="s">
        <v>13273</v>
      </c>
      <c r="J3397" s="13"/>
      <c r="K3397" s="13"/>
    </row>
    <row r="3398" customFormat="false" ht="46.25" hidden="false" customHeight="false" outlineLevel="0" collapsed="false">
      <c r="A3398" s="9" t="n">
        <v>3397</v>
      </c>
      <c r="B3398" s="9" t="s">
        <v>172</v>
      </c>
      <c r="C3398" s="11" t="s">
        <v>187</v>
      </c>
      <c r="D3398" s="9" t="s">
        <v>13274</v>
      </c>
      <c r="E3398" s="9" t="s">
        <v>13275</v>
      </c>
      <c r="F3398" s="9" t="s">
        <v>13276</v>
      </c>
      <c r="G3398" s="9" t="s">
        <v>312</v>
      </c>
      <c r="H3398" s="14" t="s">
        <v>22</v>
      </c>
      <c r="I3398" s="9" t="s">
        <v>13277</v>
      </c>
      <c r="J3398" s="13"/>
      <c r="K3398" s="13"/>
    </row>
    <row r="3399" customFormat="false" ht="46.25" hidden="false" customHeight="false" outlineLevel="0" collapsed="false">
      <c r="A3399" s="9" t="n">
        <v>3398</v>
      </c>
      <c r="B3399" s="9" t="s">
        <v>172</v>
      </c>
      <c r="C3399" s="11" t="s">
        <v>187</v>
      </c>
      <c r="D3399" s="9" t="s">
        <v>13278</v>
      </c>
      <c r="E3399" s="9" t="s">
        <v>13279</v>
      </c>
      <c r="F3399" s="9" t="s">
        <v>13280</v>
      </c>
      <c r="G3399" s="9" t="s">
        <v>392</v>
      </c>
      <c r="H3399" s="14" t="s">
        <v>22</v>
      </c>
      <c r="I3399" s="9" t="s">
        <v>13281</v>
      </c>
      <c r="J3399" s="13"/>
      <c r="K3399" s="13"/>
    </row>
    <row r="3400" customFormat="false" ht="35.05" hidden="false" customHeight="false" outlineLevel="0" collapsed="false">
      <c r="A3400" s="9" t="n">
        <v>3399</v>
      </c>
      <c r="B3400" s="9" t="s">
        <v>172</v>
      </c>
      <c r="C3400" s="11" t="s">
        <v>187</v>
      </c>
      <c r="D3400" s="9" t="s">
        <v>13282</v>
      </c>
      <c r="E3400" s="9" t="s">
        <v>13283</v>
      </c>
      <c r="F3400" s="9" t="s">
        <v>13284</v>
      </c>
      <c r="G3400" s="9" t="s">
        <v>12425</v>
      </c>
      <c r="H3400" s="15" t="s">
        <v>23</v>
      </c>
      <c r="I3400" s="9" t="s">
        <v>13285</v>
      </c>
      <c r="J3400" s="13"/>
      <c r="K3400" s="13"/>
    </row>
    <row r="3401" customFormat="false" ht="46.25" hidden="false" customHeight="false" outlineLevel="0" collapsed="false">
      <c r="A3401" s="9" t="n">
        <v>3400</v>
      </c>
      <c r="B3401" s="9" t="s">
        <v>172</v>
      </c>
      <c r="C3401" s="11" t="s">
        <v>187</v>
      </c>
      <c r="D3401" s="9" t="s">
        <v>13286</v>
      </c>
      <c r="E3401" s="9" t="s">
        <v>13287</v>
      </c>
      <c r="F3401" s="9" t="s">
        <v>13288</v>
      </c>
      <c r="G3401" s="9" t="s">
        <v>312</v>
      </c>
      <c r="H3401" s="15" t="s">
        <v>23</v>
      </c>
      <c r="I3401" s="9" t="s">
        <v>13289</v>
      </c>
      <c r="J3401" s="13"/>
      <c r="K3401" s="13"/>
    </row>
    <row r="3402" customFormat="false" ht="46.25" hidden="false" customHeight="false" outlineLevel="0" collapsed="false">
      <c r="A3402" s="9" t="n">
        <v>3401</v>
      </c>
      <c r="B3402" s="9" t="s">
        <v>172</v>
      </c>
      <c r="C3402" s="11" t="s">
        <v>187</v>
      </c>
      <c r="D3402" s="9" t="s">
        <v>13290</v>
      </c>
      <c r="E3402" s="9" t="s">
        <v>13291</v>
      </c>
      <c r="F3402" s="9" t="s">
        <v>13292</v>
      </c>
      <c r="G3402" s="9" t="s">
        <v>12425</v>
      </c>
      <c r="H3402" s="15" t="s">
        <v>23</v>
      </c>
      <c r="I3402" s="9" t="s">
        <v>13293</v>
      </c>
      <c r="J3402" s="13"/>
      <c r="K3402" s="13"/>
    </row>
    <row r="3403" customFormat="false" ht="46.25" hidden="false" customHeight="false" outlineLevel="0" collapsed="false">
      <c r="A3403" s="9" t="n">
        <v>3402</v>
      </c>
      <c r="B3403" s="9" t="s">
        <v>172</v>
      </c>
      <c r="C3403" s="11" t="s">
        <v>187</v>
      </c>
      <c r="D3403" s="9" t="s">
        <v>13294</v>
      </c>
      <c r="E3403" s="9" t="s">
        <v>13295</v>
      </c>
      <c r="F3403" s="9" t="s">
        <v>13296</v>
      </c>
      <c r="G3403" s="9" t="s">
        <v>328</v>
      </c>
      <c r="H3403" s="15" t="s">
        <v>23</v>
      </c>
      <c r="I3403" s="9" t="s">
        <v>13297</v>
      </c>
      <c r="J3403" s="13"/>
      <c r="K3403" s="13"/>
    </row>
    <row r="3404" customFormat="false" ht="46.25" hidden="false" customHeight="false" outlineLevel="0" collapsed="false">
      <c r="A3404" s="9" t="n">
        <v>3403</v>
      </c>
      <c r="B3404" s="9" t="s">
        <v>172</v>
      </c>
      <c r="C3404" s="11" t="s">
        <v>187</v>
      </c>
      <c r="D3404" s="9" t="s">
        <v>13298</v>
      </c>
      <c r="E3404" s="9" t="s">
        <v>13299</v>
      </c>
      <c r="F3404" s="9" t="s">
        <v>13300</v>
      </c>
      <c r="G3404" s="9" t="s">
        <v>312</v>
      </c>
      <c r="H3404" s="15" t="s">
        <v>23</v>
      </c>
      <c r="I3404" s="9" t="s">
        <v>13301</v>
      </c>
      <c r="J3404" s="13"/>
      <c r="K3404" s="13"/>
    </row>
    <row r="3405" customFormat="false" ht="46.25" hidden="false" customHeight="false" outlineLevel="0" collapsed="false">
      <c r="A3405" s="9" t="n">
        <v>3404</v>
      </c>
      <c r="B3405" s="9" t="s">
        <v>172</v>
      </c>
      <c r="C3405" s="11" t="s">
        <v>187</v>
      </c>
      <c r="D3405" s="9" t="s">
        <v>13302</v>
      </c>
      <c r="E3405" s="9" t="s">
        <v>13303</v>
      </c>
      <c r="F3405" s="9" t="s">
        <v>13304</v>
      </c>
      <c r="G3405" s="9" t="s">
        <v>312</v>
      </c>
      <c r="H3405" s="15" t="s">
        <v>23</v>
      </c>
      <c r="I3405" s="9" t="s">
        <v>13305</v>
      </c>
      <c r="J3405" s="13"/>
      <c r="K3405" s="13"/>
    </row>
    <row r="3406" customFormat="false" ht="46.25" hidden="false" customHeight="false" outlineLevel="0" collapsed="false">
      <c r="A3406" s="9" t="n">
        <v>3405</v>
      </c>
      <c r="B3406" s="9" t="s">
        <v>172</v>
      </c>
      <c r="C3406" s="11" t="s">
        <v>187</v>
      </c>
      <c r="D3406" s="9" t="s">
        <v>13306</v>
      </c>
      <c r="E3406" s="9" t="s">
        <v>13307</v>
      </c>
      <c r="F3406" s="9" t="s">
        <v>13308</v>
      </c>
      <c r="G3406" s="9" t="s">
        <v>1072</v>
      </c>
      <c r="H3406" s="15" t="s">
        <v>23</v>
      </c>
      <c r="I3406" s="9" t="s">
        <v>13309</v>
      </c>
      <c r="J3406" s="13"/>
      <c r="K3406" s="13"/>
    </row>
    <row r="3407" customFormat="false" ht="35.05" hidden="false" customHeight="false" outlineLevel="0" collapsed="false">
      <c r="A3407" s="9" t="n">
        <v>3406</v>
      </c>
      <c r="B3407" s="9" t="s">
        <v>172</v>
      </c>
      <c r="C3407" s="11" t="s">
        <v>187</v>
      </c>
      <c r="D3407" s="9" t="s">
        <v>13310</v>
      </c>
      <c r="E3407" s="9" t="s">
        <v>13311</v>
      </c>
      <c r="F3407" s="9" t="s">
        <v>13312</v>
      </c>
      <c r="G3407" s="9" t="s">
        <v>312</v>
      </c>
      <c r="H3407" s="15" t="s">
        <v>23</v>
      </c>
      <c r="I3407" s="9" t="s">
        <v>13313</v>
      </c>
      <c r="J3407" s="13"/>
      <c r="K3407" s="13"/>
    </row>
    <row r="3408" customFormat="false" ht="23.85" hidden="false" customHeight="false" outlineLevel="0" collapsed="false">
      <c r="A3408" s="9" t="n">
        <v>3407</v>
      </c>
      <c r="B3408" s="9" t="s">
        <v>172</v>
      </c>
      <c r="C3408" s="11" t="s">
        <v>187</v>
      </c>
      <c r="D3408" s="9" t="s">
        <v>13314</v>
      </c>
      <c r="E3408" s="9" t="s">
        <v>13315</v>
      </c>
      <c r="F3408" s="9" t="s">
        <v>13316</v>
      </c>
      <c r="G3408" s="9" t="s">
        <v>312</v>
      </c>
      <c r="H3408" s="15" t="s">
        <v>23</v>
      </c>
      <c r="I3408" s="9" t="s">
        <v>13317</v>
      </c>
      <c r="J3408" s="13"/>
      <c r="K3408" s="13"/>
    </row>
    <row r="3409" customFormat="false" ht="46.25" hidden="false" customHeight="false" outlineLevel="0" collapsed="false">
      <c r="A3409" s="9" t="n">
        <v>3408</v>
      </c>
      <c r="B3409" s="9" t="s">
        <v>172</v>
      </c>
      <c r="C3409" s="11" t="s">
        <v>187</v>
      </c>
      <c r="D3409" s="9" t="s">
        <v>13318</v>
      </c>
      <c r="E3409" s="9" t="s">
        <v>13319</v>
      </c>
      <c r="F3409" s="9" t="s">
        <v>13320</v>
      </c>
      <c r="G3409" s="9" t="s">
        <v>308</v>
      </c>
      <c r="H3409" s="15" t="s">
        <v>23</v>
      </c>
      <c r="I3409" s="9" t="s">
        <v>13321</v>
      </c>
      <c r="J3409" s="13"/>
      <c r="K3409" s="13"/>
    </row>
    <row r="3410" customFormat="false" ht="15" hidden="false" customHeight="false" outlineLevel="0" collapsed="false">
      <c r="A3410" s="9" t="n">
        <v>3409</v>
      </c>
      <c r="B3410" s="9" t="s">
        <v>172</v>
      </c>
      <c r="C3410" s="11" t="s">
        <v>187</v>
      </c>
      <c r="D3410" s="9" t="s">
        <v>13322</v>
      </c>
      <c r="E3410" s="9" t="s">
        <v>13003</v>
      </c>
      <c r="F3410" s="9" t="s">
        <v>13323</v>
      </c>
      <c r="G3410" s="9" t="s">
        <v>324</v>
      </c>
      <c r="H3410" s="15" t="s">
        <v>23</v>
      </c>
      <c r="I3410" s="9" t="s">
        <v>13324</v>
      </c>
      <c r="J3410" s="13"/>
      <c r="K3410" s="13"/>
    </row>
    <row r="3411" customFormat="false" ht="35.05" hidden="false" customHeight="false" outlineLevel="0" collapsed="false">
      <c r="A3411" s="9" t="n">
        <v>3410</v>
      </c>
      <c r="B3411" s="9" t="s">
        <v>172</v>
      </c>
      <c r="C3411" s="11" t="s">
        <v>187</v>
      </c>
      <c r="D3411" s="9" t="s">
        <v>13325</v>
      </c>
      <c r="E3411" s="9" t="s">
        <v>13326</v>
      </c>
      <c r="F3411" s="9" t="s">
        <v>13327</v>
      </c>
      <c r="G3411" s="9" t="s">
        <v>312</v>
      </c>
      <c r="H3411" s="15" t="s">
        <v>23</v>
      </c>
      <c r="I3411" s="9" t="s">
        <v>13328</v>
      </c>
      <c r="J3411" s="13"/>
      <c r="K3411" s="13"/>
    </row>
    <row r="3412" customFormat="false" ht="46.25" hidden="false" customHeight="false" outlineLevel="0" collapsed="false">
      <c r="A3412" s="9" t="n">
        <v>3411</v>
      </c>
      <c r="B3412" s="9" t="s">
        <v>172</v>
      </c>
      <c r="C3412" s="11" t="s">
        <v>187</v>
      </c>
      <c r="D3412" s="9" t="s">
        <v>13329</v>
      </c>
      <c r="E3412" s="9" t="s">
        <v>13330</v>
      </c>
      <c r="F3412" s="9" t="s">
        <v>13331</v>
      </c>
      <c r="G3412" s="9" t="s">
        <v>24</v>
      </c>
      <c r="H3412" s="14" t="s">
        <v>22</v>
      </c>
      <c r="I3412" s="9" t="s">
        <v>13332</v>
      </c>
      <c r="J3412" s="13"/>
      <c r="K3412" s="13"/>
    </row>
    <row r="3413" customFormat="false" ht="46.25" hidden="false" customHeight="false" outlineLevel="0" collapsed="false">
      <c r="A3413" s="9" t="n">
        <v>3412</v>
      </c>
      <c r="B3413" s="9" t="s">
        <v>172</v>
      </c>
      <c r="C3413" s="11" t="s">
        <v>187</v>
      </c>
      <c r="D3413" s="9" t="s">
        <v>13333</v>
      </c>
      <c r="E3413" s="9" t="s">
        <v>13334</v>
      </c>
      <c r="F3413" s="9" t="s">
        <v>13335</v>
      </c>
      <c r="G3413" s="9" t="s">
        <v>24</v>
      </c>
      <c r="H3413" s="14" t="s">
        <v>22</v>
      </c>
      <c r="I3413" s="9" t="s">
        <v>13336</v>
      </c>
      <c r="J3413" s="13"/>
      <c r="K3413" s="13"/>
    </row>
    <row r="3414" customFormat="false" ht="23.85" hidden="false" customHeight="false" outlineLevel="0" collapsed="false">
      <c r="A3414" s="9" t="n">
        <v>3413</v>
      </c>
      <c r="B3414" s="9" t="s">
        <v>172</v>
      </c>
      <c r="C3414" s="11" t="s">
        <v>187</v>
      </c>
      <c r="D3414" s="9" t="s">
        <v>13337</v>
      </c>
      <c r="E3414" s="9" t="s">
        <v>13338</v>
      </c>
      <c r="F3414" s="9" t="s">
        <v>13339</v>
      </c>
      <c r="G3414" s="9" t="s">
        <v>24</v>
      </c>
      <c r="H3414" s="14" t="s">
        <v>22</v>
      </c>
      <c r="I3414" s="9" t="s">
        <v>13340</v>
      </c>
      <c r="J3414" s="13"/>
      <c r="K3414" s="13"/>
    </row>
    <row r="3415" customFormat="false" ht="15" hidden="false" customHeight="false" outlineLevel="0" collapsed="false">
      <c r="A3415" s="9" t="n">
        <v>3414</v>
      </c>
      <c r="B3415" s="9" t="s">
        <v>172</v>
      </c>
      <c r="C3415" s="11" t="s">
        <v>187</v>
      </c>
      <c r="D3415" s="9" t="s">
        <v>13341</v>
      </c>
      <c r="E3415" s="9" t="s">
        <v>358</v>
      </c>
      <c r="F3415" s="9" t="s">
        <v>13342</v>
      </c>
      <c r="G3415" s="9" t="s">
        <v>24</v>
      </c>
      <c r="H3415" s="14" t="s">
        <v>22</v>
      </c>
      <c r="I3415" s="9" t="s">
        <v>5550</v>
      </c>
      <c r="J3415" s="13"/>
      <c r="K3415" s="13"/>
    </row>
    <row r="3416" customFormat="false" ht="15" hidden="false" customHeight="false" outlineLevel="0" collapsed="false">
      <c r="A3416" s="9" t="n">
        <v>3415</v>
      </c>
      <c r="B3416" s="9" t="s">
        <v>172</v>
      </c>
      <c r="C3416" s="11" t="s">
        <v>187</v>
      </c>
      <c r="D3416" s="9" t="s">
        <v>13343</v>
      </c>
      <c r="E3416" s="9" t="s">
        <v>362</v>
      </c>
      <c r="F3416" s="9" t="s">
        <v>363</v>
      </c>
      <c r="G3416" s="9" t="s">
        <v>24</v>
      </c>
      <c r="H3416" s="14" t="s">
        <v>22</v>
      </c>
      <c r="I3416" s="9" t="s">
        <v>364</v>
      </c>
      <c r="J3416" s="13"/>
      <c r="K3416" s="13"/>
    </row>
    <row r="3417" customFormat="false" ht="23.85" hidden="false" customHeight="false" outlineLevel="0" collapsed="false">
      <c r="A3417" s="9" t="n">
        <v>3416</v>
      </c>
      <c r="B3417" s="9" t="s">
        <v>172</v>
      </c>
      <c r="C3417" s="11" t="s">
        <v>187</v>
      </c>
      <c r="D3417" s="9" t="s">
        <v>13344</v>
      </c>
      <c r="E3417" s="9" t="s">
        <v>13345</v>
      </c>
      <c r="F3417" s="9" t="s">
        <v>13346</v>
      </c>
      <c r="G3417" s="9" t="s">
        <v>24</v>
      </c>
      <c r="H3417" s="15" t="s">
        <v>23</v>
      </c>
      <c r="I3417" s="9" t="s">
        <v>13347</v>
      </c>
      <c r="J3417" s="13"/>
      <c r="K3417" s="13"/>
    </row>
    <row r="3418" customFormat="false" ht="35.05" hidden="false" customHeight="false" outlineLevel="0" collapsed="false">
      <c r="A3418" s="9" t="n">
        <v>3417</v>
      </c>
      <c r="B3418" s="9" t="s">
        <v>172</v>
      </c>
      <c r="C3418" s="11" t="s">
        <v>187</v>
      </c>
      <c r="D3418" s="9" t="s">
        <v>13348</v>
      </c>
      <c r="E3418" s="9" t="s">
        <v>13349</v>
      </c>
      <c r="F3418" s="9" t="s">
        <v>13350</v>
      </c>
      <c r="G3418" s="9" t="s">
        <v>24</v>
      </c>
      <c r="H3418" s="15" t="s">
        <v>23</v>
      </c>
      <c r="I3418" s="9" t="s">
        <v>13351</v>
      </c>
      <c r="J3418" s="13"/>
      <c r="K3418" s="13"/>
    </row>
    <row r="3419" customFormat="false" ht="15" hidden="false" customHeight="false" outlineLevel="0" collapsed="false">
      <c r="A3419" s="9" t="n">
        <v>3418</v>
      </c>
      <c r="B3419" s="9" t="s">
        <v>172</v>
      </c>
      <c r="C3419" s="11" t="s">
        <v>187</v>
      </c>
      <c r="D3419" s="9" t="s">
        <v>13352</v>
      </c>
      <c r="E3419" s="9" t="s">
        <v>13353</v>
      </c>
      <c r="F3419" s="9" t="s">
        <v>13354</v>
      </c>
      <c r="G3419" s="9" t="s">
        <v>24</v>
      </c>
      <c r="H3419" s="15" t="s">
        <v>23</v>
      </c>
      <c r="I3419" s="9" t="s">
        <v>810</v>
      </c>
      <c r="J3419" s="13"/>
      <c r="K3419" s="13"/>
    </row>
    <row r="3420" customFormat="false" ht="15" hidden="false" customHeight="false" outlineLevel="0" collapsed="false">
      <c r="A3420" s="9" t="n">
        <v>3419</v>
      </c>
      <c r="B3420" s="9" t="s">
        <v>172</v>
      </c>
      <c r="C3420" s="11" t="s">
        <v>187</v>
      </c>
      <c r="D3420" s="9" t="s">
        <v>13355</v>
      </c>
      <c r="E3420" s="9" t="s">
        <v>13356</v>
      </c>
      <c r="F3420" s="9" t="s">
        <v>13357</v>
      </c>
      <c r="G3420" s="9" t="s">
        <v>24</v>
      </c>
      <c r="H3420" s="15" t="s">
        <v>23</v>
      </c>
      <c r="I3420" s="9" t="s">
        <v>13358</v>
      </c>
      <c r="J3420" s="13"/>
      <c r="K3420" s="13"/>
    </row>
    <row r="3421" customFormat="false" ht="23.85" hidden="false" customHeight="false" outlineLevel="0" collapsed="false">
      <c r="A3421" s="9" t="n">
        <v>3420</v>
      </c>
      <c r="B3421" s="9" t="s">
        <v>172</v>
      </c>
      <c r="C3421" s="11" t="s">
        <v>187</v>
      </c>
      <c r="D3421" s="9" t="s">
        <v>13359</v>
      </c>
      <c r="E3421" s="9" t="s">
        <v>13038</v>
      </c>
      <c r="F3421" s="9" t="s">
        <v>13360</v>
      </c>
      <c r="G3421" s="9" t="s">
        <v>24</v>
      </c>
      <c r="H3421" s="15" t="s">
        <v>23</v>
      </c>
      <c r="I3421" s="9" t="s">
        <v>13361</v>
      </c>
      <c r="J3421" s="13"/>
      <c r="K3421" s="13"/>
    </row>
    <row r="3422" customFormat="false" ht="15" hidden="false" customHeight="false" outlineLevel="0" collapsed="false">
      <c r="A3422" s="9" t="n">
        <v>3421</v>
      </c>
      <c r="B3422" s="9" t="s">
        <v>172</v>
      </c>
      <c r="C3422" s="11" t="s">
        <v>187</v>
      </c>
      <c r="D3422" s="9" t="s">
        <v>13362</v>
      </c>
      <c r="E3422" s="9" t="s">
        <v>13363</v>
      </c>
      <c r="F3422" s="9" t="s">
        <v>13364</v>
      </c>
      <c r="G3422" s="9" t="s">
        <v>24</v>
      </c>
      <c r="H3422" s="15" t="s">
        <v>23</v>
      </c>
      <c r="I3422" s="9" t="s">
        <v>13365</v>
      </c>
      <c r="J3422" s="13"/>
      <c r="K3422" s="13"/>
    </row>
    <row r="3423" customFormat="false" ht="124.6" hidden="false" customHeight="false" outlineLevel="0" collapsed="false">
      <c r="A3423" s="9" t="n">
        <v>3422</v>
      </c>
      <c r="B3423" s="9" t="s">
        <v>172</v>
      </c>
      <c r="C3423" s="11" t="s">
        <v>189</v>
      </c>
      <c r="D3423" s="9" t="s">
        <v>13366</v>
      </c>
      <c r="E3423" s="9" t="s">
        <v>13367</v>
      </c>
      <c r="F3423" s="9" t="s">
        <v>13368</v>
      </c>
      <c r="G3423" s="9" t="s">
        <v>12080</v>
      </c>
      <c r="H3423" s="12" t="s">
        <v>21</v>
      </c>
      <c r="I3423" s="9" t="s">
        <v>13369</v>
      </c>
      <c r="J3423" s="13"/>
      <c r="K3423" s="13"/>
    </row>
    <row r="3424" customFormat="false" ht="79.85" hidden="false" customHeight="false" outlineLevel="0" collapsed="false">
      <c r="A3424" s="9" t="n">
        <v>3423</v>
      </c>
      <c r="B3424" s="9" t="s">
        <v>172</v>
      </c>
      <c r="C3424" s="11" t="s">
        <v>189</v>
      </c>
      <c r="D3424" s="9" t="s">
        <v>13370</v>
      </c>
      <c r="E3424" s="9" t="s">
        <v>13371</v>
      </c>
      <c r="F3424" s="9" t="s">
        <v>13372</v>
      </c>
      <c r="G3424" s="9" t="s">
        <v>12302</v>
      </c>
      <c r="H3424" s="12" t="s">
        <v>21</v>
      </c>
      <c r="I3424" s="9" t="s">
        <v>13373</v>
      </c>
      <c r="J3424" s="13"/>
      <c r="K3424" s="13"/>
    </row>
    <row r="3425" customFormat="false" ht="91" hidden="false" customHeight="false" outlineLevel="0" collapsed="false">
      <c r="A3425" s="9" t="n">
        <v>3424</v>
      </c>
      <c r="B3425" s="9" t="s">
        <v>172</v>
      </c>
      <c r="C3425" s="11" t="s">
        <v>189</v>
      </c>
      <c r="D3425" s="9" t="s">
        <v>13374</v>
      </c>
      <c r="E3425" s="9" t="s">
        <v>13375</v>
      </c>
      <c r="F3425" s="9" t="s">
        <v>13376</v>
      </c>
      <c r="G3425" s="9" t="s">
        <v>12302</v>
      </c>
      <c r="H3425" s="12" t="s">
        <v>21</v>
      </c>
      <c r="I3425" s="9" t="s">
        <v>13377</v>
      </c>
      <c r="J3425" s="13"/>
      <c r="K3425" s="13"/>
    </row>
    <row r="3426" customFormat="false" ht="91" hidden="false" customHeight="false" outlineLevel="0" collapsed="false">
      <c r="A3426" s="9" t="n">
        <v>3425</v>
      </c>
      <c r="B3426" s="9" t="s">
        <v>172</v>
      </c>
      <c r="C3426" s="11" t="s">
        <v>189</v>
      </c>
      <c r="D3426" s="9" t="s">
        <v>13378</v>
      </c>
      <c r="E3426" s="9" t="s">
        <v>13379</v>
      </c>
      <c r="F3426" s="9" t="s">
        <v>13380</v>
      </c>
      <c r="G3426" s="9" t="s">
        <v>13381</v>
      </c>
      <c r="H3426" s="14" t="s">
        <v>22</v>
      </c>
      <c r="I3426" s="9" t="s">
        <v>13382</v>
      </c>
      <c r="J3426" s="13"/>
      <c r="K3426" s="13"/>
    </row>
    <row r="3427" customFormat="false" ht="46.25" hidden="false" customHeight="false" outlineLevel="0" collapsed="false">
      <c r="A3427" s="9" t="n">
        <v>3426</v>
      </c>
      <c r="B3427" s="9" t="s">
        <v>172</v>
      </c>
      <c r="C3427" s="11" t="s">
        <v>189</v>
      </c>
      <c r="D3427" s="9" t="s">
        <v>13383</v>
      </c>
      <c r="E3427" s="9" t="s">
        <v>13384</v>
      </c>
      <c r="F3427" s="9" t="s">
        <v>13385</v>
      </c>
      <c r="G3427" s="9" t="s">
        <v>312</v>
      </c>
      <c r="H3427" s="14" t="s">
        <v>22</v>
      </c>
      <c r="I3427" s="9" t="s">
        <v>13386</v>
      </c>
      <c r="J3427" s="13"/>
      <c r="K3427" s="13"/>
    </row>
    <row r="3428" customFormat="false" ht="35.05" hidden="false" customHeight="false" outlineLevel="0" collapsed="false">
      <c r="A3428" s="9" t="n">
        <v>3427</v>
      </c>
      <c r="B3428" s="9" t="s">
        <v>172</v>
      </c>
      <c r="C3428" s="11" t="s">
        <v>189</v>
      </c>
      <c r="D3428" s="9" t="s">
        <v>13387</v>
      </c>
      <c r="E3428" s="9" t="s">
        <v>13388</v>
      </c>
      <c r="F3428" s="9" t="s">
        <v>13389</v>
      </c>
      <c r="G3428" s="9" t="s">
        <v>13390</v>
      </c>
      <c r="H3428" s="14" t="s">
        <v>22</v>
      </c>
      <c r="I3428" s="9" t="s">
        <v>13391</v>
      </c>
      <c r="J3428" s="13"/>
      <c r="K3428" s="13"/>
    </row>
    <row r="3429" customFormat="false" ht="46.25" hidden="false" customHeight="false" outlineLevel="0" collapsed="false">
      <c r="A3429" s="9" t="n">
        <v>3428</v>
      </c>
      <c r="B3429" s="9" t="s">
        <v>172</v>
      </c>
      <c r="C3429" s="11" t="s">
        <v>189</v>
      </c>
      <c r="D3429" s="9" t="s">
        <v>13392</v>
      </c>
      <c r="E3429" s="9" t="s">
        <v>13393</v>
      </c>
      <c r="F3429" s="9" t="s">
        <v>13394</v>
      </c>
      <c r="G3429" s="9" t="s">
        <v>6425</v>
      </c>
      <c r="H3429" s="15" t="s">
        <v>23</v>
      </c>
      <c r="I3429" s="9" t="s">
        <v>13395</v>
      </c>
      <c r="J3429" s="13"/>
      <c r="K3429" s="13"/>
    </row>
    <row r="3430" customFormat="false" ht="57.45" hidden="false" customHeight="false" outlineLevel="0" collapsed="false">
      <c r="A3430" s="9" t="n">
        <v>3429</v>
      </c>
      <c r="B3430" s="9" t="s">
        <v>172</v>
      </c>
      <c r="C3430" s="11" t="s">
        <v>189</v>
      </c>
      <c r="D3430" s="9" t="s">
        <v>13396</v>
      </c>
      <c r="E3430" s="9" t="s">
        <v>13397</v>
      </c>
      <c r="F3430" s="9" t="s">
        <v>13398</v>
      </c>
      <c r="G3430" s="9" t="s">
        <v>12080</v>
      </c>
      <c r="H3430" s="14" t="s">
        <v>22</v>
      </c>
      <c r="I3430" s="9" t="s">
        <v>13399</v>
      </c>
      <c r="J3430" s="13"/>
      <c r="K3430" s="13"/>
    </row>
    <row r="3431" customFormat="false" ht="57.45" hidden="false" customHeight="false" outlineLevel="0" collapsed="false">
      <c r="A3431" s="9" t="n">
        <v>3430</v>
      </c>
      <c r="B3431" s="9" t="s">
        <v>172</v>
      </c>
      <c r="C3431" s="11" t="s">
        <v>189</v>
      </c>
      <c r="D3431" s="9" t="s">
        <v>13400</v>
      </c>
      <c r="E3431" s="9" t="s">
        <v>13401</v>
      </c>
      <c r="F3431" s="9" t="s">
        <v>13402</v>
      </c>
      <c r="G3431" s="9" t="s">
        <v>1072</v>
      </c>
      <c r="H3431" s="14" t="s">
        <v>22</v>
      </c>
      <c r="I3431" s="9" t="s">
        <v>13403</v>
      </c>
      <c r="J3431" s="13"/>
      <c r="K3431" s="13"/>
    </row>
    <row r="3432" customFormat="false" ht="35.05" hidden="false" customHeight="false" outlineLevel="0" collapsed="false">
      <c r="A3432" s="9" t="n">
        <v>3431</v>
      </c>
      <c r="B3432" s="9" t="s">
        <v>172</v>
      </c>
      <c r="C3432" s="11" t="s">
        <v>189</v>
      </c>
      <c r="D3432" s="9" t="s">
        <v>13404</v>
      </c>
      <c r="E3432" s="9" t="s">
        <v>13405</v>
      </c>
      <c r="F3432" s="9" t="s">
        <v>13406</v>
      </c>
      <c r="G3432" s="9" t="s">
        <v>312</v>
      </c>
      <c r="H3432" s="15" t="s">
        <v>23</v>
      </c>
      <c r="I3432" s="9" t="s">
        <v>13407</v>
      </c>
      <c r="J3432" s="13"/>
      <c r="K3432" s="13"/>
    </row>
    <row r="3433" customFormat="false" ht="46.25" hidden="false" customHeight="false" outlineLevel="0" collapsed="false">
      <c r="A3433" s="9" t="n">
        <v>3432</v>
      </c>
      <c r="B3433" s="9" t="s">
        <v>172</v>
      </c>
      <c r="C3433" s="11" t="s">
        <v>189</v>
      </c>
      <c r="D3433" s="9" t="s">
        <v>13408</v>
      </c>
      <c r="E3433" s="9" t="s">
        <v>13409</v>
      </c>
      <c r="F3433" s="9" t="s">
        <v>13410</v>
      </c>
      <c r="G3433" s="9" t="s">
        <v>1072</v>
      </c>
      <c r="H3433" s="14" t="s">
        <v>22</v>
      </c>
      <c r="I3433" s="9" t="s">
        <v>13411</v>
      </c>
      <c r="J3433" s="13"/>
      <c r="K3433" s="13"/>
    </row>
    <row r="3434" customFormat="false" ht="57.45" hidden="false" customHeight="false" outlineLevel="0" collapsed="false">
      <c r="A3434" s="9" t="n">
        <v>3433</v>
      </c>
      <c r="B3434" s="9" t="s">
        <v>172</v>
      </c>
      <c r="C3434" s="11" t="s">
        <v>189</v>
      </c>
      <c r="D3434" s="9" t="s">
        <v>13412</v>
      </c>
      <c r="E3434" s="9" t="s">
        <v>13413</v>
      </c>
      <c r="F3434" s="9" t="s">
        <v>13414</v>
      </c>
      <c r="G3434" s="9" t="s">
        <v>1638</v>
      </c>
      <c r="H3434" s="15" t="s">
        <v>23</v>
      </c>
      <c r="I3434" s="9" t="s">
        <v>13415</v>
      </c>
      <c r="J3434" s="13"/>
      <c r="K3434" s="13"/>
    </row>
    <row r="3435" customFormat="false" ht="46.25" hidden="false" customHeight="false" outlineLevel="0" collapsed="false">
      <c r="A3435" s="9" t="n">
        <v>3434</v>
      </c>
      <c r="B3435" s="9" t="s">
        <v>172</v>
      </c>
      <c r="C3435" s="11" t="s">
        <v>189</v>
      </c>
      <c r="D3435" s="9" t="s">
        <v>13416</v>
      </c>
      <c r="E3435" s="9" t="s">
        <v>13417</v>
      </c>
      <c r="F3435" s="9" t="s">
        <v>13418</v>
      </c>
      <c r="G3435" s="9" t="s">
        <v>13419</v>
      </c>
      <c r="H3435" s="15" t="s">
        <v>23</v>
      </c>
      <c r="I3435" s="9" t="s">
        <v>13420</v>
      </c>
      <c r="J3435" s="13"/>
      <c r="K3435" s="13"/>
    </row>
    <row r="3436" customFormat="false" ht="57.45" hidden="false" customHeight="false" outlineLevel="0" collapsed="false">
      <c r="A3436" s="9" t="n">
        <v>3435</v>
      </c>
      <c r="B3436" s="9" t="s">
        <v>172</v>
      </c>
      <c r="C3436" s="11" t="s">
        <v>189</v>
      </c>
      <c r="D3436" s="9" t="s">
        <v>13421</v>
      </c>
      <c r="E3436" s="9" t="s">
        <v>13422</v>
      </c>
      <c r="F3436" s="9" t="s">
        <v>13423</v>
      </c>
      <c r="G3436" s="9" t="s">
        <v>312</v>
      </c>
      <c r="H3436" s="15" t="s">
        <v>23</v>
      </c>
      <c r="I3436" s="9" t="s">
        <v>13424</v>
      </c>
      <c r="J3436" s="13"/>
      <c r="K3436" s="13"/>
    </row>
    <row r="3437" customFormat="false" ht="46.25" hidden="false" customHeight="false" outlineLevel="0" collapsed="false">
      <c r="A3437" s="9" t="n">
        <v>3436</v>
      </c>
      <c r="B3437" s="9" t="s">
        <v>172</v>
      </c>
      <c r="C3437" s="11" t="s">
        <v>189</v>
      </c>
      <c r="D3437" s="9" t="s">
        <v>13425</v>
      </c>
      <c r="E3437" s="9" t="s">
        <v>13426</v>
      </c>
      <c r="F3437" s="9" t="s">
        <v>13427</v>
      </c>
      <c r="G3437" s="9" t="s">
        <v>12080</v>
      </c>
      <c r="H3437" s="15" t="s">
        <v>23</v>
      </c>
      <c r="I3437" s="9" t="s">
        <v>13428</v>
      </c>
      <c r="J3437" s="13"/>
      <c r="K3437" s="13"/>
    </row>
    <row r="3438" customFormat="false" ht="46.25" hidden="false" customHeight="false" outlineLevel="0" collapsed="false">
      <c r="A3438" s="9" t="n">
        <v>3437</v>
      </c>
      <c r="B3438" s="9" t="s">
        <v>172</v>
      </c>
      <c r="C3438" s="11" t="s">
        <v>189</v>
      </c>
      <c r="D3438" s="9" t="s">
        <v>13429</v>
      </c>
      <c r="E3438" s="9" t="s">
        <v>13430</v>
      </c>
      <c r="F3438" s="9" t="s">
        <v>13431</v>
      </c>
      <c r="G3438" s="9" t="s">
        <v>6425</v>
      </c>
      <c r="H3438" s="14" t="s">
        <v>22</v>
      </c>
      <c r="I3438" s="9" t="s">
        <v>13432</v>
      </c>
      <c r="J3438" s="13"/>
      <c r="K3438" s="13"/>
    </row>
    <row r="3439" customFormat="false" ht="46.25" hidden="false" customHeight="false" outlineLevel="0" collapsed="false">
      <c r="A3439" s="9" t="n">
        <v>3438</v>
      </c>
      <c r="B3439" s="9" t="s">
        <v>172</v>
      </c>
      <c r="C3439" s="11" t="s">
        <v>189</v>
      </c>
      <c r="D3439" s="9" t="s">
        <v>13433</v>
      </c>
      <c r="E3439" s="9" t="s">
        <v>13434</v>
      </c>
      <c r="F3439" s="9" t="s">
        <v>13435</v>
      </c>
      <c r="G3439" s="9" t="s">
        <v>328</v>
      </c>
      <c r="H3439" s="15" t="s">
        <v>23</v>
      </c>
      <c r="I3439" s="9" t="s">
        <v>13436</v>
      </c>
      <c r="J3439" s="13"/>
      <c r="K3439" s="13"/>
    </row>
    <row r="3440" customFormat="false" ht="57.45" hidden="false" customHeight="false" outlineLevel="0" collapsed="false">
      <c r="A3440" s="9" t="n">
        <v>3439</v>
      </c>
      <c r="B3440" s="9" t="s">
        <v>172</v>
      </c>
      <c r="C3440" s="11" t="s">
        <v>189</v>
      </c>
      <c r="D3440" s="9" t="s">
        <v>13437</v>
      </c>
      <c r="E3440" s="9" t="s">
        <v>13438</v>
      </c>
      <c r="F3440" s="9" t="s">
        <v>13439</v>
      </c>
      <c r="G3440" s="9" t="s">
        <v>1139</v>
      </c>
      <c r="H3440" s="14" t="s">
        <v>22</v>
      </c>
      <c r="I3440" s="9" t="s">
        <v>13440</v>
      </c>
      <c r="J3440" s="13"/>
      <c r="K3440" s="13"/>
    </row>
    <row r="3441" customFormat="false" ht="46.25" hidden="false" customHeight="false" outlineLevel="0" collapsed="false">
      <c r="A3441" s="9" t="n">
        <v>3440</v>
      </c>
      <c r="B3441" s="9" t="s">
        <v>172</v>
      </c>
      <c r="C3441" s="11" t="s">
        <v>189</v>
      </c>
      <c r="D3441" s="9" t="s">
        <v>13441</v>
      </c>
      <c r="E3441" s="9" t="s">
        <v>13442</v>
      </c>
      <c r="F3441" s="9" t="s">
        <v>13443</v>
      </c>
      <c r="G3441" s="9" t="s">
        <v>13444</v>
      </c>
      <c r="H3441" s="14" t="s">
        <v>22</v>
      </c>
      <c r="I3441" s="9" t="s">
        <v>13445</v>
      </c>
      <c r="J3441" s="13"/>
      <c r="K3441" s="13"/>
    </row>
    <row r="3442" customFormat="false" ht="35.05" hidden="false" customHeight="false" outlineLevel="0" collapsed="false">
      <c r="A3442" s="9" t="n">
        <v>3441</v>
      </c>
      <c r="B3442" s="9" t="s">
        <v>172</v>
      </c>
      <c r="C3442" s="11" t="s">
        <v>189</v>
      </c>
      <c r="D3442" s="9" t="s">
        <v>13446</v>
      </c>
      <c r="E3442" s="9" t="s">
        <v>13447</v>
      </c>
      <c r="F3442" s="9" t="s">
        <v>13448</v>
      </c>
      <c r="G3442" s="9" t="s">
        <v>328</v>
      </c>
      <c r="H3442" s="15" t="s">
        <v>23</v>
      </c>
      <c r="I3442" s="9" t="s">
        <v>13449</v>
      </c>
      <c r="J3442" s="13"/>
      <c r="K3442" s="13"/>
    </row>
    <row r="3443" customFormat="false" ht="46.25" hidden="false" customHeight="false" outlineLevel="0" collapsed="false">
      <c r="A3443" s="9" t="n">
        <v>3442</v>
      </c>
      <c r="B3443" s="9" t="s">
        <v>172</v>
      </c>
      <c r="C3443" s="11" t="s">
        <v>189</v>
      </c>
      <c r="D3443" s="9" t="s">
        <v>13450</v>
      </c>
      <c r="E3443" s="9" t="s">
        <v>13451</v>
      </c>
      <c r="F3443" s="9" t="s">
        <v>13452</v>
      </c>
      <c r="G3443" s="9" t="s">
        <v>13453</v>
      </c>
      <c r="H3443" s="15" t="s">
        <v>23</v>
      </c>
      <c r="I3443" s="9" t="s">
        <v>13454</v>
      </c>
      <c r="J3443" s="13"/>
      <c r="K3443" s="13"/>
    </row>
    <row r="3444" customFormat="false" ht="23.85" hidden="false" customHeight="false" outlineLevel="0" collapsed="false">
      <c r="A3444" s="9" t="n">
        <v>3443</v>
      </c>
      <c r="B3444" s="9" t="s">
        <v>172</v>
      </c>
      <c r="C3444" s="11" t="s">
        <v>189</v>
      </c>
      <c r="D3444" s="9" t="s">
        <v>13455</v>
      </c>
      <c r="E3444" s="9" t="s">
        <v>13456</v>
      </c>
      <c r="F3444" s="9" t="s">
        <v>13457</v>
      </c>
      <c r="G3444" s="9" t="s">
        <v>13458</v>
      </c>
      <c r="H3444" s="15" t="s">
        <v>23</v>
      </c>
      <c r="I3444" s="9" t="s">
        <v>13459</v>
      </c>
      <c r="J3444" s="13"/>
      <c r="K3444" s="13"/>
    </row>
    <row r="3445" customFormat="false" ht="46.25" hidden="false" customHeight="false" outlineLevel="0" collapsed="false">
      <c r="A3445" s="9" t="n">
        <v>3444</v>
      </c>
      <c r="B3445" s="9" t="s">
        <v>172</v>
      </c>
      <c r="C3445" s="11" t="s">
        <v>189</v>
      </c>
      <c r="D3445" s="9" t="s">
        <v>13460</v>
      </c>
      <c r="E3445" s="9" t="s">
        <v>13461</v>
      </c>
      <c r="F3445" s="9" t="s">
        <v>13462</v>
      </c>
      <c r="G3445" s="9" t="s">
        <v>312</v>
      </c>
      <c r="H3445" s="15" t="s">
        <v>23</v>
      </c>
      <c r="I3445" s="9" t="s">
        <v>13463</v>
      </c>
      <c r="J3445" s="13"/>
      <c r="K3445" s="13"/>
    </row>
    <row r="3446" customFormat="false" ht="35.05" hidden="false" customHeight="false" outlineLevel="0" collapsed="false">
      <c r="A3446" s="9" t="n">
        <v>3445</v>
      </c>
      <c r="B3446" s="9" t="s">
        <v>172</v>
      </c>
      <c r="C3446" s="11" t="s">
        <v>189</v>
      </c>
      <c r="D3446" s="9" t="s">
        <v>13464</v>
      </c>
      <c r="E3446" s="9" t="s">
        <v>13465</v>
      </c>
      <c r="F3446" s="9" t="s">
        <v>13466</v>
      </c>
      <c r="G3446" s="9" t="s">
        <v>12212</v>
      </c>
      <c r="H3446" s="15" t="s">
        <v>23</v>
      </c>
      <c r="I3446" s="9" t="s">
        <v>13467</v>
      </c>
      <c r="J3446" s="13"/>
      <c r="K3446" s="13"/>
    </row>
    <row r="3447" customFormat="false" ht="23.85" hidden="false" customHeight="false" outlineLevel="0" collapsed="false">
      <c r="A3447" s="9" t="n">
        <v>3446</v>
      </c>
      <c r="B3447" s="9" t="s">
        <v>172</v>
      </c>
      <c r="C3447" s="11" t="s">
        <v>189</v>
      </c>
      <c r="D3447" s="9" t="s">
        <v>13468</v>
      </c>
      <c r="E3447" s="9" t="s">
        <v>13469</v>
      </c>
      <c r="F3447" s="9" t="s">
        <v>13470</v>
      </c>
      <c r="G3447" s="9" t="s">
        <v>24</v>
      </c>
      <c r="H3447" s="14" t="s">
        <v>22</v>
      </c>
      <c r="I3447" s="9" t="s">
        <v>13340</v>
      </c>
      <c r="J3447" s="13"/>
      <c r="K3447" s="13"/>
    </row>
    <row r="3448" customFormat="false" ht="15" hidden="false" customHeight="false" outlineLevel="0" collapsed="false">
      <c r="A3448" s="9" t="n">
        <v>3447</v>
      </c>
      <c r="B3448" s="9" t="s">
        <v>172</v>
      </c>
      <c r="C3448" s="11" t="s">
        <v>189</v>
      </c>
      <c r="D3448" s="9" t="s">
        <v>13471</v>
      </c>
      <c r="E3448" s="9" t="s">
        <v>358</v>
      </c>
      <c r="F3448" s="9" t="s">
        <v>13342</v>
      </c>
      <c r="G3448" s="9" t="s">
        <v>24</v>
      </c>
      <c r="H3448" s="14" t="s">
        <v>22</v>
      </c>
      <c r="I3448" s="9" t="s">
        <v>5550</v>
      </c>
      <c r="J3448" s="13"/>
      <c r="K3448" s="13"/>
    </row>
    <row r="3449" customFormat="false" ht="15" hidden="false" customHeight="false" outlineLevel="0" collapsed="false">
      <c r="A3449" s="9" t="n">
        <v>3448</v>
      </c>
      <c r="B3449" s="9" t="s">
        <v>172</v>
      </c>
      <c r="C3449" s="11" t="s">
        <v>189</v>
      </c>
      <c r="D3449" s="9" t="s">
        <v>13472</v>
      </c>
      <c r="E3449" s="9" t="s">
        <v>362</v>
      </c>
      <c r="F3449" s="9" t="s">
        <v>363</v>
      </c>
      <c r="G3449" s="9" t="s">
        <v>24</v>
      </c>
      <c r="H3449" s="14" t="s">
        <v>22</v>
      </c>
      <c r="I3449" s="9" t="s">
        <v>364</v>
      </c>
      <c r="J3449" s="13"/>
      <c r="K3449" s="13"/>
    </row>
    <row r="3450" customFormat="false" ht="35.05" hidden="false" customHeight="false" outlineLevel="0" collapsed="false">
      <c r="A3450" s="9" t="n">
        <v>3449</v>
      </c>
      <c r="B3450" s="9" t="s">
        <v>172</v>
      </c>
      <c r="C3450" s="11" t="s">
        <v>189</v>
      </c>
      <c r="D3450" s="9" t="s">
        <v>13473</v>
      </c>
      <c r="E3450" s="9" t="s">
        <v>13474</v>
      </c>
      <c r="F3450" s="9" t="s">
        <v>13475</v>
      </c>
      <c r="G3450" s="9" t="s">
        <v>24</v>
      </c>
      <c r="H3450" s="15" t="s">
        <v>23</v>
      </c>
      <c r="I3450" s="9" t="s">
        <v>434</v>
      </c>
      <c r="J3450" s="13"/>
      <c r="K3450" s="13"/>
    </row>
    <row r="3451" customFormat="false" ht="23.85" hidden="false" customHeight="false" outlineLevel="0" collapsed="false">
      <c r="A3451" s="9" t="n">
        <v>3450</v>
      </c>
      <c r="B3451" s="9" t="s">
        <v>172</v>
      </c>
      <c r="C3451" s="11" t="s">
        <v>189</v>
      </c>
      <c r="D3451" s="9" t="s">
        <v>13476</v>
      </c>
      <c r="E3451" s="9" t="s">
        <v>13477</v>
      </c>
      <c r="F3451" s="9" t="s">
        <v>13478</v>
      </c>
      <c r="G3451" s="9" t="s">
        <v>24</v>
      </c>
      <c r="H3451" s="15" t="s">
        <v>23</v>
      </c>
      <c r="I3451" s="9" t="s">
        <v>13479</v>
      </c>
      <c r="J3451" s="13"/>
      <c r="K3451" s="13"/>
    </row>
    <row r="3452" customFormat="false" ht="23.85" hidden="false" customHeight="false" outlineLevel="0" collapsed="false">
      <c r="A3452" s="9" t="n">
        <v>3451</v>
      </c>
      <c r="B3452" s="9" t="s">
        <v>172</v>
      </c>
      <c r="C3452" s="11" t="s">
        <v>189</v>
      </c>
      <c r="D3452" s="9" t="s">
        <v>13480</v>
      </c>
      <c r="E3452" s="9" t="s">
        <v>13481</v>
      </c>
      <c r="F3452" s="9" t="s">
        <v>13482</v>
      </c>
      <c r="G3452" s="9" t="s">
        <v>24</v>
      </c>
      <c r="H3452" s="15" t="s">
        <v>23</v>
      </c>
      <c r="I3452" s="9" t="s">
        <v>13483</v>
      </c>
      <c r="J3452" s="13"/>
      <c r="K3452" s="13"/>
    </row>
    <row r="3453" customFormat="false" ht="23.85" hidden="false" customHeight="false" outlineLevel="0" collapsed="false">
      <c r="A3453" s="9" t="n">
        <v>3452</v>
      </c>
      <c r="B3453" s="9" t="s">
        <v>172</v>
      </c>
      <c r="C3453" s="11" t="s">
        <v>189</v>
      </c>
      <c r="D3453" s="9" t="s">
        <v>13484</v>
      </c>
      <c r="E3453" s="9" t="s">
        <v>13485</v>
      </c>
      <c r="F3453" s="9" t="s">
        <v>13486</v>
      </c>
      <c r="G3453" s="9" t="s">
        <v>24</v>
      </c>
      <c r="H3453" s="15" t="s">
        <v>23</v>
      </c>
      <c r="I3453" s="9" t="s">
        <v>810</v>
      </c>
      <c r="J3453" s="13"/>
      <c r="K3453" s="13"/>
    </row>
    <row r="3454" customFormat="false" ht="15" hidden="false" customHeight="false" outlineLevel="0" collapsed="false">
      <c r="A3454" s="9" t="n">
        <v>3453</v>
      </c>
      <c r="B3454" s="9" t="s">
        <v>172</v>
      </c>
      <c r="C3454" s="11" t="s">
        <v>189</v>
      </c>
      <c r="D3454" s="9" t="s">
        <v>13487</v>
      </c>
      <c r="E3454" s="9" t="s">
        <v>13488</v>
      </c>
      <c r="F3454" s="9" t="s">
        <v>13489</v>
      </c>
      <c r="G3454" s="9" t="s">
        <v>24</v>
      </c>
      <c r="H3454" s="15" t="s">
        <v>23</v>
      </c>
      <c r="I3454" s="9" t="s">
        <v>13358</v>
      </c>
      <c r="J3454" s="13"/>
      <c r="K3454" s="13"/>
    </row>
    <row r="3455" customFormat="false" ht="15" hidden="false" customHeight="false" outlineLevel="0" collapsed="false">
      <c r="A3455" s="9" t="n">
        <v>3454</v>
      </c>
      <c r="B3455" s="9" t="s">
        <v>172</v>
      </c>
      <c r="C3455" s="11" t="s">
        <v>189</v>
      </c>
      <c r="D3455" s="9" t="s">
        <v>13490</v>
      </c>
      <c r="E3455" s="9" t="s">
        <v>13491</v>
      </c>
      <c r="F3455" s="9" t="s">
        <v>13492</v>
      </c>
      <c r="G3455" s="9" t="s">
        <v>24</v>
      </c>
      <c r="H3455" s="15" t="s">
        <v>23</v>
      </c>
      <c r="I3455" s="9" t="s">
        <v>13493</v>
      </c>
      <c r="J3455" s="13"/>
      <c r="K3455" s="13"/>
    </row>
    <row r="3456" customFormat="false" ht="15" hidden="false" customHeight="false" outlineLevel="0" collapsed="false">
      <c r="A3456" s="9" t="n">
        <v>3455</v>
      </c>
      <c r="B3456" s="9" t="s">
        <v>172</v>
      </c>
      <c r="C3456" s="11" t="s">
        <v>189</v>
      </c>
      <c r="D3456" s="9" t="s">
        <v>13494</v>
      </c>
      <c r="E3456" s="9" t="s">
        <v>9749</v>
      </c>
      <c r="F3456" s="9" t="s">
        <v>13495</v>
      </c>
      <c r="G3456" s="9" t="s">
        <v>24</v>
      </c>
      <c r="H3456" s="15" t="s">
        <v>23</v>
      </c>
      <c r="I3456" s="9" t="s">
        <v>13496</v>
      </c>
      <c r="J3456" s="13"/>
      <c r="K3456" s="13"/>
    </row>
    <row r="3457" customFormat="false" ht="169.4" hidden="false" customHeight="false" outlineLevel="0" collapsed="false">
      <c r="A3457" s="9" t="n">
        <v>3456</v>
      </c>
      <c r="B3457" s="9" t="s">
        <v>172</v>
      </c>
      <c r="C3457" s="11" t="s">
        <v>191</v>
      </c>
      <c r="D3457" s="9" t="s">
        <v>13497</v>
      </c>
      <c r="E3457" s="9" t="s">
        <v>13498</v>
      </c>
      <c r="F3457" s="9" t="s">
        <v>13499</v>
      </c>
      <c r="G3457" s="9" t="s">
        <v>1638</v>
      </c>
      <c r="H3457" s="12" t="s">
        <v>21</v>
      </c>
      <c r="I3457" s="9" t="s">
        <v>13500</v>
      </c>
      <c r="J3457" s="13"/>
      <c r="K3457" s="13"/>
    </row>
    <row r="3458" customFormat="false" ht="57.45" hidden="false" customHeight="false" outlineLevel="0" collapsed="false">
      <c r="A3458" s="9" t="n">
        <v>3457</v>
      </c>
      <c r="B3458" s="9" t="s">
        <v>172</v>
      </c>
      <c r="C3458" s="11" t="s">
        <v>191</v>
      </c>
      <c r="D3458" s="9" t="s">
        <v>13501</v>
      </c>
      <c r="E3458" s="9" t="s">
        <v>13502</v>
      </c>
      <c r="F3458" s="9" t="s">
        <v>13503</v>
      </c>
      <c r="G3458" s="9" t="s">
        <v>1072</v>
      </c>
      <c r="H3458" s="12" t="s">
        <v>21</v>
      </c>
      <c r="I3458" s="9" t="s">
        <v>13504</v>
      </c>
      <c r="J3458" s="13"/>
      <c r="K3458" s="13"/>
    </row>
    <row r="3459" customFormat="false" ht="113.4" hidden="false" customHeight="false" outlineLevel="0" collapsed="false">
      <c r="A3459" s="9" t="n">
        <v>3458</v>
      </c>
      <c r="B3459" s="9" t="s">
        <v>172</v>
      </c>
      <c r="C3459" s="11" t="s">
        <v>191</v>
      </c>
      <c r="D3459" s="9" t="s">
        <v>13505</v>
      </c>
      <c r="E3459" s="9" t="s">
        <v>13506</v>
      </c>
      <c r="F3459" s="9" t="s">
        <v>13507</v>
      </c>
      <c r="G3459" s="9" t="s">
        <v>1072</v>
      </c>
      <c r="H3459" s="12" t="s">
        <v>21</v>
      </c>
      <c r="I3459" s="9" t="s">
        <v>13508</v>
      </c>
      <c r="J3459" s="13"/>
      <c r="K3459" s="13"/>
    </row>
    <row r="3460" customFormat="false" ht="79.85" hidden="false" customHeight="false" outlineLevel="0" collapsed="false">
      <c r="A3460" s="9" t="n">
        <v>3459</v>
      </c>
      <c r="B3460" s="9" t="s">
        <v>172</v>
      </c>
      <c r="C3460" s="11" t="s">
        <v>191</v>
      </c>
      <c r="D3460" s="9" t="s">
        <v>13509</v>
      </c>
      <c r="E3460" s="9" t="s">
        <v>13510</v>
      </c>
      <c r="F3460" s="9" t="s">
        <v>13511</v>
      </c>
      <c r="G3460" s="9" t="s">
        <v>312</v>
      </c>
      <c r="H3460" s="14" t="s">
        <v>22</v>
      </c>
      <c r="I3460" s="9" t="s">
        <v>13512</v>
      </c>
      <c r="J3460" s="13"/>
      <c r="K3460" s="13"/>
    </row>
    <row r="3461" customFormat="false" ht="46.25" hidden="false" customHeight="false" outlineLevel="0" collapsed="false">
      <c r="A3461" s="9" t="n">
        <v>3460</v>
      </c>
      <c r="B3461" s="9" t="s">
        <v>172</v>
      </c>
      <c r="C3461" s="11" t="s">
        <v>191</v>
      </c>
      <c r="D3461" s="9" t="s">
        <v>13513</v>
      </c>
      <c r="E3461" s="9" t="s">
        <v>13514</v>
      </c>
      <c r="F3461" s="9" t="s">
        <v>13515</v>
      </c>
      <c r="G3461" s="9" t="s">
        <v>328</v>
      </c>
      <c r="H3461" s="12" t="s">
        <v>21</v>
      </c>
      <c r="I3461" s="9" t="s">
        <v>13516</v>
      </c>
      <c r="J3461" s="13"/>
      <c r="K3461" s="13"/>
    </row>
    <row r="3462" customFormat="false" ht="46.25" hidden="false" customHeight="false" outlineLevel="0" collapsed="false">
      <c r="A3462" s="9" t="n">
        <v>3461</v>
      </c>
      <c r="B3462" s="9" t="s">
        <v>172</v>
      </c>
      <c r="C3462" s="11" t="s">
        <v>191</v>
      </c>
      <c r="D3462" s="9" t="s">
        <v>13517</v>
      </c>
      <c r="E3462" s="9" t="s">
        <v>13518</v>
      </c>
      <c r="F3462" s="9" t="s">
        <v>13519</v>
      </c>
      <c r="G3462" s="9" t="s">
        <v>328</v>
      </c>
      <c r="H3462" s="14" t="s">
        <v>22</v>
      </c>
      <c r="I3462" s="9" t="s">
        <v>13520</v>
      </c>
      <c r="J3462" s="13"/>
      <c r="K3462" s="13"/>
    </row>
    <row r="3463" customFormat="false" ht="46.25" hidden="false" customHeight="false" outlineLevel="0" collapsed="false">
      <c r="A3463" s="9" t="n">
        <v>3462</v>
      </c>
      <c r="B3463" s="9" t="s">
        <v>172</v>
      </c>
      <c r="C3463" s="11" t="s">
        <v>191</v>
      </c>
      <c r="D3463" s="9" t="s">
        <v>13521</v>
      </c>
      <c r="E3463" s="9" t="s">
        <v>13522</v>
      </c>
      <c r="F3463" s="9" t="s">
        <v>13523</v>
      </c>
      <c r="G3463" s="9" t="s">
        <v>6425</v>
      </c>
      <c r="H3463" s="14" t="s">
        <v>22</v>
      </c>
      <c r="I3463" s="9" t="s">
        <v>13524</v>
      </c>
      <c r="J3463" s="13"/>
      <c r="K3463" s="13"/>
    </row>
    <row r="3464" customFormat="false" ht="35.05" hidden="false" customHeight="false" outlineLevel="0" collapsed="false">
      <c r="A3464" s="9" t="n">
        <v>3463</v>
      </c>
      <c r="B3464" s="9" t="s">
        <v>172</v>
      </c>
      <c r="C3464" s="11" t="s">
        <v>191</v>
      </c>
      <c r="D3464" s="9" t="s">
        <v>13525</v>
      </c>
      <c r="E3464" s="9" t="s">
        <v>13526</v>
      </c>
      <c r="F3464" s="9" t="s">
        <v>13527</v>
      </c>
      <c r="G3464" s="9" t="s">
        <v>312</v>
      </c>
      <c r="H3464" s="15" t="s">
        <v>23</v>
      </c>
      <c r="I3464" s="9" t="s">
        <v>13528</v>
      </c>
      <c r="J3464" s="13"/>
      <c r="K3464" s="13"/>
    </row>
    <row r="3465" customFormat="false" ht="46.25" hidden="false" customHeight="false" outlineLevel="0" collapsed="false">
      <c r="A3465" s="9" t="n">
        <v>3464</v>
      </c>
      <c r="B3465" s="9" t="s">
        <v>172</v>
      </c>
      <c r="C3465" s="11" t="s">
        <v>191</v>
      </c>
      <c r="D3465" s="9" t="s">
        <v>13529</v>
      </c>
      <c r="E3465" s="9" t="s">
        <v>13530</v>
      </c>
      <c r="F3465" s="9" t="s">
        <v>13531</v>
      </c>
      <c r="G3465" s="9" t="s">
        <v>6425</v>
      </c>
      <c r="H3465" s="14" t="s">
        <v>22</v>
      </c>
      <c r="I3465" s="9" t="s">
        <v>13532</v>
      </c>
      <c r="J3465" s="13"/>
      <c r="K3465" s="13"/>
    </row>
    <row r="3466" customFormat="false" ht="102.2" hidden="false" customHeight="false" outlineLevel="0" collapsed="false">
      <c r="A3466" s="9" t="n">
        <v>3465</v>
      </c>
      <c r="B3466" s="9" t="s">
        <v>172</v>
      </c>
      <c r="C3466" s="11" t="s">
        <v>191</v>
      </c>
      <c r="D3466" s="9" t="s">
        <v>13533</v>
      </c>
      <c r="E3466" s="9" t="s">
        <v>13534</v>
      </c>
      <c r="F3466" s="9" t="s">
        <v>13535</v>
      </c>
      <c r="G3466" s="9" t="s">
        <v>12080</v>
      </c>
      <c r="H3466" s="12" t="s">
        <v>21</v>
      </c>
      <c r="I3466" s="9" t="s">
        <v>13536</v>
      </c>
      <c r="J3466" s="13"/>
      <c r="K3466" s="13"/>
    </row>
    <row r="3467" customFormat="false" ht="68.65" hidden="false" customHeight="false" outlineLevel="0" collapsed="false">
      <c r="A3467" s="9" t="n">
        <v>3466</v>
      </c>
      <c r="B3467" s="9" t="s">
        <v>172</v>
      </c>
      <c r="C3467" s="11" t="s">
        <v>191</v>
      </c>
      <c r="D3467" s="9" t="s">
        <v>13537</v>
      </c>
      <c r="E3467" s="9" t="s">
        <v>13538</v>
      </c>
      <c r="F3467" s="9" t="s">
        <v>13539</v>
      </c>
      <c r="G3467" s="9" t="s">
        <v>312</v>
      </c>
      <c r="H3467" s="14" t="s">
        <v>22</v>
      </c>
      <c r="I3467" s="9" t="s">
        <v>13540</v>
      </c>
      <c r="J3467" s="13"/>
      <c r="K3467" s="13"/>
    </row>
    <row r="3468" customFormat="false" ht="35.05" hidden="false" customHeight="false" outlineLevel="0" collapsed="false">
      <c r="A3468" s="9" t="n">
        <v>3467</v>
      </c>
      <c r="B3468" s="9" t="s">
        <v>172</v>
      </c>
      <c r="C3468" s="11" t="s">
        <v>191</v>
      </c>
      <c r="D3468" s="9" t="s">
        <v>13541</v>
      </c>
      <c r="E3468" s="9" t="s">
        <v>13542</v>
      </c>
      <c r="F3468" s="9" t="s">
        <v>13543</v>
      </c>
      <c r="G3468" s="9" t="s">
        <v>312</v>
      </c>
      <c r="H3468" s="15" t="s">
        <v>23</v>
      </c>
      <c r="I3468" s="9" t="s">
        <v>13544</v>
      </c>
      <c r="J3468" s="13"/>
      <c r="K3468" s="13"/>
    </row>
    <row r="3469" customFormat="false" ht="91" hidden="false" customHeight="false" outlineLevel="0" collapsed="false">
      <c r="A3469" s="9" t="n">
        <v>3468</v>
      </c>
      <c r="B3469" s="9" t="s">
        <v>172</v>
      </c>
      <c r="C3469" s="11" t="s">
        <v>191</v>
      </c>
      <c r="D3469" s="9" t="s">
        <v>13545</v>
      </c>
      <c r="E3469" s="9" t="s">
        <v>13546</v>
      </c>
      <c r="F3469" s="9" t="s">
        <v>13547</v>
      </c>
      <c r="G3469" s="9" t="s">
        <v>13381</v>
      </c>
      <c r="H3469" s="14" t="s">
        <v>22</v>
      </c>
      <c r="I3469" s="9" t="s">
        <v>13548</v>
      </c>
      <c r="J3469" s="13"/>
      <c r="K3469" s="13"/>
    </row>
    <row r="3470" customFormat="false" ht="46.25" hidden="false" customHeight="false" outlineLevel="0" collapsed="false">
      <c r="A3470" s="9" t="n">
        <v>3469</v>
      </c>
      <c r="B3470" s="9" t="s">
        <v>172</v>
      </c>
      <c r="C3470" s="11" t="s">
        <v>191</v>
      </c>
      <c r="D3470" s="9" t="s">
        <v>13549</v>
      </c>
      <c r="E3470" s="9" t="s">
        <v>13550</v>
      </c>
      <c r="F3470" s="9" t="s">
        <v>13551</v>
      </c>
      <c r="G3470" s="9" t="s">
        <v>328</v>
      </c>
      <c r="H3470" s="15" t="s">
        <v>23</v>
      </c>
      <c r="I3470" s="9" t="s">
        <v>13552</v>
      </c>
      <c r="J3470" s="13"/>
      <c r="K3470" s="13"/>
    </row>
    <row r="3471" customFormat="false" ht="35.05" hidden="false" customHeight="false" outlineLevel="0" collapsed="false">
      <c r="A3471" s="9" t="n">
        <v>3470</v>
      </c>
      <c r="B3471" s="9" t="s">
        <v>172</v>
      </c>
      <c r="C3471" s="11" t="s">
        <v>191</v>
      </c>
      <c r="D3471" s="9" t="s">
        <v>13553</v>
      </c>
      <c r="E3471" s="9" t="s">
        <v>13554</v>
      </c>
      <c r="F3471" s="9" t="s">
        <v>13555</v>
      </c>
      <c r="G3471" s="9" t="s">
        <v>12080</v>
      </c>
      <c r="H3471" s="15" t="s">
        <v>23</v>
      </c>
      <c r="I3471" s="9" t="s">
        <v>13556</v>
      </c>
      <c r="J3471" s="13"/>
      <c r="K3471" s="13"/>
    </row>
    <row r="3472" customFormat="false" ht="35.05" hidden="false" customHeight="false" outlineLevel="0" collapsed="false">
      <c r="A3472" s="9" t="n">
        <v>3471</v>
      </c>
      <c r="B3472" s="9" t="s">
        <v>172</v>
      </c>
      <c r="C3472" s="11" t="s">
        <v>191</v>
      </c>
      <c r="D3472" s="9" t="s">
        <v>13557</v>
      </c>
      <c r="E3472" s="9" t="s">
        <v>13558</v>
      </c>
      <c r="F3472" s="9" t="s">
        <v>13559</v>
      </c>
      <c r="G3472" s="9" t="s">
        <v>12080</v>
      </c>
      <c r="H3472" s="15" t="s">
        <v>23</v>
      </c>
      <c r="I3472" s="9" t="s">
        <v>13560</v>
      </c>
      <c r="J3472" s="13"/>
      <c r="K3472" s="13"/>
    </row>
    <row r="3473" customFormat="false" ht="35.05" hidden="false" customHeight="false" outlineLevel="0" collapsed="false">
      <c r="A3473" s="9" t="n">
        <v>3472</v>
      </c>
      <c r="B3473" s="9" t="s">
        <v>172</v>
      </c>
      <c r="C3473" s="11" t="s">
        <v>191</v>
      </c>
      <c r="D3473" s="9" t="s">
        <v>13561</v>
      </c>
      <c r="E3473" s="9" t="s">
        <v>13562</v>
      </c>
      <c r="F3473" s="9" t="s">
        <v>13563</v>
      </c>
      <c r="G3473" s="9" t="s">
        <v>12080</v>
      </c>
      <c r="H3473" s="15" t="s">
        <v>23</v>
      </c>
      <c r="I3473" s="9" t="s">
        <v>13564</v>
      </c>
      <c r="J3473" s="13"/>
      <c r="K3473" s="13"/>
    </row>
    <row r="3474" customFormat="false" ht="57.45" hidden="false" customHeight="false" outlineLevel="0" collapsed="false">
      <c r="A3474" s="9" t="n">
        <v>3473</v>
      </c>
      <c r="B3474" s="9" t="s">
        <v>172</v>
      </c>
      <c r="C3474" s="11" t="s">
        <v>191</v>
      </c>
      <c r="D3474" s="9" t="s">
        <v>13565</v>
      </c>
      <c r="E3474" s="9" t="s">
        <v>13566</v>
      </c>
      <c r="F3474" s="9" t="s">
        <v>13567</v>
      </c>
      <c r="G3474" s="9" t="s">
        <v>4358</v>
      </c>
      <c r="H3474" s="14" t="s">
        <v>22</v>
      </c>
      <c r="I3474" s="9" t="s">
        <v>13568</v>
      </c>
      <c r="J3474" s="13"/>
      <c r="K3474" s="13"/>
    </row>
    <row r="3475" customFormat="false" ht="35.05" hidden="false" customHeight="false" outlineLevel="0" collapsed="false">
      <c r="A3475" s="9" t="n">
        <v>3474</v>
      </c>
      <c r="B3475" s="9" t="s">
        <v>172</v>
      </c>
      <c r="C3475" s="11" t="s">
        <v>191</v>
      </c>
      <c r="D3475" s="9" t="s">
        <v>13569</v>
      </c>
      <c r="E3475" s="9" t="s">
        <v>13570</v>
      </c>
      <c r="F3475" s="9" t="s">
        <v>13571</v>
      </c>
      <c r="G3475" s="9" t="s">
        <v>1139</v>
      </c>
      <c r="H3475" s="14" t="s">
        <v>22</v>
      </c>
      <c r="I3475" s="9" t="s">
        <v>13572</v>
      </c>
      <c r="J3475" s="13"/>
      <c r="K3475" s="13"/>
    </row>
    <row r="3476" customFormat="false" ht="23.85" hidden="false" customHeight="false" outlineLevel="0" collapsed="false">
      <c r="A3476" s="9" t="n">
        <v>3475</v>
      </c>
      <c r="B3476" s="9" t="s">
        <v>172</v>
      </c>
      <c r="C3476" s="11" t="s">
        <v>191</v>
      </c>
      <c r="D3476" s="9" t="s">
        <v>13573</v>
      </c>
      <c r="E3476" s="9" t="s">
        <v>13574</v>
      </c>
      <c r="F3476" s="9" t="s">
        <v>13575</v>
      </c>
      <c r="G3476" s="9" t="s">
        <v>13444</v>
      </c>
      <c r="H3476" s="14" t="s">
        <v>22</v>
      </c>
      <c r="I3476" s="9" t="s">
        <v>13576</v>
      </c>
      <c r="J3476" s="13"/>
      <c r="K3476" s="13"/>
    </row>
    <row r="3477" customFormat="false" ht="23.85" hidden="false" customHeight="false" outlineLevel="0" collapsed="false">
      <c r="A3477" s="9" t="n">
        <v>3476</v>
      </c>
      <c r="B3477" s="9" t="s">
        <v>172</v>
      </c>
      <c r="C3477" s="11" t="s">
        <v>191</v>
      </c>
      <c r="D3477" s="9" t="s">
        <v>13577</v>
      </c>
      <c r="E3477" s="9" t="s">
        <v>13578</v>
      </c>
      <c r="F3477" s="9" t="s">
        <v>13579</v>
      </c>
      <c r="G3477" s="9" t="s">
        <v>328</v>
      </c>
      <c r="H3477" s="15" t="s">
        <v>23</v>
      </c>
      <c r="I3477" s="9" t="s">
        <v>13580</v>
      </c>
      <c r="J3477" s="13"/>
      <c r="K3477" s="13"/>
    </row>
    <row r="3478" customFormat="false" ht="46.25" hidden="false" customHeight="false" outlineLevel="0" collapsed="false">
      <c r="A3478" s="9" t="n">
        <v>3477</v>
      </c>
      <c r="B3478" s="9" t="s">
        <v>172</v>
      </c>
      <c r="C3478" s="11" t="s">
        <v>191</v>
      </c>
      <c r="D3478" s="9" t="s">
        <v>13581</v>
      </c>
      <c r="E3478" s="9" t="s">
        <v>13582</v>
      </c>
      <c r="F3478" s="9" t="s">
        <v>13583</v>
      </c>
      <c r="G3478" s="9" t="s">
        <v>12080</v>
      </c>
      <c r="H3478" s="15" t="s">
        <v>23</v>
      </c>
      <c r="I3478" s="9" t="s">
        <v>13584</v>
      </c>
      <c r="J3478" s="13"/>
      <c r="K3478" s="13"/>
    </row>
    <row r="3479" customFormat="false" ht="35.05" hidden="false" customHeight="false" outlineLevel="0" collapsed="false">
      <c r="A3479" s="9" t="n">
        <v>3478</v>
      </c>
      <c r="B3479" s="9" t="s">
        <v>172</v>
      </c>
      <c r="C3479" s="11" t="s">
        <v>191</v>
      </c>
      <c r="D3479" s="9" t="s">
        <v>13585</v>
      </c>
      <c r="E3479" s="9" t="s">
        <v>13586</v>
      </c>
      <c r="F3479" s="9" t="s">
        <v>13587</v>
      </c>
      <c r="G3479" s="9" t="s">
        <v>13588</v>
      </c>
      <c r="H3479" s="14" t="s">
        <v>22</v>
      </c>
      <c r="I3479" s="9" t="s">
        <v>13589</v>
      </c>
      <c r="J3479" s="13"/>
      <c r="K3479" s="13"/>
    </row>
    <row r="3480" customFormat="false" ht="23.85" hidden="false" customHeight="false" outlineLevel="0" collapsed="false">
      <c r="A3480" s="9" t="n">
        <v>3479</v>
      </c>
      <c r="B3480" s="9" t="s">
        <v>172</v>
      </c>
      <c r="C3480" s="11" t="s">
        <v>191</v>
      </c>
      <c r="D3480" s="9" t="s">
        <v>13590</v>
      </c>
      <c r="E3480" s="9" t="s">
        <v>13591</v>
      </c>
      <c r="F3480" s="9" t="s">
        <v>13592</v>
      </c>
      <c r="G3480" s="9" t="s">
        <v>328</v>
      </c>
      <c r="H3480" s="15" t="s">
        <v>23</v>
      </c>
      <c r="I3480" s="9" t="s">
        <v>13593</v>
      </c>
      <c r="J3480" s="13"/>
      <c r="K3480" s="13"/>
    </row>
    <row r="3481" customFormat="false" ht="46.25" hidden="false" customHeight="false" outlineLevel="0" collapsed="false">
      <c r="A3481" s="9" t="n">
        <v>3480</v>
      </c>
      <c r="B3481" s="9" t="s">
        <v>172</v>
      </c>
      <c r="C3481" s="11" t="s">
        <v>191</v>
      </c>
      <c r="D3481" s="9" t="s">
        <v>13594</v>
      </c>
      <c r="E3481" s="9" t="s">
        <v>13595</v>
      </c>
      <c r="F3481" s="9" t="s">
        <v>13596</v>
      </c>
      <c r="G3481" s="9" t="s">
        <v>24</v>
      </c>
      <c r="H3481" s="12" t="s">
        <v>21</v>
      </c>
      <c r="I3481" s="9" t="s">
        <v>13597</v>
      </c>
      <c r="J3481" s="13"/>
      <c r="K3481" s="13"/>
    </row>
    <row r="3482" customFormat="false" ht="23.85" hidden="false" customHeight="false" outlineLevel="0" collapsed="false">
      <c r="A3482" s="9" t="n">
        <v>3481</v>
      </c>
      <c r="B3482" s="9" t="s">
        <v>172</v>
      </c>
      <c r="C3482" s="11" t="s">
        <v>191</v>
      </c>
      <c r="D3482" s="9" t="s">
        <v>13598</v>
      </c>
      <c r="E3482" s="9" t="s">
        <v>13599</v>
      </c>
      <c r="F3482" s="9" t="s">
        <v>13600</v>
      </c>
      <c r="G3482" s="9" t="s">
        <v>24</v>
      </c>
      <c r="H3482" s="14" t="s">
        <v>22</v>
      </c>
      <c r="I3482" s="9" t="s">
        <v>13340</v>
      </c>
      <c r="J3482" s="13"/>
      <c r="K3482" s="13"/>
    </row>
    <row r="3483" customFormat="false" ht="15" hidden="false" customHeight="false" outlineLevel="0" collapsed="false">
      <c r="A3483" s="9" t="n">
        <v>3482</v>
      </c>
      <c r="B3483" s="9" t="s">
        <v>172</v>
      </c>
      <c r="C3483" s="11" t="s">
        <v>191</v>
      </c>
      <c r="D3483" s="9" t="s">
        <v>13601</v>
      </c>
      <c r="E3483" s="9" t="s">
        <v>358</v>
      </c>
      <c r="F3483" s="9" t="s">
        <v>13342</v>
      </c>
      <c r="G3483" s="9" t="s">
        <v>24</v>
      </c>
      <c r="H3483" s="14" t="s">
        <v>22</v>
      </c>
      <c r="I3483" s="9" t="s">
        <v>5550</v>
      </c>
      <c r="J3483" s="13"/>
      <c r="K3483" s="13"/>
    </row>
    <row r="3484" customFormat="false" ht="23.85" hidden="false" customHeight="false" outlineLevel="0" collapsed="false">
      <c r="A3484" s="9" t="n">
        <v>3483</v>
      </c>
      <c r="B3484" s="9" t="s">
        <v>172</v>
      </c>
      <c r="C3484" s="11" t="s">
        <v>191</v>
      </c>
      <c r="D3484" s="9" t="s">
        <v>13602</v>
      </c>
      <c r="E3484" s="9" t="s">
        <v>13038</v>
      </c>
      <c r="F3484" s="9" t="s">
        <v>13603</v>
      </c>
      <c r="G3484" s="9" t="s">
        <v>24</v>
      </c>
      <c r="H3484" s="14" t="s">
        <v>22</v>
      </c>
      <c r="I3484" s="9" t="s">
        <v>13604</v>
      </c>
      <c r="J3484" s="13"/>
      <c r="K3484" s="13"/>
    </row>
    <row r="3485" customFormat="false" ht="15" hidden="false" customHeight="false" outlineLevel="0" collapsed="false">
      <c r="A3485" s="9" t="n">
        <v>3484</v>
      </c>
      <c r="B3485" s="9" t="s">
        <v>172</v>
      </c>
      <c r="C3485" s="11" t="s">
        <v>191</v>
      </c>
      <c r="D3485" s="9" t="s">
        <v>13605</v>
      </c>
      <c r="E3485" s="9" t="s">
        <v>362</v>
      </c>
      <c r="F3485" s="9" t="s">
        <v>363</v>
      </c>
      <c r="G3485" s="9" t="s">
        <v>24</v>
      </c>
      <c r="H3485" s="14" t="s">
        <v>22</v>
      </c>
      <c r="I3485" s="9" t="s">
        <v>364</v>
      </c>
      <c r="J3485" s="13"/>
      <c r="K3485" s="13"/>
    </row>
    <row r="3486" customFormat="false" ht="23.85" hidden="false" customHeight="false" outlineLevel="0" collapsed="false">
      <c r="A3486" s="9" t="n">
        <v>3485</v>
      </c>
      <c r="B3486" s="9" t="s">
        <v>172</v>
      </c>
      <c r="C3486" s="11" t="s">
        <v>191</v>
      </c>
      <c r="D3486" s="9" t="s">
        <v>13606</v>
      </c>
      <c r="E3486" s="9" t="s">
        <v>13607</v>
      </c>
      <c r="F3486" s="9" t="s">
        <v>13608</v>
      </c>
      <c r="G3486" s="9" t="s">
        <v>24</v>
      </c>
      <c r="H3486" s="15" t="s">
        <v>23</v>
      </c>
      <c r="I3486" s="9" t="s">
        <v>13609</v>
      </c>
      <c r="J3486" s="13"/>
      <c r="K3486" s="13"/>
    </row>
    <row r="3487" customFormat="false" ht="46.25" hidden="false" customHeight="false" outlineLevel="0" collapsed="false">
      <c r="A3487" s="9" t="n">
        <v>3486</v>
      </c>
      <c r="B3487" s="9" t="s">
        <v>172</v>
      </c>
      <c r="C3487" s="11" t="s">
        <v>191</v>
      </c>
      <c r="D3487" s="9" t="s">
        <v>13610</v>
      </c>
      <c r="E3487" s="9" t="s">
        <v>13611</v>
      </c>
      <c r="F3487" s="9" t="s">
        <v>13612</v>
      </c>
      <c r="G3487" s="9" t="s">
        <v>24</v>
      </c>
      <c r="H3487" s="15" t="s">
        <v>23</v>
      </c>
      <c r="I3487" s="9" t="s">
        <v>13613</v>
      </c>
      <c r="J3487" s="13"/>
      <c r="K3487" s="13"/>
    </row>
    <row r="3488" customFormat="false" ht="23.85" hidden="false" customHeight="false" outlineLevel="0" collapsed="false">
      <c r="A3488" s="9" t="n">
        <v>3487</v>
      </c>
      <c r="B3488" s="9" t="s">
        <v>172</v>
      </c>
      <c r="C3488" s="11" t="s">
        <v>191</v>
      </c>
      <c r="D3488" s="9" t="s">
        <v>13614</v>
      </c>
      <c r="E3488" s="9" t="s">
        <v>13615</v>
      </c>
      <c r="F3488" s="9" t="s">
        <v>13616</v>
      </c>
      <c r="G3488" s="9" t="s">
        <v>24</v>
      </c>
      <c r="H3488" s="15" t="s">
        <v>23</v>
      </c>
      <c r="I3488" s="9" t="s">
        <v>13617</v>
      </c>
      <c r="J3488" s="13"/>
      <c r="K3488" s="13"/>
    </row>
    <row r="3489" customFormat="false" ht="23.85" hidden="false" customHeight="false" outlineLevel="0" collapsed="false">
      <c r="A3489" s="9" t="n">
        <v>3488</v>
      </c>
      <c r="B3489" s="9" t="s">
        <v>172</v>
      </c>
      <c r="C3489" s="11" t="s">
        <v>191</v>
      </c>
      <c r="D3489" s="9" t="s">
        <v>13618</v>
      </c>
      <c r="E3489" s="9" t="s">
        <v>13619</v>
      </c>
      <c r="F3489" s="9" t="s">
        <v>13620</v>
      </c>
      <c r="G3489" s="9" t="s">
        <v>24</v>
      </c>
      <c r="H3489" s="15" t="s">
        <v>23</v>
      </c>
      <c r="I3489" s="9" t="s">
        <v>13621</v>
      </c>
      <c r="J3489" s="13"/>
      <c r="K3489" s="13"/>
    </row>
    <row r="3490" customFormat="false" ht="23.85" hidden="false" customHeight="false" outlineLevel="0" collapsed="false">
      <c r="A3490" s="9" t="n">
        <v>3489</v>
      </c>
      <c r="B3490" s="9" t="s">
        <v>172</v>
      </c>
      <c r="C3490" s="11" t="s">
        <v>191</v>
      </c>
      <c r="D3490" s="9" t="s">
        <v>13622</v>
      </c>
      <c r="E3490" s="9" t="s">
        <v>13623</v>
      </c>
      <c r="F3490" s="9" t="s">
        <v>13624</v>
      </c>
      <c r="G3490" s="9" t="s">
        <v>24</v>
      </c>
      <c r="H3490" s="15" t="s">
        <v>23</v>
      </c>
      <c r="I3490" s="9" t="s">
        <v>810</v>
      </c>
      <c r="J3490" s="13"/>
      <c r="K3490" s="13"/>
    </row>
    <row r="3491" customFormat="false" ht="15" hidden="false" customHeight="false" outlineLevel="0" collapsed="false">
      <c r="A3491" s="9" t="n">
        <v>3490</v>
      </c>
      <c r="B3491" s="9" t="s">
        <v>172</v>
      </c>
      <c r="C3491" s="11" t="s">
        <v>191</v>
      </c>
      <c r="D3491" s="9" t="s">
        <v>13625</v>
      </c>
      <c r="E3491" s="9" t="s">
        <v>9749</v>
      </c>
      <c r="F3491" s="9" t="s">
        <v>13495</v>
      </c>
      <c r="G3491" s="9" t="s">
        <v>24</v>
      </c>
      <c r="H3491" s="15" t="s">
        <v>23</v>
      </c>
      <c r="I3491" s="9" t="s">
        <v>13496</v>
      </c>
      <c r="J3491" s="13"/>
      <c r="K3491" s="13"/>
    </row>
    <row r="3492" customFormat="false" ht="79.85" hidden="false" customHeight="false" outlineLevel="0" collapsed="false">
      <c r="A3492" s="9" t="n">
        <v>3491</v>
      </c>
      <c r="B3492" s="9" t="s">
        <v>172</v>
      </c>
      <c r="C3492" s="11" t="s">
        <v>193</v>
      </c>
      <c r="D3492" s="9" t="s">
        <v>13626</v>
      </c>
      <c r="E3492" s="9" t="s">
        <v>13627</v>
      </c>
      <c r="F3492" s="9" t="s">
        <v>13628</v>
      </c>
      <c r="G3492" s="9" t="s">
        <v>328</v>
      </c>
      <c r="H3492" s="12" t="s">
        <v>21</v>
      </c>
      <c r="I3492" s="9" t="s">
        <v>13629</v>
      </c>
      <c r="J3492" s="13"/>
      <c r="K3492" s="13"/>
    </row>
    <row r="3493" customFormat="false" ht="68.65" hidden="false" customHeight="false" outlineLevel="0" collapsed="false">
      <c r="A3493" s="9" t="n">
        <v>3492</v>
      </c>
      <c r="B3493" s="9" t="s">
        <v>172</v>
      </c>
      <c r="C3493" s="11" t="s">
        <v>193</v>
      </c>
      <c r="D3493" s="9" t="s">
        <v>13630</v>
      </c>
      <c r="E3493" s="9" t="s">
        <v>13631</v>
      </c>
      <c r="F3493" s="9" t="s">
        <v>13632</v>
      </c>
      <c r="G3493" s="9" t="s">
        <v>312</v>
      </c>
      <c r="H3493" s="12" t="s">
        <v>21</v>
      </c>
      <c r="I3493" s="9" t="s">
        <v>13633</v>
      </c>
      <c r="J3493" s="13"/>
      <c r="K3493" s="13"/>
    </row>
    <row r="3494" customFormat="false" ht="113.4" hidden="false" customHeight="false" outlineLevel="0" collapsed="false">
      <c r="A3494" s="9" t="n">
        <v>3493</v>
      </c>
      <c r="B3494" s="9" t="s">
        <v>172</v>
      </c>
      <c r="C3494" s="11" t="s">
        <v>193</v>
      </c>
      <c r="D3494" s="9" t="s">
        <v>13634</v>
      </c>
      <c r="E3494" s="9" t="s">
        <v>13635</v>
      </c>
      <c r="F3494" s="9" t="s">
        <v>13636</v>
      </c>
      <c r="G3494" s="9" t="s">
        <v>1852</v>
      </c>
      <c r="H3494" s="12" t="s">
        <v>21</v>
      </c>
      <c r="I3494" s="9" t="s">
        <v>13637</v>
      </c>
      <c r="J3494" s="13"/>
      <c r="K3494" s="13"/>
    </row>
    <row r="3495" customFormat="false" ht="57.45" hidden="false" customHeight="false" outlineLevel="0" collapsed="false">
      <c r="A3495" s="9" t="n">
        <v>3494</v>
      </c>
      <c r="B3495" s="9" t="s">
        <v>172</v>
      </c>
      <c r="C3495" s="11" t="s">
        <v>193</v>
      </c>
      <c r="D3495" s="9" t="s">
        <v>13638</v>
      </c>
      <c r="E3495" s="9" t="s">
        <v>13639</v>
      </c>
      <c r="F3495" s="9" t="s">
        <v>13640</v>
      </c>
      <c r="G3495" s="9" t="s">
        <v>1852</v>
      </c>
      <c r="H3495" s="12" t="s">
        <v>21</v>
      </c>
      <c r="I3495" s="9" t="s">
        <v>13641</v>
      </c>
      <c r="J3495" s="13"/>
      <c r="K3495" s="13"/>
    </row>
    <row r="3496" customFormat="false" ht="91" hidden="false" customHeight="false" outlineLevel="0" collapsed="false">
      <c r="A3496" s="9" t="n">
        <v>3495</v>
      </c>
      <c r="B3496" s="9" t="s">
        <v>172</v>
      </c>
      <c r="C3496" s="11" t="s">
        <v>193</v>
      </c>
      <c r="D3496" s="9" t="s">
        <v>13642</v>
      </c>
      <c r="E3496" s="9" t="s">
        <v>13643</v>
      </c>
      <c r="F3496" s="9" t="s">
        <v>13644</v>
      </c>
      <c r="G3496" s="9" t="s">
        <v>12302</v>
      </c>
      <c r="H3496" s="12" t="s">
        <v>21</v>
      </c>
      <c r="I3496" s="9" t="s">
        <v>13645</v>
      </c>
      <c r="J3496" s="13"/>
      <c r="K3496" s="13"/>
    </row>
    <row r="3497" customFormat="false" ht="79.85" hidden="false" customHeight="false" outlineLevel="0" collapsed="false">
      <c r="A3497" s="9" t="n">
        <v>3496</v>
      </c>
      <c r="B3497" s="9" t="s">
        <v>172</v>
      </c>
      <c r="C3497" s="11" t="s">
        <v>193</v>
      </c>
      <c r="D3497" s="9" t="s">
        <v>13646</v>
      </c>
      <c r="E3497" s="9" t="s">
        <v>13647</v>
      </c>
      <c r="F3497" s="9" t="s">
        <v>13648</v>
      </c>
      <c r="G3497" s="9" t="s">
        <v>312</v>
      </c>
      <c r="H3497" s="14" t="s">
        <v>22</v>
      </c>
      <c r="I3497" s="9" t="s">
        <v>13649</v>
      </c>
      <c r="J3497" s="13"/>
      <c r="K3497" s="13"/>
    </row>
    <row r="3498" customFormat="false" ht="102.2" hidden="false" customHeight="false" outlineLevel="0" collapsed="false">
      <c r="A3498" s="9" t="n">
        <v>3497</v>
      </c>
      <c r="B3498" s="9" t="s">
        <v>172</v>
      </c>
      <c r="C3498" s="11" t="s">
        <v>193</v>
      </c>
      <c r="D3498" s="9" t="s">
        <v>13650</v>
      </c>
      <c r="E3498" s="9" t="s">
        <v>13651</v>
      </c>
      <c r="F3498" s="9" t="s">
        <v>13652</v>
      </c>
      <c r="G3498" s="9" t="s">
        <v>1638</v>
      </c>
      <c r="H3498" s="14" t="s">
        <v>22</v>
      </c>
      <c r="I3498" s="9" t="s">
        <v>13653</v>
      </c>
      <c r="J3498" s="13"/>
      <c r="K3498" s="13"/>
    </row>
    <row r="3499" customFormat="false" ht="79.85" hidden="false" customHeight="false" outlineLevel="0" collapsed="false">
      <c r="A3499" s="9" t="n">
        <v>3498</v>
      </c>
      <c r="B3499" s="9" t="s">
        <v>172</v>
      </c>
      <c r="C3499" s="11" t="s">
        <v>193</v>
      </c>
      <c r="D3499" s="9" t="s">
        <v>13654</v>
      </c>
      <c r="E3499" s="9" t="s">
        <v>13655</v>
      </c>
      <c r="F3499" s="9" t="s">
        <v>13656</v>
      </c>
      <c r="G3499" s="9" t="s">
        <v>1638</v>
      </c>
      <c r="H3499" s="14" t="s">
        <v>22</v>
      </c>
      <c r="I3499" s="9" t="s">
        <v>13657</v>
      </c>
      <c r="J3499" s="13"/>
      <c r="K3499" s="13"/>
    </row>
    <row r="3500" customFormat="false" ht="46.25" hidden="false" customHeight="false" outlineLevel="0" collapsed="false">
      <c r="A3500" s="9" t="n">
        <v>3499</v>
      </c>
      <c r="B3500" s="9" t="s">
        <v>172</v>
      </c>
      <c r="C3500" s="11" t="s">
        <v>193</v>
      </c>
      <c r="D3500" s="9" t="s">
        <v>13658</v>
      </c>
      <c r="E3500" s="9" t="s">
        <v>13659</v>
      </c>
      <c r="F3500" s="9" t="s">
        <v>13660</v>
      </c>
      <c r="G3500" s="9" t="s">
        <v>6425</v>
      </c>
      <c r="H3500" s="14" t="s">
        <v>22</v>
      </c>
      <c r="I3500" s="9" t="s">
        <v>13661</v>
      </c>
      <c r="J3500" s="13"/>
      <c r="K3500" s="13"/>
    </row>
    <row r="3501" customFormat="false" ht="23.85" hidden="false" customHeight="false" outlineLevel="0" collapsed="false">
      <c r="A3501" s="9" t="n">
        <v>3500</v>
      </c>
      <c r="B3501" s="9" t="s">
        <v>172</v>
      </c>
      <c r="C3501" s="11" t="s">
        <v>193</v>
      </c>
      <c r="D3501" s="9" t="s">
        <v>13662</v>
      </c>
      <c r="E3501" s="9" t="s">
        <v>13663</v>
      </c>
      <c r="F3501" s="9" t="s">
        <v>13664</v>
      </c>
      <c r="G3501" s="9" t="s">
        <v>6425</v>
      </c>
      <c r="H3501" s="15" t="s">
        <v>23</v>
      </c>
      <c r="I3501" s="9" t="s">
        <v>13665</v>
      </c>
      <c r="J3501" s="13"/>
      <c r="K3501" s="13"/>
    </row>
    <row r="3502" customFormat="false" ht="79.85" hidden="false" customHeight="false" outlineLevel="0" collapsed="false">
      <c r="A3502" s="9" t="n">
        <v>3501</v>
      </c>
      <c r="B3502" s="9" t="s">
        <v>172</v>
      </c>
      <c r="C3502" s="11" t="s">
        <v>193</v>
      </c>
      <c r="D3502" s="9" t="s">
        <v>13666</v>
      </c>
      <c r="E3502" s="9" t="s">
        <v>13667</v>
      </c>
      <c r="F3502" s="9" t="s">
        <v>13668</v>
      </c>
      <c r="G3502" s="9" t="s">
        <v>12080</v>
      </c>
      <c r="H3502" s="14" t="s">
        <v>22</v>
      </c>
      <c r="I3502" s="9" t="s">
        <v>13669</v>
      </c>
      <c r="J3502" s="13"/>
      <c r="K3502" s="13"/>
    </row>
    <row r="3503" customFormat="false" ht="68.65" hidden="false" customHeight="false" outlineLevel="0" collapsed="false">
      <c r="A3503" s="9" t="n">
        <v>3502</v>
      </c>
      <c r="B3503" s="9" t="s">
        <v>172</v>
      </c>
      <c r="C3503" s="11" t="s">
        <v>193</v>
      </c>
      <c r="D3503" s="9" t="s">
        <v>13670</v>
      </c>
      <c r="E3503" s="9" t="s">
        <v>13671</v>
      </c>
      <c r="F3503" s="9" t="s">
        <v>13672</v>
      </c>
      <c r="G3503" s="9" t="s">
        <v>312</v>
      </c>
      <c r="H3503" s="14" t="s">
        <v>22</v>
      </c>
      <c r="I3503" s="9" t="s">
        <v>13673</v>
      </c>
      <c r="J3503" s="13"/>
      <c r="K3503" s="13"/>
    </row>
    <row r="3504" customFormat="false" ht="113.4" hidden="false" customHeight="false" outlineLevel="0" collapsed="false">
      <c r="A3504" s="9" t="n">
        <v>3503</v>
      </c>
      <c r="B3504" s="9" t="s">
        <v>172</v>
      </c>
      <c r="C3504" s="11" t="s">
        <v>193</v>
      </c>
      <c r="D3504" s="9" t="s">
        <v>13674</v>
      </c>
      <c r="E3504" s="9" t="s">
        <v>13675</v>
      </c>
      <c r="F3504" s="9" t="s">
        <v>13676</v>
      </c>
      <c r="G3504" s="9" t="s">
        <v>12080</v>
      </c>
      <c r="H3504" s="14" t="s">
        <v>22</v>
      </c>
      <c r="I3504" s="9" t="s">
        <v>13677</v>
      </c>
      <c r="J3504" s="13"/>
      <c r="K3504" s="13"/>
    </row>
    <row r="3505" customFormat="false" ht="57.45" hidden="false" customHeight="false" outlineLevel="0" collapsed="false">
      <c r="A3505" s="9" t="n">
        <v>3504</v>
      </c>
      <c r="B3505" s="9" t="s">
        <v>172</v>
      </c>
      <c r="C3505" s="11" t="s">
        <v>193</v>
      </c>
      <c r="D3505" s="9" t="s">
        <v>13678</v>
      </c>
      <c r="E3505" s="9" t="s">
        <v>13679</v>
      </c>
      <c r="F3505" s="9" t="s">
        <v>13680</v>
      </c>
      <c r="G3505" s="9" t="s">
        <v>312</v>
      </c>
      <c r="H3505" s="15" t="s">
        <v>23</v>
      </c>
      <c r="I3505" s="9" t="s">
        <v>13681</v>
      </c>
      <c r="J3505" s="13"/>
      <c r="K3505" s="13"/>
    </row>
    <row r="3506" customFormat="false" ht="57.45" hidden="false" customHeight="false" outlineLevel="0" collapsed="false">
      <c r="A3506" s="9" t="n">
        <v>3505</v>
      </c>
      <c r="B3506" s="9" t="s">
        <v>172</v>
      </c>
      <c r="C3506" s="11" t="s">
        <v>193</v>
      </c>
      <c r="D3506" s="9" t="s">
        <v>13682</v>
      </c>
      <c r="E3506" s="9" t="s">
        <v>13683</v>
      </c>
      <c r="F3506" s="9" t="s">
        <v>13684</v>
      </c>
      <c r="G3506" s="9" t="s">
        <v>12080</v>
      </c>
      <c r="H3506" s="14" t="s">
        <v>22</v>
      </c>
      <c r="I3506" s="9" t="s">
        <v>13685</v>
      </c>
      <c r="J3506" s="13"/>
      <c r="K3506" s="13"/>
    </row>
    <row r="3507" customFormat="false" ht="102.2" hidden="false" customHeight="false" outlineLevel="0" collapsed="false">
      <c r="A3507" s="9" t="n">
        <v>3506</v>
      </c>
      <c r="B3507" s="9" t="s">
        <v>172</v>
      </c>
      <c r="C3507" s="11" t="s">
        <v>193</v>
      </c>
      <c r="D3507" s="9" t="s">
        <v>13686</v>
      </c>
      <c r="E3507" s="9" t="s">
        <v>13687</v>
      </c>
      <c r="F3507" s="9" t="s">
        <v>13688</v>
      </c>
      <c r="G3507" s="9" t="s">
        <v>13381</v>
      </c>
      <c r="H3507" s="14" t="s">
        <v>22</v>
      </c>
      <c r="I3507" s="9" t="s">
        <v>13689</v>
      </c>
      <c r="J3507" s="13"/>
      <c r="K3507" s="13"/>
    </row>
    <row r="3508" customFormat="false" ht="46.25" hidden="false" customHeight="false" outlineLevel="0" collapsed="false">
      <c r="A3508" s="9" t="n">
        <v>3507</v>
      </c>
      <c r="B3508" s="9" t="s">
        <v>172</v>
      </c>
      <c r="C3508" s="11" t="s">
        <v>193</v>
      </c>
      <c r="D3508" s="9" t="s">
        <v>13690</v>
      </c>
      <c r="E3508" s="9" t="s">
        <v>13691</v>
      </c>
      <c r="F3508" s="9" t="s">
        <v>13692</v>
      </c>
      <c r="G3508" s="9" t="s">
        <v>312</v>
      </c>
      <c r="H3508" s="15" t="s">
        <v>23</v>
      </c>
      <c r="I3508" s="9" t="s">
        <v>13693</v>
      </c>
      <c r="J3508" s="13"/>
      <c r="K3508" s="13"/>
    </row>
    <row r="3509" customFormat="false" ht="57.45" hidden="false" customHeight="false" outlineLevel="0" collapsed="false">
      <c r="A3509" s="9" t="n">
        <v>3508</v>
      </c>
      <c r="B3509" s="9" t="s">
        <v>172</v>
      </c>
      <c r="C3509" s="11" t="s">
        <v>193</v>
      </c>
      <c r="D3509" s="9" t="s">
        <v>13694</v>
      </c>
      <c r="E3509" s="9" t="s">
        <v>13695</v>
      </c>
      <c r="F3509" s="9" t="s">
        <v>13696</v>
      </c>
      <c r="G3509" s="9" t="s">
        <v>12080</v>
      </c>
      <c r="H3509" s="15" t="s">
        <v>23</v>
      </c>
      <c r="I3509" s="9" t="s">
        <v>13697</v>
      </c>
      <c r="J3509" s="13"/>
      <c r="K3509" s="13"/>
    </row>
    <row r="3510" customFormat="false" ht="46.25" hidden="false" customHeight="false" outlineLevel="0" collapsed="false">
      <c r="A3510" s="9" t="n">
        <v>3509</v>
      </c>
      <c r="B3510" s="9" t="s">
        <v>172</v>
      </c>
      <c r="C3510" s="11" t="s">
        <v>193</v>
      </c>
      <c r="D3510" s="9" t="s">
        <v>13698</v>
      </c>
      <c r="E3510" s="9" t="s">
        <v>13699</v>
      </c>
      <c r="F3510" s="9" t="s">
        <v>13700</v>
      </c>
      <c r="G3510" s="9" t="s">
        <v>12080</v>
      </c>
      <c r="H3510" s="15" t="s">
        <v>23</v>
      </c>
      <c r="I3510" s="9" t="s">
        <v>13701</v>
      </c>
      <c r="J3510" s="13"/>
      <c r="K3510" s="13"/>
    </row>
    <row r="3511" customFormat="false" ht="57.45" hidden="false" customHeight="false" outlineLevel="0" collapsed="false">
      <c r="A3511" s="9" t="n">
        <v>3510</v>
      </c>
      <c r="B3511" s="9" t="s">
        <v>172</v>
      </c>
      <c r="C3511" s="11" t="s">
        <v>193</v>
      </c>
      <c r="D3511" s="9" t="s">
        <v>13702</v>
      </c>
      <c r="E3511" s="9" t="s">
        <v>13703</v>
      </c>
      <c r="F3511" s="9" t="s">
        <v>13704</v>
      </c>
      <c r="G3511" s="9" t="s">
        <v>312</v>
      </c>
      <c r="H3511" s="15" t="s">
        <v>23</v>
      </c>
      <c r="I3511" s="9" t="s">
        <v>13705</v>
      </c>
      <c r="J3511" s="13"/>
      <c r="K3511" s="13"/>
    </row>
    <row r="3512" customFormat="false" ht="46.25" hidden="false" customHeight="false" outlineLevel="0" collapsed="false">
      <c r="A3512" s="9" t="n">
        <v>3511</v>
      </c>
      <c r="B3512" s="9" t="s">
        <v>172</v>
      </c>
      <c r="C3512" s="11" t="s">
        <v>193</v>
      </c>
      <c r="D3512" s="9" t="s">
        <v>13706</v>
      </c>
      <c r="E3512" s="9" t="s">
        <v>13707</v>
      </c>
      <c r="F3512" s="9" t="s">
        <v>13708</v>
      </c>
      <c r="G3512" s="9" t="s">
        <v>6425</v>
      </c>
      <c r="H3512" s="15" t="s">
        <v>23</v>
      </c>
      <c r="I3512" s="9" t="s">
        <v>13709</v>
      </c>
      <c r="J3512" s="13"/>
      <c r="K3512" s="13"/>
    </row>
    <row r="3513" customFormat="false" ht="35.05" hidden="false" customHeight="false" outlineLevel="0" collapsed="false">
      <c r="A3513" s="9" t="n">
        <v>3512</v>
      </c>
      <c r="B3513" s="9" t="s">
        <v>172</v>
      </c>
      <c r="C3513" s="11" t="s">
        <v>193</v>
      </c>
      <c r="D3513" s="9" t="s">
        <v>13710</v>
      </c>
      <c r="E3513" s="9" t="s">
        <v>13711</v>
      </c>
      <c r="F3513" s="9" t="s">
        <v>13712</v>
      </c>
      <c r="G3513" s="9" t="s">
        <v>12080</v>
      </c>
      <c r="H3513" s="15" t="s">
        <v>23</v>
      </c>
      <c r="I3513" s="9" t="s">
        <v>13713</v>
      </c>
      <c r="J3513" s="13"/>
      <c r="K3513" s="13"/>
    </row>
    <row r="3514" customFormat="false" ht="35.05" hidden="false" customHeight="false" outlineLevel="0" collapsed="false">
      <c r="A3514" s="9" t="n">
        <v>3513</v>
      </c>
      <c r="B3514" s="9" t="s">
        <v>172</v>
      </c>
      <c r="C3514" s="11" t="s">
        <v>193</v>
      </c>
      <c r="D3514" s="9" t="s">
        <v>13714</v>
      </c>
      <c r="E3514" s="9" t="s">
        <v>13438</v>
      </c>
      <c r="F3514" s="9" t="s">
        <v>13715</v>
      </c>
      <c r="G3514" s="9" t="s">
        <v>1139</v>
      </c>
      <c r="H3514" s="14" t="s">
        <v>22</v>
      </c>
      <c r="I3514" s="9" t="s">
        <v>13716</v>
      </c>
      <c r="J3514" s="13"/>
      <c r="K3514" s="13"/>
    </row>
    <row r="3515" customFormat="false" ht="57.45" hidden="false" customHeight="false" outlineLevel="0" collapsed="false">
      <c r="A3515" s="9" t="n">
        <v>3514</v>
      </c>
      <c r="B3515" s="9" t="s">
        <v>172</v>
      </c>
      <c r="C3515" s="11" t="s">
        <v>193</v>
      </c>
      <c r="D3515" s="9" t="s">
        <v>13717</v>
      </c>
      <c r="E3515" s="9" t="s">
        <v>13718</v>
      </c>
      <c r="F3515" s="9" t="s">
        <v>13719</v>
      </c>
      <c r="G3515" s="9" t="s">
        <v>13444</v>
      </c>
      <c r="H3515" s="14" t="s">
        <v>22</v>
      </c>
      <c r="I3515" s="9" t="s">
        <v>13720</v>
      </c>
      <c r="J3515" s="13"/>
      <c r="K3515" s="13"/>
    </row>
    <row r="3516" customFormat="false" ht="35.05" hidden="false" customHeight="false" outlineLevel="0" collapsed="false">
      <c r="A3516" s="9" t="n">
        <v>3515</v>
      </c>
      <c r="B3516" s="9" t="s">
        <v>172</v>
      </c>
      <c r="C3516" s="11" t="s">
        <v>193</v>
      </c>
      <c r="D3516" s="9" t="s">
        <v>13721</v>
      </c>
      <c r="E3516" s="9" t="s">
        <v>13722</v>
      </c>
      <c r="F3516" s="9" t="s">
        <v>13723</v>
      </c>
      <c r="G3516" s="9" t="s">
        <v>328</v>
      </c>
      <c r="H3516" s="15" t="s">
        <v>23</v>
      </c>
      <c r="I3516" s="9" t="s">
        <v>13724</v>
      </c>
      <c r="J3516" s="13"/>
      <c r="K3516" s="13"/>
    </row>
    <row r="3517" customFormat="false" ht="46.25" hidden="false" customHeight="false" outlineLevel="0" collapsed="false">
      <c r="A3517" s="9" t="n">
        <v>3516</v>
      </c>
      <c r="B3517" s="9" t="s">
        <v>172</v>
      </c>
      <c r="C3517" s="11" t="s">
        <v>193</v>
      </c>
      <c r="D3517" s="9" t="s">
        <v>13725</v>
      </c>
      <c r="E3517" s="9" t="s">
        <v>13726</v>
      </c>
      <c r="F3517" s="9" t="s">
        <v>13727</v>
      </c>
      <c r="G3517" s="9" t="s">
        <v>317</v>
      </c>
      <c r="H3517" s="15" t="s">
        <v>23</v>
      </c>
      <c r="I3517" s="9" t="s">
        <v>13728</v>
      </c>
      <c r="J3517" s="13"/>
      <c r="K3517" s="13"/>
    </row>
    <row r="3518" customFormat="false" ht="35.05" hidden="false" customHeight="false" outlineLevel="0" collapsed="false">
      <c r="A3518" s="9" t="n">
        <v>3517</v>
      </c>
      <c r="B3518" s="9" t="s">
        <v>172</v>
      </c>
      <c r="C3518" s="11" t="s">
        <v>193</v>
      </c>
      <c r="D3518" s="9" t="s">
        <v>13729</v>
      </c>
      <c r="E3518" s="9" t="s">
        <v>13730</v>
      </c>
      <c r="F3518" s="9" t="s">
        <v>13731</v>
      </c>
      <c r="G3518" s="9" t="s">
        <v>24</v>
      </c>
      <c r="H3518" s="12" t="s">
        <v>21</v>
      </c>
      <c r="I3518" s="9" t="s">
        <v>13732</v>
      </c>
      <c r="J3518" s="13"/>
      <c r="K3518" s="13"/>
    </row>
    <row r="3519" customFormat="false" ht="57.45" hidden="false" customHeight="false" outlineLevel="0" collapsed="false">
      <c r="A3519" s="9" t="n">
        <v>3518</v>
      </c>
      <c r="B3519" s="9" t="s">
        <v>172</v>
      </c>
      <c r="C3519" s="11" t="s">
        <v>193</v>
      </c>
      <c r="D3519" s="9" t="s">
        <v>13733</v>
      </c>
      <c r="E3519" s="9" t="s">
        <v>13734</v>
      </c>
      <c r="F3519" s="9" t="s">
        <v>13735</v>
      </c>
      <c r="G3519" s="9" t="s">
        <v>24</v>
      </c>
      <c r="H3519" s="14" t="s">
        <v>22</v>
      </c>
      <c r="I3519" s="9" t="s">
        <v>13736</v>
      </c>
      <c r="J3519" s="13"/>
      <c r="K3519" s="13"/>
    </row>
    <row r="3520" customFormat="false" ht="46.25" hidden="false" customHeight="false" outlineLevel="0" collapsed="false">
      <c r="A3520" s="9" t="n">
        <v>3519</v>
      </c>
      <c r="B3520" s="9" t="s">
        <v>172</v>
      </c>
      <c r="C3520" s="11" t="s">
        <v>193</v>
      </c>
      <c r="D3520" s="9" t="s">
        <v>13737</v>
      </c>
      <c r="E3520" s="9" t="s">
        <v>13738</v>
      </c>
      <c r="F3520" s="9" t="s">
        <v>13739</v>
      </c>
      <c r="G3520" s="9" t="s">
        <v>24</v>
      </c>
      <c r="H3520" s="14" t="s">
        <v>22</v>
      </c>
      <c r="I3520" s="9" t="s">
        <v>13740</v>
      </c>
      <c r="J3520" s="13"/>
      <c r="K3520" s="13"/>
    </row>
    <row r="3521" customFormat="false" ht="23.85" hidden="false" customHeight="false" outlineLevel="0" collapsed="false">
      <c r="A3521" s="9" t="n">
        <v>3520</v>
      </c>
      <c r="B3521" s="9" t="s">
        <v>172</v>
      </c>
      <c r="C3521" s="11" t="s">
        <v>193</v>
      </c>
      <c r="D3521" s="9" t="s">
        <v>13741</v>
      </c>
      <c r="E3521" s="9" t="s">
        <v>13742</v>
      </c>
      <c r="F3521" s="9" t="s">
        <v>13743</v>
      </c>
      <c r="G3521" s="9" t="s">
        <v>24</v>
      </c>
      <c r="H3521" s="14" t="s">
        <v>22</v>
      </c>
      <c r="I3521" s="9" t="s">
        <v>13340</v>
      </c>
      <c r="J3521" s="13"/>
      <c r="K3521" s="13"/>
    </row>
    <row r="3522" customFormat="false" ht="15" hidden="false" customHeight="false" outlineLevel="0" collapsed="false">
      <c r="A3522" s="9" t="n">
        <v>3521</v>
      </c>
      <c r="B3522" s="9" t="s">
        <v>172</v>
      </c>
      <c r="C3522" s="11" t="s">
        <v>193</v>
      </c>
      <c r="D3522" s="9" t="s">
        <v>13744</v>
      </c>
      <c r="E3522" s="9" t="s">
        <v>358</v>
      </c>
      <c r="F3522" s="9" t="s">
        <v>13342</v>
      </c>
      <c r="G3522" s="9" t="s">
        <v>24</v>
      </c>
      <c r="H3522" s="14" t="s">
        <v>22</v>
      </c>
      <c r="I3522" s="9" t="s">
        <v>5550</v>
      </c>
      <c r="J3522" s="13"/>
      <c r="K3522" s="13"/>
    </row>
    <row r="3523" customFormat="false" ht="15" hidden="false" customHeight="false" outlineLevel="0" collapsed="false">
      <c r="A3523" s="9" t="n">
        <v>3522</v>
      </c>
      <c r="B3523" s="9" t="s">
        <v>172</v>
      </c>
      <c r="C3523" s="11" t="s">
        <v>193</v>
      </c>
      <c r="D3523" s="9" t="s">
        <v>13745</v>
      </c>
      <c r="E3523" s="9" t="s">
        <v>362</v>
      </c>
      <c r="F3523" s="9" t="s">
        <v>363</v>
      </c>
      <c r="G3523" s="9" t="s">
        <v>24</v>
      </c>
      <c r="H3523" s="14" t="s">
        <v>22</v>
      </c>
      <c r="I3523" s="9" t="s">
        <v>364</v>
      </c>
      <c r="J3523" s="13"/>
      <c r="K3523" s="13"/>
    </row>
    <row r="3524" customFormat="false" ht="23.85" hidden="false" customHeight="false" outlineLevel="0" collapsed="false">
      <c r="A3524" s="9" t="n">
        <v>3523</v>
      </c>
      <c r="B3524" s="9" t="s">
        <v>172</v>
      </c>
      <c r="C3524" s="11" t="s">
        <v>193</v>
      </c>
      <c r="D3524" s="9" t="s">
        <v>13746</v>
      </c>
      <c r="E3524" s="9" t="s">
        <v>13747</v>
      </c>
      <c r="F3524" s="9" t="s">
        <v>13748</v>
      </c>
      <c r="G3524" s="9" t="s">
        <v>24</v>
      </c>
      <c r="H3524" s="15" t="s">
        <v>23</v>
      </c>
      <c r="I3524" s="9" t="s">
        <v>434</v>
      </c>
      <c r="J3524" s="13"/>
      <c r="K3524" s="13"/>
    </row>
    <row r="3525" customFormat="false" ht="23.85" hidden="false" customHeight="false" outlineLevel="0" collapsed="false">
      <c r="A3525" s="9" t="n">
        <v>3524</v>
      </c>
      <c r="B3525" s="9" t="s">
        <v>172</v>
      </c>
      <c r="C3525" s="11" t="s">
        <v>193</v>
      </c>
      <c r="D3525" s="9" t="s">
        <v>13749</v>
      </c>
      <c r="E3525" s="9" t="s">
        <v>13750</v>
      </c>
      <c r="F3525" s="9" t="s">
        <v>13751</v>
      </c>
      <c r="G3525" s="9" t="s">
        <v>24</v>
      </c>
      <c r="H3525" s="15" t="s">
        <v>23</v>
      </c>
      <c r="I3525" s="9" t="s">
        <v>434</v>
      </c>
      <c r="J3525" s="13"/>
      <c r="K3525" s="13"/>
    </row>
    <row r="3526" customFormat="false" ht="23.85" hidden="false" customHeight="false" outlineLevel="0" collapsed="false">
      <c r="A3526" s="9" t="n">
        <v>3525</v>
      </c>
      <c r="B3526" s="9" t="s">
        <v>172</v>
      </c>
      <c r="C3526" s="11" t="s">
        <v>193</v>
      </c>
      <c r="D3526" s="9" t="s">
        <v>13752</v>
      </c>
      <c r="E3526" s="9" t="s">
        <v>11750</v>
      </c>
      <c r="F3526" s="9" t="s">
        <v>13753</v>
      </c>
      <c r="G3526" s="9" t="s">
        <v>24</v>
      </c>
      <c r="H3526" s="15" t="s">
        <v>23</v>
      </c>
      <c r="I3526" s="9" t="s">
        <v>824</v>
      </c>
      <c r="J3526" s="13"/>
      <c r="K3526" s="13"/>
    </row>
    <row r="3527" customFormat="false" ht="23.85" hidden="false" customHeight="false" outlineLevel="0" collapsed="false">
      <c r="A3527" s="9" t="n">
        <v>3526</v>
      </c>
      <c r="B3527" s="9" t="s">
        <v>172</v>
      </c>
      <c r="C3527" s="11" t="s">
        <v>193</v>
      </c>
      <c r="D3527" s="9" t="s">
        <v>13754</v>
      </c>
      <c r="E3527" s="9" t="s">
        <v>13755</v>
      </c>
      <c r="F3527" s="9" t="s">
        <v>13756</v>
      </c>
      <c r="G3527" s="9" t="s">
        <v>24</v>
      </c>
      <c r="H3527" s="15" t="s">
        <v>23</v>
      </c>
      <c r="I3527" s="9" t="s">
        <v>2839</v>
      </c>
      <c r="J3527" s="13"/>
      <c r="K3527" s="13"/>
    </row>
    <row r="3528" customFormat="false" ht="15" hidden="false" customHeight="false" outlineLevel="0" collapsed="false">
      <c r="A3528" s="9" t="n">
        <v>3527</v>
      </c>
      <c r="B3528" s="9" t="s">
        <v>172</v>
      </c>
      <c r="C3528" s="11" t="s">
        <v>193</v>
      </c>
      <c r="D3528" s="9" t="s">
        <v>13757</v>
      </c>
      <c r="E3528" s="9" t="s">
        <v>9749</v>
      </c>
      <c r="F3528" s="9" t="s">
        <v>13758</v>
      </c>
      <c r="G3528" s="9" t="s">
        <v>24</v>
      </c>
      <c r="H3528" s="15" t="s">
        <v>23</v>
      </c>
      <c r="I3528" s="9" t="s">
        <v>13496</v>
      </c>
      <c r="J3528" s="13"/>
      <c r="K3528" s="13"/>
    </row>
    <row r="3529" customFormat="false" ht="46.25" hidden="false" customHeight="false" outlineLevel="0" collapsed="false">
      <c r="A3529" s="9" t="n">
        <v>3528</v>
      </c>
      <c r="B3529" s="9" t="s">
        <v>172</v>
      </c>
      <c r="C3529" s="11" t="s">
        <v>195</v>
      </c>
      <c r="D3529" s="9" t="s">
        <v>13759</v>
      </c>
      <c r="E3529" s="9" t="s">
        <v>13760</v>
      </c>
      <c r="F3529" s="9" t="s">
        <v>13761</v>
      </c>
      <c r="G3529" s="9" t="s">
        <v>328</v>
      </c>
      <c r="H3529" s="14" t="s">
        <v>22</v>
      </c>
      <c r="I3529" s="9" t="s">
        <v>13762</v>
      </c>
      <c r="J3529" s="13"/>
      <c r="K3529" s="13"/>
    </row>
    <row r="3530" customFormat="false" ht="79.85" hidden="false" customHeight="false" outlineLevel="0" collapsed="false">
      <c r="A3530" s="9" t="n">
        <v>3529</v>
      </c>
      <c r="B3530" s="9" t="s">
        <v>172</v>
      </c>
      <c r="C3530" s="11" t="s">
        <v>195</v>
      </c>
      <c r="D3530" s="9" t="s">
        <v>13763</v>
      </c>
      <c r="E3530" s="9" t="s">
        <v>13764</v>
      </c>
      <c r="F3530" s="9" t="s">
        <v>13765</v>
      </c>
      <c r="G3530" s="9" t="s">
        <v>12080</v>
      </c>
      <c r="H3530" s="14" t="s">
        <v>22</v>
      </c>
      <c r="I3530" s="9" t="s">
        <v>13766</v>
      </c>
      <c r="J3530" s="13"/>
      <c r="K3530" s="13"/>
    </row>
    <row r="3531" customFormat="false" ht="57.45" hidden="false" customHeight="false" outlineLevel="0" collapsed="false">
      <c r="A3531" s="9" t="n">
        <v>3530</v>
      </c>
      <c r="B3531" s="9" t="s">
        <v>172</v>
      </c>
      <c r="C3531" s="11" t="s">
        <v>195</v>
      </c>
      <c r="D3531" s="9" t="s">
        <v>13767</v>
      </c>
      <c r="E3531" s="9" t="s">
        <v>13768</v>
      </c>
      <c r="F3531" s="9" t="s">
        <v>13769</v>
      </c>
      <c r="G3531" s="9" t="s">
        <v>12080</v>
      </c>
      <c r="H3531" s="12" t="s">
        <v>21</v>
      </c>
      <c r="I3531" s="9" t="s">
        <v>13770</v>
      </c>
      <c r="J3531" s="13"/>
      <c r="K3531" s="13"/>
    </row>
    <row r="3532" customFormat="false" ht="79.85" hidden="false" customHeight="false" outlineLevel="0" collapsed="false">
      <c r="A3532" s="9" t="n">
        <v>3531</v>
      </c>
      <c r="B3532" s="9" t="s">
        <v>172</v>
      </c>
      <c r="C3532" s="11" t="s">
        <v>195</v>
      </c>
      <c r="D3532" s="9" t="s">
        <v>13771</v>
      </c>
      <c r="E3532" s="9" t="s">
        <v>13772</v>
      </c>
      <c r="F3532" s="9" t="s">
        <v>13773</v>
      </c>
      <c r="G3532" s="9" t="s">
        <v>12212</v>
      </c>
      <c r="H3532" s="12" t="s">
        <v>21</v>
      </c>
      <c r="I3532" s="9" t="s">
        <v>13774</v>
      </c>
      <c r="J3532" s="13"/>
      <c r="K3532" s="13"/>
    </row>
    <row r="3533" customFormat="false" ht="57.45" hidden="false" customHeight="false" outlineLevel="0" collapsed="false">
      <c r="A3533" s="9" t="n">
        <v>3532</v>
      </c>
      <c r="B3533" s="9" t="s">
        <v>172</v>
      </c>
      <c r="C3533" s="11" t="s">
        <v>195</v>
      </c>
      <c r="D3533" s="9" t="s">
        <v>13775</v>
      </c>
      <c r="E3533" s="9" t="s">
        <v>13776</v>
      </c>
      <c r="F3533" s="9" t="s">
        <v>13777</v>
      </c>
      <c r="G3533" s="9" t="s">
        <v>11473</v>
      </c>
      <c r="H3533" s="12" t="s">
        <v>21</v>
      </c>
      <c r="I3533" s="9" t="s">
        <v>13778</v>
      </c>
      <c r="J3533" s="13"/>
      <c r="K3533" s="13"/>
    </row>
    <row r="3534" customFormat="false" ht="79.85" hidden="false" customHeight="false" outlineLevel="0" collapsed="false">
      <c r="A3534" s="9" t="n">
        <v>3533</v>
      </c>
      <c r="B3534" s="9" t="s">
        <v>172</v>
      </c>
      <c r="C3534" s="11" t="s">
        <v>195</v>
      </c>
      <c r="D3534" s="9" t="s">
        <v>13779</v>
      </c>
      <c r="E3534" s="9" t="s">
        <v>13780</v>
      </c>
      <c r="F3534" s="9" t="s">
        <v>13781</v>
      </c>
      <c r="G3534" s="9" t="s">
        <v>11455</v>
      </c>
      <c r="H3534" s="12" t="s">
        <v>21</v>
      </c>
      <c r="I3534" s="9" t="s">
        <v>13782</v>
      </c>
      <c r="J3534" s="13"/>
      <c r="K3534" s="13"/>
    </row>
    <row r="3535" customFormat="false" ht="113.4" hidden="false" customHeight="false" outlineLevel="0" collapsed="false">
      <c r="A3535" s="9" t="n">
        <v>3534</v>
      </c>
      <c r="B3535" s="9" t="s">
        <v>172</v>
      </c>
      <c r="C3535" s="11" t="s">
        <v>195</v>
      </c>
      <c r="D3535" s="9" t="s">
        <v>13783</v>
      </c>
      <c r="E3535" s="9" t="s">
        <v>13784</v>
      </c>
      <c r="F3535" s="9" t="s">
        <v>13785</v>
      </c>
      <c r="G3535" s="9" t="s">
        <v>1852</v>
      </c>
      <c r="H3535" s="14" t="s">
        <v>22</v>
      </c>
      <c r="I3535" s="9" t="s">
        <v>13786</v>
      </c>
      <c r="J3535" s="13"/>
      <c r="K3535" s="13"/>
    </row>
    <row r="3536" customFormat="false" ht="35.05" hidden="false" customHeight="false" outlineLevel="0" collapsed="false">
      <c r="A3536" s="9" t="n">
        <v>3535</v>
      </c>
      <c r="B3536" s="9" t="s">
        <v>172</v>
      </c>
      <c r="C3536" s="11" t="s">
        <v>195</v>
      </c>
      <c r="D3536" s="9" t="s">
        <v>13787</v>
      </c>
      <c r="E3536" s="9" t="s">
        <v>13788</v>
      </c>
      <c r="F3536" s="9" t="s">
        <v>13789</v>
      </c>
      <c r="G3536" s="9" t="s">
        <v>12080</v>
      </c>
      <c r="H3536" s="14" t="s">
        <v>22</v>
      </c>
      <c r="I3536" s="9" t="s">
        <v>13790</v>
      </c>
      <c r="J3536" s="13"/>
      <c r="K3536" s="13"/>
    </row>
    <row r="3537" customFormat="false" ht="35.05" hidden="false" customHeight="false" outlineLevel="0" collapsed="false">
      <c r="A3537" s="9" t="n">
        <v>3536</v>
      </c>
      <c r="B3537" s="9" t="s">
        <v>172</v>
      </c>
      <c r="C3537" s="11" t="s">
        <v>195</v>
      </c>
      <c r="D3537" s="9" t="s">
        <v>13791</v>
      </c>
      <c r="E3537" s="9" t="s">
        <v>13792</v>
      </c>
      <c r="F3537" s="9" t="s">
        <v>13793</v>
      </c>
      <c r="G3537" s="9" t="s">
        <v>12384</v>
      </c>
      <c r="H3537" s="14" t="s">
        <v>22</v>
      </c>
      <c r="I3537" s="9" t="s">
        <v>13794</v>
      </c>
      <c r="J3537" s="13"/>
      <c r="K3537" s="13"/>
    </row>
    <row r="3538" customFormat="false" ht="68.65" hidden="false" customHeight="false" outlineLevel="0" collapsed="false">
      <c r="A3538" s="9" t="n">
        <v>3537</v>
      </c>
      <c r="B3538" s="9" t="s">
        <v>172</v>
      </c>
      <c r="C3538" s="11" t="s">
        <v>195</v>
      </c>
      <c r="D3538" s="9" t="s">
        <v>13795</v>
      </c>
      <c r="E3538" s="9" t="s">
        <v>13796</v>
      </c>
      <c r="F3538" s="9" t="s">
        <v>13797</v>
      </c>
      <c r="G3538" s="9" t="s">
        <v>12080</v>
      </c>
      <c r="H3538" s="14" t="s">
        <v>22</v>
      </c>
      <c r="I3538" s="9" t="s">
        <v>13798</v>
      </c>
      <c r="J3538" s="13"/>
      <c r="K3538" s="13"/>
    </row>
    <row r="3539" customFormat="false" ht="46.25" hidden="false" customHeight="false" outlineLevel="0" collapsed="false">
      <c r="A3539" s="9" t="n">
        <v>3538</v>
      </c>
      <c r="B3539" s="9" t="s">
        <v>172</v>
      </c>
      <c r="C3539" s="11" t="s">
        <v>195</v>
      </c>
      <c r="D3539" s="9" t="s">
        <v>13799</v>
      </c>
      <c r="E3539" s="9" t="s">
        <v>13800</v>
      </c>
      <c r="F3539" s="9" t="s">
        <v>13801</v>
      </c>
      <c r="G3539" s="9" t="s">
        <v>12080</v>
      </c>
      <c r="H3539" s="14" t="s">
        <v>22</v>
      </c>
      <c r="I3539" s="9" t="s">
        <v>13802</v>
      </c>
      <c r="J3539" s="13"/>
      <c r="K3539" s="13"/>
    </row>
    <row r="3540" customFormat="false" ht="79.85" hidden="false" customHeight="false" outlineLevel="0" collapsed="false">
      <c r="A3540" s="9" t="n">
        <v>3539</v>
      </c>
      <c r="B3540" s="9" t="s">
        <v>172</v>
      </c>
      <c r="C3540" s="11" t="s">
        <v>195</v>
      </c>
      <c r="D3540" s="9" t="s">
        <v>13803</v>
      </c>
      <c r="E3540" s="9" t="s">
        <v>13804</v>
      </c>
      <c r="F3540" s="9" t="s">
        <v>13805</v>
      </c>
      <c r="G3540" s="9" t="s">
        <v>12212</v>
      </c>
      <c r="H3540" s="14" t="s">
        <v>22</v>
      </c>
      <c r="I3540" s="9" t="s">
        <v>13806</v>
      </c>
      <c r="J3540" s="13"/>
      <c r="K3540" s="13"/>
    </row>
    <row r="3541" customFormat="false" ht="68.65" hidden="false" customHeight="false" outlineLevel="0" collapsed="false">
      <c r="A3541" s="9" t="n">
        <v>3540</v>
      </c>
      <c r="B3541" s="9" t="s">
        <v>172</v>
      </c>
      <c r="C3541" s="11" t="s">
        <v>195</v>
      </c>
      <c r="D3541" s="9" t="s">
        <v>13807</v>
      </c>
      <c r="E3541" s="9" t="s">
        <v>13808</v>
      </c>
      <c r="F3541" s="9" t="s">
        <v>13809</v>
      </c>
      <c r="G3541" s="9" t="s">
        <v>13810</v>
      </c>
      <c r="H3541" s="15" t="s">
        <v>23</v>
      </c>
      <c r="I3541" s="9" t="s">
        <v>13811</v>
      </c>
      <c r="J3541" s="13"/>
      <c r="K3541" s="13"/>
    </row>
    <row r="3542" customFormat="false" ht="35.05" hidden="false" customHeight="false" outlineLevel="0" collapsed="false">
      <c r="A3542" s="9" t="n">
        <v>3541</v>
      </c>
      <c r="B3542" s="9" t="s">
        <v>172</v>
      </c>
      <c r="C3542" s="11" t="s">
        <v>195</v>
      </c>
      <c r="D3542" s="9" t="s">
        <v>13812</v>
      </c>
      <c r="E3542" s="9" t="s">
        <v>13813</v>
      </c>
      <c r="F3542" s="9" t="s">
        <v>13814</v>
      </c>
      <c r="G3542" s="9" t="s">
        <v>1072</v>
      </c>
      <c r="H3542" s="15" t="s">
        <v>23</v>
      </c>
      <c r="I3542" s="9" t="s">
        <v>13815</v>
      </c>
      <c r="J3542" s="13"/>
      <c r="K3542" s="13"/>
    </row>
    <row r="3543" customFormat="false" ht="57.45" hidden="false" customHeight="false" outlineLevel="0" collapsed="false">
      <c r="A3543" s="9" t="n">
        <v>3542</v>
      </c>
      <c r="B3543" s="9" t="s">
        <v>172</v>
      </c>
      <c r="C3543" s="11" t="s">
        <v>195</v>
      </c>
      <c r="D3543" s="9" t="s">
        <v>13816</v>
      </c>
      <c r="E3543" s="9" t="s">
        <v>13817</v>
      </c>
      <c r="F3543" s="9" t="s">
        <v>13818</v>
      </c>
      <c r="G3543" s="9" t="s">
        <v>312</v>
      </c>
      <c r="H3543" s="14" t="s">
        <v>22</v>
      </c>
      <c r="I3543" s="9" t="s">
        <v>13819</v>
      </c>
      <c r="J3543" s="13"/>
      <c r="K3543" s="13"/>
    </row>
    <row r="3544" customFormat="false" ht="46.25" hidden="false" customHeight="false" outlineLevel="0" collapsed="false">
      <c r="A3544" s="9" t="n">
        <v>3543</v>
      </c>
      <c r="B3544" s="9" t="s">
        <v>172</v>
      </c>
      <c r="C3544" s="11" t="s">
        <v>195</v>
      </c>
      <c r="D3544" s="9" t="s">
        <v>13820</v>
      </c>
      <c r="E3544" s="9" t="s">
        <v>13821</v>
      </c>
      <c r="F3544" s="9" t="s">
        <v>13822</v>
      </c>
      <c r="G3544" s="9" t="s">
        <v>12080</v>
      </c>
      <c r="H3544" s="14" t="s">
        <v>22</v>
      </c>
      <c r="I3544" s="9" t="s">
        <v>13823</v>
      </c>
      <c r="J3544" s="13"/>
      <c r="K3544" s="13"/>
    </row>
    <row r="3545" customFormat="false" ht="57.45" hidden="false" customHeight="false" outlineLevel="0" collapsed="false">
      <c r="A3545" s="9" t="n">
        <v>3544</v>
      </c>
      <c r="B3545" s="9" t="s">
        <v>172</v>
      </c>
      <c r="C3545" s="11" t="s">
        <v>195</v>
      </c>
      <c r="D3545" s="9" t="s">
        <v>13824</v>
      </c>
      <c r="E3545" s="9" t="s">
        <v>13825</v>
      </c>
      <c r="F3545" s="9" t="s">
        <v>13826</v>
      </c>
      <c r="G3545" s="9" t="s">
        <v>13827</v>
      </c>
      <c r="H3545" s="14" t="s">
        <v>22</v>
      </c>
      <c r="I3545" s="9" t="s">
        <v>13828</v>
      </c>
      <c r="J3545" s="13"/>
      <c r="K3545" s="13"/>
    </row>
    <row r="3546" customFormat="false" ht="46.25" hidden="false" customHeight="false" outlineLevel="0" collapsed="false">
      <c r="A3546" s="9" t="n">
        <v>3545</v>
      </c>
      <c r="B3546" s="9" t="s">
        <v>172</v>
      </c>
      <c r="C3546" s="11" t="s">
        <v>195</v>
      </c>
      <c r="D3546" s="9" t="s">
        <v>13829</v>
      </c>
      <c r="E3546" s="9" t="s">
        <v>13830</v>
      </c>
      <c r="F3546" s="9" t="s">
        <v>13831</v>
      </c>
      <c r="G3546" s="9" t="s">
        <v>312</v>
      </c>
      <c r="H3546" s="15" t="s">
        <v>23</v>
      </c>
      <c r="I3546" s="9" t="s">
        <v>13832</v>
      </c>
      <c r="J3546" s="13"/>
      <c r="K3546" s="13"/>
    </row>
    <row r="3547" customFormat="false" ht="35.05" hidden="false" customHeight="false" outlineLevel="0" collapsed="false">
      <c r="A3547" s="9" t="n">
        <v>3546</v>
      </c>
      <c r="B3547" s="9" t="s">
        <v>172</v>
      </c>
      <c r="C3547" s="11" t="s">
        <v>195</v>
      </c>
      <c r="D3547" s="9" t="s">
        <v>13833</v>
      </c>
      <c r="E3547" s="9" t="s">
        <v>13834</v>
      </c>
      <c r="F3547" s="9" t="s">
        <v>13835</v>
      </c>
      <c r="G3547" s="9" t="s">
        <v>12080</v>
      </c>
      <c r="H3547" s="15" t="s">
        <v>23</v>
      </c>
      <c r="I3547" s="9" t="s">
        <v>13836</v>
      </c>
      <c r="J3547" s="13"/>
      <c r="K3547" s="13"/>
    </row>
    <row r="3548" customFormat="false" ht="79.85" hidden="false" customHeight="false" outlineLevel="0" collapsed="false">
      <c r="A3548" s="9" t="n">
        <v>3547</v>
      </c>
      <c r="B3548" s="9" t="s">
        <v>172</v>
      </c>
      <c r="C3548" s="11" t="s">
        <v>195</v>
      </c>
      <c r="D3548" s="9" t="s">
        <v>13837</v>
      </c>
      <c r="E3548" s="9" t="s">
        <v>13838</v>
      </c>
      <c r="F3548" s="9" t="s">
        <v>13839</v>
      </c>
      <c r="G3548" s="9" t="s">
        <v>12080</v>
      </c>
      <c r="H3548" s="14" t="s">
        <v>22</v>
      </c>
      <c r="I3548" s="9" t="s">
        <v>13840</v>
      </c>
      <c r="J3548" s="13"/>
      <c r="K3548" s="13"/>
    </row>
    <row r="3549" customFormat="false" ht="35.05" hidden="false" customHeight="false" outlineLevel="0" collapsed="false">
      <c r="A3549" s="9" t="n">
        <v>3548</v>
      </c>
      <c r="B3549" s="9" t="s">
        <v>172</v>
      </c>
      <c r="C3549" s="11" t="s">
        <v>195</v>
      </c>
      <c r="D3549" s="9" t="s">
        <v>13841</v>
      </c>
      <c r="E3549" s="9" t="s">
        <v>13842</v>
      </c>
      <c r="F3549" s="9" t="s">
        <v>13843</v>
      </c>
      <c r="G3549" s="9" t="s">
        <v>317</v>
      </c>
      <c r="H3549" s="15" t="s">
        <v>23</v>
      </c>
      <c r="I3549" s="9" t="s">
        <v>13844</v>
      </c>
      <c r="J3549" s="13"/>
      <c r="K3549" s="13"/>
    </row>
    <row r="3550" customFormat="false" ht="57.45" hidden="false" customHeight="false" outlineLevel="0" collapsed="false">
      <c r="A3550" s="9" t="n">
        <v>3549</v>
      </c>
      <c r="B3550" s="9" t="s">
        <v>172</v>
      </c>
      <c r="C3550" s="11" t="s">
        <v>195</v>
      </c>
      <c r="D3550" s="9" t="s">
        <v>13845</v>
      </c>
      <c r="E3550" s="9" t="s">
        <v>13846</v>
      </c>
      <c r="F3550" s="9" t="s">
        <v>13847</v>
      </c>
      <c r="G3550" s="9" t="s">
        <v>12217</v>
      </c>
      <c r="H3550" s="14" t="s">
        <v>22</v>
      </c>
      <c r="I3550" s="9" t="s">
        <v>13848</v>
      </c>
      <c r="J3550" s="13"/>
      <c r="K3550" s="13"/>
    </row>
    <row r="3551" customFormat="false" ht="46.25" hidden="false" customHeight="false" outlineLevel="0" collapsed="false">
      <c r="A3551" s="9" t="n">
        <v>3550</v>
      </c>
      <c r="B3551" s="9" t="s">
        <v>172</v>
      </c>
      <c r="C3551" s="11" t="s">
        <v>195</v>
      </c>
      <c r="D3551" s="9" t="s">
        <v>13849</v>
      </c>
      <c r="E3551" s="9" t="s">
        <v>13850</v>
      </c>
      <c r="F3551" s="9" t="s">
        <v>13851</v>
      </c>
      <c r="G3551" s="9" t="s">
        <v>312</v>
      </c>
      <c r="H3551" s="15" t="s">
        <v>23</v>
      </c>
      <c r="I3551" s="9" t="s">
        <v>13852</v>
      </c>
      <c r="J3551" s="13"/>
      <c r="K3551" s="13"/>
    </row>
    <row r="3552" customFormat="false" ht="35.05" hidden="false" customHeight="false" outlineLevel="0" collapsed="false">
      <c r="A3552" s="9" t="n">
        <v>3551</v>
      </c>
      <c r="B3552" s="9" t="s">
        <v>172</v>
      </c>
      <c r="C3552" s="11" t="s">
        <v>195</v>
      </c>
      <c r="D3552" s="9" t="s">
        <v>13853</v>
      </c>
      <c r="E3552" s="9" t="s">
        <v>13854</v>
      </c>
      <c r="F3552" s="9" t="s">
        <v>13855</v>
      </c>
      <c r="G3552" s="9" t="s">
        <v>12080</v>
      </c>
      <c r="H3552" s="15" t="s">
        <v>23</v>
      </c>
      <c r="I3552" s="9" t="s">
        <v>13856</v>
      </c>
      <c r="J3552" s="13"/>
      <c r="K3552" s="13"/>
    </row>
    <row r="3553" customFormat="false" ht="46.25" hidden="false" customHeight="false" outlineLevel="0" collapsed="false">
      <c r="A3553" s="9" t="n">
        <v>3552</v>
      </c>
      <c r="B3553" s="9" t="s">
        <v>172</v>
      </c>
      <c r="C3553" s="11" t="s">
        <v>195</v>
      </c>
      <c r="D3553" s="9" t="s">
        <v>13857</v>
      </c>
      <c r="E3553" s="9" t="s">
        <v>13858</v>
      </c>
      <c r="F3553" s="9" t="s">
        <v>13859</v>
      </c>
      <c r="G3553" s="9" t="s">
        <v>12080</v>
      </c>
      <c r="H3553" s="15" t="s">
        <v>23</v>
      </c>
      <c r="I3553" s="9" t="s">
        <v>13860</v>
      </c>
      <c r="J3553" s="13"/>
      <c r="K3553" s="13"/>
    </row>
    <row r="3554" customFormat="false" ht="23.85" hidden="false" customHeight="false" outlineLevel="0" collapsed="false">
      <c r="A3554" s="9" t="n">
        <v>3553</v>
      </c>
      <c r="B3554" s="9" t="s">
        <v>172</v>
      </c>
      <c r="C3554" s="11" t="s">
        <v>195</v>
      </c>
      <c r="D3554" s="9" t="s">
        <v>13861</v>
      </c>
      <c r="E3554" s="9" t="s">
        <v>13862</v>
      </c>
      <c r="F3554" s="9" t="s">
        <v>13863</v>
      </c>
      <c r="G3554" s="9" t="s">
        <v>328</v>
      </c>
      <c r="H3554" s="15" t="s">
        <v>23</v>
      </c>
      <c r="I3554" s="9" t="s">
        <v>13864</v>
      </c>
      <c r="J3554" s="13"/>
      <c r="K3554" s="13"/>
    </row>
    <row r="3555" customFormat="false" ht="35.05" hidden="false" customHeight="false" outlineLevel="0" collapsed="false">
      <c r="A3555" s="9" t="n">
        <v>3554</v>
      </c>
      <c r="B3555" s="9" t="s">
        <v>172</v>
      </c>
      <c r="C3555" s="11" t="s">
        <v>195</v>
      </c>
      <c r="D3555" s="9" t="s">
        <v>13865</v>
      </c>
      <c r="E3555" s="9" t="s">
        <v>13866</v>
      </c>
      <c r="F3555" s="9" t="s">
        <v>13867</v>
      </c>
      <c r="G3555" s="9" t="s">
        <v>328</v>
      </c>
      <c r="H3555" s="15" t="s">
        <v>23</v>
      </c>
      <c r="I3555" s="9" t="s">
        <v>13868</v>
      </c>
      <c r="J3555" s="13"/>
      <c r="K3555" s="13"/>
    </row>
    <row r="3556" customFormat="false" ht="46.25" hidden="false" customHeight="false" outlineLevel="0" collapsed="false">
      <c r="A3556" s="9" t="n">
        <v>3555</v>
      </c>
      <c r="B3556" s="9" t="s">
        <v>172</v>
      </c>
      <c r="C3556" s="11" t="s">
        <v>195</v>
      </c>
      <c r="D3556" s="9" t="s">
        <v>13869</v>
      </c>
      <c r="E3556" s="9" t="s">
        <v>12571</v>
      </c>
      <c r="F3556" s="9" t="s">
        <v>13870</v>
      </c>
      <c r="G3556" s="9" t="s">
        <v>308</v>
      </c>
      <c r="H3556" s="15" t="s">
        <v>23</v>
      </c>
      <c r="I3556" s="9" t="s">
        <v>13871</v>
      </c>
      <c r="J3556" s="13"/>
      <c r="K3556" s="13"/>
    </row>
    <row r="3557" customFormat="false" ht="46.25" hidden="false" customHeight="false" outlineLevel="0" collapsed="false">
      <c r="A3557" s="9" t="n">
        <v>3556</v>
      </c>
      <c r="B3557" s="9" t="s">
        <v>172</v>
      </c>
      <c r="C3557" s="11" t="s">
        <v>195</v>
      </c>
      <c r="D3557" s="9" t="s">
        <v>13872</v>
      </c>
      <c r="E3557" s="9" t="s">
        <v>13873</v>
      </c>
      <c r="F3557" s="9" t="s">
        <v>13874</v>
      </c>
      <c r="G3557" s="9" t="s">
        <v>13875</v>
      </c>
      <c r="H3557" s="15" t="s">
        <v>23</v>
      </c>
      <c r="I3557" s="9" t="s">
        <v>13876</v>
      </c>
      <c r="J3557" s="13"/>
      <c r="K3557" s="13"/>
    </row>
    <row r="3558" customFormat="false" ht="35.05" hidden="false" customHeight="false" outlineLevel="0" collapsed="false">
      <c r="A3558" s="9" t="n">
        <v>3557</v>
      </c>
      <c r="B3558" s="9" t="s">
        <v>172</v>
      </c>
      <c r="C3558" s="11" t="s">
        <v>195</v>
      </c>
      <c r="D3558" s="9" t="s">
        <v>13877</v>
      </c>
      <c r="E3558" s="9" t="s">
        <v>13186</v>
      </c>
      <c r="F3558" s="9" t="s">
        <v>13878</v>
      </c>
      <c r="G3558" s="9" t="s">
        <v>24</v>
      </c>
      <c r="H3558" s="12" t="s">
        <v>21</v>
      </c>
      <c r="I3558" s="9" t="s">
        <v>13879</v>
      </c>
      <c r="J3558" s="13"/>
      <c r="K3558" s="13"/>
    </row>
    <row r="3559" customFormat="false" ht="35.05" hidden="false" customHeight="false" outlineLevel="0" collapsed="false">
      <c r="A3559" s="9" t="n">
        <v>3558</v>
      </c>
      <c r="B3559" s="9" t="s">
        <v>172</v>
      </c>
      <c r="C3559" s="11" t="s">
        <v>195</v>
      </c>
      <c r="D3559" s="9" t="s">
        <v>13880</v>
      </c>
      <c r="E3559" s="9" t="s">
        <v>13881</v>
      </c>
      <c r="F3559" s="9" t="s">
        <v>13882</v>
      </c>
      <c r="G3559" s="9" t="s">
        <v>24</v>
      </c>
      <c r="H3559" s="14" t="s">
        <v>22</v>
      </c>
      <c r="I3559" s="9" t="s">
        <v>13883</v>
      </c>
      <c r="J3559" s="13"/>
      <c r="K3559" s="13"/>
    </row>
    <row r="3560" customFormat="false" ht="57.45" hidden="false" customHeight="false" outlineLevel="0" collapsed="false">
      <c r="A3560" s="9" t="n">
        <v>3559</v>
      </c>
      <c r="B3560" s="9" t="s">
        <v>172</v>
      </c>
      <c r="C3560" s="11" t="s">
        <v>195</v>
      </c>
      <c r="D3560" s="9" t="s">
        <v>13884</v>
      </c>
      <c r="E3560" s="9" t="s">
        <v>13885</v>
      </c>
      <c r="F3560" s="9" t="s">
        <v>13886</v>
      </c>
      <c r="G3560" s="9" t="s">
        <v>24</v>
      </c>
      <c r="H3560" s="14" t="s">
        <v>22</v>
      </c>
      <c r="I3560" s="9" t="s">
        <v>13887</v>
      </c>
      <c r="J3560" s="13"/>
      <c r="K3560" s="13"/>
    </row>
    <row r="3561" customFormat="false" ht="23.85" hidden="false" customHeight="false" outlineLevel="0" collapsed="false">
      <c r="A3561" s="9" t="n">
        <v>3560</v>
      </c>
      <c r="B3561" s="9" t="s">
        <v>172</v>
      </c>
      <c r="C3561" s="11" t="s">
        <v>195</v>
      </c>
      <c r="D3561" s="9" t="s">
        <v>13888</v>
      </c>
      <c r="E3561" s="9" t="s">
        <v>13889</v>
      </c>
      <c r="F3561" s="9" t="s">
        <v>13890</v>
      </c>
      <c r="G3561" s="9" t="s">
        <v>24</v>
      </c>
      <c r="H3561" s="14" t="s">
        <v>22</v>
      </c>
      <c r="I3561" s="9" t="s">
        <v>13340</v>
      </c>
      <c r="J3561" s="13"/>
      <c r="K3561" s="13"/>
    </row>
    <row r="3562" customFormat="false" ht="15" hidden="false" customHeight="false" outlineLevel="0" collapsed="false">
      <c r="A3562" s="9" t="n">
        <v>3561</v>
      </c>
      <c r="B3562" s="9" t="s">
        <v>172</v>
      </c>
      <c r="C3562" s="11" t="s">
        <v>195</v>
      </c>
      <c r="D3562" s="9" t="s">
        <v>13891</v>
      </c>
      <c r="E3562" s="9" t="s">
        <v>358</v>
      </c>
      <c r="F3562" s="9" t="s">
        <v>13342</v>
      </c>
      <c r="G3562" s="9" t="s">
        <v>24</v>
      </c>
      <c r="H3562" s="14" t="s">
        <v>22</v>
      </c>
      <c r="I3562" s="9" t="s">
        <v>5550</v>
      </c>
      <c r="J3562" s="13"/>
      <c r="K3562" s="13"/>
    </row>
    <row r="3563" customFormat="false" ht="23.85" hidden="false" customHeight="false" outlineLevel="0" collapsed="false">
      <c r="A3563" s="9" t="n">
        <v>3562</v>
      </c>
      <c r="B3563" s="9" t="s">
        <v>172</v>
      </c>
      <c r="C3563" s="11" t="s">
        <v>195</v>
      </c>
      <c r="D3563" s="9" t="s">
        <v>13892</v>
      </c>
      <c r="E3563" s="9" t="s">
        <v>13038</v>
      </c>
      <c r="F3563" s="9" t="s">
        <v>13893</v>
      </c>
      <c r="G3563" s="9" t="s">
        <v>24</v>
      </c>
      <c r="H3563" s="14" t="s">
        <v>22</v>
      </c>
      <c r="I3563" s="9" t="s">
        <v>13604</v>
      </c>
      <c r="J3563" s="13"/>
      <c r="K3563" s="13"/>
    </row>
    <row r="3564" customFormat="false" ht="15" hidden="false" customHeight="false" outlineLevel="0" collapsed="false">
      <c r="A3564" s="9" t="n">
        <v>3563</v>
      </c>
      <c r="B3564" s="9" t="s">
        <v>172</v>
      </c>
      <c r="C3564" s="11" t="s">
        <v>195</v>
      </c>
      <c r="D3564" s="9" t="s">
        <v>13894</v>
      </c>
      <c r="E3564" s="9" t="s">
        <v>362</v>
      </c>
      <c r="F3564" s="9" t="s">
        <v>363</v>
      </c>
      <c r="G3564" s="9" t="s">
        <v>24</v>
      </c>
      <c r="H3564" s="14" t="s">
        <v>22</v>
      </c>
      <c r="I3564" s="9" t="s">
        <v>364</v>
      </c>
      <c r="J3564" s="13"/>
      <c r="K3564" s="13"/>
    </row>
    <row r="3565" customFormat="false" ht="23.85" hidden="false" customHeight="false" outlineLevel="0" collapsed="false">
      <c r="A3565" s="9" t="n">
        <v>3564</v>
      </c>
      <c r="B3565" s="9" t="s">
        <v>172</v>
      </c>
      <c r="C3565" s="11" t="s">
        <v>195</v>
      </c>
      <c r="D3565" s="9" t="s">
        <v>13895</v>
      </c>
      <c r="E3565" s="9" t="s">
        <v>13896</v>
      </c>
      <c r="F3565" s="9" t="s">
        <v>13897</v>
      </c>
      <c r="G3565" s="9" t="s">
        <v>24</v>
      </c>
      <c r="H3565" s="15" t="s">
        <v>23</v>
      </c>
      <c r="I3565" s="9" t="s">
        <v>434</v>
      </c>
      <c r="J3565" s="13"/>
      <c r="K3565" s="13"/>
    </row>
    <row r="3566" customFormat="false" ht="23.85" hidden="false" customHeight="false" outlineLevel="0" collapsed="false">
      <c r="A3566" s="9" t="n">
        <v>3565</v>
      </c>
      <c r="B3566" s="9" t="s">
        <v>172</v>
      </c>
      <c r="C3566" s="11" t="s">
        <v>195</v>
      </c>
      <c r="D3566" s="9" t="s">
        <v>13898</v>
      </c>
      <c r="E3566" s="9" t="s">
        <v>13899</v>
      </c>
      <c r="F3566" s="9" t="s">
        <v>13900</v>
      </c>
      <c r="G3566" s="9" t="s">
        <v>24</v>
      </c>
      <c r="H3566" s="15" t="s">
        <v>23</v>
      </c>
      <c r="I3566" s="9" t="s">
        <v>1007</v>
      </c>
      <c r="J3566" s="13"/>
      <c r="K3566" s="13"/>
    </row>
    <row r="3567" customFormat="false" ht="46.25" hidden="false" customHeight="false" outlineLevel="0" collapsed="false">
      <c r="A3567" s="9" t="n">
        <v>3566</v>
      </c>
      <c r="B3567" s="9" t="s">
        <v>172</v>
      </c>
      <c r="C3567" s="11" t="s">
        <v>195</v>
      </c>
      <c r="D3567" s="9" t="s">
        <v>13901</v>
      </c>
      <c r="E3567" s="9" t="s">
        <v>13902</v>
      </c>
      <c r="F3567" s="9" t="s">
        <v>13903</v>
      </c>
      <c r="G3567" s="9" t="s">
        <v>24</v>
      </c>
      <c r="H3567" s="15" t="s">
        <v>23</v>
      </c>
      <c r="I3567" s="9" t="s">
        <v>13904</v>
      </c>
      <c r="J3567" s="13"/>
      <c r="K3567" s="13"/>
    </row>
    <row r="3568" customFormat="false" ht="23.85" hidden="false" customHeight="false" outlineLevel="0" collapsed="false">
      <c r="A3568" s="9" t="n">
        <v>3567</v>
      </c>
      <c r="B3568" s="9" t="s">
        <v>172</v>
      </c>
      <c r="C3568" s="11" t="s">
        <v>195</v>
      </c>
      <c r="D3568" s="9" t="s">
        <v>13905</v>
      </c>
      <c r="E3568" s="9" t="s">
        <v>13906</v>
      </c>
      <c r="F3568" s="9" t="s">
        <v>13907</v>
      </c>
      <c r="G3568" s="9" t="s">
        <v>24</v>
      </c>
      <c r="H3568" s="15" t="s">
        <v>23</v>
      </c>
      <c r="I3568" s="9" t="s">
        <v>13908</v>
      </c>
      <c r="J3568" s="13"/>
      <c r="K3568" s="13"/>
    </row>
    <row r="3569" customFormat="false" ht="15" hidden="false" customHeight="false" outlineLevel="0" collapsed="false">
      <c r="A3569" s="9" t="n">
        <v>3568</v>
      </c>
      <c r="B3569" s="9" t="s">
        <v>172</v>
      </c>
      <c r="C3569" s="11" t="s">
        <v>195</v>
      </c>
      <c r="D3569" s="9" t="s">
        <v>13909</v>
      </c>
      <c r="E3569" s="9" t="s">
        <v>13910</v>
      </c>
      <c r="F3569" s="9" t="s">
        <v>13911</v>
      </c>
      <c r="G3569" s="9" t="s">
        <v>24</v>
      </c>
      <c r="H3569" s="15" t="s">
        <v>23</v>
      </c>
      <c r="I3569" s="9" t="s">
        <v>13358</v>
      </c>
      <c r="J3569" s="13"/>
      <c r="K3569" s="13"/>
    </row>
    <row r="3570" customFormat="false" ht="23.85" hidden="false" customHeight="false" outlineLevel="0" collapsed="false">
      <c r="A3570" s="9" t="n">
        <v>3569</v>
      </c>
      <c r="B3570" s="9" t="s">
        <v>172</v>
      </c>
      <c r="C3570" s="11" t="s">
        <v>195</v>
      </c>
      <c r="D3570" s="9" t="s">
        <v>13912</v>
      </c>
      <c r="E3570" s="9" t="s">
        <v>13913</v>
      </c>
      <c r="F3570" s="9" t="s">
        <v>13914</v>
      </c>
      <c r="G3570" s="9" t="s">
        <v>24</v>
      </c>
      <c r="H3570" s="15" t="s">
        <v>23</v>
      </c>
      <c r="I3570" s="9" t="s">
        <v>13915</v>
      </c>
      <c r="J3570" s="13"/>
      <c r="K3570" s="13"/>
    </row>
    <row r="3571" customFormat="false" ht="79.85" hidden="false" customHeight="false" outlineLevel="0" collapsed="false">
      <c r="A3571" s="9" t="n">
        <v>3570</v>
      </c>
      <c r="B3571" s="9" t="s">
        <v>172</v>
      </c>
      <c r="C3571" s="11" t="s">
        <v>197</v>
      </c>
      <c r="D3571" s="9" t="s">
        <v>13916</v>
      </c>
      <c r="E3571" s="9" t="s">
        <v>13917</v>
      </c>
      <c r="F3571" s="9" t="s">
        <v>13918</v>
      </c>
      <c r="G3571" s="9" t="s">
        <v>11455</v>
      </c>
      <c r="H3571" s="12" t="s">
        <v>21</v>
      </c>
      <c r="I3571" s="9" t="s">
        <v>13919</v>
      </c>
      <c r="J3571" s="13"/>
      <c r="K3571" s="13"/>
    </row>
    <row r="3572" customFormat="false" ht="57.45" hidden="false" customHeight="false" outlineLevel="0" collapsed="false">
      <c r="A3572" s="9" t="n">
        <v>3571</v>
      </c>
      <c r="B3572" s="9" t="s">
        <v>172</v>
      </c>
      <c r="C3572" s="11" t="s">
        <v>197</v>
      </c>
      <c r="D3572" s="9" t="s">
        <v>13920</v>
      </c>
      <c r="E3572" s="9" t="s">
        <v>13921</v>
      </c>
      <c r="F3572" s="9" t="s">
        <v>13922</v>
      </c>
      <c r="G3572" s="9" t="s">
        <v>12080</v>
      </c>
      <c r="H3572" s="12" t="s">
        <v>21</v>
      </c>
      <c r="I3572" s="9" t="s">
        <v>13923</v>
      </c>
      <c r="J3572" s="13"/>
      <c r="K3572" s="13"/>
    </row>
    <row r="3573" customFormat="false" ht="23.85" hidden="false" customHeight="false" outlineLevel="0" collapsed="false">
      <c r="A3573" s="9" t="n">
        <v>3572</v>
      </c>
      <c r="B3573" s="9" t="s">
        <v>172</v>
      </c>
      <c r="C3573" s="11" t="s">
        <v>197</v>
      </c>
      <c r="D3573" s="9" t="s">
        <v>13924</v>
      </c>
      <c r="E3573" s="9" t="s">
        <v>13925</v>
      </c>
      <c r="F3573" s="9" t="s">
        <v>13926</v>
      </c>
      <c r="G3573" s="9" t="s">
        <v>12281</v>
      </c>
      <c r="H3573" s="14" t="s">
        <v>22</v>
      </c>
      <c r="I3573" s="9" t="s">
        <v>13927</v>
      </c>
      <c r="J3573" s="13"/>
      <c r="K3573" s="13"/>
    </row>
    <row r="3574" customFormat="false" ht="68.65" hidden="false" customHeight="false" outlineLevel="0" collapsed="false">
      <c r="A3574" s="9" t="n">
        <v>3573</v>
      </c>
      <c r="B3574" s="9" t="s">
        <v>172</v>
      </c>
      <c r="C3574" s="11" t="s">
        <v>197</v>
      </c>
      <c r="D3574" s="9" t="s">
        <v>13928</v>
      </c>
      <c r="E3574" s="9" t="s">
        <v>13929</v>
      </c>
      <c r="F3574" s="9" t="s">
        <v>13930</v>
      </c>
      <c r="G3574" s="9" t="s">
        <v>11473</v>
      </c>
      <c r="H3574" s="12" t="s">
        <v>21</v>
      </c>
      <c r="I3574" s="9" t="s">
        <v>13931</v>
      </c>
      <c r="J3574" s="13"/>
      <c r="K3574" s="13"/>
    </row>
    <row r="3575" customFormat="false" ht="46.25" hidden="false" customHeight="false" outlineLevel="0" collapsed="false">
      <c r="A3575" s="9" t="n">
        <v>3574</v>
      </c>
      <c r="B3575" s="9" t="s">
        <v>172</v>
      </c>
      <c r="C3575" s="11" t="s">
        <v>197</v>
      </c>
      <c r="D3575" s="9" t="s">
        <v>13932</v>
      </c>
      <c r="E3575" s="9" t="s">
        <v>13933</v>
      </c>
      <c r="F3575" s="9" t="s">
        <v>13934</v>
      </c>
      <c r="G3575" s="9" t="s">
        <v>11473</v>
      </c>
      <c r="H3575" s="14" t="s">
        <v>22</v>
      </c>
      <c r="I3575" s="9" t="s">
        <v>13935</v>
      </c>
      <c r="J3575" s="13"/>
      <c r="K3575" s="13"/>
    </row>
    <row r="3576" customFormat="false" ht="79.85" hidden="false" customHeight="false" outlineLevel="0" collapsed="false">
      <c r="A3576" s="9" t="n">
        <v>3575</v>
      </c>
      <c r="B3576" s="9" t="s">
        <v>172</v>
      </c>
      <c r="C3576" s="11" t="s">
        <v>197</v>
      </c>
      <c r="D3576" s="9" t="s">
        <v>13936</v>
      </c>
      <c r="E3576" s="9" t="s">
        <v>13937</v>
      </c>
      <c r="F3576" s="9" t="s">
        <v>13938</v>
      </c>
      <c r="G3576" s="9" t="s">
        <v>1072</v>
      </c>
      <c r="H3576" s="14" t="s">
        <v>22</v>
      </c>
      <c r="I3576" s="9" t="s">
        <v>13939</v>
      </c>
      <c r="J3576" s="13"/>
      <c r="K3576" s="13"/>
    </row>
    <row r="3577" customFormat="false" ht="46.25" hidden="false" customHeight="false" outlineLevel="0" collapsed="false">
      <c r="A3577" s="9" t="n">
        <v>3576</v>
      </c>
      <c r="B3577" s="9" t="s">
        <v>172</v>
      </c>
      <c r="C3577" s="11" t="s">
        <v>197</v>
      </c>
      <c r="D3577" s="9" t="s">
        <v>13940</v>
      </c>
      <c r="E3577" s="9" t="s">
        <v>13941</v>
      </c>
      <c r="F3577" s="9" t="s">
        <v>13942</v>
      </c>
      <c r="G3577" s="9" t="s">
        <v>12080</v>
      </c>
      <c r="H3577" s="12" t="s">
        <v>21</v>
      </c>
      <c r="I3577" s="9" t="s">
        <v>13943</v>
      </c>
      <c r="J3577" s="13"/>
      <c r="K3577" s="13"/>
    </row>
    <row r="3578" customFormat="false" ht="46.25" hidden="false" customHeight="false" outlineLevel="0" collapsed="false">
      <c r="A3578" s="9" t="n">
        <v>3577</v>
      </c>
      <c r="B3578" s="9" t="s">
        <v>172</v>
      </c>
      <c r="C3578" s="11" t="s">
        <v>197</v>
      </c>
      <c r="D3578" s="9" t="s">
        <v>13944</v>
      </c>
      <c r="E3578" s="9" t="s">
        <v>13945</v>
      </c>
      <c r="F3578" s="9" t="s">
        <v>13946</v>
      </c>
      <c r="G3578" s="9" t="s">
        <v>12080</v>
      </c>
      <c r="H3578" s="14" t="s">
        <v>22</v>
      </c>
      <c r="I3578" s="9" t="s">
        <v>13947</v>
      </c>
      <c r="J3578" s="13"/>
      <c r="K3578" s="13"/>
    </row>
    <row r="3579" customFormat="false" ht="57.45" hidden="false" customHeight="false" outlineLevel="0" collapsed="false">
      <c r="A3579" s="9" t="n">
        <v>3578</v>
      </c>
      <c r="B3579" s="9" t="s">
        <v>172</v>
      </c>
      <c r="C3579" s="11" t="s">
        <v>197</v>
      </c>
      <c r="D3579" s="9" t="s">
        <v>13948</v>
      </c>
      <c r="E3579" s="9" t="s">
        <v>13949</v>
      </c>
      <c r="F3579" s="9" t="s">
        <v>13950</v>
      </c>
      <c r="G3579" s="9" t="s">
        <v>12080</v>
      </c>
      <c r="H3579" s="12" t="s">
        <v>21</v>
      </c>
      <c r="I3579" s="9" t="s">
        <v>13951</v>
      </c>
      <c r="J3579" s="13"/>
      <c r="K3579" s="13"/>
    </row>
    <row r="3580" customFormat="false" ht="46.25" hidden="false" customHeight="false" outlineLevel="0" collapsed="false">
      <c r="A3580" s="9" t="n">
        <v>3579</v>
      </c>
      <c r="B3580" s="9" t="s">
        <v>172</v>
      </c>
      <c r="C3580" s="11" t="s">
        <v>197</v>
      </c>
      <c r="D3580" s="9" t="s">
        <v>13952</v>
      </c>
      <c r="E3580" s="9" t="s">
        <v>13953</v>
      </c>
      <c r="F3580" s="9" t="s">
        <v>13954</v>
      </c>
      <c r="G3580" s="9" t="s">
        <v>12080</v>
      </c>
      <c r="H3580" s="14" t="s">
        <v>22</v>
      </c>
      <c r="I3580" s="9" t="s">
        <v>13955</v>
      </c>
      <c r="J3580" s="13"/>
      <c r="K3580" s="13"/>
    </row>
    <row r="3581" customFormat="false" ht="46.25" hidden="false" customHeight="false" outlineLevel="0" collapsed="false">
      <c r="A3581" s="9" t="n">
        <v>3580</v>
      </c>
      <c r="B3581" s="9" t="s">
        <v>172</v>
      </c>
      <c r="C3581" s="11" t="s">
        <v>197</v>
      </c>
      <c r="D3581" s="9" t="s">
        <v>13956</v>
      </c>
      <c r="E3581" s="9" t="s">
        <v>13957</v>
      </c>
      <c r="F3581" s="9" t="s">
        <v>13958</v>
      </c>
      <c r="G3581" s="9" t="s">
        <v>12080</v>
      </c>
      <c r="H3581" s="12" t="s">
        <v>21</v>
      </c>
      <c r="I3581" s="9" t="s">
        <v>13959</v>
      </c>
      <c r="J3581" s="13"/>
      <c r="K3581" s="13"/>
    </row>
    <row r="3582" customFormat="false" ht="57.45" hidden="false" customHeight="false" outlineLevel="0" collapsed="false">
      <c r="A3582" s="9" t="n">
        <v>3581</v>
      </c>
      <c r="B3582" s="9" t="s">
        <v>172</v>
      </c>
      <c r="C3582" s="11" t="s">
        <v>197</v>
      </c>
      <c r="D3582" s="9" t="s">
        <v>13960</v>
      </c>
      <c r="E3582" s="9" t="s">
        <v>13961</v>
      </c>
      <c r="F3582" s="9" t="s">
        <v>13962</v>
      </c>
      <c r="G3582" s="9" t="s">
        <v>1072</v>
      </c>
      <c r="H3582" s="14" t="s">
        <v>22</v>
      </c>
      <c r="I3582" s="9" t="s">
        <v>13963</v>
      </c>
      <c r="J3582" s="13"/>
      <c r="K3582" s="13"/>
    </row>
    <row r="3583" customFormat="false" ht="35.05" hidden="false" customHeight="false" outlineLevel="0" collapsed="false">
      <c r="A3583" s="9" t="n">
        <v>3582</v>
      </c>
      <c r="B3583" s="9" t="s">
        <v>172</v>
      </c>
      <c r="C3583" s="11" t="s">
        <v>197</v>
      </c>
      <c r="D3583" s="9" t="s">
        <v>13964</v>
      </c>
      <c r="E3583" s="9" t="s">
        <v>13965</v>
      </c>
      <c r="F3583" s="9" t="s">
        <v>13966</v>
      </c>
      <c r="G3583" s="9" t="s">
        <v>328</v>
      </c>
      <c r="H3583" s="14" t="s">
        <v>22</v>
      </c>
      <c r="I3583" s="9" t="s">
        <v>13967</v>
      </c>
      <c r="J3583" s="13"/>
      <c r="K3583" s="13"/>
    </row>
    <row r="3584" customFormat="false" ht="68.65" hidden="false" customHeight="false" outlineLevel="0" collapsed="false">
      <c r="A3584" s="9" t="n">
        <v>3583</v>
      </c>
      <c r="B3584" s="9" t="s">
        <v>172</v>
      </c>
      <c r="C3584" s="11" t="s">
        <v>197</v>
      </c>
      <c r="D3584" s="9" t="s">
        <v>13968</v>
      </c>
      <c r="E3584" s="9" t="s">
        <v>13969</v>
      </c>
      <c r="F3584" s="9" t="s">
        <v>13970</v>
      </c>
      <c r="G3584" s="9" t="s">
        <v>13971</v>
      </c>
      <c r="H3584" s="14" t="s">
        <v>22</v>
      </c>
      <c r="I3584" s="9" t="s">
        <v>13972</v>
      </c>
      <c r="J3584" s="13"/>
      <c r="K3584" s="13"/>
    </row>
    <row r="3585" customFormat="false" ht="35.05" hidden="false" customHeight="false" outlineLevel="0" collapsed="false">
      <c r="A3585" s="9" t="n">
        <v>3584</v>
      </c>
      <c r="B3585" s="9" t="s">
        <v>172</v>
      </c>
      <c r="C3585" s="11" t="s">
        <v>197</v>
      </c>
      <c r="D3585" s="9" t="s">
        <v>13973</v>
      </c>
      <c r="E3585" s="9" t="s">
        <v>13974</v>
      </c>
      <c r="F3585" s="9" t="s">
        <v>13975</v>
      </c>
      <c r="G3585" s="9" t="s">
        <v>328</v>
      </c>
      <c r="H3585" s="15" t="s">
        <v>23</v>
      </c>
      <c r="I3585" s="9" t="s">
        <v>13976</v>
      </c>
      <c r="J3585" s="13"/>
      <c r="K3585" s="13"/>
    </row>
    <row r="3586" customFormat="false" ht="79.85" hidden="false" customHeight="false" outlineLevel="0" collapsed="false">
      <c r="A3586" s="9" t="n">
        <v>3585</v>
      </c>
      <c r="B3586" s="9" t="s">
        <v>172</v>
      </c>
      <c r="C3586" s="11" t="s">
        <v>197</v>
      </c>
      <c r="D3586" s="9" t="s">
        <v>13977</v>
      </c>
      <c r="E3586" s="9" t="s">
        <v>13978</v>
      </c>
      <c r="F3586" s="9" t="s">
        <v>13979</v>
      </c>
      <c r="G3586" s="9" t="s">
        <v>12217</v>
      </c>
      <c r="H3586" s="14" t="s">
        <v>22</v>
      </c>
      <c r="I3586" s="9" t="s">
        <v>13980</v>
      </c>
      <c r="J3586" s="13"/>
      <c r="K3586" s="13"/>
    </row>
    <row r="3587" customFormat="false" ht="35.05" hidden="false" customHeight="false" outlineLevel="0" collapsed="false">
      <c r="A3587" s="9" t="n">
        <v>3586</v>
      </c>
      <c r="B3587" s="9" t="s">
        <v>172</v>
      </c>
      <c r="C3587" s="11" t="s">
        <v>197</v>
      </c>
      <c r="D3587" s="9" t="s">
        <v>13981</v>
      </c>
      <c r="E3587" s="9" t="s">
        <v>13982</v>
      </c>
      <c r="F3587" s="9" t="s">
        <v>13983</v>
      </c>
      <c r="G3587" s="9" t="s">
        <v>12114</v>
      </c>
      <c r="H3587" s="15" t="s">
        <v>23</v>
      </c>
      <c r="I3587" s="9" t="s">
        <v>13984</v>
      </c>
      <c r="J3587" s="13"/>
      <c r="K3587" s="13"/>
    </row>
    <row r="3588" customFormat="false" ht="46.25" hidden="false" customHeight="false" outlineLevel="0" collapsed="false">
      <c r="A3588" s="9" t="n">
        <v>3587</v>
      </c>
      <c r="B3588" s="9" t="s">
        <v>172</v>
      </c>
      <c r="C3588" s="11" t="s">
        <v>197</v>
      </c>
      <c r="D3588" s="9" t="s">
        <v>13985</v>
      </c>
      <c r="E3588" s="9" t="s">
        <v>13986</v>
      </c>
      <c r="F3588" s="9" t="s">
        <v>13987</v>
      </c>
      <c r="G3588" s="9" t="s">
        <v>12080</v>
      </c>
      <c r="H3588" s="14" t="s">
        <v>22</v>
      </c>
      <c r="I3588" s="9" t="s">
        <v>13988</v>
      </c>
      <c r="J3588" s="13"/>
      <c r="K3588" s="13"/>
    </row>
    <row r="3589" customFormat="false" ht="35.05" hidden="false" customHeight="false" outlineLevel="0" collapsed="false">
      <c r="A3589" s="9" t="n">
        <v>3588</v>
      </c>
      <c r="B3589" s="9" t="s">
        <v>172</v>
      </c>
      <c r="C3589" s="11" t="s">
        <v>197</v>
      </c>
      <c r="D3589" s="9" t="s">
        <v>13989</v>
      </c>
      <c r="E3589" s="9" t="s">
        <v>13990</v>
      </c>
      <c r="F3589" s="9" t="s">
        <v>13991</v>
      </c>
      <c r="G3589" s="9" t="s">
        <v>12080</v>
      </c>
      <c r="H3589" s="15" t="s">
        <v>23</v>
      </c>
      <c r="I3589" s="9" t="s">
        <v>13992</v>
      </c>
      <c r="J3589" s="13"/>
      <c r="K3589" s="13"/>
    </row>
    <row r="3590" customFormat="false" ht="46.25" hidden="false" customHeight="false" outlineLevel="0" collapsed="false">
      <c r="A3590" s="9" t="n">
        <v>3589</v>
      </c>
      <c r="B3590" s="9" t="s">
        <v>172</v>
      </c>
      <c r="C3590" s="11" t="s">
        <v>197</v>
      </c>
      <c r="D3590" s="9" t="s">
        <v>13993</v>
      </c>
      <c r="E3590" s="9" t="s">
        <v>13994</v>
      </c>
      <c r="F3590" s="9" t="s">
        <v>13995</v>
      </c>
      <c r="G3590" s="9" t="s">
        <v>12080</v>
      </c>
      <c r="H3590" s="14" t="s">
        <v>22</v>
      </c>
      <c r="I3590" s="9" t="s">
        <v>13996</v>
      </c>
      <c r="J3590" s="13"/>
      <c r="K3590" s="13"/>
    </row>
    <row r="3591" customFormat="false" ht="35.05" hidden="false" customHeight="false" outlineLevel="0" collapsed="false">
      <c r="A3591" s="9" t="n">
        <v>3590</v>
      </c>
      <c r="B3591" s="9" t="s">
        <v>172</v>
      </c>
      <c r="C3591" s="11" t="s">
        <v>197</v>
      </c>
      <c r="D3591" s="9" t="s">
        <v>13997</v>
      </c>
      <c r="E3591" s="9" t="s">
        <v>13998</v>
      </c>
      <c r="F3591" s="9" t="s">
        <v>13999</v>
      </c>
      <c r="G3591" s="9" t="s">
        <v>12080</v>
      </c>
      <c r="H3591" s="15" t="s">
        <v>23</v>
      </c>
      <c r="I3591" s="9" t="s">
        <v>14000</v>
      </c>
      <c r="J3591" s="13"/>
      <c r="K3591" s="13"/>
    </row>
    <row r="3592" customFormat="false" ht="57.45" hidden="false" customHeight="false" outlineLevel="0" collapsed="false">
      <c r="A3592" s="9" t="n">
        <v>3591</v>
      </c>
      <c r="B3592" s="9" t="s">
        <v>172</v>
      </c>
      <c r="C3592" s="11" t="s">
        <v>197</v>
      </c>
      <c r="D3592" s="9" t="s">
        <v>14001</v>
      </c>
      <c r="E3592" s="9" t="s">
        <v>14002</v>
      </c>
      <c r="F3592" s="9" t="s">
        <v>14003</v>
      </c>
      <c r="G3592" s="9" t="s">
        <v>12323</v>
      </c>
      <c r="H3592" s="15" t="s">
        <v>23</v>
      </c>
      <c r="I3592" s="9" t="s">
        <v>14004</v>
      </c>
      <c r="J3592" s="13"/>
      <c r="K3592" s="13"/>
    </row>
    <row r="3593" customFormat="false" ht="35.05" hidden="false" customHeight="false" outlineLevel="0" collapsed="false">
      <c r="A3593" s="9" t="n">
        <v>3592</v>
      </c>
      <c r="B3593" s="9" t="s">
        <v>172</v>
      </c>
      <c r="C3593" s="11" t="s">
        <v>197</v>
      </c>
      <c r="D3593" s="9" t="s">
        <v>14005</v>
      </c>
      <c r="E3593" s="9" t="s">
        <v>14006</v>
      </c>
      <c r="F3593" s="9" t="s">
        <v>14007</v>
      </c>
      <c r="G3593" s="9" t="s">
        <v>12080</v>
      </c>
      <c r="H3593" s="15" t="s">
        <v>23</v>
      </c>
      <c r="I3593" s="9" t="s">
        <v>14008</v>
      </c>
      <c r="J3593" s="13"/>
      <c r="K3593" s="13"/>
    </row>
    <row r="3594" customFormat="false" ht="46.25" hidden="false" customHeight="false" outlineLevel="0" collapsed="false">
      <c r="A3594" s="9" t="n">
        <v>3593</v>
      </c>
      <c r="B3594" s="9" t="s">
        <v>172</v>
      </c>
      <c r="C3594" s="11" t="s">
        <v>197</v>
      </c>
      <c r="D3594" s="9" t="s">
        <v>14009</v>
      </c>
      <c r="E3594" s="9" t="s">
        <v>14010</v>
      </c>
      <c r="F3594" s="9" t="s">
        <v>14011</v>
      </c>
      <c r="G3594" s="9" t="s">
        <v>12384</v>
      </c>
      <c r="H3594" s="15" t="s">
        <v>23</v>
      </c>
      <c r="I3594" s="9" t="s">
        <v>14012</v>
      </c>
      <c r="J3594" s="13"/>
      <c r="K3594" s="13"/>
    </row>
    <row r="3595" customFormat="false" ht="46.25" hidden="false" customHeight="false" outlineLevel="0" collapsed="false">
      <c r="A3595" s="9" t="n">
        <v>3594</v>
      </c>
      <c r="B3595" s="9" t="s">
        <v>172</v>
      </c>
      <c r="C3595" s="11" t="s">
        <v>197</v>
      </c>
      <c r="D3595" s="9" t="s">
        <v>14013</v>
      </c>
      <c r="E3595" s="9" t="s">
        <v>14014</v>
      </c>
      <c r="F3595" s="9" t="s">
        <v>14015</v>
      </c>
      <c r="G3595" s="9" t="s">
        <v>1072</v>
      </c>
      <c r="H3595" s="15" t="s">
        <v>23</v>
      </c>
      <c r="I3595" s="9" t="s">
        <v>14016</v>
      </c>
      <c r="J3595" s="13"/>
      <c r="K3595" s="13"/>
    </row>
    <row r="3596" customFormat="false" ht="35.05" hidden="false" customHeight="false" outlineLevel="0" collapsed="false">
      <c r="A3596" s="9" t="n">
        <v>3595</v>
      </c>
      <c r="B3596" s="9" t="s">
        <v>172</v>
      </c>
      <c r="C3596" s="11" t="s">
        <v>197</v>
      </c>
      <c r="D3596" s="9" t="s">
        <v>14017</v>
      </c>
      <c r="E3596" s="9" t="s">
        <v>14018</v>
      </c>
      <c r="F3596" s="9" t="s">
        <v>14019</v>
      </c>
      <c r="G3596" s="9" t="s">
        <v>312</v>
      </c>
      <c r="H3596" s="15" t="s">
        <v>23</v>
      </c>
      <c r="I3596" s="9" t="s">
        <v>14020</v>
      </c>
      <c r="J3596" s="13"/>
      <c r="K3596" s="13"/>
    </row>
    <row r="3597" customFormat="false" ht="35.05" hidden="false" customHeight="false" outlineLevel="0" collapsed="false">
      <c r="A3597" s="9" t="n">
        <v>3596</v>
      </c>
      <c r="B3597" s="9" t="s">
        <v>172</v>
      </c>
      <c r="C3597" s="11" t="s">
        <v>197</v>
      </c>
      <c r="D3597" s="9" t="s">
        <v>14021</v>
      </c>
      <c r="E3597" s="9" t="s">
        <v>12571</v>
      </c>
      <c r="F3597" s="9" t="s">
        <v>14022</v>
      </c>
      <c r="G3597" s="9" t="s">
        <v>308</v>
      </c>
      <c r="H3597" s="15" t="s">
        <v>23</v>
      </c>
      <c r="I3597" s="9" t="s">
        <v>14023</v>
      </c>
      <c r="J3597" s="13"/>
      <c r="K3597" s="13"/>
    </row>
    <row r="3598" customFormat="false" ht="35.05" hidden="false" customHeight="false" outlineLevel="0" collapsed="false">
      <c r="A3598" s="9" t="n">
        <v>3597</v>
      </c>
      <c r="B3598" s="9" t="s">
        <v>172</v>
      </c>
      <c r="C3598" s="11" t="s">
        <v>197</v>
      </c>
      <c r="D3598" s="9" t="s">
        <v>14024</v>
      </c>
      <c r="E3598" s="9" t="s">
        <v>13186</v>
      </c>
      <c r="F3598" s="9" t="s">
        <v>14025</v>
      </c>
      <c r="G3598" s="9" t="s">
        <v>24</v>
      </c>
      <c r="H3598" s="12" t="s">
        <v>21</v>
      </c>
      <c r="I3598" s="9" t="s">
        <v>13879</v>
      </c>
      <c r="J3598" s="13"/>
      <c r="K3598" s="13"/>
    </row>
    <row r="3599" customFormat="false" ht="68.65" hidden="false" customHeight="false" outlineLevel="0" collapsed="false">
      <c r="A3599" s="9" t="n">
        <v>3598</v>
      </c>
      <c r="B3599" s="9" t="s">
        <v>172</v>
      </c>
      <c r="C3599" s="11" t="s">
        <v>197</v>
      </c>
      <c r="D3599" s="9" t="s">
        <v>14026</v>
      </c>
      <c r="E3599" s="9" t="s">
        <v>14027</v>
      </c>
      <c r="F3599" s="9" t="s">
        <v>14028</v>
      </c>
      <c r="G3599" s="9" t="s">
        <v>24</v>
      </c>
      <c r="H3599" s="14" t="s">
        <v>22</v>
      </c>
      <c r="I3599" s="9" t="s">
        <v>14029</v>
      </c>
      <c r="J3599" s="13"/>
      <c r="K3599" s="13"/>
    </row>
    <row r="3600" customFormat="false" ht="23.85" hidden="false" customHeight="false" outlineLevel="0" collapsed="false">
      <c r="A3600" s="9" t="n">
        <v>3599</v>
      </c>
      <c r="B3600" s="9" t="s">
        <v>172</v>
      </c>
      <c r="C3600" s="11" t="s">
        <v>197</v>
      </c>
      <c r="D3600" s="9" t="s">
        <v>14030</v>
      </c>
      <c r="E3600" s="9" t="s">
        <v>14031</v>
      </c>
      <c r="F3600" s="9" t="s">
        <v>14032</v>
      </c>
      <c r="G3600" s="9" t="s">
        <v>24</v>
      </c>
      <c r="H3600" s="14" t="s">
        <v>22</v>
      </c>
      <c r="I3600" s="9" t="s">
        <v>14033</v>
      </c>
      <c r="J3600" s="13"/>
      <c r="K3600" s="13"/>
    </row>
    <row r="3601" customFormat="false" ht="23.85" hidden="false" customHeight="false" outlineLevel="0" collapsed="false">
      <c r="A3601" s="9" t="n">
        <v>3600</v>
      </c>
      <c r="B3601" s="9" t="s">
        <v>172</v>
      </c>
      <c r="C3601" s="11" t="s">
        <v>197</v>
      </c>
      <c r="D3601" s="9" t="s">
        <v>14034</v>
      </c>
      <c r="E3601" s="9" t="s">
        <v>14035</v>
      </c>
      <c r="F3601" s="9" t="s">
        <v>14036</v>
      </c>
      <c r="G3601" s="9" t="s">
        <v>24</v>
      </c>
      <c r="H3601" s="14" t="s">
        <v>22</v>
      </c>
      <c r="I3601" s="9" t="s">
        <v>13340</v>
      </c>
      <c r="J3601" s="13"/>
      <c r="K3601" s="13"/>
    </row>
    <row r="3602" customFormat="false" ht="15" hidden="false" customHeight="false" outlineLevel="0" collapsed="false">
      <c r="A3602" s="9" t="n">
        <v>3601</v>
      </c>
      <c r="B3602" s="9" t="s">
        <v>172</v>
      </c>
      <c r="C3602" s="11" t="s">
        <v>197</v>
      </c>
      <c r="D3602" s="9" t="s">
        <v>14037</v>
      </c>
      <c r="E3602" s="9" t="s">
        <v>358</v>
      </c>
      <c r="F3602" s="9" t="s">
        <v>13342</v>
      </c>
      <c r="G3602" s="9" t="s">
        <v>24</v>
      </c>
      <c r="H3602" s="14" t="s">
        <v>22</v>
      </c>
      <c r="I3602" s="9" t="s">
        <v>5550</v>
      </c>
      <c r="J3602" s="13"/>
      <c r="K3602" s="13"/>
    </row>
    <row r="3603" customFormat="false" ht="15" hidden="false" customHeight="false" outlineLevel="0" collapsed="false">
      <c r="A3603" s="9" t="n">
        <v>3602</v>
      </c>
      <c r="B3603" s="9" t="s">
        <v>172</v>
      </c>
      <c r="C3603" s="11" t="s">
        <v>197</v>
      </c>
      <c r="D3603" s="9" t="s">
        <v>14038</v>
      </c>
      <c r="E3603" s="9" t="s">
        <v>362</v>
      </c>
      <c r="F3603" s="9" t="s">
        <v>363</v>
      </c>
      <c r="G3603" s="9" t="s">
        <v>24</v>
      </c>
      <c r="H3603" s="14" t="s">
        <v>22</v>
      </c>
      <c r="I3603" s="9" t="s">
        <v>364</v>
      </c>
      <c r="J3603" s="13"/>
      <c r="K3603" s="13"/>
    </row>
    <row r="3604" customFormat="false" ht="23.85" hidden="false" customHeight="false" outlineLevel="0" collapsed="false">
      <c r="A3604" s="9" t="n">
        <v>3603</v>
      </c>
      <c r="B3604" s="9" t="s">
        <v>172</v>
      </c>
      <c r="C3604" s="11" t="s">
        <v>197</v>
      </c>
      <c r="D3604" s="9" t="s">
        <v>14039</v>
      </c>
      <c r="E3604" s="9" t="s">
        <v>14040</v>
      </c>
      <c r="F3604" s="9" t="s">
        <v>14041</v>
      </c>
      <c r="G3604" s="9" t="s">
        <v>24</v>
      </c>
      <c r="H3604" s="15" t="s">
        <v>23</v>
      </c>
      <c r="I3604" s="9" t="s">
        <v>14042</v>
      </c>
      <c r="J3604" s="13"/>
      <c r="K3604" s="13"/>
    </row>
    <row r="3605" customFormat="false" ht="15" hidden="false" customHeight="false" outlineLevel="0" collapsed="false">
      <c r="A3605" s="9" t="n">
        <v>3604</v>
      </c>
      <c r="B3605" s="9" t="s">
        <v>172</v>
      </c>
      <c r="C3605" s="11" t="s">
        <v>197</v>
      </c>
      <c r="D3605" s="9" t="s">
        <v>14043</v>
      </c>
      <c r="E3605" s="9" t="s">
        <v>14044</v>
      </c>
      <c r="F3605" s="9" t="s">
        <v>14045</v>
      </c>
      <c r="G3605" s="9" t="s">
        <v>24</v>
      </c>
      <c r="H3605" s="15" t="s">
        <v>23</v>
      </c>
      <c r="I3605" s="9" t="s">
        <v>1007</v>
      </c>
      <c r="J3605" s="13"/>
      <c r="K3605" s="13"/>
    </row>
    <row r="3606" customFormat="false" ht="15" hidden="false" customHeight="false" outlineLevel="0" collapsed="false">
      <c r="A3606" s="9" t="n">
        <v>3605</v>
      </c>
      <c r="B3606" s="9" t="s">
        <v>172</v>
      </c>
      <c r="C3606" s="11" t="s">
        <v>197</v>
      </c>
      <c r="D3606" s="9" t="s">
        <v>14046</v>
      </c>
      <c r="E3606" s="9" t="s">
        <v>14047</v>
      </c>
      <c r="F3606" s="9" t="s">
        <v>14048</v>
      </c>
      <c r="G3606" s="9" t="s">
        <v>24</v>
      </c>
      <c r="H3606" s="15" t="s">
        <v>23</v>
      </c>
      <c r="I3606" s="9" t="s">
        <v>810</v>
      </c>
      <c r="J3606" s="13"/>
      <c r="K3606" s="13"/>
    </row>
    <row r="3607" customFormat="false" ht="23.85" hidden="false" customHeight="false" outlineLevel="0" collapsed="false">
      <c r="A3607" s="9" t="n">
        <v>3606</v>
      </c>
      <c r="B3607" s="9" t="s">
        <v>172</v>
      </c>
      <c r="C3607" s="11" t="s">
        <v>197</v>
      </c>
      <c r="D3607" s="9" t="s">
        <v>14049</v>
      </c>
      <c r="E3607" s="9" t="s">
        <v>14050</v>
      </c>
      <c r="F3607" s="9" t="s">
        <v>14051</v>
      </c>
      <c r="G3607" s="9" t="s">
        <v>24</v>
      </c>
      <c r="H3607" s="15" t="s">
        <v>23</v>
      </c>
      <c r="I3607" s="9" t="s">
        <v>13904</v>
      </c>
      <c r="J3607" s="13"/>
      <c r="K3607" s="13"/>
    </row>
    <row r="3608" customFormat="false" ht="15" hidden="false" customHeight="false" outlineLevel="0" collapsed="false">
      <c r="A3608" s="9" t="n">
        <v>3607</v>
      </c>
      <c r="B3608" s="9" t="s">
        <v>172</v>
      </c>
      <c r="C3608" s="11" t="s">
        <v>197</v>
      </c>
      <c r="D3608" s="9" t="s">
        <v>14052</v>
      </c>
      <c r="E3608" s="9" t="s">
        <v>9749</v>
      </c>
      <c r="F3608" s="9" t="s">
        <v>13758</v>
      </c>
      <c r="G3608" s="9" t="s">
        <v>24</v>
      </c>
      <c r="H3608" s="15" t="s">
        <v>23</v>
      </c>
      <c r="I3608" s="9" t="s">
        <v>13496</v>
      </c>
      <c r="J3608" s="13"/>
      <c r="K3608" s="13"/>
    </row>
    <row r="3609" customFormat="false" ht="91" hidden="false" customHeight="false" outlineLevel="0" collapsed="false">
      <c r="A3609" s="9" t="n">
        <v>3608</v>
      </c>
      <c r="B3609" s="9" t="s">
        <v>172</v>
      </c>
      <c r="C3609" s="11" t="s">
        <v>199</v>
      </c>
      <c r="D3609" s="9" t="s">
        <v>14053</v>
      </c>
      <c r="E3609" s="9" t="s">
        <v>14054</v>
      </c>
      <c r="F3609" s="9" t="s">
        <v>14055</v>
      </c>
      <c r="G3609" s="9" t="s">
        <v>1638</v>
      </c>
      <c r="H3609" s="12" t="s">
        <v>21</v>
      </c>
      <c r="I3609" s="9" t="s">
        <v>14056</v>
      </c>
      <c r="J3609" s="13"/>
      <c r="K3609" s="13"/>
    </row>
    <row r="3610" customFormat="false" ht="68.65" hidden="false" customHeight="false" outlineLevel="0" collapsed="false">
      <c r="A3610" s="9" t="n">
        <v>3609</v>
      </c>
      <c r="B3610" s="9" t="s">
        <v>172</v>
      </c>
      <c r="C3610" s="11" t="s">
        <v>199</v>
      </c>
      <c r="D3610" s="9" t="s">
        <v>14057</v>
      </c>
      <c r="E3610" s="9" t="s">
        <v>14058</v>
      </c>
      <c r="F3610" s="9" t="s">
        <v>14059</v>
      </c>
      <c r="G3610" s="9" t="s">
        <v>1852</v>
      </c>
      <c r="H3610" s="12" t="s">
        <v>21</v>
      </c>
      <c r="I3610" s="9" t="s">
        <v>14060</v>
      </c>
      <c r="J3610" s="13"/>
      <c r="K3610" s="13"/>
    </row>
    <row r="3611" customFormat="false" ht="68.65" hidden="false" customHeight="false" outlineLevel="0" collapsed="false">
      <c r="A3611" s="9" t="n">
        <v>3610</v>
      </c>
      <c r="B3611" s="9" t="s">
        <v>172</v>
      </c>
      <c r="C3611" s="11" t="s">
        <v>199</v>
      </c>
      <c r="D3611" s="9" t="s">
        <v>14061</v>
      </c>
      <c r="E3611" s="9" t="s">
        <v>14062</v>
      </c>
      <c r="F3611" s="9" t="s">
        <v>14063</v>
      </c>
      <c r="G3611" s="9" t="s">
        <v>11473</v>
      </c>
      <c r="H3611" s="14" t="s">
        <v>22</v>
      </c>
      <c r="I3611" s="9" t="s">
        <v>14064</v>
      </c>
      <c r="J3611" s="13"/>
      <c r="K3611" s="13"/>
    </row>
    <row r="3612" customFormat="false" ht="79.85" hidden="false" customHeight="false" outlineLevel="0" collapsed="false">
      <c r="A3612" s="9" t="n">
        <v>3611</v>
      </c>
      <c r="B3612" s="9" t="s">
        <v>172</v>
      </c>
      <c r="C3612" s="11" t="s">
        <v>199</v>
      </c>
      <c r="D3612" s="9" t="s">
        <v>14065</v>
      </c>
      <c r="E3612" s="9" t="s">
        <v>14066</v>
      </c>
      <c r="F3612" s="9" t="s">
        <v>14067</v>
      </c>
      <c r="G3612" s="9" t="s">
        <v>312</v>
      </c>
      <c r="H3612" s="12" t="s">
        <v>21</v>
      </c>
      <c r="I3612" s="9" t="s">
        <v>14068</v>
      </c>
      <c r="J3612" s="13"/>
      <c r="K3612" s="13"/>
    </row>
    <row r="3613" customFormat="false" ht="91" hidden="false" customHeight="false" outlineLevel="0" collapsed="false">
      <c r="A3613" s="9" t="n">
        <v>3612</v>
      </c>
      <c r="B3613" s="9" t="s">
        <v>172</v>
      </c>
      <c r="C3613" s="11" t="s">
        <v>199</v>
      </c>
      <c r="D3613" s="9" t="s">
        <v>14069</v>
      </c>
      <c r="E3613" s="9" t="s">
        <v>14070</v>
      </c>
      <c r="F3613" s="9" t="s">
        <v>14071</v>
      </c>
      <c r="G3613" s="9" t="s">
        <v>1852</v>
      </c>
      <c r="H3613" s="12" t="s">
        <v>21</v>
      </c>
      <c r="I3613" s="9" t="s">
        <v>14072</v>
      </c>
      <c r="J3613" s="13"/>
      <c r="K3613" s="13"/>
    </row>
    <row r="3614" customFormat="false" ht="35.05" hidden="false" customHeight="false" outlineLevel="0" collapsed="false">
      <c r="A3614" s="9" t="n">
        <v>3613</v>
      </c>
      <c r="B3614" s="9" t="s">
        <v>172</v>
      </c>
      <c r="C3614" s="11" t="s">
        <v>199</v>
      </c>
      <c r="D3614" s="9" t="s">
        <v>14073</v>
      </c>
      <c r="E3614" s="9" t="s">
        <v>14074</v>
      </c>
      <c r="F3614" s="9" t="s">
        <v>14075</v>
      </c>
      <c r="G3614" s="9" t="s">
        <v>328</v>
      </c>
      <c r="H3614" s="14" t="s">
        <v>22</v>
      </c>
      <c r="I3614" s="9" t="s">
        <v>14076</v>
      </c>
      <c r="J3614" s="13"/>
      <c r="K3614" s="13"/>
    </row>
    <row r="3615" customFormat="false" ht="35.05" hidden="false" customHeight="false" outlineLevel="0" collapsed="false">
      <c r="A3615" s="9" t="n">
        <v>3614</v>
      </c>
      <c r="B3615" s="9" t="s">
        <v>172</v>
      </c>
      <c r="C3615" s="11" t="s">
        <v>199</v>
      </c>
      <c r="D3615" s="9" t="s">
        <v>14077</v>
      </c>
      <c r="E3615" s="9" t="s">
        <v>14078</v>
      </c>
      <c r="F3615" s="9" t="s">
        <v>14079</v>
      </c>
      <c r="G3615" s="9" t="s">
        <v>12080</v>
      </c>
      <c r="H3615" s="14" t="s">
        <v>22</v>
      </c>
      <c r="I3615" s="9" t="s">
        <v>14080</v>
      </c>
      <c r="J3615" s="13"/>
      <c r="K3615" s="13"/>
    </row>
    <row r="3616" customFormat="false" ht="79.85" hidden="false" customHeight="false" outlineLevel="0" collapsed="false">
      <c r="A3616" s="9" t="n">
        <v>3615</v>
      </c>
      <c r="B3616" s="9" t="s">
        <v>172</v>
      </c>
      <c r="C3616" s="11" t="s">
        <v>199</v>
      </c>
      <c r="D3616" s="9" t="s">
        <v>14081</v>
      </c>
      <c r="E3616" s="9" t="s">
        <v>14082</v>
      </c>
      <c r="F3616" s="9" t="s">
        <v>14083</v>
      </c>
      <c r="G3616" s="9" t="s">
        <v>13875</v>
      </c>
      <c r="H3616" s="14" t="s">
        <v>22</v>
      </c>
      <c r="I3616" s="9" t="s">
        <v>14084</v>
      </c>
      <c r="J3616" s="13"/>
      <c r="K3616" s="13"/>
    </row>
    <row r="3617" customFormat="false" ht="46.25" hidden="false" customHeight="false" outlineLevel="0" collapsed="false">
      <c r="A3617" s="9" t="n">
        <v>3616</v>
      </c>
      <c r="B3617" s="9" t="s">
        <v>172</v>
      </c>
      <c r="C3617" s="11" t="s">
        <v>199</v>
      </c>
      <c r="D3617" s="9" t="s">
        <v>14085</v>
      </c>
      <c r="E3617" s="9" t="s">
        <v>14086</v>
      </c>
      <c r="F3617" s="9" t="s">
        <v>14087</v>
      </c>
      <c r="G3617" s="9" t="s">
        <v>11473</v>
      </c>
      <c r="H3617" s="14" t="s">
        <v>22</v>
      </c>
      <c r="I3617" s="9" t="s">
        <v>14088</v>
      </c>
      <c r="J3617" s="13"/>
      <c r="K3617" s="13"/>
    </row>
    <row r="3618" customFormat="false" ht="68.65" hidden="false" customHeight="false" outlineLevel="0" collapsed="false">
      <c r="A3618" s="9" t="n">
        <v>3617</v>
      </c>
      <c r="B3618" s="9" t="s">
        <v>172</v>
      </c>
      <c r="C3618" s="11" t="s">
        <v>199</v>
      </c>
      <c r="D3618" s="9" t="s">
        <v>14089</v>
      </c>
      <c r="E3618" s="9" t="s">
        <v>14090</v>
      </c>
      <c r="F3618" s="9" t="s">
        <v>14091</v>
      </c>
      <c r="G3618" s="9" t="s">
        <v>11473</v>
      </c>
      <c r="H3618" s="14" t="s">
        <v>22</v>
      </c>
      <c r="I3618" s="9" t="s">
        <v>14092</v>
      </c>
      <c r="J3618" s="13"/>
      <c r="K3618" s="13"/>
    </row>
    <row r="3619" customFormat="false" ht="46.25" hidden="false" customHeight="false" outlineLevel="0" collapsed="false">
      <c r="A3619" s="9" t="n">
        <v>3618</v>
      </c>
      <c r="B3619" s="9" t="s">
        <v>172</v>
      </c>
      <c r="C3619" s="11" t="s">
        <v>199</v>
      </c>
      <c r="D3619" s="9" t="s">
        <v>14093</v>
      </c>
      <c r="E3619" s="9" t="s">
        <v>14094</v>
      </c>
      <c r="F3619" s="9" t="s">
        <v>14095</v>
      </c>
      <c r="G3619" s="9" t="s">
        <v>4998</v>
      </c>
      <c r="H3619" s="15" t="s">
        <v>23</v>
      </c>
      <c r="I3619" s="9" t="s">
        <v>14096</v>
      </c>
      <c r="J3619" s="13"/>
      <c r="K3619" s="13"/>
    </row>
    <row r="3620" customFormat="false" ht="46.25" hidden="false" customHeight="false" outlineLevel="0" collapsed="false">
      <c r="A3620" s="9" t="n">
        <v>3619</v>
      </c>
      <c r="B3620" s="9" t="s">
        <v>172</v>
      </c>
      <c r="C3620" s="11" t="s">
        <v>199</v>
      </c>
      <c r="D3620" s="9" t="s">
        <v>14097</v>
      </c>
      <c r="E3620" s="9" t="s">
        <v>14098</v>
      </c>
      <c r="F3620" s="9" t="s">
        <v>14099</v>
      </c>
      <c r="G3620" s="9" t="s">
        <v>12080</v>
      </c>
      <c r="H3620" s="14" t="s">
        <v>22</v>
      </c>
      <c r="I3620" s="9" t="s">
        <v>14100</v>
      </c>
      <c r="J3620" s="13"/>
      <c r="K3620" s="13"/>
    </row>
    <row r="3621" customFormat="false" ht="35.05" hidden="false" customHeight="false" outlineLevel="0" collapsed="false">
      <c r="A3621" s="9" t="n">
        <v>3620</v>
      </c>
      <c r="B3621" s="9" t="s">
        <v>172</v>
      </c>
      <c r="C3621" s="11" t="s">
        <v>199</v>
      </c>
      <c r="D3621" s="9" t="s">
        <v>14101</v>
      </c>
      <c r="E3621" s="9" t="s">
        <v>14102</v>
      </c>
      <c r="F3621" s="9" t="s">
        <v>14103</v>
      </c>
      <c r="G3621" s="9" t="s">
        <v>312</v>
      </c>
      <c r="H3621" s="14" t="s">
        <v>22</v>
      </c>
      <c r="I3621" s="9" t="s">
        <v>14104</v>
      </c>
      <c r="J3621" s="13"/>
      <c r="K3621" s="13"/>
    </row>
    <row r="3622" customFormat="false" ht="46.25" hidden="false" customHeight="false" outlineLevel="0" collapsed="false">
      <c r="A3622" s="9" t="n">
        <v>3621</v>
      </c>
      <c r="B3622" s="9" t="s">
        <v>172</v>
      </c>
      <c r="C3622" s="11" t="s">
        <v>199</v>
      </c>
      <c r="D3622" s="9" t="s">
        <v>14105</v>
      </c>
      <c r="E3622" s="9" t="s">
        <v>14106</v>
      </c>
      <c r="F3622" s="9" t="s">
        <v>14107</v>
      </c>
      <c r="G3622" s="9" t="s">
        <v>12302</v>
      </c>
      <c r="H3622" s="15" t="s">
        <v>23</v>
      </c>
      <c r="I3622" s="9" t="s">
        <v>14108</v>
      </c>
      <c r="J3622" s="13"/>
      <c r="K3622" s="13"/>
    </row>
    <row r="3623" customFormat="false" ht="91" hidden="false" customHeight="false" outlineLevel="0" collapsed="false">
      <c r="A3623" s="9" t="n">
        <v>3622</v>
      </c>
      <c r="B3623" s="9" t="s">
        <v>172</v>
      </c>
      <c r="C3623" s="11" t="s">
        <v>199</v>
      </c>
      <c r="D3623" s="9" t="s">
        <v>14109</v>
      </c>
      <c r="E3623" s="9" t="s">
        <v>14110</v>
      </c>
      <c r="F3623" s="9" t="s">
        <v>14111</v>
      </c>
      <c r="G3623" s="9" t="s">
        <v>14112</v>
      </c>
      <c r="H3623" s="14" t="s">
        <v>22</v>
      </c>
      <c r="I3623" s="9" t="s">
        <v>14113</v>
      </c>
      <c r="J3623" s="13"/>
      <c r="K3623" s="13"/>
    </row>
    <row r="3624" customFormat="false" ht="23.85" hidden="false" customHeight="false" outlineLevel="0" collapsed="false">
      <c r="A3624" s="9" t="n">
        <v>3623</v>
      </c>
      <c r="B3624" s="9" t="s">
        <v>172</v>
      </c>
      <c r="C3624" s="11" t="s">
        <v>199</v>
      </c>
      <c r="D3624" s="9" t="s">
        <v>14114</v>
      </c>
      <c r="E3624" s="9" t="s">
        <v>14115</v>
      </c>
      <c r="F3624" s="9" t="s">
        <v>14116</v>
      </c>
      <c r="G3624" s="9" t="s">
        <v>12080</v>
      </c>
      <c r="H3624" s="15" t="s">
        <v>23</v>
      </c>
      <c r="I3624" s="9" t="s">
        <v>14117</v>
      </c>
      <c r="J3624" s="13"/>
      <c r="K3624" s="13"/>
    </row>
    <row r="3625" customFormat="false" ht="57.45" hidden="false" customHeight="false" outlineLevel="0" collapsed="false">
      <c r="A3625" s="9" t="n">
        <v>3624</v>
      </c>
      <c r="B3625" s="9" t="s">
        <v>172</v>
      </c>
      <c r="C3625" s="11" t="s">
        <v>199</v>
      </c>
      <c r="D3625" s="9" t="s">
        <v>14118</v>
      </c>
      <c r="E3625" s="9" t="s">
        <v>14119</v>
      </c>
      <c r="F3625" s="9" t="s">
        <v>14120</v>
      </c>
      <c r="G3625" s="9" t="s">
        <v>13827</v>
      </c>
      <c r="H3625" s="15" t="s">
        <v>23</v>
      </c>
      <c r="I3625" s="9" t="s">
        <v>14121</v>
      </c>
      <c r="J3625" s="13"/>
      <c r="K3625" s="13"/>
    </row>
    <row r="3626" customFormat="false" ht="91" hidden="false" customHeight="false" outlineLevel="0" collapsed="false">
      <c r="A3626" s="9" t="n">
        <v>3625</v>
      </c>
      <c r="B3626" s="9" t="s">
        <v>172</v>
      </c>
      <c r="C3626" s="11" t="s">
        <v>199</v>
      </c>
      <c r="D3626" s="9" t="s">
        <v>14122</v>
      </c>
      <c r="E3626" s="9" t="s">
        <v>14123</v>
      </c>
      <c r="F3626" s="9" t="s">
        <v>14124</v>
      </c>
      <c r="G3626" s="9" t="s">
        <v>12080</v>
      </c>
      <c r="H3626" s="15" t="s">
        <v>23</v>
      </c>
      <c r="I3626" s="9" t="s">
        <v>14125</v>
      </c>
      <c r="J3626" s="13"/>
      <c r="K3626" s="13"/>
    </row>
    <row r="3627" customFormat="false" ht="57.45" hidden="false" customHeight="false" outlineLevel="0" collapsed="false">
      <c r="A3627" s="9" t="n">
        <v>3626</v>
      </c>
      <c r="B3627" s="9" t="s">
        <v>172</v>
      </c>
      <c r="C3627" s="11" t="s">
        <v>199</v>
      </c>
      <c r="D3627" s="9" t="s">
        <v>14126</v>
      </c>
      <c r="E3627" s="9" t="s">
        <v>14127</v>
      </c>
      <c r="F3627" s="9" t="s">
        <v>14128</v>
      </c>
      <c r="G3627" s="9" t="s">
        <v>12217</v>
      </c>
      <c r="H3627" s="14" t="s">
        <v>22</v>
      </c>
      <c r="I3627" s="9" t="s">
        <v>14129</v>
      </c>
      <c r="J3627" s="13"/>
      <c r="K3627" s="13"/>
    </row>
    <row r="3628" customFormat="false" ht="35.05" hidden="false" customHeight="false" outlineLevel="0" collapsed="false">
      <c r="A3628" s="9" t="n">
        <v>3627</v>
      </c>
      <c r="B3628" s="9" t="s">
        <v>172</v>
      </c>
      <c r="C3628" s="11" t="s">
        <v>199</v>
      </c>
      <c r="D3628" s="9" t="s">
        <v>14130</v>
      </c>
      <c r="E3628" s="9" t="s">
        <v>14131</v>
      </c>
      <c r="F3628" s="9" t="s">
        <v>14132</v>
      </c>
      <c r="G3628" s="9" t="s">
        <v>312</v>
      </c>
      <c r="H3628" s="15" t="s">
        <v>23</v>
      </c>
      <c r="I3628" s="9" t="s">
        <v>14133</v>
      </c>
      <c r="J3628" s="13"/>
      <c r="K3628" s="13"/>
    </row>
    <row r="3629" customFormat="false" ht="35.05" hidden="false" customHeight="false" outlineLevel="0" collapsed="false">
      <c r="A3629" s="9" t="n">
        <v>3628</v>
      </c>
      <c r="B3629" s="9" t="s">
        <v>172</v>
      </c>
      <c r="C3629" s="11" t="s">
        <v>199</v>
      </c>
      <c r="D3629" s="9" t="s">
        <v>14134</v>
      </c>
      <c r="E3629" s="9" t="s">
        <v>14135</v>
      </c>
      <c r="F3629" s="9" t="s">
        <v>14136</v>
      </c>
      <c r="G3629" s="9" t="s">
        <v>312</v>
      </c>
      <c r="H3629" s="15" t="s">
        <v>23</v>
      </c>
      <c r="I3629" s="9" t="s">
        <v>14137</v>
      </c>
      <c r="J3629" s="13"/>
      <c r="K3629" s="13"/>
    </row>
    <row r="3630" customFormat="false" ht="23.85" hidden="false" customHeight="false" outlineLevel="0" collapsed="false">
      <c r="A3630" s="9" t="n">
        <v>3629</v>
      </c>
      <c r="B3630" s="9" t="s">
        <v>172</v>
      </c>
      <c r="C3630" s="11" t="s">
        <v>199</v>
      </c>
      <c r="D3630" s="9" t="s">
        <v>14138</v>
      </c>
      <c r="E3630" s="9" t="s">
        <v>14139</v>
      </c>
      <c r="F3630" s="9" t="s">
        <v>14140</v>
      </c>
      <c r="G3630" s="9" t="s">
        <v>328</v>
      </c>
      <c r="H3630" s="15" t="s">
        <v>23</v>
      </c>
      <c r="I3630" s="9" t="s">
        <v>14141</v>
      </c>
      <c r="J3630" s="13"/>
      <c r="K3630" s="13"/>
    </row>
    <row r="3631" customFormat="false" ht="23.85" hidden="false" customHeight="false" outlineLevel="0" collapsed="false">
      <c r="A3631" s="9" t="n">
        <v>3630</v>
      </c>
      <c r="B3631" s="9" t="s">
        <v>172</v>
      </c>
      <c r="C3631" s="11" t="s">
        <v>199</v>
      </c>
      <c r="D3631" s="9" t="s">
        <v>14142</v>
      </c>
      <c r="E3631" s="9" t="s">
        <v>12571</v>
      </c>
      <c r="F3631" s="9" t="s">
        <v>14143</v>
      </c>
      <c r="G3631" s="9" t="s">
        <v>308</v>
      </c>
      <c r="H3631" s="15" t="s">
        <v>23</v>
      </c>
      <c r="I3631" s="9" t="s">
        <v>14144</v>
      </c>
      <c r="J3631" s="13"/>
      <c r="K3631" s="13"/>
    </row>
    <row r="3632" customFormat="false" ht="46.25" hidden="false" customHeight="false" outlineLevel="0" collapsed="false">
      <c r="A3632" s="9" t="n">
        <v>3631</v>
      </c>
      <c r="B3632" s="9" t="s">
        <v>172</v>
      </c>
      <c r="C3632" s="11" t="s">
        <v>199</v>
      </c>
      <c r="D3632" s="9" t="s">
        <v>14145</v>
      </c>
      <c r="E3632" s="9" t="s">
        <v>14146</v>
      </c>
      <c r="F3632" s="9" t="s">
        <v>14147</v>
      </c>
      <c r="G3632" s="9" t="s">
        <v>13875</v>
      </c>
      <c r="H3632" s="15" t="s">
        <v>23</v>
      </c>
      <c r="I3632" s="9" t="s">
        <v>14148</v>
      </c>
      <c r="J3632" s="13"/>
      <c r="K3632" s="13"/>
    </row>
    <row r="3633" customFormat="false" ht="35.05" hidden="false" customHeight="false" outlineLevel="0" collapsed="false">
      <c r="A3633" s="9" t="n">
        <v>3632</v>
      </c>
      <c r="B3633" s="9" t="s">
        <v>172</v>
      </c>
      <c r="C3633" s="11" t="s">
        <v>199</v>
      </c>
      <c r="D3633" s="9" t="s">
        <v>14149</v>
      </c>
      <c r="E3633" s="9" t="s">
        <v>13186</v>
      </c>
      <c r="F3633" s="9" t="s">
        <v>14150</v>
      </c>
      <c r="G3633" s="9" t="s">
        <v>24</v>
      </c>
      <c r="H3633" s="12" t="s">
        <v>21</v>
      </c>
      <c r="I3633" s="9" t="s">
        <v>13879</v>
      </c>
      <c r="J3633" s="13"/>
      <c r="K3633" s="13"/>
    </row>
    <row r="3634" customFormat="false" ht="23.85" hidden="false" customHeight="false" outlineLevel="0" collapsed="false">
      <c r="A3634" s="9" t="n">
        <v>3633</v>
      </c>
      <c r="B3634" s="9" t="s">
        <v>172</v>
      </c>
      <c r="C3634" s="11" t="s">
        <v>199</v>
      </c>
      <c r="D3634" s="9" t="s">
        <v>14151</v>
      </c>
      <c r="E3634" s="9" t="s">
        <v>14152</v>
      </c>
      <c r="F3634" s="9" t="s">
        <v>14153</v>
      </c>
      <c r="G3634" s="9" t="s">
        <v>24</v>
      </c>
      <c r="H3634" s="14" t="s">
        <v>22</v>
      </c>
      <c r="I3634" s="9" t="s">
        <v>13340</v>
      </c>
      <c r="J3634" s="13"/>
      <c r="K3634" s="13"/>
    </row>
    <row r="3635" customFormat="false" ht="15" hidden="false" customHeight="false" outlineLevel="0" collapsed="false">
      <c r="A3635" s="9" t="n">
        <v>3634</v>
      </c>
      <c r="B3635" s="9" t="s">
        <v>172</v>
      </c>
      <c r="C3635" s="11" t="s">
        <v>199</v>
      </c>
      <c r="D3635" s="9" t="s">
        <v>14154</v>
      </c>
      <c r="E3635" s="9" t="s">
        <v>358</v>
      </c>
      <c r="F3635" s="9" t="s">
        <v>13342</v>
      </c>
      <c r="G3635" s="9" t="s">
        <v>24</v>
      </c>
      <c r="H3635" s="14" t="s">
        <v>22</v>
      </c>
      <c r="I3635" s="9" t="s">
        <v>5550</v>
      </c>
      <c r="J3635" s="13"/>
      <c r="K3635" s="13"/>
    </row>
    <row r="3636" customFormat="false" ht="23.85" hidden="false" customHeight="false" outlineLevel="0" collapsed="false">
      <c r="A3636" s="9" t="n">
        <v>3635</v>
      </c>
      <c r="B3636" s="9" t="s">
        <v>172</v>
      </c>
      <c r="C3636" s="11" t="s">
        <v>199</v>
      </c>
      <c r="D3636" s="9" t="s">
        <v>14155</v>
      </c>
      <c r="E3636" s="9" t="s">
        <v>13038</v>
      </c>
      <c r="F3636" s="9" t="s">
        <v>14156</v>
      </c>
      <c r="G3636" s="9" t="s">
        <v>24</v>
      </c>
      <c r="H3636" s="14" t="s">
        <v>22</v>
      </c>
      <c r="I3636" s="9" t="s">
        <v>13604</v>
      </c>
      <c r="J3636" s="13"/>
      <c r="K3636" s="13"/>
    </row>
    <row r="3637" customFormat="false" ht="15" hidden="false" customHeight="false" outlineLevel="0" collapsed="false">
      <c r="A3637" s="9" t="n">
        <v>3636</v>
      </c>
      <c r="B3637" s="9" t="s">
        <v>172</v>
      </c>
      <c r="C3637" s="11" t="s">
        <v>199</v>
      </c>
      <c r="D3637" s="9" t="s">
        <v>14157</v>
      </c>
      <c r="E3637" s="9" t="s">
        <v>362</v>
      </c>
      <c r="F3637" s="9" t="s">
        <v>363</v>
      </c>
      <c r="G3637" s="9" t="s">
        <v>24</v>
      </c>
      <c r="H3637" s="14" t="s">
        <v>22</v>
      </c>
      <c r="I3637" s="9" t="s">
        <v>364</v>
      </c>
      <c r="J3637" s="13"/>
      <c r="K3637" s="13"/>
    </row>
    <row r="3638" customFormat="false" ht="23.85" hidden="false" customHeight="false" outlineLevel="0" collapsed="false">
      <c r="A3638" s="9" t="n">
        <v>3637</v>
      </c>
      <c r="B3638" s="9" t="s">
        <v>172</v>
      </c>
      <c r="C3638" s="11" t="s">
        <v>199</v>
      </c>
      <c r="D3638" s="9" t="s">
        <v>14158</v>
      </c>
      <c r="E3638" s="9" t="s">
        <v>14159</v>
      </c>
      <c r="F3638" s="9" t="s">
        <v>14160</v>
      </c>
      <c r="G3638" s="9" t="s">
        <v>24</v>
      </c>
      <c r="H3638" s="15" t="s">
        <v>23</v>
      </c>
      <c r="I3638" s="9" t="s">
        <v>13483</v>
      </c>
      <c r="J3638" s="13"/>
      <c r="K3638" s="13"/>
    </row>
    <row r="3639" customFormat="false" ht="23.85" hidden="false" customHeight="false" outlineLevel="0" collapsed="false">
      <c r="A3639" s="9" t="n">
        <v>3638</v>
      </c>
      <c r="B3639" s="9" t="s">
        <v>172</v>
      </c>
      <c r="C3639" s="11" t="s">
        <v>199</v>
      </c>
      <c r="D3639" s="9" t="s">
        <v>14161</v>
      </c>
      <c r="E3639" s="9" t="s">
        <v>14162</v>
      </c>
      <c r="F3639" s="9" t="s">
        <v>14163</v>
      </c>
      <c r="G3639" s="9" t="s">
        <v>24</v>
      </c>
      <c r="H3639" s="15" t="s">
        <v>23</v>
      </c>
      <c r="I3639" s="9" t="s">
        <v>13621</v>
      </c>
      <c r="J3639" s="13"/>
      <c r="K3639" s="13"/>
    </row>
    <row r="3640" customFormat="false" ht="23.85" hidden="false" customHeight="false" outlineLevel="0" collapsed="false">
      <c r="A3640" s="9" t="n">
        <v>3639</v>
      </c>
      <c r="B3640" s="9" t="s">
        <v>172</v>
      </c>
      <c r="C3640" s="11" t="s">
        <v>199</v>
      </c>
      <c r="D3640" s="9" t="s">
        <v>14164</v>
      </c>
      <c r="E3640" s="9" t="s">
        <v>14165</v>
      </c>
      <c r="F3640" s="9" t="s">
        <v>14166</v>
      </c>
      <c r="G3640" s="9" t="s">
        <v>24</v>
      </c>
      <c r="H3640" s="15" t="s">
        <v>23</v>
      </c>
      <c r="I3640" s="9" t="s">
        <v>2839</v>
      </c>
      <c r="J3640" s="13"/>
      <c r="K3640" s="13"/>
    </row>
    <row r="3641" customFormat="false" ht="15" hidden="false" customHeight="false" outlineLevel="0" collapsed="false">
      <c r="A3641" s="9" t="n">
        <v>3640</v>
      </c>
      <c r="B3641" s="9" t="s">
        <v>172</v>
      </c>
      <c r="C3641" s="11" t="s">
        <v>199</v>
      </c>
      <c r="D3641" s="9" t="s">
        <v>14167</v>
      </c>
      <c r="E3641" s="9" t="s">
        <v>13910</v>
      </c>
      <c r="F3641" s="9" t="s">
        <v>14168</v>
      </c>
      <c r="G3641" s="9" t="s">
        <v>24</v>
      </c>
      <c r="H3641" s="15" t="s">
        <v>23</v>
      </c>
      <c r="I3641" s="9" t="s">
        <v>13358</v>
      </c>
      <c r="J3641" s="13"/>
      <c r="K3641" s="13"/>
    </row>
    <row r="3642" customFormat="false" ht="15" hidden="false" customHeight="false" outlineLevel="0" collapsed="false">
      <c r="A3642" s="9" t="n">
        <v>3641</v>
      </c>
      <c r="B3642" s="9" t="s">
        <v>172</v>
      </c>
      <c r="C3642" s="11" t="s">
        <v>199</v>
      </c>
      <c r="D3642" s="9" t="s">
        <v>14169</v>
      </c>
      <c r="E3642" s="9" t="s">
        <v>14170</v>
      </c>
      <c r="F3642" s="9" t="s">
        <v>14171</v>
      </c>
      <c r="G3642" s="9" t="s">
        <v>24</v>
      </c>
      <c r="H3642" s="15" t="s">
        <v>23</v>
      </c>
      <c r="I3642" s="9" t="s">
        <v>13365</v>
      </c>
      <c r="J3642" s="13"/>
      <c r="K3642" s="13"/>
    </row>
    <row r="3643" customFormat="false" ht="15" hidden="false" customHeight="false" outlineLevel="0" collapsed="false">
      <c r="A3643" s="9" t="n">
        <v>3642</v>
      </c>
      <c r="B3643" s="9" t="s">
        <v>172</v>
      </c>
      <c r="C3643" s="11" t="s">
        <v>199</v>
      </c>
      <c r="D3643" s="9" t="s">
        <v>14172</v>
      </c>
      <c r="E3643" s="9" t="s">
        <v>9749</v>
      </c>
      <c r="F3643" s="9" t="s">
        <v>13758</v>
      </c>
      <c r="G3643" s="9" t="s">
        <v>24</v>
      </c>
      <c r="H3643" s="15" t="s">
        <v>23</v>
      </c>
      <c r="I3643" s="9" t="s">
        <v>13496</v>
      </c>
      <c r="J3643" s="13"/>
      <c r="K3643" s="13"/>
    </row>
    <row r="3644" customFormat="false" ht="57.45" hidden="false" customHeight="false" outlineLevel="0" collapsed="false">
      <c r="A3644" s="9" t="n">
        <v>3643</v>
      </c>
      <c r="B3644" s="9" t="s">
        <v>172</v>
      </c>
      <c r="C3644" s="11" t="s">
        <v>201</v>
      </c>
      <c r="D3644" s="9" t="s">
        <v>14173</v>
      </c>
      <c r="E3644" s="9" t="s">
        <v>14174</v>
      </c>
      <c r="F3644" s="9" t="s">
        <v>14175</v>
      </c>
      <c r="G3644" s="9" t="s">
        <v>14176</v>
      </c>
      <c r="H3644" s="12" t="s">
        <v>21</v>
      </c>
      <c r="I3644" s="9" t="s">
        <v>14177</v>
      </c>
      <c r="J3644" s="13"/>
      <c r="K3644" s="13"/>
    </row>
    <row r="3645" customFormat="false" ht="91" hidden="false" customHeight="false" outlineLevel="0" collapsed="false">
      <c r="A3645" s="9" t="n">
        <v>3644</v>
      </c>
      <c r="B3645" s="9" t="s">
        <v>172</v>
      </c>
      <c r="C3645" s="11" t="s">
        <v>201</v>
      </c>
      <c r="D3645" s="9" t="s">
        <v>14178</v>
      </c>
      <c r="E3645" s="9" t="s">
        <v>14179</v>
      </c>
      <c r="F3645" s="9" t="s">
        <v>14180</v>
      </c>
      <c r="G3645" s="9" t="s">
        <v>312</v>
      </c>
      <c r="H3645" s="12" t="s">
        <v>21</v>
      </c>
      <c r="I3645" s="9" t="s">
        <v>14181</v>
      </c>
      <c r="J3645" s="13"/>
      <c r="K3645" s="13"/>
    </row>
    <row r="3646" customFormat="false" ht="57.45" hidden="false" customHeight="false" outlineLevel="0" collapsed="false">
      <c r="A3646" s="9" t="n">
        <v>3645</v>
      </c>
      <c r="B3646" s="9" t="s">
        <v>172</v>
      </c>
      <c r="C3646" s="11" t="s">
        <v>201</v>
      </c>
      <c r="D3646" s="9" t="s">
        <v>14182</v>
      </c>
      <c r="E3646" s="9" t="s">
        <v>14183</v>
      </c>
      <c r="F3646" s="9" t="s">
        <v>14184</v>
      </c>
      <c r="G3646" s="9" t="s">
        <v>12080</v>
      </c>
      <c r="H3646" s="14" t="s">
        <v>22</v>
      </c>
      <c r="I3646" s="9" t="s">
        <v>14185</v>
      </c>
      <c r="J3646" s="13"/>
      <c r="K3646" s="13"/>
    </row>
    <row r="3647" customFormat="false" ht="46.25" hidden="false" customHeight="false" outlineLevel="0" collapsed="false">
      <c r="A3647" s="9" t="n">
        <v>3646</v>
      </c>
      <c r="B3647" s="9" t="s">
        <v>172</v>
      </c>
      <c r="C3647" s="11" t="s">
        <v>201</v>
      </c>
      <c r="D3647" s="9" t="s">
        <v>14186</v>
      </c>
      <c r="E3647" s="9" t="s">
        <v>14187</v>
      </c>
      <c r="F3647" s="9" t="s">
        <v>14188</v>
      </c>
      <c r="G3647" s="9" t="s">
        <v>12080</v>
      </c>
      <c r="H3647" s="14" t="s">
        <v>22</v>
      </c>
      <c r="I3647" s="9" t="s">
        <v>14189</v>
      </c>
      <c r="J3647" s="13"/>
      <c r="K3647" s="13"/>
    </row>
    <row r="3648" customFormat="false" ht="79.85" hidden="false" customHeight="false" outlineLevel="0" collapsed="false">
      <c r="A3648" s="9" t="n">
        <v>3647</v>
      </c>
      <c r="B3648" s="9" t="s">
        <v>172</v>
      </c>
      <c r="C3648" s="11" t="s">
        <v>201</v>
      </c>
      <c r="D3648" s="9" t="s">
        <v>14190</v>
      </c>
      <c r="E3648" s="9" t="s">
        <v>14191</v>
      </c>
      <c r="F3648" s="9" t="s">
        <v>14192</v>
      </c>
      <c r="G3648" s="9" t="s">
        <v>14193</v>
      </c>
      <c r="H3648" s="14" t="s">
        <v>22</v>
      </c>
      <c r="I3648" s="9" t="s">
        <v>14194</v>
      </c>
      <c r="J3648" s="13"/>
      <c r="K3648" s="13"/>
    </row>
    <row r="3649" customFormat="false" ht="46.25" hidden="false" customHeight="false" outlineLevel="0" collapsed="false">
      <c r="A3649" s="9" t="n">
        <v>3648</v>
      </c>
      <c r="B3649" s="9" t="s">
        <v>172</v>
      </c>
      <c r="C3649" s="11" t="s">
        <v>201</v>
      </c>
      <c r="D3649" s="9" t="s">
        <v>14195</v>
      </c>
      <c r="E3649" s="9" t="s">
        <v>14196</v>
      </c>
      <c r="F3649" s="9" t="s">
        <v>14197</v>
      </c>
      <c r="G3649" s="9" t="s">
        <v>12080</v>
      </c>
      <c r="H3649" s="14" t="s">
        <v>22</v>
      </c>
      <c r="I3649" s="9" t="s">
        <v>14198</v>
      </c>
      <c r="J3649" s="13"/>
      <c r="K3649" s="13"/>
    </row>
    <row r="3650" customFormat="false" ht="57.45" hidden="false" customHeight="false" outlineLevel="0" collapsed="false">
      <c r="A3650" s="9" t="n">
        <v>3649</v>
      </c>
      <c r="B3650" s="9" t="s">
        <v>172</v>
      </c>
      <c r="C3650" s="11" t="s">
        <v>201</v>
      </c>
      <c r="D3650" s="9" t="s">
        <v>14199</v>
      </c>
      <c r="E3650" s="9" t="s">
        <v>14200</v>
      </c>
      <c r="F3650" s="9" t="s">
        <v>14201</v>
      </c>
      <c r="G3650" s="9" t="s">
        <v>12080</v>
      </c>
      <c r="H3650" s="14" t="s">
        <v>22</v>
      </c>
      <c r="I3650" s="9" t="s">
        <v>14202</v>
      </c>
      <c r="J3650" s="13"/>
      <c r="K3650" s="13"/>
    </row>
    <row r="3651" customFormat="false" ht="46.25" hidden="false" customHeight="false" outlineLevel="0" collapsed="false">
      <c r="A3651" s="9" t="n">
        <v>3650</v>
      </c>
      <c r="B3651" s="9" t="s">
        <v>172</v>
      </c>
      <c r="C3651" s="11" t="s">
        <v>201</v>
      </c>
      <c r="D3651" s="9" t="s">
        <v>14203</v>
      </c>
      <c r="E3651" s="9" t="s">
        <v>14204</v>
      </c>
      <c r="F3651" s="9" t="s">
        <v>14205</v>
      </c>
      <c r="G3651" s="9" t="s">
        <v>312</v>
      </c>
      <c r="H3651" s="14" t="s">
        <v>22</v>
      </c>
      <c r="I3651" s="9" t="s">
        <v>14206</v>
      </c>
      <c r="J3651" s="13"/>
      <c r="K3651" s="13"/>
    </row>
    <row r="3652" customFormat="false" ht="46.25" hidden="false" customHeight="false" outlineLevel="0" collapsed="false">
      <c r="A3652" s="9" t="n">
        <v>3651</v>
      </c>
      <c r="B3652" s="9" t="s">
        <v>172</v>
      </c>
      <c r="C3652" s="11" t="s">
        <v>201</v>
      </c>
      <c r="D3652" s="9" t="s">
        <v>14207</v>
      </c>
      <c r="E3652" s="9" t="s">
        <v>14208</v>
      </c>
      <c r="F3652" s="9" t="s">
        <v>14209</v>
      </c>
      <c r="G3652" s="9" t="s">
        <v>3726</v>
      </c>
      <c r="H3652" s="14" t="s">
        <v>22</v>
      </c>
      <c r="I3652" s="9" t="s">
        <v>14210</v>
      </c>
      <c r="J3652" s="13"/>
      <c r="K3652" s="13"/>
    </row>
    <row r="3653" customFormat="false" ht="46.25" hidden="false" customHeight="false" outlineLevel="0" collapsed="false">
      <c r="A3653" s="9" t="n">
        <v>3652</v>
      </c>
      <c r="B3653" s="9" t="s">
        <v>172</v>
      </c>
      <c r="C3653" s="11" t="s">
        <v>201</v>
      </c>
      <c r="D3653" s="9" t="s">
        <v>14211</v>
      </c>
      <c r="E3653" s="9" t="s">
        <v>14212</v>
      </c>
      <c r="F3653" s="9" t="s">
        <v>14213</v>
      </c>
      <c r="G3653" s="9" t="s">
        <v>14214</v>
      </c>
      <c r="H3653" s="15" t="s">
        <v>23</v>
      </c>
      <c r="I3653" s="9" t="s">
        <v>14215</v>
      </c>
      <c r="J3653" s="13"/>
      <c r="K3653" s="13"/>
    </row>
    <row r="3654" customFormat="false" ht="35.05" hidden="false" customHeight="false" outlineLevel="0" collapsed="false">
      <c r="A3654" s="9" t="n">
        <v>3653</v>
      </c>
      <c r="B3654" s="9" t="s">
        <v>172</v>
      </c>
      <c r="C3654" s="11" t="s">
        <v>201</v>
      </c>
      <c r="D3654" s="9" t="s">
        <v>14216</v>
      </c>
      <c r="E3654" s="9" t="s">
        <v>14217</v>
      </c>
      <c r="F3654" s="9" t="s">
        <v>14218</v>
      </c>
      <c r="G3654" s="9" t="s">
        <v>12080</v>
      </c>
      <c r="H3654" s="15" t="s">
        <v>23</v>
      </c>
      <c r="I3654" s="9" t="s">
        <v>14219</v>
      </c>
      <c r="J3654" s="13"/>
      <c r="K3654" s="13"/>
    </row>
    <row r="3655" customFormat="false" ht="46.25" hidden="false" customHeight="false" outlineLevel="0" collapsed="false">
      <c r="A3655" s="9" t="n">
        <v>3654</v>
      </c>
      <c r="B3655" s="9" t="s">
        <v>172</v>
      </c>
      <c r="C3655" s="11" t="s">
        <v>201</v>
      </c>
      <c r="D3655" s="9" t="s">
        <v>14220</v>
      </c>
      <c r="E3655" s="9" t="s">
        <v>14221</v>
      </c>
      <c r="F3655" s="9" t="s">
        <v>14222</v>
      </c>
      <c r="G3655" s="9" t="s">
        <v>12080</v>
      </c>
      <c r="H3655" s="14" t="s">
        <v>22</v>
      </c>
      <c r="I3655" s="9" t="s">
        <v>14223</v>
      </c>
      <c r="J3655" s="13"/>
      <c r="K3655" s="13"/>
    </row>
    <row r="3656" customFormat="false" ht="46.25" hidden="false" customHeight="false" outlineLevel="0" collapsed="false">
      <c r="A3656" s="9" t="n">
        <v>3655</v>
      </c>
      <c r="B3656" s="9" t="s">
        <v>172</v>
      </c>
      <c r="C3656" s="11" t="s">
        <v>201</v>
      </c>
      <c r="D3656" s="9" t="s">
        <v>14224</v>
      </c>
      <c r="E3656" s="9" t="s">
        <v>14225</v>
      </c>
      <c r="F3656" s="9" t="s">
        <v>14226</v>
      </c>
      <c r="G3656" s="9" t="s">
        <v>12080</v>
      </c>
      <c r="H3656" s="15" t="s">
        <v>23</v>
      </c>
      <c r="I3656" s="9" t="s">
        <v>14227</v>
      </c>
      <c r="J3656" s="13"/>
      <c r="K3656" s="13"/>
    </row>
    <row r="3657" customFormat="false" ht="35.05" hidden="false" customHeight="false" outlineLevel="0" collapsed="false">
      <c r="A3657" s="9" t="n">
        <v>3656</v>
      </c>
      <c r="B3657" s="9" t="s">
        <v>172</v>
      </c>
      <c r="C3657" s="11" t="s">
        <v>201</v>
      </c>
      <c r="D3657" s="9" t="s">
        <v>14228</v>
      </c>
      <c r="E3657" s="9" t="s">
        <v>14229</v>
      </c>
      <c r="F3657" s="9" t="s">
        <v>14230</v>
      </c>
      <c r="G3657" s="9" t="s">
        <v>12080</v>
      </c>
      <c r="H3657" s="15" t="s">
        <v>23</v>
      </c>
      <c r="I3657" s="9" t="s">
        <v>14231</v>
      </c>
      <c r="J3657" s="13"/>
      <c r="K3657" s="13"/>
    </row>
    <row r="3658" customFormat="false" ht="68.65" hidden="false" customHeight="false" outlineLevel="0" collapsed="false">
      <c r="A3658" s="9" t="n">
        <v>3657</v>
      </c>
      <c r="B3658" s="9" t="s">
        <v>172</v>
      </c>
      <c r="C3658" s="11" t="s">
        <v>201</v>
      </c>
      <c r="D3658" s="9" t="s">
        <v>14232</v>
      </c>
      <c r="E3658" s="9" t="s">
        <v>14233</v>
      </c>
      <c r="F3658" s="9" t="s">
        <v>14234</v>
      </c>
      <c r="G3658" s="9" t="s">
        <v>12080</v>
      </c>
      <c r="H3658" s="15" t="s">
        <v>23</v>
      </c>
      <c r="I3658" s="9" t="s">
        <v>14235</v>
      </c>
      <c r="J3658" s="13"/>
      <c r="K3658" s="13"/>
    </row>
    <row r="3659" customFormat="false" ht="57.45" hidden="false" customHeight="false" outlineLevel="0" collapsed="false">
      <c r="A3659" s="9" t="n">
        <v>3658</v>
      </c>
      <c r="B3659" s="9" t="s">
        <v>172</v>
      </c>
      <c r="C3659" s="11" t="s">
        <v>201</v>
      </c>
      <c r="D3659" s="9" t="s">
        <v>14236</v>
      </c>
      <c r="E3659" s="9" t="s">
        <v>14237</v>
      </c>
      <c r="F3659" s="9" t="s">
        <v>14238</v>
      </c>
      <c r="G3659" s="9" t="s">
        <v>1421</v>
      </c>
      <c r="H3659" s="15" t="s">
        <v>23</v>
      </c>
      <c r="I3659" s="9" t="s">
        <v>14239</v>
      </c>
      <c r="J3659" s="13"/>
      <c r="K3659" s="13"/>
    </row>
    <row r="3660" customFormat="false" ht="35.05" hidden="false" customHeight="false" outlineLevel="0" collapsed="false">
      <c r="A3660" s="9" t="n">
        <v>3659</v>
      </c>
      <c r="B3660" s="9" t="s">
        <v>172</v>
      </c>
      <c r="C3660" s="11" t="s">
        <v>201</v>
      </c>
      <c r="D3660" s="9" t="s">
        <v>14240</v>
      </c>
      <c r="E3660" s="9" t="s">
        <v>14241</v>
      </c>
      <c r="F3660" s="9" t="s">
        <v>14242</v>
      </c>
      <c r="G3660" s="9" t="s">
        <v>12080</v>
      </c>
      <c r="H3660" s="15" t="s">
        <v>23</v>
      </c>
      <c r="I3660" s="9" t="s">
        <v>14243</v>
      </c>
      <c r="J3660" s="13"/>
      <c r="K3660" s="13"/>
    </row>
    <row r="3661" customFormat="false" ht="35.05" hidden="false" customHeight="false" outlineLevel="0" collapsed="false">
      <c r="A3661" s="9" t="n">
        <v>3660</v>
      </c>
      <c r="B3661" s="9" t="s">
        <v>172</v>
      </c>
      <c r="C3661" s="11" t="s">
        <v>201</v>
      </c>
      <c r="D3661" s="9" t="s">
        <v>14244</v>
      </c>
      <c r="E3661" s="9" t="s">
        <v>14245</v>
      </c>
      <c r="F3661" s="9" t="s">
        <v>14246</v>
      </c>
      <c r="G3661" s="9" t="s">
        <v>324</v>
      </c>
      <c r="H3661" s="15" t="s">
        <v>23</v>
      </c>
      <c r="I3661" s="9" t="s">
        <v>14247</v>
      </c>
      <c r="J3661" s="13"/>
      <c r="K3661" s="13"/>
    </row>
    <row r="3662" customFormat="false" ht="57.45" hidden="false" customHeight="false" outlineLevel="0" collapsed="false">
      <c r="A3662" s="9" t="n">
        <v>3661</v>
      </c>
      <c r="B3662" s="9" t="s">
        <v>172</v>
      </c>
      <c r="C3662" s="11" t="s">
        <v>201</v>
      </c>
      <c r="D3662" s="9" t="s">
        <v>14248</v>
      </c>
      <c r="E3662" s="9" t="s">
        <v>14249</v>
      </c>
      <c r="F3662" s="9" t="s">
        <v>14250</v>
      </c>
      <c r="G3662" s="9" t="s">
        <v>14251</v>
      </c>
      <c r="H3662" s="15" t="s">
        <v>23</v>
      </c>
      <c r="I3662" s="9" t="s">
        <v>14252</v>
      </c>
      <c r="J3662" s="13"/>
      <c r="K3662" s="13"/>
    </row>
    <row r="3663" customFormat="false" ht="46.25" hidden="false" customHeight="false" outlineLevel="0" collapsed="false">
      <c r="A3663" s="9" t="n">
        <v>3662</v>
      </c>
      <c r="B3663" s="9" t="s">
        <v>172</v>
      </c>
      <c r="C3663" s="11" t="s">
        <v>201</v>
      </c>
      <c r="D3663" s="9" t="s">
        <v>14253</v>
      </c>
      <c r="E3663" s="9" t="s">
        <v>14254</v>
      </c>
      <c r="F3663" s="9" t="s">
        <v>14255</v>
      </c>
      <c r="G3663" s="9" t="s">
        <v>312</v>
      </c>
      <c r="H3663" s="15" t="s">
        <v>23</v>
      </c>
      <c r="I3663" s="9" t="s">
        <v>14256</v>
      </c>
      <c r="J3663" s="13"/>
      <c r="K3663" s="13"/>
    </row>
    <row r="3664" customFormat="false" ht="46.25" hidden="false" customHeight="false" outlineLevel="0" collapsed="false">
      <c r="A3664" s="9" t="n">
        <v>3663</v>
      </c>
      <c r="B3664" s="9" t="s">
        <v>172</v>
      </c>
      <c r="C3664" s="11" t="s">
        <v>201</v>
      </c>
      <c r="D3664" s="9" t="s">
        <v>14257</v>
      </c>
      <c r="E3664" s="9" t="s">
        <v>14258</v>
      </c>
      <c r="F3664" s="9" t="s">
        <v>14259</v>
      </c>
      <c r="G3664" s="9" t="s">
        <v>13875</v>
      </c>
      <c r="H3664" s="15" t="s">
        <v>23</v>
      </c>
      <c r="I3664" s="9" t="s">
        <v>14260</v>
      </c>
      <c r="J3664" s="13"/>
      <c r="K3664" s="13"/>
    </row>
    <row r="3665" customFormat="false" ht="35.05" hidden="false" customHeight="false" outlineLevel="0" collapsed="false">
      <c r="A3665" s="9" t="n">
        <v>3664</v>
      </c>
      <c r="B3665" s="9" t="s">
        <v>172</v>
      </c>
      <c r="C3665" s="11" t="s">
        <v>201</v>
      </c>
      <c r="D3665" s="9" t="s">
        <v>14261</v>
      </c>
      <c r="E3665" s="9" t="s">
        <v>13186</v>
      </c>
      <c r="F3665" s="9" t="s">
        <v>14262</v>
      </c>
      <c r="G3665" s="9" t="s">
        <v>24</v>
      </c>
      <c r="H3665" s="12" t="s">
        <v>21</v>
      </c>
      <c r="I3665" s="9" t="s">
        <v>13879</v>
      </c>
      <c r="J3665" s="13"/>
      <c r="K3665" s="13"/>
    </row>
    <row r="3666" customFormat="false" ht="46.25" hidden="false" customHeight="false" outlineLevel="0" collapsed="false">
      <c r="A3666" s="9" t="n">
        <v>3665</v>
      </c>
      <c r="B3666" s="9" t="s">
        <v>172</v>
      </c>
      <c r="C3666" s="11" t="s">
        <v>201</v>
      </c>
      <c r="D3666" s="9" t="s">
        <v>14263</v>
      </c>
      <c r="E3666" s="9" t="s">
        <v>14264</v>
      </c>
      <c r="F3666" s="9" t="s">
        <v>14265</v>
      </c>
      <c r="G3666" s="9" t="s">
        <v>24</v>
      </c>
      <c r="H3666" s="14" t="s">
        <v>22</v>
      </c>
      <c r="I3666" s="9" t="s">
        <v>14266</v>
      </c>
      <c r="J3666" s="13"/>
      <c r="K3666" s="13"/>
    </row>
    <row r="3667" customFormat="false" ht="23.85" hidden="false" customHeight="false" outlineLevel="0" collapsed="false">
      <c r="A3667" s="9" t="n">
        <v>3666</v>
      </c>
      <c r="B3667" s="9" t="s">
        <v>172</v>
      </c>
      <c r="C3667" s="11" t="s">
        <v>201</v>
      </c>
      <c r="D3667" s="9" t="s">
        <v>14267</v>
      </c>
      <c r="E3667" s="9" t="s">
        <v>14268</v>
      </c>
      <c r="F3667" s="9" t="s">
        <v>14269</v>
      </c>
      <c r="G3667" s="9" t="s">
        <v>24</v>
      </c>
      <c r="H3667" s="14" t="s">
        <v>22</v>
      </c>
      <c r="I3667" s="9" t="s">
        <v>13340</v>
      </c>
      <c r="J3667" s="13"/>
      <c r="K3667" s="13"/>
    </row>
    <row r="3668" customFormat="false" ht="15" hidden="false" customHeight="false" outlineLevel="0" collapsed="false">
      <c r="A3668" s="9" t="n">
        <v>3667</v>
      </c>
      <c r="B3668" s="9" t="s">
        <v>172</v>
      </c>
      <c r="C3668" s="11" t="s">
        <v>201</v>
      </c>
      <c r="D3668" s="9" t="s">
        <v>14270</v>
      </c>
      <c r="E3668" s="9" t="s">
        <v>358</v>
      </c>
      <c r="F3668" s="9" t="s">
        <v>13342</v>
      </c>
      <c r="G3668" s="9" t="s">
        <v>24</v>
      </c>
      <c r="H3668" s="14" t="s">
        <v>22</v>
      </c>
      <c r="I3668" s="9" t="s">
        <v>5550</v>
      </c>
      <c r="J3668" s="13"/>
      <c r="K3668" s="13"/>
    </row>
    <row r="3669" customFormat="false" ht="15" hidden="false" customHeight="false" outlineLevel="0" collapsed="false">
      <c r="A3669" s="9" t="n">
        <v>3668</v>
      </c>
      <c r="B3669" s="9" t="s">
        <v>172</v>
      </c>
      <c r="C3669" s="11" t="s">
        <v>201</v>
      </c>
      <c r="D3669" s="9" t="s">
        <v>14271</v>
      </c>
      <c r="E3669" s="9" t="s">
        <v>362</v>
      </c>
      <c r="F3669" s="9" t="s">
        <v>363</v>
      </c>
      <c r="G3669" s="9" t="s">
        <v>24</v>
      </c>
      <c r="H3669" s="14" t="s">
        <v>22</v>
      </c>
      <c r="I3669" s="9" t="s">
        <v>364</v>
      </c>
      <c r="J3669" s="13"/>
      <c r="K3669" s="13"/>
    </row>
    <row r="3670" customFormat="false" ht="35.05" hidden="false" customHeight="false" outlineLevel="0" collapsed="false">
      <c r="A3670" s="9" t="n">
        <v>3669</v>
      </c>
      <c r="B3670" s="9" t="s">
        <v>172</v>
      </c>
      <c r="C3670" s="11" t="s">
        <v>201</v>
      </c>
      <c r="D3670" s="9" t="s">
        <v>14272</v>
      </c>
      <c r="E3670" s="9" t="s">
        <v>14273</v>
      </c>
      <c r="F3670" s="9" t="s">
        <v>14274</v>
      </c>
      <c r="G3670" s="9" t="s">
        <v>24</v>
      </c>
      <c r="H3670" s="15" t="s">
        <v>23</v>
      </c>
      <c r="I3670" s="9" t="s">
        <v>14275</v>
      </c>
      <c r="J3670" s="13"/>
      <c r="K3670" s="13"/>
    </row>
    <row r="3671" customFormat="false" ht="23.85" hidden="false" customHeight="false" outlineLevel="0" collapsed="false">
      <c r="A3671" s="9" t="n">
        <v>3670</v>
      </c>
      <c r="B3671" s="9" t="s">
        <v>172</v>
      </c>
      <c r="C3671" s="11" t="s">
        <v>201</v>
      </c>
      <c r="D3671" s="9" t="s">
        <v>14276</v>
      </c>
      <c r="E3671" s="9" t="s">
        <v>14277</v>
      </c>
      <c r="F3671" s="9" t="s">
        <v>14278</v>
      </c>
      <c r="G3671" s="9" t="s">
        <v>24</v>
      </c>
      <c r="H3671" s="15" t="s">
        <v>23</v>
      </c>
      <c r="I3671" s="9" t="s">
        <v>434</v>
      </c>
      <c r="J3671" s="13"/>
      <c r="K3671" s="13"/>
    </row>
    <row r="3672" customFormat="false" ht="23.85" hidden="false" customHeight="false" outlineLevel="0" collapsed="false">
      <c r="A3672" s="9" t="n">
        <v>3671</v>
      </c>
      <c r="B3672" s="9" t="s">
        <v>172</v>
      </c>
      <c r="C3672" s="11" t="s">
        <v>201</v>
      </c>
      <c r="D3672" s="9" t="s">
        <v>14279</v>
      </c>
      <c r="E3672" s="9" t="s">
        <v>14280</v>
      </c>
      <c r="F3672" s="9" t="s">
        <v>14281</v>
      </c>
      <c r="G3672" s="9" t="s">
        <v>24</v>
      </c>
      <c r="H3672" s="15" t="s">
        <v>23</v>
      </c>
      <c r="I3672" s="9" t="s">
        <v>13621</v>
      </c>
      <c r="J3672" s="13"/>
      <c r="K3672" s="13"/>
    </row>
    <row r="3673" customFormat="false" ht="15" hidden="false" customHeight="false" outlineLevel="0" collapsed="false">
      <c r="A3673" s="9" t="n">
        <v>3672</v>
      </c>
      <c r="B3673" s="9" t="s">
        <v>172</v>
      </c>
      <c r="C3673" s="11" t="s">
        <v>201</v>
      </c>
      <c r="D3673" s="9" t="s">
        <v>14282</v>
      </c>
      <c r="E3673" s="9" t="s">
        <v>14283</v>
      </c>
      <c r="F3673" s="9" t="s">
        <v>14284</v>
      </c>
      <c r="G3673" s="9" t="s">
        <v>24</v>
      </c>
      <c r="H3673" s="15" t="s">
        <v>23</v>
      </c>
      <c r="I3673" s="9" t="s">
        <v>810</v>
      </c>
      <c r="J3673" s="13"/>
      <c r="K3673" s="13"/>
    </row>
    <row r="3674" customFormat="false" ht="15" hidden="false" customHeight="false" outlineLevel="0" collapsed="false">
      <c r="A3674" s="9" t="n">
        <v>3673</v>
      </c>
      <c r="B3674" s="9" t="s">
        <v>172</v>
      </c>
      <c r="C3674" s="11" t="s">
        <v>201</v>
      </c>
      <c r="D3674" s="9" t="s">
        <v>14285</v>
      </c>
      <c r="E3674" s="9" t="s">
        <v>9749</v>
      </c>
      <c r="F3674" s="9" t="s">
        <v>13758</v>
      </c>
      <c r="G3674" s="9" t="s">
        <v>24</v>
      </c>
      <c r="H3674" s="15" t="s">
        <v>23</v>
      </c>
      <c r="I3674" s="9" t="s">
        <v>13496</v>
      </c>
      <c r="J3674" s="13"/>
      <c r="K3674" s="13"/>
    </row>
    <row r="3675" customFormat="false" ht="124.6" hidden="false" customHeight="false" outlineLevel="0" collapsed="false">
      <c r="A3675" s="9" t="n">
        <v>3674</v>
      </c>
      <c r="B3675" s="9" t="s">
        <v>172</v>
      </c>
      <c r="C3675" s="11" t="s">
        <v>203</v>
      </c>
      <c r="D3675" s="9" t="s">
        <v>14286</v>
      </c>
      <c r="E3675" s="9" t="s">
        <v>14287</v>
      </c>
      <c r="F3675" s="9" t="s">
        <v>14288</v>
      </c>
      <c r="G3675" s="9" t="s">
        <v>14289</v>
      </c>
      <c r="H3675" s="12" t="s">
        <v>21</v>
      </c>
      <c r="I3675" s="9" t="s">
        <v>14290</v>
      </c>
      <c r="J3675" s="13"/>
      <c r="K3675" s="13"/>
    </row>
    <row r="3676" customFormat="false" ht="113.4" hidden="false" customHeight="false" outlineLevel="0" collapsed="false">
      <c r="A3676" s="9" t="n">
        <v>3675</v>
      </c>
      <c r="B3676" s="9" t="s">
        <v>172</v>
      </c>
      <c r="C3676" s="11" t="s">
        <v>203</v>
      </c>
      <c r="D3676" s="9" t="s">
        <v>14291</v>
      </c>
      <c r="E3676" s="9" t="s">
        <v>14292</v>
      </c>
      <c r="F3676" s="9" t="s">
        <v>14293</v>
      </c>
      <c r="G3676" s="9" t="s">
        <v>1852</v>
      </c>
      <c r="H3676" s="12" t="s">
        <v>21</v>
      </c>
      <c r="I3676" s="9" t="s">
        <v>14294</v>
      </c>
      <c r="J3676" s="13"/>
      <c r="K3676" s="13"/>
    </row>
    <row r="3677" customFormat="false" ht="113.4" hidden="false" customHeight="false" outlineLevel="0" collapsed="false">
      <c r="A3677" s="9" t="n">
        <v>3676</v>
      </c>
      <c r="B3677" s="9" t="s">
        <v>172</v>
      </c>
      <c r="C3677" s="11" t="s">
        <v>203</v>
      </c>
      <c r="D3677" s="9" t="s">
        <v>14295</v>
      </c>
      <c r="E3677" s="9" t="s">
        <v>14296</v>
      </c>
      <c r="F3677" s="9" t="s">
        <v>14297</v>
      </c>
      <c r="G3677" s="9" t="s">
        <v>1852</v>
      </c>
      <c r="H3677" s="12" t="s">
        <v>21</v>
      </c>
      <c r="I3677" s="9" t="s">
        <v>14298</v>
      </c>
      <c r="J3677" s="13"/>
      <c r="K3677" s="13"/>
    </row>
    <row r="3678" customFormat="false" ht="169.4" hidden="false" customHeight="false" outlineLevel="0" collapsed="false">
      <c r="A3678" s="9" t="n">
        <v>3677</v>
      </c>
      <c r="B3678" s="9" t="s">
        <v>172</v>
      </c>
      <c r="C3678" s="11" t="s">
        <v>203</v>
      </c>
      <c r="D3678" s="9" t="s">
        <v>14299</v>
      </c>
      <c r="E3678" s="9" t="s">
        <v>14300</v>
      </c>
      <c r="F3678" s="9" t="s">
        <v>14301</v>
      </c>
      <c r="G3678" s="9" t="s">
        <v>14302</v>
      </c>
      <c r="H3678" s="12" t="s">
        <v>21</v>
      </c>
      <c r="I3678" s="9" t="s">
        <v>14303</v>
      </c>
      <c r="J3678" s="13"/>
      <c r="K3678" s="13"/>
    </row>
    <row r="3679" customFormat="false" ht="68.65" hidden="false" customHeight="false" outlineLevel="0" collapsed="false">
      <c r="A3679" s="9" t="n">
        <v>3678</v>
      </c>
      <c r="B3679" s="9" t="s">
        <v>172</v>
      </c>
      <c r="C3679" s="11" t="s">
        <v>203</v>
      </c>
      <c r="D3679" s="9" t="s">
        <v>14304</v>
      </c>
      <c r="E3679" s="9" t="s">
        <v>14305</v>
      </c>
      <c r="F3679" s="9" t="s">
        <v>14306</v>
      </c>
      <c r="G3679" s="9" t="s">
        <v>14307</v>
      </c>
      <c r="H3679" s="14" t="s">
        <v>22</v>
      </c>
      <c r="I3679" s="9" t="s">
        <v>14308</v>
      </c>
      <c r="J3679" s="13"/>
      <c r="K3679" s="13"/>
    </row>
    <row r="3680" customFormat="false" ht="79.85" hidden="false" customHeight="false" outlineLevel="0" collapsed="false">
      <c r="A3680" s="9" t="n">
        <v>3679</v>
      </c>
      <c r="B3680" s="9" t="s">
        <v>172</v>
      </c>
      <c r="C3680" s="11" t="s">
        <v>203</v>
      </c>
      <c r="D3680" s="9" t="s">
        <v>14309</v>
      </c>
      <c r="E3680" s="9" t="s">
        <v>14310</v>
      </c>
      <c r="F3680" s="9" t="s">
        <v>14311</v>
      </c>
      <c r="G3680" s="9" t="s">
        <v>13588</v>
      </c>
      <c r="H3680" s="14" t="s">
        <v>22</v>
      </c>
      <c r="I3680" s="9" t="s">
        <v>14312</v>
      </c>
      <c r="J3680" s="13"/>
      <c r="K3680" s="13"/>
    </row>
    <row r="3681" customFormat="false" ht="23.85" hidden="false" customHeight="false" outlineLevel="0" collapsed="false">
      <c r="A3681" s="9" t="n">
        <v>3680</v>
      </c>
      <c r="B3681" s="9" t="s">
        <v>172</v>
      </c>
      <c r="C3681" s="11" t="s">
        <v>203</v>
      </c>
      <c r="D3681" s="9" t="s">
        <v>14313</v>
      </c>
      <c r="E3681" s="9" t="s">
        <v>14314</v>
      </c>
      <c r="F3681" s="9" t="s">
        <v>14315</v>
      </c>
      <c r="G3681" s="9" t="s">
        <v>12080</v>
      </c>
      <c r="H3681" s="14" t="s">
        <v>22</v>
      </c>
      <c r="I3681" s="9" t="s">
        <v>14316</v>
      </c>
      <c r="J3681" s="13"/>
      <c r="K3681" s="13"/>
    </row>
    <row r="3682" customFormat="false" ht="91" hidden="false" customHeight="false" outlineLevel="0" collapsed="false">
      <c r="A3682" s="9" t="n">
        <v>3681</v>
      </c>
      <c r="B3682" s="9" t="s">
        <v>172</v>
      </c>
      <c r="C3682" s="11" t="s">
        <v>203</v>
      </c>
      <c r="D3682" s="9" t="s">
        <v>14317</v>
      </c>
      <c r="E3682" s="9" t="s">
        <v>14318</v>
      </c>
      <c r="F3682" s="9" t="s">
        <v>14319</v>
      </c>
      <c r="G3682" s="9" t="s">
        <v>4146</v>
      </c>
      <c r="H3682" s="14" t="s">
        <v>22</v>
      </c>
      <c r="I3682" s="9" t="s">
        <v>14320</v>
      </c>
      <c r="J3682" s="13"/>
      <c r="K3682" s="13"/>
    </row>
    <row r="3683" customFormat="false" ht="46.25" hidden="false" customHeight="false" outlineLevel="0" collapsed="false">
      <c r="A3683" s="9" t="n">
        <v>3682</v>
      </c>
      <c r="B3683" s="9" t="s">
        <v>172</v>
      </c>
      <c r="C3683" s="11" t="s">
        <v>203</v>
      </c>
      <c r="D3683" s="9" t="s">
        <v>14321</v>
      </c>
      <c r="E3683" s="9" t="s">
        <v>14322</v>
      </c>
      <c r="F3683" s="9" t="s">
        <v>14323</v>
      </c>
      <c r="G3683" s="9" t="s">
        <v>14324</v>
      </c>
      <c r="H3683" s="14" t="s">
        <v>22</v>
      </c>
      <c r="I3683" s="9" t="s">
        <v>14325</v>
      </c>
      <c r="J3683" s="13"/>
      <c r="K3683" s="13"/>
    </row>
    <row r="3684" customFormat="false" ht="79.85" hidden="false" customHeight="false" outlineLevel="0" collapsed="false">
      <c r="A3684" s="9" t="n">
        <v>3683</v>
      </c>
      <c r="B3684" s="9" t="s">
        <v>172</v>
      </c>
      <c r="C3684" s="11" t="s">
        <v>203</v>
      </c>
      <c r="D3684" s="9" t="s">
        <v>14326</v>
      </c>
      <c r="E3684" s="9" t="s">
        <v>14327</v>
      </c>
      <c r="F3684" s="9" t="s">
        <v>14328</v>
      </c>
      <c r="G3684" s="9" t="s">
        <v>14329</v>
      </c>
      <c r="H3684" s="14" t="s">
        <v>22</v>
      </c>
      <c r="I3684" s="9" t="s">
        <v>14330</v>
      </c>
      <c r="J3684" s="13"/>
      <c r="K3684" s="13"/>
    </row>
    <row r="3685" customFormat="false" ht="35.05" hidden="false" customHeight="false" outlineLevel="0" collapsed="false">
      <c r="A3685" s="9" t="n">
        <v>3684</v>
      </c>
      <c r="B3685" s="9" t="s">
        <v>172</v>
      </c>
      <c r="C3685" s="11" t="s">
        <v>203</v>
      </c>
      <c r="D3685" s="9" t="s">
        <v>14331</v>
      </c>
      <c r="E3685" s="9" t="s">
        <v>14332</v>
      </c>
      <c r="F3685" s="9" t="s">
        <v>14333</v>
      </c>
      <c r="G3685" s="9" t="s">
        <v>312</v>
      </c>
      <c r="H3685" s="15" t="s">
        <v>23</v>
      </c>
      <c r="I3685" s="9" t="s">
        <v>14334</v>
      </c>
      <c r="J3685" s="13"/>
      <c r="K3685" s="13"/>
    </row>
    <row r="3686" customFormat="false" ht="23.85" hidden="false" customHeight="false" outlineLevel="0" collapsed="false">
      <c r="A3686" s="9" t="n">
        <v>3685</v>
      </c>
      <c r="B3686" s="9" t="s">
        <v>172</v>
      </c>
      <c r="C3686" s="11" t="s">
        <v>203</v>
      </c>
      <c r="D3686" s="9" t="s">
        <v>14335</v>
      </c>
      <c r="E3686" s="9" t="s">
        <v>14336</v>
      </c>
      <c r="F3686" s="9" t="s">
        <v>14337</v>
      </c>
      <c r="G3686" s="9" t="s">
        <v>328</v>
      </c>
      <c r="H3686" s="15" t="s">
        <v>23</v>
      </c>
      <c r="I3686" s="9" t="s">
        <v>14338</v>
      </c>
      <c r="J3686" s="13"/>
      <c r="K3686" s="13"/>
    </row>
    <row r="3687" customFormat="false" ht="46.25" hidden="false" customHeight="false" outlineLevel="0" collapsed="false">
      <c r="A3687" s="9" t="n">
        <v>3686</v>
      </c>
      <c r="B3687" s="9" t="s">
        <v>172</v>
      </c>
      <c r="C3687" s="11" t="s">
        <v>203</v>
      </c>
      <c r="D3687" s="9" t="s">
        <v>14339</v>
      </c>
      <c r="E3687" s="9" t="s">
        <v>14340</v>
      </c>
      <c r="F3687" s="9" t="s">
        <v>14341</v>
      </c>
      <c r="G3687" s="9" t="s">
        <v>312</v>
      </c>
      <c r="H3687" s="15" t="s">
        <v>23</v>
      </c>
      <c r="I3687" s="9" t="s">
        <v>14342</v>
      </c>
      <c r="J3687" s="13"/>
      <c r="K3687" s="13"/>
    </row>
    <row r="3688" customFormat="false" ht="35.05" hidden="false" customHeight="false" outlineLevel="0" collapsed="false">
      <c r="A3688" s="9" t="n">
        <v>3687</v>
      </c>
      <c r="B3688" s="9" t="s">
        <v>172</v>
      </c>
      <c r="C3688" s="11" t="s">
        <v>203</v>
      </c>
      <c r="D3688" s="9" t="s">
        <v>14343</v>
      </c>
      <c r="E3688" s="9" t="s">
        <v>14344</v>
      </c>
      <c r="F3688" s="9" t="s">
        <v>14345</v>
      </c>
      <c r="G3688" s="9" t="s">
        <v>312</v>
      </c>
      <c r="H3688" s="15" t="s">
        <v>23</v>
      </c>
      <c r="I3688" s="9" t="s">
        <v>14346</v>
      </c>
      <c r="J3688" s="13"/>
      <c r="K3688" s="13"/>
    </row>
    <row r="3689" customFormat="false" ht="23.85" hidden="false" customHeight="false" outlineLevel="0" collapsed="false">
      <c r="A3689" s="9" t="n">
        <v>3688</v>
      </c>
      <c r="B3689" s="9" t="s">
        <v>172</v>
      </c>
      <c r="C3689" s="11" t="s">
        <v>203</v>
      </c>
      <c r="D3689" s="9" t="s">
        <v>14347</v>
      </c>
      <c r="E3689" s="9" t="s">
        <v>14348</v>
      </c>
      <c r="F3689" s="9" t="s">
        <v>14349</v>
      </c>
      <c r="G3689" s="9" t="s">
        <v>324</v>
      </c>
      <c r="H3689" s="15" t="s">
        <v>23</v>
      </c>
      <c r="I3689" s="9" t="s">
        <v>14350</v>
      </c>
      <c r="J3689" s="13"/>
      <c r="K3689" s="13"/>
    </row>
    <row r="3690" customFormat="false" ht="57.45" hidden="false" customHeight="false" outlineLevel="0" collapsed="false">
      <c r="A3690" s="9" t="n">
        <v>3689</v>
      </c>
      <c r="B3690" s="9" t="s">
        <v>172</v>
      </c>
      <c r="C3690" s="11" t="s">
        <v>203</v>
      </c>
      <c r="D3690" s="9" t="s">
        <v>14351</v>
      </c>
      <c r="E3690" s="9" t="s">
        <v>14352</v>
      </c>
      <c r="F3690" s="9" t="s">
        <v>14353</v>
      </c>
      <c r="G3690" s="9" t="s">
        <v>317</v>
      </c>
      <c r="H3690" s="15" t="s">
        <v>23</v>
      </c>
      <c r="I3690" s="9" t="s">
        <v>14354</v>
      </c>
      <c r="J3690" s="13"/>
      <c r="K3690" s="13"/>
    </row>
    <row r="3691" customFormat="false" ht="35.05" hidden="false" customHeight="false" outlineLevel="0" collapsed="false">
      <c r="A3691" s="9" t="n">
        <v>3690</v>
      </c>
      <c r="B3691" s="9" t="s">
        <v>172</v>
      </c>
      <c r="C3691" s="11" t="s">
        <v>203</v>
      </c>
      <c r="D3691" s="9" t="s">
        <v>14355</v>
      </c>
      <c r="E3691" s="9" t="s">
        <v>14356</v>
      </c>
      <c r="F3691" s="9" t="s">
        <v>14357</v>
      </c>
      <c r="G3691" s="9" t="s">
        <v>1421</v>
      </c>
      <c r="H3691" s="15" t="s">
        <v>23</v>
      </c>
      <c r="I3691" s="9" t="s">
        <v>14358</v>
      </c>
      <c r="J3691" s="13"/>
      <c r="K3691" s="13"/>
    </row>
    <row r="3692" customFormat="false" ht="23.85" hidden="false" customHeight="false" outlineLevel="0" collapsed="false">
      <c r="A3692" s="9" t="n">
        <v>3691</v>
      </c>
      <c r="B3692" s="9" t="s">
        <v>172</v>
      </c>
      <c r="C3692" s="11" t="s">
        <v>203</v>
      </c>
      <c r="D3692" s="9" t="s">
        <v>14359</v>
      </c>
      <c r="E3692" s="9" t="s">
        <v>14360</v>
      </c>
      <c r="F3692" s="9" t="s">
        <v>14361</v>
      </c>
      <c r="G3692" s="9" t="s">
        <v>24</v>
      </c>
      <c r="H3692" s="14" t="s">
        <v>22</v>
      </c>
      <c r="I3692" s="9" t="s">
        <v>14362</v>
      </c>
      <c r="J3692" s="13"/>
      <c r="K3692" s="13"/>
    </row>
    <row r="3693" customFormat="false" ht="23.85" hidden="false" customHeight="false" outlineLevel="0" collapsed="false">
      <c r="A3693" s="9" t="n">
        <v>3692</v>
      </c>
      <c r="B3693" s="9" t="s">
        <v>172</v>
      </c>
      <c r="C3693" s="11" t="s">
        <v>203</v>
      </c>
      <c r="D3693" s="9" t="s">
        <v>14363</v>
      </c>
      <c r="E3693" s="9" t="s">
        <v>14364</v>
      </c>
      <c r="F3693" s="9" t="s">
        <v>14365</v>
      </c>
      <c r="G3693" s="9" t="s">
        <v>24</v>
      </c>
      <c r="H3693" s="14" t="s">
        <v>22</v>
      </c>
      <c r="I3693" s="9" t="s">
        <v>13340</v>
      </c>
      <c r="J3693" s="13"/>
      <c r="K3693" s="13"/>
    </row>
    <row r="3694" customFormat="false" ht="15" hidden="false" customHeight="false" outlineLevel="0" collapsed="false">
      <c r="A3694" s="9" t="n">
        <v>3693</v>
      </c>
      <c r="B3694" s="9" t="s">
        <v>172</v>
      </c>
      <c r="C3694" s="11" t="s">
        <v>203</v>
      </c>
      <c r="D3694" s="9" t="s">
        <v>14366</v>
      </c>
      <c r="E3694" s="9" t="s">
        <v>358</v>
      </c>
      <c r="F3694" s="9" t="s">
        <v>13342</v>
      </c>
      <c r="G3694" s="9" t="s">
        <v>24</v>
      </c>
      <c r="H3694" s="14" t="s">
        <v>22</v>
      </c>
      <c r="I3694" s="9" t="s">
        <v>5550</v>
      </c>
      <c r="J3694" s="13"/>
      <c r="K3694" s="13"/>
    </row>
    <row r="3695" customFormat="false" ht="15" hidden="false" customHeight="false" outlineLevel="0" collapsed="false">
      <c r="A3695" s="9" t="n">
        <v>3694</v>
      </c>
      <c r="B3695" s="9" t="s">
        <v>172</v>
      </c>
      <c r="C3695" s="11" t="s">
        <v>203</v>
      </c>
      <c r="D3695" s="9" t="s">
        <v>14367</v>
      </c>
      <c r="E3695" s="9" t="s">
        <v>362</v>
      </c>
      <c r="F3695" s="9" t="s">
        <v>363</v>
      </c>
      <c r="G3695" s="9" t="s">
        <v>24</v>
      </c>
      <c r="H3695" s="14" t="s">
        <v>22</v>
      </c>
      <c r="I3695" s="9" t="s">
        <v>364</v>
      </c>
      <c r="J3695" s="13"/>
      <c r="K3695" s="13"/>
    </row>
    <row r="3696" customFormat="false" ht="23.85" hidden="false" customHeight="false" outlineLevel="0" collapsed="false">
      <c r="A3696" s="9" t="n">
        <v>3695</v>
      </c>
      <c r="B3696" s="9" t="s">
        <v>172</v>
      </c>
      <c r="C3696" s="11" t="s">
        <v>203</v>
      </c>
      <c r="D3696" s="9" t="s">
        <v>14368</v>
      </c>
      <c r="E3696" s="9" t="s">
        <v>14369</v>
      </c>
      <c r="F3696" s="9" t="s">
        <v>14370</v>
      </c>
      <c r="G3696" s="9" t="s">
        <v>24</v>
      </c>
      <c r="H3696" s="15" t="s">
        <v>23</v>
      </c>
      <c r="I3696" s="9" t="s">
        <v>14371</v>
      </c>
      <c r="J3696" s="13"/>
      <c r="K3696" s="13"/>
    </row>
    <row r="3697" customFormat="false" ht="15" hidden="false" customHeight="false" outlineLevel="0" collapsed="false">
      <c r="A3697" s="9" t="n">
        <v>3696</v>
      </c>
      <c r="B3697" s="9" t="s">
        <v>172</v>
      </c>
      <c r="C3697" s="11" t="s">
        <v>203</v>
      </c>
      <c r="D3697" s="9" t="s">
        <v>14372</v>
      </c>
      <c r="E3697" s="9" t="s">
        <v>14373</v>
      </c>
      <c r="F3697" s="9" t="s">
        <v>14374</v>
      </c>
      <c r="G3697" s="9" t="s">
        <v>24</v>
      </c>
      <c r="H3697" s="15" t="s">
        <v>23</v>
      </c>
      <c r="I3697" s="9" t="s">
        <v>434</v>
      </c>
      <c r="J3697" s="13"/>
      <c r="K3697" s="13"/>
    </row>
    <row r="3698" customFormat="false" ht="46.25" hidden="false" customHeight="false" outlineLevel="0" collapsed="false">
      <c r="A3698" s="9" t="n">
        <v>3697</v>
      </c>
      <c r="B3698" s="9" t="s">
        <v>172</v>
      </c>
      <c r="C3698" s="11" t="s">
        <v>203</v>
      </c>
      <c r="D3698" s="9" t="s">
        <v>14375</v>
      </c>
      <c r="E3698" s="9" t="s">
        <v>14376</v>
      </c>
      <c r="F3698" s="9" t="s">
        <v>14377</v>
      </c>
      <c r="G3698" s="9" t="s">
        <v>24</v>
      </c>
      <c r="H3698" s="15" t="s">
        <v>23</v>
      </c>
      <c r="I3698" s="9" t="s">
        <v>14378</v>
      </c>
      <c r="J3698" s="13"/>
      <c r="K3698" s="13"/>
    </row>
    <row r="3699" customFormat="false" ht="23.85" hidden="false" customHeight="false" outlineLevel="0" collapsed="false">
      <c r="A3699" s="9" t="n">
        <v>3698</v>
      </c>
      <c r="B3699" s="9" t="s">
        <v>172</v>
      </c>
      <c r="C3699" s="11" t="s">
        <v>203</v>
      </c>
      <c r="D3699" s="9" t="s">
        <v>14379</v>
      </c>
      <c r="E3699" s="9" t="s">
        <v>14044</v>
      </c>
      <c r="F3699" s="9" t="s">
        <v>14380</v>
      </c>
      <c r="G3699" s="9" t="s">
        <v>24</v>
      </c>
      <c r="H3699" s="15" t="s">
        <v>23</v>
      </c>
      <c r="I3699" s="9" t="s">
        <v>1007</v>
      </c>
      <c r="J3699" s="13"/>
      <c r="K3699" s="13"/>
    </row>
    <row r="3700" customFormat="false" ht="23.85" hidden="false" customHeight="false" outlineLevel="0" collapsed="false">
      <c r="A3700" s="9" t="n">
        <v>3699</v>
      </c>
      <c r="B3700" s="9" t="s">
        <v>172</v>
      </c>
      <c r="C3700" s="11" t="s">
        <v>203</v>
      </c>
      <c r="D3700" s="9" t="s">
        <v>14381</v>
      </c>
      <c r="E3700" s="9" t="s">
        <v>14382</v>
      </c>
      <c r="F3700" s="9" t="s">
        <v>14383</v>
      </c>
      <c r="G3700" s="9" t="s">
        <v>24</v>
      </c>
      <c r="H3700" s="15" t="s">
        <v>23</v>
      </c>
      <c r="I3700" s="9" t="s">
        <v>14384</v>
      </c>
      <c r="J3700" s="13"/>
      <c r="K3700" s="13"/>
    </row>
    <row r="3701" customFormat="false" ht="23.85" hidden="false" customHeight="false" outlineLevel="0" collapsed="false">
      <c r="A3701" s="9" t="n">
        <v>3700</v>
      </c>
      <c r="B3701" s="9" t="s">
        <v>172</v>
      </c>
      <c r="C3701" s="11" t="s">
        <v>203</v>
      </c>
      <c r="D3701" s="9" t="s">
        <v>14385</v>
      </c>
      <c r="E3701" s="9" t="s">
        <v>14386</v>
      </c>
      <c r="F3701" s="9" t="s">
        <v>14387</v>
      </c>
      <c r="G3701" s="9" t="s">
        <v>24</v>
      </c>
      <c r="H3701" s="15" t="s">
        <v>23</v>
      </c>
      <c r="I3701" s="9" t="s">
        <v>14388</v>
      </c>
      <c r="J3701" s="13"/>
      <c r="K3701" s="13"/>
    </row>
    <row r="3702" customFormat="false" ht="15" hidden="false" customHeight="false" outlineLevel="0" collapsed="false">
      <c r="A3702" s="9" t="n">
        <v>3701</v>
      </c>
      <c r="B3702" s="9" t="s">
        <v>172</v>
      </c>
      <c r="C3702" s="11" t="s">
        <v>203</v>
      </c>
      <c r="D3702" s="9" t="s">
        <v>14389</v>
      </c>
      <c r="E3702" s="9" t="s">
        <v>14390</v>
      </c>
      <c r="F3702" s="9" t="s">
        <v>14391</v>
      </c>
      <c r="G3702" s="9" t="s">
        <v>24</v>
      </c>
      <c r="H3702" s="15" t="s">
        <v>23</v>
      </c>
      <c r="I3702" s="9" t="s">
        <v>810</v>
      </c>
      <c r="J3702" s="13"/>
      <c r="K3702" s="13"/>
    </row>
    <row r="3703" customFormat="false" ht="15" hidden="false" customHeight="false" outlineLevel="0" collapsed="false">
      <c r="A3703" s="9" t="n">
        <v>3702</v>
      </c>
      <c r="B3703" s="9" t="s">
        <v>172</v>
      </c>
      <c r="C3703" s="11" t="s">
        <v>203</v>
      </c>
      <c r="D3703" s="9" t="s">
        <v>14392</v>
      </c>
      <c r="E3703" s="9" t="s">
        <v>9749</v>
      </c>
      <c r="F3703" s="9" t="s">
        <v>13758</v>
      </c>
      <c r="G3703" s="9" t="s">
        <v>24</v>
      </c>
      <c r="H3703" s="15" t="s">
        <v>23</v>
      </c>
      <c r="I3703" s="9" t="s">
        <v>13496</v>
      </c>
      <c r="J3703" s="13"/>
      <c r="K3703" s="13"/>
    </row>
    <row r="3704" customFormat="false" ht="57.45" hidden="false" customHeight="false" outlineLevel="0" collapsed="false">
      <c r="A3704" s="9" t="n">
        <v>3703</v>
      </c>
      <c r="B3704" s="9" t="s">
        <v>172</v>
      </c>
      <c r="C3704" s="11" t="s">
        <v>205</v>
      </c>
      <c r="D3704" s="9" t="s">
        <v>14393</v>
      </c>
      <c r="E3704" s="9" t="s">
        <v>14394</v>
      </c>
      <c r="F3704" s="9" t="s">
        <v>14395</v>
      </c>
      <c r="G3704" s="9" t="s">
        <v>14176</v>
      </c>
      <c r="H3704" s="12" t="s">
        <v>21</v>
      </c>
      <c r="I3704" s="9" t="s">
        <v>14396</v>
      </c>
      <c r="J3704" s="13"/>
      <c r="K3704" s="13"/>
    </row>
    <row r="3705" customFormat="false" ht="23.85" hidden="false" customHeight="false" outlineLevel="0" collapsed="false">
      <c r="A3705" s="9" t="n">
        <v>3704</v>
      </c>
      <c r="B3705" s="9" t="s">
        <v>172</v>
      </c>
      <c r="C3705" s="11" t="s">
        <v>205</v>
      </c>
      <c r="D3705" s="9" t="s">
        <v>14397</v>
      </c>
      <c r="E3705" s="9" t="s">
        <v>14398</v>
      </c>
      <c r="F3705" s="9" t="s">
        <v>14399</v>
      </c>
      <c r="G3705" s="9" t="s">
        <v>14176</v>
      </c>
      <c r="H3705" s="12" t="s">
        <v>21</v>
      </c>
      <c r="I3705" s="9" t="s">
        <v>14400</v>
      </c>
      <c r="J3705" s="13"/>
      <c r="K3705" s="13"/>
    </row>
    <row r="3706" customFormat="false" ht="102.2" hidden="false" customHeight="false" outlineLevel="0" collapsed="false">
      <c r="A3706" s="9" t="n">
        <v>3705</v>
      </c>
      <c r="B3706" s="9" t="s">
        <v>172</v>
      </c>
      <c r="C3706" s="11" t="s">
        <v>205</v>
      </c>
      <c r="D3706" s="9" t="s">
        <v>14401</v>
      </c>
      <c r="E3706" s="9" t="s">
        <v>14402</v>
      </c>
      <c r="F3706" s="9" t="s">
        <v>14403</v>
      </c>
      <c r="G3706" s="9" t="s">
        <v>1072</v>
      </c>
      <c r="H3706" s="12" t="s">
        <v>21</v>
      </c>
      <c r="I3706" s="9" t="s">
        <v>14404</v>
      </c>
      <c r="J3706" s="13"/>
      <c r="K3706" s="13"/>
    </row>
    <row r="3707" customFormat="false" ht="46.25" hidden="false" customHeight="false" outlineLevel="0" collapsed="false">
      <c r="A3707" s="9" t="n">
        <v>3706</v>
      </c>
      <c r="B3707" s="9" t="s">
        <v>172</v>
      </c>
      <c r="C3707" s="11" t="s">
        <v>205</v>
      </c>
      <c r="D3707" s="9" t="s">
        <v>14405</v>
      </c>
      <c r="E3707" s="9" t="s">
        <v>14406</v>
      </c>
      <c r="F3707" s="9" t="s">
        <v>14407</v>
      </c>
      <c r="G3707" s="9" t="s">
        <v>312</v>
      </c>
      <c r="H3707" s="14" t="s">
        <v>22</v>
      </c>
      <c r="I3707" s="9" t="s">
        <v>14408</v>
      </c>
      <c r="J3707" s="13"/>
      <c r="K3707" s="13"/>
    </row>
    <row r="3708" customFormat="false" ht="68.65" hidden="false" customHeight="false" outlineLevel="0" collapsed="false">
      <c r="A3708" s="9" t="n">
        <v>3707</v>
      </c>
      <c r="B3708" s="9" t="s">
        <v>172</v>
      </c>
      <c r="C3708" s="11" t="s">
        <v>205</v>
      </c>
      <c r="D3708" s="9" t="s">
        <v>14409</v>
      </c>
      <c r="E3708" s="9" t="s">
        <v>14410</v>
      </c>
      <c r="F3708" s="9" t="s">
        <v>14411</v>
      </c>
      <c r="G3708" s="9" t="s">
        <v>1072</v>
      </c>
      <c r="H3708" s="12" t="s">
        <v>21</v>
      </c>
      <c r="I3708" s="9" t="s">
        <v>14412</v>
      </c>
      <c r="J3708" s="13"/>
      <c r="K3708" s="13"/>
    </row>
    <row r="3709" customFormat="false" ht="46.25" hidden="false" customHeight="false" outlineLevel="0" collapsed="false">
      <c r="A3709" s="9" t="n">
        <v>3708</v>
      </c>
      <c r="B3709" s="9" t="s">
        <v>172</v>
      </c>
      <c r="C3709" s="11" t="s">
        <v>205</v>
      </c>
      <c r="D3709" s="9" t="s">
        <v>14413</v>
      </c>
      <c r="E3709" s="9" t="s">
        <v>14414</v>
      </c>
      <c r="F3709" s="9" t="s">
        <v>14415</v>
      </c>
      <c r="G3709" s="9" t="s">
        <v>14416</v>
      </c>
      <c r="H3709" s="14" t="s">
        <v>22</v>
      </c>
      <c r="I3709" s="9" t="s">
        <v>14417</v>
      </c>
      <c r="J3709" s="13"/>
      <c r="K3709" s="13"/>
    </row>
    <row r="3710" customFormat="false" ht="57.45" hidden="false" customHeight="false" outlineLevel="0" collapsed="false">
      <c r="A3710" s="9" t="n">
        <v>3709</v>
      </c>
      <c r="B3710" s="9" t="s">
        <v>172</v>
      </c>
      <c r="C3710" s="11" t="s">
        <v>205</v>
      </c>
      <c r="D3710" s="9" t="s">
        <v>14418</v>
      </c>
      <c r="E3710" s="9" t="s">
        <v>14419</v>
      </c>
      <c r="F3710" s="9" t="s">
        <v>14420</v>
      </c>
      <c r="G3710" s="9" t="s">
        <v>3726</v>
      </c>
      <c r="H3710" s="14" t="s">
        <v>22</v>
      </c>
      <c r="I3710" s="9" t="s">
        <v>14421</v>
      </c>
      <c r="J3710" s="13"/>
      <c r="K3710" s="13"/>
    </row>
    <row r="3711" customFormat="false" ht="46.25" hidden="false" customHeight="false" outlineLevel="0" collapsed="false">
      <c r="A3711" s="9" t="n">
        <v>3710</v>
      </c>
      <c r="B3711" s="9" t="s">
        <v>172</v>
      </c>
      <c r="C3711" s="11" t="s">
        <v>205</v>
      </c>
      <c r="D3711" s="9" t="s">
        <v>14422</v>
      </c>
      <c r="E3711" s="9" t="s">
        <v>14423</v>
      </c>
      <c r="F3711" s="9" t="s">
        <v>14424</v>
      </c>
      <c r="G3711" s="9" t="s">
        <v>1072</v>
      </c>
      <c r="H3711" s="15" t="s">
        <v>23</v>
      </c>
      <c r="I3711" s="9" t="s">
        <v>14425</v>
      </c>
      <c r="J3711" s="13"/>
      <c r="K3711" s="13"/>
    </row>
    <row r="3712" customFormat="false" ht="79.85" hidden="false" customHeight="false" outlineLevel="0" collapsed="false">
      <c r="A3712" s="9" t="n">
        <v>3711</v>
      </c>
      <c r="B3712" s="9" t="s">
        <v>172</v>
      </c>
      <c r="C3712" s="11" t="s">
        <v>205</v>
      </c>
      <c r="D3712" s="9" t="s">
        <v>14426</v>
      </c>
      <c r="E3712" s="9" t="s">
        <v>14427</v>
      </c>
      <c r="F3712" s="9" t="s">
        <v>14428</v>
      </c>
      <c r="G3712" s="9" t="s">
        <v>1072</v>
      </c>
      <c r="H3712" s="14" t="s">
        <v>22</v>
      </c>
      <c r="I3712" s="9" t="s">
        <v>14429</v>
      </c>
      <c r="J3712" s="13"/>
      <c r="K3712" s="13"/>
    </row>
    <row r="3713" customFormat="false" ht="102.2" hidden="false" customHeight="false" outlineLevel="0" collapsed="false">
      <c r="A3713" s="9" t="n">
        <v>3712</v>
      </c>
      <c r="B3713" s="9" t="s">
        <v>172</v>
      </c>
      <c r="C3713" s="11" t="s">
        <v>205</v>
      </c>
      <c r="D3713" s="9" t="s">
        <v>14430</v>
      </c>
      <c r="E3713" s="9" t="s">
        <v>14431</v>
      </c>
      <c r="F3713" s="9" t="s">
        <v>14432</v>
      </c>
      <c r="G3713" s="9" t="s">
        <v>14214</v>
      </c>
      <c r="H3713" s="12" t="s">
        <v>21</v>
      </c>
      <c r="I3713" s="9" t="s">
        <v>14433</v>
      </c>
      <c r="J3713" s="13"/>
      <c r="K3713" s="13"/>
    </row>
    <row r="3714" customFormat="false" ht="46.25" hidden="false" customHeight="false" outlineLevel="0" collapsed="false">
      <c r="A3714" s="9" t="n">
        <v>3713</v>
      </c>
      <c r="B3714" s="9" t="s">
        <v>172</v>
      </c>
      <c r="C3714" s="11" t="s">
        <v>205</v>
      </c>
      <c r="D3714" s="9" t="s">
        <v>14434</v>
      </c>
      <c r="E3714" s="9" t="s">
        <v>14435</v>
      </c>
      <c r="F3714" s="9" t="s">
        <v>14436</v>
      </c>
      <c r="G3714" s="9" t="s">
        <v>14437</v>
      </c>
      <c r="H3714" s="14" t="s">
        <v>22</v>
      </c>
      <c r="I3714" s="9" t="s">
        <v>14438</v>
      </c>
      <c r="J3714" s="13"/>
      <c r="K3714" s="13"/>
    </row>
    <row r="3715" customFormat="false" ht="57.45" hidden="false" customHeight="false" outlineLevel="0" collapsed="false">
      <c r="A3715" s="9" t="n">
        <v>3714</v>
      </c>
      <c r="B3715" s="9" t="s">
        <v>172</v>
      </c>
      <c r="C3715" s="11" t="s">
        <v>205</v>
      </c>
      <c r="D3715" s="9" t="s">
        <v>14439</v>
      </c>
      <c r="E3715" s="9" t="s">
        <v>14440</v>
      </c>
      <c r="F3715" s="9" t="s">
        <v>14441</v>
      </c>
      <c r="G3715" s="9" t="s">
        <v>1643</v>
      </c>
      <c r="H3715" s="14" t="s">
        <v>22</v>
      </c>
      <c r="I3715" s="9" t="s">
        <v>14442</v>
      </c>
      <c r="J3715" s="13"/>
      <c r="K3715" s="13"/>
    </row>
    <row r="3716" customFormat="false" ht="57.45" hidden="false" customHeight="false" outlineLevel="0" collapsed="false">
      <c r="A3716" s="9" t="n">
        <v>3715</v>
      </c>
      <c r="B3716" s="9" t="s">
        <v>172</v>
      </c>
      <c r="C3716" s="11" t="s">
        <v>205</v>
      </c>
      <c r="D3716" s="9" t="s">
        <v>14443</v>
      </c>
      <c r="E3716" s="9" t="s">
        <v>14444</v>
      </c>
      <c r="F3716" s="9" t="s">
        <v>14445</v>
      </c>
      <c r="G3716" s="9" t="s">
        <v>14446</v>
      </c>
      <c r="H3716" s="14" t="s">
        <v>22</v>
      </c>
      <c r="I3716" s="9" t="s">
        <v>14447</v>
      </c>
      <c r="J3716" s="13"/>
      <c r="K3716" s="13"/>
    </row>
    <row r="3717" customFormat="false" ht="35.05" hidden="false" customHeight="false" outlineLevel="0" collapsed="false">
      <c r="A3717" s="9" t="n">
        <v>3716</v>
      </c>
      <c r="B3717" s="9" t="s">
        <v>172</v>
      </c>
      <c r="C3717" s="11" t="s">
        <v>205</v>
      </c>
      <c r="D3717" s="9" t="s">
        <v>14448</v>
      </c>
      <c r="E3717" s="9" t="s">
        <v>14449</v>
      </c>
      <c r="F3717" s="9" t="s">
        <v>14450</v>
      </c>
      <c r="G3717" s="9" t="s">
        <v>3343</v>
      </c>
      <c r="H3717" s="15" t="s">
        <v>23</v>
      </c>
      <c r="I3717" s="9" t="s">
        <v>14451</v>
      </c>
      <c r="J3717" s="13"/>
      <c r="K3717" s="13"/>
    </row>
    <row r="3718" customFormat="false" ht="35.05" hidden="false" customHeight="false" outlineLevel="0" collapsed="false">
      <c r="A3718" s="9" t="n">
        <v>3717</v>
      </c>
      <c r="B3718" s="9" t="s">
        <v>172</v>
      </c>
      <c r="C3718" s="11" t="s">
        <v>205</v>
      </c>
      <c r="D3718" s="9" t="s">
        <v>14452</v>
      </c>
      <c r="E3718" s="9" t="s">
        <v>14453</v>
      </c>
      <c r="F3718" s="9" t="s">
        <v>14454</v>
      </c>
      <c r="G3718" s="9" t="s">
        <v>1072</v>
      </c>
      <c r="H3718" s="14" t="s">
        <v>22</v>
      </c>
      <c r="I3718" s="9" t="s">
        <v>14455</v>
      </c>
      <c r="J3718" s="13"/>
      <c r="K3718" s="13"/>
    </row>
    <row r="3719" customFormat="false" ht="68.65" hidden="false" customHeight="false" outlineLevel="0" collapsed="false">
      <c r="A3719" s="9" t="n">
        <v>3718</v>
      </c>
      <c r="B3719" s="9" t="s">
        <v>172</v>
      </c>
      <c r="C3719" s="11" t="s">
        <v>205</v>
      </c>
      <c r="D3719" s="9" t="s">
        <v>14456</v>
      </c>
      <c r="E3719" s="9" t="s">
        <v>14457</v>
      </c>
      <c r="F3719" s="9" t="s">
        <v>14458</v>
      </c>
      <c r="G3719" s="9" t="s">
        <v>1072</v>
      </c>
      <c r="H3719" s="14" t="s">
        <v>22</v>
      </c>
      <c r="I3719" s="9" t="s">
        <v>14459</v>
      </c>
      <c r="J3719" s="13"/>
      <c r="K3719" s="13"/>
    </row>
    <row r="3720" customFormat="false" ht="79.85" hidden="false" customHeight="false" outlineLevel="0" collapsed="false">
      <c r="A3720" s="9" t="n">
        <v>3719</v>
      </c>
      <c r="B3720" s="9" t="s">
        <v>172</v>
      </c>
      <c r="C3720" s="11" t="s">
        <v>205</v>
      </c>
      <c r="D3720" s="9" t="s">
        <v>14460</v>
      </c>
      <c r="E3720" s="9" t="s">
        <v>14461</v>
      </c>
      <c r="F3720" s="9" t="s">
        <v>14462</v>
      </c>
      <c r="G3720" s="9" t="s">
        <v>1072</v>
      </c>
      <c r="H3720" s="14" t="s">
        <v>22</v>
      </c>
      <c r="I3720" s="9" t="s">
        <v>14463</v>
      </c>
      <c r="J3720" s="13"/>
      <c r="K3720" s="13"/>
    </row>
    <row r="3721" customFormat="false" ht="57.45" hidden="false" customHeight="false" outlineLevel="0" collapsed="false">
      <c r="A3721" s="9" t="n">
        <v>3720</v>
      </c>
      <c r="B3721" s="9" t="s">
        <v>172</v>
      </c>
      <c r="C3721" s="11" t="s">
        <v>205</v>
      </c>
      <c r="D3721" s="9" t="s">
        <v>14464</v>
      </c>
      <c r="E3721" s="9" t="s">
        <v>14465</v>
      </c>
      <c r="F3721" s="9" t="s">
        <v>14466</v>
      </c>
      <c r="G3721" s="9" t="s">
        <v>317</v>
      </c>
      <c r="H3721" s="15" t="s">
        <v>23</v>
      </c>
      <c r="I3721" s="9" t="s">
        <v>14467</v>
      </c>
      <c r="J3721" s="13"/>
      <c r="K3721" s="13"/>
    </row>
    <row r="3722" customFormat="false" ht="57.45" hidden="false" customHeight="false" outlineLevel="0" collapsed="false">
      <c r="A3722" s="9" t="n">
        <v>3721</v>
      </c>
      <c r="B3722" s="9" t="s">
        <v>172</v>
      </c>
      <c r="C3722" s="11" t="s">
        <v>205</v>
      </c>
      <c r="D3722" s="9" t="s">
        <v>14468</v>
      </c>
      <c r="E3722" s="9" t="s">
        <v>14469</v>
      </c>
      <c r="F3722" s="9" t="s">
        <v>14470</v>
      </c>
      <c r="G3722" s="9" t="s">
        <v>14471</v>
      </c>
      <c r="H3722" s="14" t="s">
        <v>22</v>
      </c>
      <c r="I3722" s="9" t="s">
        <v>14472</v>
      </c>
      <c r="J3722" s="13"/>
      <c r="K3722" s="13"/>
    </row>
    <row r="3723" customFormat="false" ht="46.25" hidden="false" customHeight="false" outlineLevel="0" collapsed="false">
      <c r="A3723" s="9" t="n">
        <v>3722</v>
      </c>
      <c r="B3723" s="9" t="s">
        <v>172</v>
      </c>
      <c r="C3723" s="11" t="s">
        <v>205</v>
      </c>
      <c r="D3723" s="9" t="s">
        <v>14473</v>
      </c>
      <c r="E3723" s="9" t="s">
        <v>14474</v>
      </c>
      <c r="F3723" s="9" t="s">
        <v>14475</v>
      </c>
      <c r="G3723" s="9" t="s">
        <v>1421</v>
      </c>
      <c r="H3723" s="14" t="s">
        <v>22</v>
      </c>
      <c r="I3723" s="9" t="s">
        <v>14476</v>
      </c>
      <c r="J3723" s="13"/>
      <c r="K3723" s="13"/>
    </row>
    <row r="3724" customFormat="false" ht="68.65" hidden="false" customHeight="false" outlineLevel="0" collapsed="false">
      <c r="A3724" s="9" t="n">
        <v>3723</v>
      </c>
      <c r="B3724" s="9" t="s">
        <v>172</v>
      </c>
      <c r="C3724" s="11" t="s">
        <v>205</v>
      </c>
      <c r="D3724" s="9" t="s">
        <v>14477</v>
      </c>
      <c r="E3724" s="9" t="s">
        <v>14478</v>
      </c>
      <c r="F3724" s="9" t="s">
        <v>14479</v>
      </c>
      <c r="G3724" s="9" t="s">
        <v>12080</v>
      </c>
      <c r="H3724" s="14" t="s">
        <v>22</v>
      </c>
      <c r="I3724" s="9" t="s">
        <v>14480</v>
      </c>
      <c r="J3724" s="13"/>
      <c r="K3724" s="13"/>
    </row>
    <row r="3725" customFormat="false" ht="57.45" hidden="false" customHeight="false" outlineLevel="0" collapsed="false">
      <c r="A3725" s="9" t="n">
        <v>3724</v>
      </c>
      <c r="B3725" s="9" t="s">
        <v>172</v>
      </c>
      <c r="C3725" s="11" t="s">
        <v>205</v>
      </c>
      <c r="D3725" s="9" t="s">
        <v>14481</v>
      </c>
      <c r="E3725" s="9" t="s">
        <v>14482</v>
      </c>
      <c r="F3725" s="9" t="s">
        <v>14483</v>
      </c>
      <c r="G3725" s="9" t="s">
        <v>14484</v>
      </c>
      <c r="H3725" s="14" t="s">
        <v>22</v>
      </c>
      <c r="I3725" s="9" t="s">
        <v>14485</v>
      </c>
      <c r="J3725" s="13"/>
      <c r="K3725" s="13"/>
    </row>
    <row r="3726" customFormat="false" ht="35.05" hidden="false" customHeight="false" outlineLevel="0" collapsed="false">
      <c r="A3726" s="9" t="n">
        <v>3725</v>
      </c>
      <c r="B3726" s="9" t="s">
        <v>172</v>
      </c>
      <c r="C3726" s="11" t="s">
        <v>205</v>
      </c>
      <c r="D3726" s="9" t="s">
        <v>14486</v>
      </c>
      <c r="E3726" s="9" t="s">
        <v>14487</v>
      </c>
      <c r="F3726" s="9" t="s">
        <v>14488</v>
      </c>
      <c r="G3726" s="9" t="s">
        <v>12217</v>
      </c>
      <c r="H3726" s="15" t="s">
        <v>23</v>
      </c>
      <c r="I3726" s="9" t="s">
        <v>14489</v>
      </c>
      <c r="J3726" s="13"/>
      <c r="K3726" s="13"/>
    </row>
    <row r="3727" customFormat="false" ht="46.25" hidden="false" customHeight="false" outlineLevel="0" collapsed="false">
      <c r="A3727" s="9" t="n">
        <v>3726</v>
      </c>
      <c r="B3727" s="9" t="s">
        <v>172</v>
      </c>
      <c r="C3727" s="11" t="s">
        <v>205</v>
      </c>
      <c r="D3727" s="9" t="s">
        <v>14490</v>
      </c>
      <c r="E3727" s="9" t="s">
        <v>14491</v>
      </c>
      <c r="F3727" s="9" t="s">
        <v>14492</v>
      </c>
      <c r="G3727" s="9" t="s">
        <v>1404</v>
      </c>
      <c r="H3727" s="15" t="s">
        <v>23</v>
      </c>
      <c r="I3727" s="9" t="s">
        <v>14493</v>
      </c>
      <c r="J3727" s="13"/>
      <c r="K3727" s="13"/>
    </row>
    <row r="3728" customFormat="false" ht="46.25" hidden="false" customHeight="false" outlineLevel="0" collapsed="false">
      <c r="A3728" s="9" t="n">
        <v>3727</v>
      </c>
      <c r="B3728" s="9" t="s">
        <v>172</v>
      </c>
      <c r="C3728" s="11" t="s">
        <v>205</v>
      </c>
      <c r="D3728" s="9" t="s">
        <v>14494</v>
      </c>
      <c r="E3728" s="9" t="s">
        <v>14495</v>
      </c>
      <c r="F3728" s="9" t="s">
        <v>14496</v>
      </c>
      <c r="G3728" s="9" t="s">
        <v>312</v>
      </c>
      <c r="H3728" s="15" t="s">
        <v>23</v>
      </c>
      <c r="I3728" s="9" t="s">
        <v>14497</v>
      </c>
      <c r="J3728" s="13"/>
      <c r="K3728" s="13"/>
    </row>
    <row r="3729" customFormat="false" ht="68.65" hidden="false" customHeight="false" outlineLevel="0" collapsed="false">
      <c r="A3729" s="9" t="n">
        <v>3728</v>
      </c>
      <c r="B3729" s="9" t="s">
        <v>172</v>
      </c>
      <c r="C3729" s="11" t="s">
        <v>205</v>
      </c>
      <c r="D3729" s="9" t="s">
        <v>14498</v>
      </c>
      <c r="E3729" s="9" t="s">
        <v>14499</v>
      </c>
      <c r="F3729" s="9" t="s">
        <v>14500</v>
      </c>
      <c r="G3729" s="9" t="s">
        <v>14501</v>
      </c>
      <c r="H3729" s="15" t="s">
        <v>23</v>
      </c>
      <c r="I3729" s="9" t="s">
        <v>14502</v>
      </c>
      <c r="J3729" s="13"/>
      <c r="K3729" s="13"/>
    </row>
    <row r="3730" customFormat="false" ht="35.05" hidden="false" customHeight="false" outlineLevel="0" collapsed="false">
      <c r="A3730" s="9" t="n">
        <v>3729</v>
      </c>
      <c r="B3730" s="9" t="s">
        <v>172</v>
      </c>
      <c r="C3730" s="11" t="s">
        <v>205</v>
      </c>
      <c r="D3730" s="9" t="s">
        <v>14503</v>
      </c>
      <c r="E3730" s="9" t="s">
        <v>14504</v>
      </c>
      <c r="F3730" s="9" t="s">
        <v>14505</v>
      </c>
      <c r="G3730" s="9" t="s">
        <v>7445</v>
      </c>
      <c r="H3730" s="15" t="s">
        <v>23</v>
      </c>
      <c r="I3730" s="9" t="s">
        <v>14506</v>
      </c>
      <c r="J3730" s="13"/>
      <c r="K3730" s="13"/>
    </row>
    <row r="3731" customFormat="false" ht="23.85" hidden="false" customHeight="false" outlineLevel="0" collapsed="false">
      <c r="A3731" s="9" t="n">
        <v>3730</v>
      </c>
      <c r="B3731" s="9" t="s">
        <v>172</v>
      </c>
      <c r="C3731" s="11" t="s">
        <v>205</v>
      </c>
      <c r="D3731" s="9" t="s">
        <v>14507</v>
      </c>
      <c r="E3731" s="9" t="s">
        <v>14508</v>
      </c>
      <c r="F3731" s="9" t="s">
        <v>14509</v>
      </c>
      <c r="G3731" s="9" t="s">
        <v>328</v>
      </c>
      <c r="H3731" s="15" t="s">
        <v>23</v>
      </c>
      <c r="I3731" s="9" t="s">
        <v>14510</v>
      </c>
      <c r="J3731" s="13"/>
      <c r="K3731" s="13"/>
    </row>
    <row r="3732" customFormat="false" ht="35.05" hidden="false" customHeight="false" outlineLevel="0" collapsed="false">
      <c r="A3732" s="9" t="n">
        <v>3731</v>
      </c>
      <c r="B3732" s="9" t="s">
        <v>172</v>
      </c>
      <c r="C3732" s="11" t="s">
        <v>205</v>
      </c>
      <c r="D3732" s="9" t="s">
        <v>14511</v>
      </c>
      <c r="E3732" s="9" t="s">
        <v>14512</v>
      </c>
      <c r="F3732" s="9" t="s">
        <v>14513</v>
      </c>
      <c r="G3732" s="9" t="s">
        <v>24</v>
      </c>
      <c r="H3732" s="12" t="s">
        <v>21</v>
      </c>
      <c r="I3732" s="9" t="s">
        <v>14514</v>
      </c>
      <c r="J3732" s="13"/>
      <c r="K3732" s="13"/>
    </row>
    <row r="3733" customFormat="false" ht="46.25" hidden="false" customHeight="false" outlineLevel="0" collapsed="false">
      <c r="A3733" s="9" t="n">
        <v>3732</v>
      </c>
      <c r="B3733" s="9" t="s">
        <v>172</v>
      </c>
      <c r="C3733" s="11" t="s">
        <v>205</v>
      </c>
      <c r="D3733" s="9" t="s">
        <v>14515</v>
      </c>
      <c r="E3733" s="9" t="s">
        <v>14264</v>
      </c>
      <c r="F3733" s="9" t="s">
        <v>14516</v>
      </c>
      <c r="G3733" s="9" t="s">
        <v>24</v>
      </c>
      <c r="H3733" s="12" t="s">
        <v>21</v>
      </c>
      <c r="I3733" s="9" t="s">
        <v>14517</v>
      </c>
      <c r="J3733" s="13"/>
      <c r="K3733" s="13"/>
    </row>
    <row r="3734" customFormat="false" ht="46.25" hidden="false" customHeight="false" outlineLevel="0" collapsed="false">
      <c r="A3734" s="9" t="n">
        <v>3733</v>
      </c>
      <c r="B3734" s="9" t="s">
        <v>172</v>
      </c>
      <c r="C3734" s="11" t="s">
        <v>205</v>
      </c>
      <c r="D3734" s="9" t="s">
        <v>14518</v>
      </c>
      <c r="E3734" s="9" t="s">
        <v>14519</v>
      </c>
      <c r="F3734" s="9" t="s">
        <v>14520</v>
      </c>
      <c r="G3734" s="9" t="s">
        <v>24</v>
      </c>
      <c r="H3734" s="14" t="s">
        <v>22</v>
      </c>
      <c r="I3734" s="9" t="s">
        <v>14521</v>
      </c>
      <c r="J3734" s="13"/>
      <c r="K3734" s="13"/>
    </row>
    <row r="3735" customFormat="false" ht="15" hidden="false" customHeight="false" outlineLevel="0" collapsed="false">
      <c r="A3735" s="9" t="n">
        <v>3734</v>
      </c>
      <c r="B3735" s="9" t="s">
        <v>172</v>
      </c>
      <c r="C3735" s="11" t="s">
        <v>205</v>
      </c>
      <c r="D3735" s="9" t="s">
        <v>14522</v>
      </c>
      <c r="E3735" s="9" t="s">
        <v>358</v>
      </c>
      <c r="F3735" s="9" t="s">
        <v>13342</v>
      </c>
      <c r="G3735" s="9" t="s">
        <v>24</v>
      </c>
      <c r="H3735" s="14" t="s">
        <v>22</v>
      </c>
      <c r="I3735" s="9" t="s">
        <v>5550</v>
      </c>
      <c r="J3735" s="13"/>
      <c r="K3735" s="13"/>
    </row>
    <row r="3736" customFormat="false" ht="23.85" hidden="false" customHeight="false" outlineLevel="0" collapsed="false">
      <c r="A3736" s="9" t="n">
        <v>3735</v>
      </c>
      <c r="B3736" s="9" t="s">
        <v>172</v>
      </c>
      <c r="C3736" s="11" t="s">
        <v>205</v>
      </c>
      <c r="D3736" s="9" t="s">
        <v>14523</v>
      </c>
      <c r="E3736" s="9" t="s">
        <v>13038</v>
      </c>
      <c r="F3736" s="9" t="s">
        <v>14524</v>
      </c>
      <c r="G3736" s="9" t="s">
        <v>24</v>
      </c>
      <c r="H3736" s="14" t="s">
        <v>22</v>
      </c>
      <c r="I3736" s="9" t="s">
        <v>13604</v>
      </c>
      <c r="J3736" s="13"/>
      <c r="K3736" s="13"/>
    </row>
    <row r="3737" customFormat="false" ht="15" hidden="false" customHeight="false" outlineLevel="0" collapsed="false">
      <c r="A3737" s="9" t="n">
        <v>3736</v>
      </c>
      <c r="B3737" s="9" t="s">
        <v>172</v>
      </c>
      <c r="C3737" s="11" t="s">
        <v>205</v>
      </c>
      <c r="D3737" s="9" t="s">
        <v>14525</v>
      </c>
      <c r="E3737" s="9" t="s">
        <v>362</v>
      </c>
      <c r="F3737" s="9" t="s">
        <v>363</v>
      </c>
      <c r="G3737" s="9" t="s">
        <v>24</v>
      </c>
      <c r="H3737" s="14" t="s">
        <v>22</v>
      </c>
      <c r="I3737" s="9" t="s">
        <v>364</v>
      </c>
      <c r="J3737" s="13"/>
      <c r="K3737" s="13"/>
    </row>
    <row r="3738" customFormat="false" ht="23.85" hidden="false" customHeight="false" outlineLevel="0" collapsed="false">
      <c r="A3738" s="9" t="n">
        <v>3737</v>
      </c>
      <c r="B3738" s="9" t="s">
        <v>172</v>
      </c>
      <c r="C3738" s="11" t="s">
        <v>205</v>
      </c>
      <c r="D3738" s="9" t="s">
        <v>14526</v>
      </c>
      <c r="E3738" s="9" t="s">
        <v>14527</v>
      </c>
      <c r="F3738" s="9" t="s">
        <v>14528</v>
      </c>
      <c r="G3738" s="9" t="s">
        <v>24</v>
      </c>
      <c r="H3738" s="15" t="s">
        <v>23</v>
      </c>
      <c r="I3738" s="9" t="s">
        <v>14529</v>
      </c>
      <c r="J3738" s="13"/>
      <c r="K3738" s="13"/>
    </row>
    <row r="3739" customFormat="false" ht="23.85" hidden="false" customHeight="false" outlineLevel="0" collapsed="false">
      <c r="A3739" s="9" t="n">
        <v>3738</v>
      </c>
      <c r="B3739" s="9" t="s">
        <v>172</v>
      </c>
      <c r="C3739" s="11" t="s">
        <v>205</v>
      </c>
      <c r="D3739" s="9" t="s">
        <v>14530</v>
      </c>
      <c r="E3739" s="9" t="s">
        <v>14531</v>
      </c>
      <c r="F3739" s="9" t="s">
        <v>14532</v>
      </c>
      <c r="G3739" s="9" t="s">
        <v>24</v>
      </c>
      <c r="H3739" s="15" t="s">
        <v>23</v>
      </c>
      <c r="I3739" s="9" t="s">
        <v>14533</v>
      </c>
      <c r="J3739" s="13"/>
      <c r="K3739" s="13"/>
    </row>
    <row r="3740" customFormat="false" ht="46.25" hidden="false" customHeight="false" outlineLevel="0" collapsed="false">
      <c r="A3740" s="9" t="n">
        <v>3739</v>
      </c>
      <c r="B3740" s="9" t="s">
        <v>172</v>
      </c>
      <c r="C3740" s="11" t="s">
        <v>205</v>
      </c>
      <c r="D3740" s="9" t="s">
        <v>14534</v>
      </c>
      <c r="E3740" s="9" t="s">
        <v>14535</v>
      </c>
      <c r="F3740" s="9" t="s">
        <v>14536</v>
      </c>
      <c r="G3740" s="9" t="s">
        <v>24</v>
      </c>
      <c r="H3740" s="15" t="s">
        <v>23</v>
      </c>
      <c r="I3740" s="9" t="s">
        <v>14537</v>
      </c>
      <c r="J3740" s="13"/>
      <c r="K3740" s="13"/>
    </row>
    <row r="3741" customFormat="false" ht="15" hidden="false" customHeight="false" outlineLevel="0" collapsed="false">
      <c r="A3741" s="9" t="n">
        <v>3740</v>
      </c>
      <c r="B3741" s="9" t="s">
        <v>172</v>
      </c>
      <c r="C3741" s="11" t="s">
        <v>205</v>
      </c>
      <c r="D3741" s="9" t="s">
        <v>14538</v>
      </c>
      <c r="E3741" s="9" t="s">
        <v>14539</v>
      </c>
      <c r="F3741" s="9" t="s">
        <v>14540</v>
      </c>
      <c r="G3741" s="9" t="s">
        <v>24</v>
      </c>
      <c r="H3741" s="15" t="s">
        <v>23</v>
      </c>
      <c r="I3741" s="9" t="s">
        <v>14388</v>
      </c>
      <c r="J3741" s="13"/>
      <c r="K3741" s="13"/>
    </row>
    <row r="3742" customFormat="false" ht="15" hidden="false" customHeight="false" outlineLevel="0" collapsed="false">
      <c r="A3742" s="9" t="n">
        <v>3741</v>
      </c>
      <c r="B3742" s="9" t="s">
        <v>172</v>
      </c>
      <c r="C3742" s="11" t="s">
        <v>205</v>
      </c>
      <c r="D3742" s="9" t="s">
        <v>14541</v>
      </c>
      <c r="E3742" s="9" t="s">
        <v>9749</v>
      </c>
      <c r="F3742" s="9" t="s">
        <v>13758</v>
      </c>
      <c r="G3742" s="9" t="s">
        <v>24</v>
      </c>
      <c r="H3742" s="15" t="s">
        <v>23</v>
      </c>
      <c r="I3742" s="9" t="s">
        <v>13496</v>
      </c>
      <c r="J3742" s="13"/>
      <c r="K3742" s="13"/>
    </row>
    <row r="3743" customFormat="false" ht="57.45" hidden="false" customHeight="false" outlineLevel="0" collapsed="false">
      <c r="A3743" s="9" t="n">
        <v>3742</v>
      </c>
      <c r="B3743" s="9" t="s">
        <v>207</v>
      </c>
      <c r="C3743" s="11" t="s">
        <v>208</v>
      </c>
      <c r="D3743" s="9" t="s">
        <v>14542</v>
      </c>
      <c r="E3743" s="9" t="s">
        <v>14543</v>
      </c>
      <c r="F3743" s="9" t="s">
        <v>14544</v>
      </c>
      <c r="G3743" s="9" t="s">
        <v>312</v>
      </c>
      <c r="H3743" s="12" t="s">
        <v>21</v>
      </c>
      <c r="I3743" s="9" t="s">
        <v>14545</v>
      </c>
      <c r="J3743" s="13"/>
      <c r="K3743" s="13"/>
    </row>
    <row r="3744" customFormat="false" ht="57.45" hidden="false" customHeight="false" outlineLevel="0" collapsed="false">
      <c r="A3744" s="9" t="n">
        <v>3743</v>
      </c>
      <c r="B3744" s="9" t="s">
        <v>207</v>
      </c>
      <c r="C3744" s="11" t="s">
        <v>208</v>
      </c>
      <c r="D3744" s="9" t="s">
        <v>14546</v>
      </c>
      <c r="E3744" s="9" t="s">
        <v>14547</v>
      </c>
      <c r="F3744" s="9" t="s">
        <v>14548</v>
      </c>
      <c r="G3744" s="9" t="s">
        <v>312</v>
      </c>
      <c r="H3744" s="14" t="s">
        <v>22</v>
      </c>
      <c r="I3744" s="9" t="s">
        <v>14549</v>
      </c>
      <c r="J3744" s="13"/>
      <c r="K3744" s="13"/>
    </row>
    <row r="3745" customFormat="false" ht="35.05" hidden="false" customHeight="false" outlineLevel="0" collapsed="false">
      <c r="A3745" s="9" t="n">
        <v>3744</v>
      </c>
      <c r="B3745" s="9" t="s">
        <v>207</v>
      </c>
      <c r="C3745" s="11" t="s">
        <v>208</v>
      </c>
      <c r="D3745" s="9" t="s">
        <v>14550</v>
      </c>
      <c r="E3745" s="9" t="s">
        <v>14551</v>
      </c>
      <c r="F3745" s="9" t="s">
        <v>14552</v>
      </c>
      <c r="G3745" s="9" t="s">
        <v>312</v>
      </c>
      <c r="H3745" s="15" t="s">
        <v>23</v>
      </c>
      <c r="I3745" s="9" t="s">
        <v>14553</v>
      </c>
      <c r="J3745" s="13"/>
      <c r="K3745" s="13"/>
    </row>
    <row r="3746" customFormat="false" ht="35.05" hidden="false" customHeight="false" outlineLevel="0" collapsed="false">
      <c r="A3746" s="9" t="n">
        <v>3745</v>
      </c>
      <c r="B3746" s="9" t="s">
        <v>207</v>
      </c>
      <c r="C3746" s="11" t="s">
        <v>208</v>
      </c>
      <c r="D3746" s="9" t="s">
        <v>14554</v>
      </c>
      <c r="E3746" s="9" t="s">
        <v>14555</v>
      </c>
      <c r="F3746" s="9" t="s">
        <v>14556</v>
      </c>
      <c r="G3746" s="9" t="s">
        <v>328</v>
      </c>
      <c r="H3746" s="15" t="s">
        <v>23</v>
      </c>
      <c r="I3746" s="9" t="s">
        <v>14557</v>
      </c>
      <c r="J3746" s="13"/>
      <c r="K3746" s="13"/>
    </row>
    <row r="3747" customFormat="false" ht="23.85" hidden="false" customHeight="false" outlineLevel="0" collapsed="false">
      <c r="A3747" s="9" t="n">
        <v>3746</v>
      </c>
      <c r="B3747" s="9" t="s">
        <v>207</v>
      </c>
      <c r="C3747" s="11" t="s">
        <v>208</v>
      </c>
      <c r="D3747" s="9" t="s">
        <v>14558</v>
      </c>
      <c r="E3747" s="9" t="s">
        <v>14559</v>
      </c>
      <c r="F3747" s="9" t="s">
        <v>14560</v>
      </c>
      <c r="G3747" s="9" t="s">
        <v>312</v>
      </c>
      <c r="H3747" s="15" t="s">
        <v>23</v>
      </c>
      <c r="I3747" s="9" t="s">
        <v>14561</v>
      </c>
      <c r="J3747" s="13"/>
      <c r="K3747" s="13"/>
    </row>
    <row r="3748" customFormat="false" ht="35.05" hidden="false" customHeight="false" outlineLevel="0" collapsed="false">
      <c r="A3748" s="9" t="n">
        <v>3747</v>
      </c>
      <c r="B3748" s="9" t="s">
        <v>207</v>
      </c>
      <c r="C3748" s="11" t="s">
        <v>208</v>
      </c>
      <c r="D3748" s="9" t="s">
        <v>14562</v>
      </c>
      <c r="E3748" s="9" t="s">
        <v>14563</v>
      </c>
      <c r="F3748" s="9" t="s">
        <v>14564</v>
      </c>
      <c r="G3748" s="9" t="s">
        <v>308</v>
      </c>
      <c r="H3748" s="15" t="s">
        <v>23</v>
      </c>
      <c r="I3748" s="9" t="s">
        <v>14565</v>
      </c>
      <c r="J3748" s="13"/>
      <c r="K3748" s="13"/>
    </row>
    <row r="3749" customFormat="false" ht="46.25" hidden="false" customHeight="false" outlineLevel="0" collapsed="false">
      <c r="A3749" s="9" t="n">
        <v>3748</v>
      </c>
      <c r="B3749" s="9" t="s">
        <v>207</v>
      </c>
      <c r="C3749" s="11" t="s">
        <v>208</v>
      </c>
      <c r="D3749" s="9" t="s">
        <v>14566</v>
      </c>
      <c r="E3749" s="9" t="s">
        <v>14567</v>
      </c>
      <c r="F3749" s="9" t="s">
        <v>14568</v>
      </c>
      <c r="G3749" s="9" t="s">
        <v>24</v>
      </c>
      <c r="H3749" s="12" t="s">
        <v>21</v>
      </c>
      <c r="I3749" s="9" t="s">
        <v>14569</v>
      </c>
      <c r="J3749" s="13"/>
      <c r="K3749" s="13"/>
    </row>
    <row r="3750" customFormat="false" ht="57.45" hidden="false" customHeight="false" outlineLevel="0" collapsed="false">
      <c r="A3750" s="9" t="n">
        <v>3749</v>
      </c>
      <c r="B3750" s="9" t="s">
        <v>207</v>
      </c>
      <c r="C3750" s="11" t="s">
        <v>208</v>
      </c>
      <c r="D3750" s="9" t="s">
        <v>14570</v>
      </c>
      <c r="E3750" s="9" t="s">
        <v>14571</v>
      </c>
      <c r="F3750" s="9" t="s">
        <v>14572</v>
      </c>
      <c r="G3750" s="9" t="s">
        <v>24</v>
      </c>
      <c r="H3750" s="12" t="s">
        <v>21</v>
      </c>
      <c r="I3750" s="9" t="s">
        <v>14573</v>
      </c>
      <c r="J3750" s="13"/>
      <c r="K3750" s="13"/>
    </row>
    <row r="3751" customFormat="false" ht="23.85" hidden="false" customHeight="false" outlineLevel="0" collapsed="false">
      <c r="A3751" s="9" t="n">
        <v>3750</v>
      </c>
      <c r="B3751" s="9" t="s">
        <v>207</v>
      </c>
      <c r="C3751" s="11" t="s">
        <v>208</v>
      </c>
      <c r="D3751" s="9" t="s">
        <v>14574</v>
      </c>
      <c r="E3751" s="9" t="s">
        <v>14575</v>
      </c>
      <c r="F3751" s="9" t="s">
        <v>14576</v>
      </c>
      <c r="G3751" s="9" t="s">
        <v>24</v>
      </c>
      <c r="H3751" s="14" t="s">
        <v>22</v>
      </c>
      <c r="I3751" s="9" t="s">
        <v>14577</v>
      </c>
      <c r="J3751" s="13"/>
      <c r="K3751" s="13"/>
    </row>
    <row r="3752" customFormat="false" ht="46.25" hidden="false" customHeight="false" outlineLevel="0" collapsed="false">
      <c r="A3752" s="9" t="n">
        <v>3751</v>
      </c>
      <c r="B3752" s="9" t="s">
        <v>207</v>
      </c>
      <c r="C3752" s="11" t="s">
        <v>208</v>
      </c>
      <c r="D3752" s="9" t="s">
        <v>14578</v>
      </c>
      <c r="E3752" s="9" t="s">
        <v>14579</v>
      </c>
      <c r="F3752" s="9" t="s">
        <v>14580</v>
      </c>
      <c r="G3752" s="9" t="s">
        <v>24</v>
      </c>
      <c r="H3752" s="14" t="s">
        <v>22</v>
      </c>
      <c r="I3752" s="9" t="s">
        <v>14581</v>
      </c>
      <c r="J3752" s="13"/>
      <c r="K3752" s="13"/>
    </row>
    <row r="3753" customFormat="false" ht="15" hidden="false" customHeight="false" outlineLevel="0" collapsed="false">
      <c r="A3753" s="9" t="n">
        <v>3752</v>
      </c>
      <c r="B3753" s="9" t="s">
        <v>207</v>
      </c>
      <c r="C3753" s="11" t="s">
        <v>208</v>
      </c>
      <c r="D3753" s="9" t="s">
        <v>14582</v>
      </c>
      <c r="E3753" s="9" t="s">
        <v>358</v>
      </c>
      <c r="F3753" s="9" t="s">
        <v>4462</v>
      </c>
      <c r="G3753" s="9" t="s">
        <v>24</v>
      </c>
      <c r="H3753" s="14" t="s">
        <v>22</v>
      </c>
      <c r="I3753" s="9" t="s">
        <v>4463</v>
      </c>
      <c r="J3753" s="13"/>
      <c r="K3753" s="13"/>
    </row>
    <row r="3754" customFormat="false" ht="15" hidden="false" customHeight="false" outlineLevel="0" collapsed="false">
      <c r="A3754" s="9" t="n">
        <v>3753</v>
      </c>
      <c r="B3754" s="9" t="s">
        <v>207</v>
      </c>
      <c r="C3754" s="11" t="s">
        <v>208</v>
      </c>
      <c r="D3754" s="9" t="s">
        <v>14583</v>
      </c>
      <c r="E3754" s="9" t="s">
        <v>362</v>
      </c>
      <c r="F3754" s="9" t="s">
        <v>363</v>
      </c>
      <c r="G3754" s="9" t="s">
        <v>24</v>
      </c>
      <c r="H3754" s="14" t="s">
        <v>22</v>
      </c>
      <c r="I3754" s="9" t="s">
        <v>364</v>
      </c>
      <c r="J3754" s="13"/>
      <c r="K3754" s="13"/>
    </row>
    <row r="3755" customFormat="false" ht="23.85" hidden="false" customHeight="false" outlineLevel="0" collapsed="false">
      <c r="A3755" s="9" t="n">
        <v>3754</v>
      </c>
      <c r="B3755" s="9" t="s">
        <v>207</v>
      </c>
      <c r="C3755" s="11" t="s">
        <v>208</v>
      </c>
      <c r="D3755" s="9" t="s">
        <v>14584</v>
      </c>
      <c r="E3755" s="9" t="s">
        <v>14585</v>
      </c>
      <c r="F3755" s="9" t="s">
        <v>14586</v>
      </c>
      <c r="G3755" s="9" t="s">
        <v>24</v>
      </c>
      <c r="H3755" s="15" t="s">
        <v>23</v>
      </c>
      <c r="I3755" s="9" t="s">
        <v>14587</v>
      </c>
      <c r="J3755" s="13"/>
      <c r="K3755" s="13"/>
    </row>
    <row r="3756" customFormat="false" ht="35.05" hidden="false" customHeight="false" outlineLevel="0" collapsed="false">
      <c r="A3756" s="9" t="n">
        <v>3755</v>
      </c>
      <c r="B3756" s="9" t="s">
        <v>207</v>
      </c>
      <c r="C3756" s="11" t="s">
        <v>208</v>
      </c>
      <c r="D3756" s="9" t="s">
        <v>14588</v>
      </c>
      <c r="E3756" s="9" t="s">
        <v>14589</v>
      </c>
      <c r="F3756" s="9" t="s">
        <v>14590</v>
      </c>
      <c r="G3756" s="9" t="s">
        <v>24</v>
      </c>
      <c r="H3756" s="15" t="s">
        <v>23</v>
      </c>
      <c r="I3756" s="9" t="s">
        <v>14591</v>
      </c>
      <c r="J3756" s="13"/>
      <c r="K3756" s="13"/>
    </row>
    <row r="3757" customFormat="false" ht="23.85" hidden="false" customHeight="false" outlineLevel="0" collapsed="false">
      <c r="A3757" s="9" t="n">
        <v>3756</v>
      </c>
      <c r="B3757" s="9" t="s">
        <v>207</v>
      </c>
      <c r="C3757" s="11" t="s">
        <v>208</v>
      </c>
      <c r="D3757" s="9" t="s">
        <v>14592</v>
      </c>
      <c r="E3757" s="9" t="s">
        <v>14593</v>
      </c>
      <c r="F3757" s="9" t="s">
        <v>14594</v>
      </c>
      <c r="G3757" s="9" t="s">
        <v>24</v>
      </c>
      <c r="H3757" s="15" t="s">
        <v>23</v>
      </c>
      <c r="I3757" s="9" t="s">
        <v>434</v>
      </c>
      <c r="J3757" s="13"/>
      <c r="K3757" s="13"/>
    </row>
    <row r="3758" customFormat="false" ht="23.85" hidden="false" customHeight="false" outlineLevel="0" collapsed="false">
      <c r="A3758" s="9" t="n">
        <v>3757</v>
      </c>
      <c r="B3758" s="9" t="s">
        <v>207</v>
      </c>
      <c r="C3758" s="11" t="s">
        <v>208</v>
      </c>
      <c r="D3758" s="9" t="s">
        <v>14595</v>
      </c>
      <c r="E3758" s="9" t="s">
        <v>14596</v>
      </c>
      <c r="F3758" s="9" t="s">
        <v>14597</v>
      </c>
      <c r="G3758" s="9" t="s">
        <v>24</v>
      </c>
      <c r="H3758" s="15" t="s">
        <v>23</v>
      </c>
      <c r="I3758" s="9" t="s">
        <v>14598</v>
      </c>
      <c r="J3758" s="13"/>
      <c r="K3758" s="13"/>
    </row>
    <row r="3759" customFormat="false" ht="23.85" hidden="false" customHeight="false" outlineLevel="0" collapsed="false">
      <c r="A3759" s="9" t="n">
        <v>3758</v>
      </c>
      <c r="B3759" s="9" t="s">
        <v>207</v>
      </c>
      <c r="C3759" s="11" t="s">
        <v>208</v>
      </c>
      <c r="D3759" s="9" t="s">
        <v>14599</v>
      </c>
      <c r="E3759" s="9" t="s">
        <v>14600</v>
      </c>
      <c r="F3759" s="9" t="s">
        <v>14601</v>
      </c>
      <c r="G3759" s="9" t="s">
        <v>24</v>
      </c>
      <c r="H3759" s="15" t="s">
        <v>23</v>
      </c>
      <c r="I3759" s="9" t="s">
        <v>14602</v>
      </c>
      <c r="J3759" s="13"/>
      <c r="K3759" s="13"/>
    </row>
  </sheetData>
  <autoFilter ref="A1:K3759"/>
  <dataValidations count="1">
    <dataValidation allowBlank="true" errorStyle="stop" operator="between" showDropDown="false" showErrorMessage="false" showInputMessage="false" sqref="J2:J3759" type="list">
      <formula1>"Approve,Modify,Reject,Defer"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2026-09-27T16:04:28Z</dcterms:created>
  <dc:creator>openpyxl</dc:creator>
  <dc:description/>
  <dc:language>en-US</dc:language>
  <cp:lastModifiedBy/>
  <dcterms:modified xsi:type="dcterms:W3CDTF">2026-09-27T16:04:31Z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